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de7de0a4c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e49fc527e9b24d5b"/>
    <x:sheet xmlns:r="http://schemas.openxmlformats.org/officeDocument/2006/relationships" name="RESUME_POINT" sheetId="2" r:id="Rd3e0b30571c24897"/>
    <x:sheet xmlns:r="http://schemas.openxmlformats.org/officeDocument/2006/relationships" name="SCIENTIFIC_CLAIMS" sheetId="3" r:id="R87f26a87e5154fa3"/>
    <x:sheet xmlns:r="http://schemas.openxmlformats.org/officeDocument/2006/relationships" name="COVERAGE" sheetId="4" r:id="Re75d35e17cab4130"/>
    <x:sheet xmlns:r="http://schemas.openxmlformats.org/officeDocument/2006/relationships" name="PAPER_INDEX" sheetId="5" r:id="Rafcc211f2a8d4094"/>
    <x:sheet xmlns:r="http://schemas.openxmlformats.org/officeDocument/2006/relationships" name="NEW_DETAILED_PAPERS" sheetId="6" r:id="R8cca6d001e2f4b00"/>
    <x:sheet xmlns:r="http://schemas.openxmlformats.org/officeDocument/2006/relationships" name="RESEARCH_GAPS" sheetId="7" r:id="R6b8259696061423c"/>
    <x:sheet xmlns:r="http://schemas.openxmlformats.org/officeDocument/2006/relationships" name="SOURCE_ACCESS" sheetId="8" r:id="R7ffa3e1a37c346a4"/>
    <x:sheet xmlns:r="http://schemas.openxmlformats.org/officeDocument/2006/relationships" name="FIELD_COVERAGE" sheetId="9" r:id="Rc3c782987abf45e3"/>
    <x:sheet xmlns:r="http://schemas.openxmlformats.org/officeDocument/2006/relationships" name="CHANGE_LOG" sheetId="10" r:id="Rf754372afa2b4ce1"/>
    <x:sheet xmlns:r="http://schemas.openxmlformats.org/officeDocument/2006/relationships" name="BATCH_LOG" sheetId="11" r:id="Rd2af2d2e88854b42"/>
    <x:sheet xmlns:r="http://schemas.openxmlformats.org/officeDocument/2006/relationships" name="FIELD_PATH_MAP" sheetId="12" r:id="Re9e486288c0c4d6f"/>
    <x:sheet xmlns:r="http://schemas.openxmlformats.org/officeDocument/2006/relationships" name="RL_APPLICABILITY" sheetId="13" r:id="Rb8badae541044061"/>
    <x:sheet xmlns:r="http://schemas.openxmlformats.org/officeDocument/2006/relationships" name="FIELD_MATRIX_115" sheetId="14" r:id="Rd12bad0bf1954b17"/>
    <x:sheet xmlns:r="http://schemas.openxmlformats.org/officeDocument/2006/relationships" name="CHANGE_SUMMARY" sheetId="15" r:id="Re373f01be4024de8"/>
    <x:sheet xmlns:r="http://schemas.openxmlformats.org/officeDocument/2006/relationships" name="BLOCKED_FULLTEXT" sheetId="16" r:id="Rc19c552648f84fb0"/>
  </x:sheets>
</x:workbook>
</file>

<file path=xl/sharedStrings.xml><?xml version="1.0" encoding="utf-8"?>
<x:sst xmlns:x="http://schemas.openxmlformats.org/spreadsheetml/2006/main">
  <x:si>
    <x:t xml:space="preserve">OCEAN RESEARCH INTELLIGENCE — ENRICHED</x:t>
  </x:si>
  <x:si>
    <x:t xml:space="preserve">Metric</x:t>
  </x:si>
  <x:si>
    <x:t xml:space="preserve">Value</x:t>
  </x:si>
  <x:si>
    <x:t xml:space="preserve">Notes</x:t>
  </x:si>
  <x:si>
    <x:t xml:space="preserve">Papers indexed</x:t>
  </x:si>
  <x:si>
    <x:t xml:space="preserve">Full bibliographic corpus</x:t>
  </x:si>
  <x:si>
    <x:t xml:space="preserve">Papiers enrichis avant ce lot</x:t>
  </x:si>
  <x:si>
    <x:t xml:space="preserve">Papiers avec extraction</x:t>
  </x:si>
  <x:si>
    <x:t xml:space="preserve">DETAILED et DETAILED_PARTIAL; ne signifie pas extraction exhaustive.</x:t>
  </x:si>
  <x:si>
    <x:t xml:space="preserve">Papiers ajoutés</x:t>
  </x:si>
  <x:si>
    <x:t xml:space="preserve">Lignes conservées</x:t>
  </x:si>
  <x:si>
    <x:t xml:space="preserve">Toutes les lignes antérieures préservées.</x:t>
  </x:si>
  <x:si>
    <x:t xml:space="preserve">Lignes extraites ajoutées</x:t>
  </x:si>
  <x:si>
    <x:t xml:space="preserve">État de la mission</x:t>
  </x:si>
  <x:si>
    <x:t xml:space="preserve">PARTIEL — voir RESUME_POINT</x:t>
  </x:si>
  <x:si>
    <x:t xml:space="preserve">Les 115 papiers ne sont pas entièrement renseignés.</x:t>
  </x:si>
  <x:si>
    <x:t xml:space="preserve">Règle</x:t>
  </x:si>
  <x:si>
    <x:t xml:space="preserve">Aucune invention</x:t>
  </x:si>
  <x:si>
    <x:t xml:space="preserve">Absence de donnée extraite ≠ absence dans la publication.</x:t>
  </x:si>
  <x:si>
    <x:t xml:space="preserve">Date</x:t>
  </x:si>
  <x:si>
    <x:t xml:space="preserve">2026-09-28</x:t>
  </x:si>
  <x:si>
    <x:t xml:space="preserve">INDEX_ONLY restants</x:t>
  </x:si>
  <x:si>
    <x:t xml:space="preserve">SOURCE_ACCESS trace les 90 références examinées.</x:t>
  </x:si>
  <x:si>
    <x:t xml:space="preserve">Champs manquants hérités</x:t>
  </x:si>
  <x:si>
    <x:t xml:space="preserve">46 NOT_EXTRACTED + 6 NOT_REPORTED du lot B03 conservés.</x:t>
  </x:si>
  <x:si>
    <x:t xml:space="preserve">Lignes SCIENTIFIC_CLAIMS</x:t>
  </x:si>
  <x:si>
    <x:t xml:space="preserve">Une ligne par information; variantes et exemples indiqués.</x:t>
  </x:si>
  <x:si>
    <x:t xml:space="preserve">EXTRACTED</x:t>
  </x:si>
  <x:si>
    <x:t xml:space="preserve">Section consultée</x:t>
  </x:si>
  <x:si>
    <x:t xml:space="preserve">Information relevée; jamais déclarée VERIFIED.</x:t>
  </x:si>
  <x:si>
    <x:t xml:space="preserve">NOT_EXTRACTED</x:t>
  </x:si>
  <x:si>
    <x:t xml:space="preserve">Non extrait</x:t>
  </x:si>
  <x:si>
    <x:t xml:space="preserve">NOT_REPORTED</x:t>
  </x:si>
  <x:si>
    <x:t xml:space="preserve">Absence vérifiée dans un périmètre</x:t>
  </x:si>
  <x:si>
    <x:t xml:space="preserve">Absence constatée après lecture suffisante d'un périmètre documenté. Recherche de mots-clés seule ou accès bloqué = NOT_EXTRACTED.</x:t>
  </x:si>
  <x:si>
    <x:t xml:space="preserve">FIELD_COVERAGE</x:t>
  </x:si>
  <x:si>
    <x:t xml:space="preserve">FIELD_MATRIX_115 (115 papiers) ; FIELD_COVERAGE = ancienne matrice 90 papiers conservée</x:t>
  </x:si>
  <x:si>
    <x:t xml:space="preserve">Matrice recalculée depuis SCIENTIFIC_CLAIMS via FIELD_PATH_MAP ; EXTRACTED(n) ≠ complétude.</x:t>
  </x:si>
  <x:si>
    <x:t xml:space="preserve">Éditions</x:t>
  </x:si>
  <x:si>
    <x:t xml:space="preserve">Prépublications séparées</x:t>
  </x:si>
  <x:si>
    <x:t xml:space="preserve">Voir chaque ligne : article publié, copie, prépublication ou réponse auteur. 0052 : Research Square v1.</x:t>
  </x:si>
  <x:si>
    <x:t xml:space="preserve">Conflit à résoudre</x:t>
  </x:si>
  <x:si>
    <x:t xml:space="preserve">OAI-0089 ; OAI-0013 ; OAI-0077</x:t>
  </x:si>
  <x:si>
    <x:t xml:space="preserve">OAI-0089 conflit dans la source ; OAI-0013 ouvert ; OAI-0077 incohérence interne p15 (57%) + texte vs SI</x:t>
  </x:si>
  <x:si>
    <x:t xml:space="preserve">Audit</x:t>
  </x:si>
  <x:si>
    <x:t xml:space="preserve">PENDING_INDEPENDENT_AUDIT</x:t>
  </x:si>
  <x:si>
    <x:t xml:space="preserve">Contrôle technique du classeur ≠ audit scientifique indépendant.</x:t>
  </x:si>
  <x:si>
    <x:t xml:space="preserve">Niveaux de couverture (formules)</x:t>
  </x:si>
  <x:si>
    <x:t xml:space="preserve">DETAILED</x:t>
  </x:si>
  <x:si>
    <x:t xml:space="preserve">Étiquette historique ; ≠ exhaustif</x:t>
  </x:si>
  <x:si>
    <x:t xml:space="preserve">DETAILED_PARTIAL</x:t>
  </x:si>
  <x:si>
    <x:t xml:space="preserve">≥1 section du texte intégral lue</x:t>
  </x:si>
  <x:si>
    <x:t xml:space="preserve">ABSTRACT_ONLY</x:t>
  </x:si>
  <x:si>
    <x:t xml:space="preserve">Résumé seul après recherche documentée</x:t>
  </x:si>
  <x:si>
    <x:t xml:space="preserve">ABSTRACT_PLUS_CODE</x:t>
  </x:si>
  <x:si>
    <x:t xml:space="preserve">Résumé + dépôt de code lu (non exécuté)</x:t>
  </x:si>
  <x:si>
    <x:t xml:space="preserve">INDEX_ONLY</x:t>
  </x:si>
  <x:si>
    <x:t xml:space="preserve">Aucune information extraite</x:t>
  </x:si>
  <x:si>
    <x:t xml:space="preserve">Bilan des changements</x:t>
  </x:si>
  <x:si>
    <x:t xml:space="preserve">Voir CHANGE_SUMMARY</x:t>
  </x:si>
  <x:si>
    <x:t xml:space="preserve">Ajouts, modifications, reclassements séparés</x:t>
  </x:si>
  <x:si>
    <x:t xml:space="preserve">RL non applicable</x:t>
  </x:si>
  <x:si>
    <x:t xml:space="preserve">Voir RL_APPLICABILITY</x:t>
  </x:si>
  <x:si>
    <x:t xml:space="preserve">Justifié par lignes de méthode ; sinon NOT_EXTRACTED</x:t>
  </x:si>
  <x:si>
    <x:t xml:space="preserve">Base de preuve (papiers)</x:t>
  </x:si>
  <x:si>
    <x:t xml:space="preserve">≥1 ligne issue du texte intégral/SI</x:t>
  </x:si>
  <x:si>
    <x:t xml:space="preserve">Texte, SI ou figures lus (sections variables)</x:t>
  </x:si>
  <x:si>
    <x:t xml:space="preserve">Résumé seul</x:t>
  </x:si>
  <x:si>
    <x:t xml:space="preserve">Aucune ligne de texte intégral</x:t>
  </x:si>
  <x:si>
    <x:t xml:space="preserve">Résumé + code</x:t>
  </x:si>
  <x:si>
    <x:t xml:space="preserve">Code lu, non exécuté</x:t>
  </x:si>
  <x:si>
    <x:t xml:space="preserve">Lignes depuis texte intégral/SI</x:t>
  </x:si>
  <x:si>
    <x:t xml:space="preserve">SCIENTIFIC_CLAIMS</x:t>
  </x:si>
  <x:si>
    <x:t xml:space="preserve">Lignes depuis résumés</x:t>
  </x:si>
  <x:si>
    <x:t xml:space="preserve">Lignes depuis code</x:t>
  </x:si>
  <x:si>
    <x:t xml:space="preserve">Textes intégraux bloqués</x:t>
  </x:si>
  <x:si>
    <x:t xml:space="preserve">Maintenus même si résumé/code exploités</x:t>
  </x:si>
  <x:si>
    <x:t xml:space="preserve">item</x:t>
  </x:si>
  <x:si>
    <x:t xml:space="preserve">paper_ids</x:t>
  </x:si>
  <x:si>
    <x:t xml:space="preserve">status</x:t>
  </x:si>
  <x:si>
    <x:t xml:space="preserve">next_action</x:t>
  </x:si>
  <x:si>
    <x:t xml:space="preserve">claim_id</x:t>
  </x:si>
  <x:si>
    <x:t xml:space="preserve">paper_id</x:t>
  </x:si>
  <x:si>
    <x:t xml:space="preserve">experiment_id</x:t>
  </x:si>
  <x:si>
    <x:t xml:space="preserve">field_path</x:t>
  </x:si>
  <x:si>
    <x:t xml:space="preserve">value</x:t>
  </x:si>
  <x:si>
    <x:t xml:space="preserve">subject_scope</x:t>
  </x:si>
  <x:si>
    <x:t xml:space="preserve">claim_type</x:t>
  </x:si>
  <x:si>
    <x:t xml:space="preserve">evidence_source_url</x:t>
  </x:si>
  <x:si>
    <x:t xml:space="preserve">source_doi</x:t>
  </x:si>
  <x:si>
    <x:t xml:space="preserve">source_edition</x:t>
  </x:si>
  <x:si>
    <x:t xml:space="preserve">source_section</x:t>
  </x:si>
  <x:si>
    <x:t xml:space="preserve">source_locator</x:t>
  </x:si>
  <x:si>
    <x:t xml:space="preserve">verbatim_evidence</x:t>
  </x:si>
  <x:si>
    <x:t xml:space="preserve">pdf_page</x:t>
  </x:si>
  <x:si>
    <x:t xml:space="preserve">evidence_review</x:t>
  </x:si>
  <x:si>
    <x:t xml:space="preserve">scientific_status</x:t>
  </x:si>
  <x:si>
    <x:t xml:space="preserve">independent_audit</x:t>
  </x:si>
  <x:si>
    <x:t xml:space="preserve">notes</x:t>
  </x:si>
  <x:si>
    <x:t xml:space="preserve">unit</x:t>
  </x:si>
  <x:si>
    <x:t xml:space="preserve">extraction_status</x:t>
  </x:si>
  <x:si>
    <x:t xml:space="preserve">extracted_on</x:t>
  </x:si>
  <x:si>
    <x:t xml:space="preserve">batch_id</x:t>
  </x:si>
  <x:si>
    <x:t xml:space="preserve">ORI-0001</x:t>
  </x:si>
  <x:si>
    <x:t xml:space="preserve">OAI-0001</x:t>
  </x:si>
  <x:si>
    <x:t xml:space="preserve">OAI-0001:MAIN_EXPERIMENT</x:t>
  </x:si>
  <x:si>
    <x:t xml:space="preserve">problem.task</x:t>
  </x:si>
  <x:si>
    <x:t xml:space="preserve">Spatiotemporal SSH interpolation from sparse satellite altimetry</x:t>
  </x:si>
  <x:si>
    <x:t xml:space="preserve">STUDIED_MODEL</x:t>
  </x:si>
  <x:si>
    <x:t xml:space="preserve">AUTHOR_REPORTED_FACT</x:t>
  </x:si>
  <x:si>
    <x:t xml:space="preserve">https://gmd.copernicus.org/articles/16/2119/2023/</x:t>
  </x:si>
  <x:si>
    <x:t xml:space="preserve">10.5194/gmd-16-2119-2023</x:t>
  </x:si>
  <x:si>
    <x:t xml:space="preserve">PUBLISHED_HTML</x:t>
  </x:si>
  <x:si>
    <x:t xml:space="preserve">Abstract</x:t>
  </x:si>
  <x:si>
    <x:t xml:space="preserve">PUBLISHER_HTML_SECTION_READ</x:t>
  </x:si>
  <x:si>
    <x:t xml:space="preserve">NOT_VERIFIED</x:t>
  </x:si>
  <x:si>
    <x:t xml:space="preserve">ORI-0002</x:t>
  </x:si>
  <x:si>
    <x:t xml:space="preserve">data.input_variables</x:t>
  </x:si>
  <x:si>
    <x:t xml:space="preserve">['nadir altimetry', 'wide-swath altimetry']</x:t>
  </x:si>
  <x:si>
    <x:t xml:space="preserve">ORI-0003</x:t>
  </x:si>
  <x:si>
    <x:t xml:space="preserve">data.output_variables</x:t>
  </x:si>
  <x:si>
    <x:t xml:space="preserve">['sea surface height (SSH)']</x:t>
  </x:si>
  <x:si>
    <x:t xml:space="preserve">ORI-0004</x:t>
  </x:si>
  <x:si>
    <x:t xml:space="preserve">data.dataset_name</x:t>
  </x:si>
  <x:si>
    <x:t xml:space="preserve">NATL60 nature run (NEMO); BOOST-SWOT simulation experiments</x:t>
  </x:si>
  <x:si>
    <x:t xml:space="preserve">4.1 NATL60 dataset and case study regions</x:t>
  </x:si>
  <x:si>
    <x:t xml:space="preserve">ORI-0005</x:t>
  </x:si>
  <x:si>
    <x:t xml:space="preserve">data.spatial_resolution</x:t>
  </x:si>
  <x:si>
    <x:t xml:space="preserve">NATL60 model grid 1/60 degree; reconstruction patch grid 0.05 degree</x:t>
  </x:si>
  <x:si>
    <x:t xml:space="preserve">3.3 Learning setting; 4.1 NATL60</x:t>
  </x:si>
  <x:si>
    <x:t xml:space="preserve">ORI-0006</x:t>
  </x:si>
  <x:si>
    <x:t xml:space="preserve">architecture.method_family</x:t>
  </x:si>
  <x:si>
    <x:t xml:space="preserve">Learned variational data assimilation / unrolled optimizer</x:t>
  </x:si>
  <x:si>
    <x:t xml:space="preserve">3.1 4DVarNet framework</x:t>
  </x:si>
  <x:si>
    <x:t xml:space="preserve">ORI-0007</x:t>
  </x:si>
  <x:si>
    <x:t xml:space="preserve">architecture.backbone</x:t>
  </x:si>
  <x:si>
    <x:t xml:space="preserve">Trainable gradient-based solver with convolutional LSTM update operator</x:t>
  </x:si>
  <x:si>
    <x:t xml:space="preserve">Eq. (3)</x:t>
  </x:si>
  <x:si>
    <x:t xml:space="preserve">ORI-0008</x:t>
  </x:si>
  <x:si>
    <x:t xml:space="preserve">architecture.time_integrator</x:t>
  </x:si>
  <x:si>
    <x:t xml:space="preserve">Predefined sequence of iterative gradient updates</x:t>
  </x:si>
  <x:si>
    <x:t xml:space="preserve">ORI-0009</x:t>
  </x:si>
  <x:si>
    <x:t xml:space="preserve">objective.total_loss</x:t>
  </x:si>
  <x:si>
    <x:t xml:space="preserve">Variational observation-mismatch term plus learned-prior consistency term</x:t>
  </x:si>
  <x:si>
    <x:t xml:space="preserve">Eq. (2)</x:t>
  </x:si>
  <x:si>
    <x:t xml:space="preserve">ORI-0010</x:t>
  </x:si>
  <x:si>
    <x:t xml:space="preserve">objective.reconstruction_loss</x:t>
  </x:si>
  <x:si>
    <x:t xml:space="preserve">Weighted squared SSH state reconstruction error</x:t>
  </x:si>
  <x:si>
    <x:t xml:space="preserve">3.3 Learning setting</x:t>
  </x:si>
  <x:si>
    <x:t xml:space="preserve">Eq. (7)-(8)</x:t>
  </x:si>
  <x:si>
    <x:t xml:space="preserve">ORI-0011</x:t>
  </x:si>
  <x:si>
    <x:t xml:space="preserve">objective.gradient_loss</x:t>
  </x:si>
  <x:si>
    <x:t xml:space="preserve">Squared discrepancy between spatial gradients of target and reconstruction</x:t>
  </x:si>
  <x:si>
    <x:t xml:space="preserve">ORI-0012</x:t>
  </x:si>
  <x:si>
    <x:t xml:space="preserve">objective.regularization</x:t>
  </x:si>
  <x:si>
    <x:t xml:space="preserve">Prior-operator consistency on target and reconstructed states</x:t>
  </x:si>
  <x:si>
    <x:t xml:space="preserve">ORI-0013</x:t>
  </x:si>
  <x:si>
    <x:t xml:space="preserve">objective.loss_weights</x:t>
  </x:si>
  <x:si>
    <x:t xml:space="preserve">Assimilation-window weights [0, 0.25, 0.75, 1, 0.75, 0.25, 0]</x:t>
  </x:si>
  <x:si>
    <x:t xml:space="preserve">Eq. (9)</x:t>
  </x:si>
  <x:si>
    <x:t xml:space="preserve">ORI-0014</x:t>
  </x:si>
  <x:si>
    <x:t xml:space="preserve">training.learning_paradigm</x:t>
  </x:si>
  <x:si>
    <x:t xml:space="preserve">Supervised training with gap-free simulation targets</x:t>
  </x:si>
  <x:si>
    <x:t xml:space="preserve">ORI-0015</x:t>
  </x:si>
  <x:si>
    <x:t xml:space="preserve">training.optimizer</x:t>
  </x:si>
  <x:si>
    <x:t xml:space="preserve">Adam</x:t>
  </x:si>
  <x:si>
    <x:t xml:space="preserve">ORI-0016</x:t>
  </x:si>
  <x:si>
    <x:t xml:space="preserve">training.batch_size</x:t>
  </x:si>
  <x:si>
    <x:t xml:space="preserve">2</x:t>
  </x:si>
  <x:si>
    <x:t xml:space="preserve">ORI-0017</x:t>
  </x:si>
  <x:si>
    <x:t xml:space="preserve">training.epochs</x:t>
  </x:si>
  <x:si>
    <x:t xml:space="preserve">200</x:t>
  </x:si>
  <x:si>
    <x:t xml:space="preserve">ORI-0018</x:t>
  </x:si>
  <x:si>
    <x:t xml:space="preserve">training.gpu_count</x:t>
  </x:si>
  <x:si>
    <x:t xml:space="preserve">1 GPU small domains; 4 GPUs large domains</x:t>
  </x:si>
  <x:si>
    <x:t xml:space="preserve">ORI-0019</x:t>
  </x:si>
  <x:si>
    <x:t xml:space="preserve">training.training_time</x:t>
  </x:si>
  <x:si>
    <x:t xml:space="preserve">4-5 h small domains; 7-8 h large domains</x:t>
  </x:si>
  <x:si>
    <x:t xml:space="preserve">ORI-0020</x:t>
  </x:si>
  <x:si>
    <x:t xml:space="preserve">physics.physics_integration_type</x:t>
  </x:si>
  <x:si>
    <x:t xml:space="preserve">Variational DA formulation and learned prior; not a claim of primitive-equation residual training</x:t>
  </x:si>
  <x:si>
    <x:t xml:space="preserve">AI_INTERPRETATION</x:t>
  </x:si>
  <x:si>
    <x:t xml:space="preserve">Classification drawn from displayed objective; verify against full article for any finer physical categorization.</x:t>
  </x:si>
  <x:si>
    <x:t xml:space="preserve">ORI-0021</x:t>
  </x:si>
  <x:si>
    <x:t xml:space="preserve">limitations.author_reported</x:t>
  </x:si>
  <x:si>
    <x:t xml:space="preserve">Sparse satellite sampling requires spatiotemporal interpolation</x:t>
  </x:si>
  <x:si>
    <x:t xml:space="preserve">GENERAL_PROBLEM</x:t>
  </x:si>
  <x:si>
    <x:t xml:space="preserve">AUTHOR_REPORTED_LIMITATION</x:t>
  </x:si>
  <x:si>
    <x:t xml:space="preserve">1 Introduction</x:t>
  </x:si>
  <x:si>
    <x:t xml:space="preserve">ORI-0022</x:t>
  </x:si>
  <x:si>
    <x:t xml:space="preserve">limitations.future_work</x:t>
  </x:si>
  <x:si>
    <x:t xml:space="preserve">Extensions to other ocean DA and space-oceanography problems</x:t>
  </x:si>
  <x:si>
    <x:t xml:space="preserve">AUTHOR_REPORTED_FUTURE_WORK</x:t>
  </x:si>
  <x:si>
    <x:t xml:space="preserve">ORI-0023</x:t>
  </x:si>
  <x:si>
    <x:t xml:space="preserve">OAI-0002</x:t>
  </x:si>
  <x:si>
    <x:t xml:space="preserve">OAI-0002:MAIN_EXPERIMENT</x:t>
  </x:si>
  <x:si>
    <x:t xml:space="preserve">Regional SSH forecasting of Gulf Stream and Loop Current eddies</x:t>
  </x:si>
  <x:si>
    <x:t xml:space="preserve">https://www.nature.com/articles/s41598-024-72145-0</x:t>
  </x:si>
  <x:si>
    <x:t xml:space="preserve">10.1038/s41598-024-72145-0</x:t>
  </x:si>
  <x:si>
    <x:t xml:space="preserve">ORI-0024</x:t>
  </x:si>
  <x:si>
    <x:t xml:space="preserve">Northwest Atlantic regional ROMS reanalysis with EnKF assimilation</x:t>
  </x:si>
  <x:si>
    <x:t xml:space="preserve">Data and methods / Reanalysis data</x:t>
  </x:si>
  <x:si>
    <x:t xml:space="preserve">ORI-0025</x:t>
  </x:si>
  <x:si>
    <x:t xml:space="preserve">['historical sea surface height (SSH) state']</x:t>
  </x:si>
  <x:si>
    <x:t xml:space="preserve">Data and methods / Fourier neural operator</x:t>
  </x:si>
  <x:si>
    <x:t xml:space="preserve">ORI-0026</x:t>
  </x:si>
  <x:si>
    <x:t xml:space="preserve">['forecast SSH state']</x:t>
  </x:si>
  <x:si>
    <x:t xml:space="preserve">ORI-0027</x:t>
  </x:si>
  <x:si>
    <x:t xml:space="preserve">data.train_period</x:t>
  </x:si>
  <x:si>
    <x:t xml:space="preserve">1993-2018</x:t>
  </x:si>
  <x:si>
    <x:t xml:space="preserve">ORI-0028</x:t>
  </x:si>
  <x:si>
    <x:t xml:space="preserve">data.test_period</x:t>
  </x:si>
  <x:si>
    <x:t xml:space="preserve">2019-2020</x:t>
  </x:si>
  <x:si>
    <x:t xml:space="preserve">ORI-0029</x:t>
  </x:si>
  <x:si>
    <x:t xml:space="preserve">data.temporal_resolution</x:t>
  </x:si>
  <x:si>
    <x:t xml:space="preserve">Training uses five-day-mean SSH; Gulf of Mexico 5-day lead, Gulf Stream 4-day lead</x:t>
  </x:si>
  <x:si>
    <x:t xml:space="preserve">ORI-0030</x:t>
  </x:si>
  <x:si>
    <x:t xml:space="preserve">Underlying regional ROMS reanalysis: 4 km horizontal and 50 vertical layers</x:t>
  </x:si>
  <x:si>
    <x:t xml:space="preserve">Do not confuse reanalysis resolution with FNO input grid resolution.</x:t>
  </x:si>
  <x:si>
    <x:t xml:space="preserve">ORI-0031</x:t>
  </x:si>
  <x:si>
    <x:t xml:space="preserve">Fourier neural operator with predictor-evaluate-corrector time integrator</x:t>
  </x:si>
  <x:si>
    <x:t xml:space="preserve">OceanNet: configuration and design</x:t>
  </x:si>
  <x:si>
    <x:t xml:space="preserve">ORI-0032</x:t>
  </x:si>
  <x:si>
    <x:t xml:space="preserve">architecture.num_layers</x:t>
  </x:si>
  <x:si>
    <x:t xml:space="preserve">4</x:t>
  </x:si>
  <x:si>
    <x:t xml:space="preserve">OceanNet: configuration and design / Fourier neural operator</x:t>
  </x:si>
  <x:si>
    <x:t xml:space="preserve">ORI-0033</x:t>
  </x:si>
  <x:si>
    <x:t xml:space="preserve">architecture.fourier_modes</x:t>
  </x:si>
  <x:si>
    <x:t xml:space="preserve">64</x:t>
  </x:si>
  <x:si>
    <x:t xml:space="preserve">ORI-0034</x:t>
  </x:si>
  <x:si>
    <x:t xml:space="preserve">architecture.parameter_count</x:t>
  </x:si>
  <x:si>
    <x:t xml:space="preserve">Approximately 80 million FNO parameters</x:t>
  </x:si>
  <x:si>
    <x:t xml:space="preserve">ORI-0035</x:t>
  </x:si>
  <x:si>
    <x:t xml:space="preserve">architecture.encoder</x:t>
  </x:si>
  <x:si>
    <x:t xml:space="preserve">Two convolutions lift input state to latent channels</x:t>
  </x:si>
  <x:si>
    <x:t xml:space="preserve">Figure 6</x:t>
  </x:si>
  <x:si>
    <x:t xml:space="preserve">ORI-0036</x:t>
  </x:si>
  <x:si>
    <x:t xml:space="preserve">architecture.decoder</x:t>
  </x:si>
  <x:si>
    <x:t xml:space="preserve">Two convolutions map latent features to forecast state</x:t>
  </x:si>
  <x:si>
    <x:t xml:space="preserve">ORI-0037</x:t>
  </x:si>
  <x:si>
    <x:t xml:space="preserve">Predictor-evaluate-corrector (PEC) integration</x:t>
  </x:si>
  <x:si>
    <x:t xml:space="preserve">Eq. (3a)-(3b)</x:t>
  </x:si>
  <x:si>
    <x:t xml:space="preserve">ORI-0038</x:t>
  </x:si>
  <x:si>
    <x:t xml:space="preserve">objective.data_loss</x:t>
  </x:si>
  <x:si>
    <x:t xml:space="preserve">Ocean-only masked mean squared error</x:t>
  </x:si>
  <x:si>
    <x:t xml:space="preserve">Fourier regularizer and 2-time-step loss function</x:t>
  </x:si>
  <x:si>
    <x:t xml:space="preserve">Eq. (6)-(8)</x:t>
  </x:si>
  <x:si>
    <x:t xml:space="preserve">ORI-0039</x:t>
  </x:si>
  <x:si>
    <x:t xml:space="preserve">objective.spectral_loss</x:t>
  </x:si>
  <x:si>
    <x:t xml:space="preserve">Penalty on mismatch of latitude-averaged zonal Fourier spectra for selected wavenumbers</x:t>
  </x:si>
  <x:si>
    <x:t xml:space="preserve">Eq. (4)-(5)</x:t>
  </x:si>
  <x:si>
    <x:t xml:space="preserve">ORI-0040</x:t>
  </x:si>
  <x:si>
    <x:t xml:space="preserve">Spectral coefficient lambda included in combined two-step loss; numeric lambda not transcribed</x:t>
  </x:si>
  <x:si>
    <x:t xml:space="preserve">ORI-0041</x:t>
  </x:si>
  <x:si>
    <x:t xml:space="preserve">Two forecast-step MSE-plus-spectral losses added</x:t>
  </x:si>
  <x:si>
    <x:t xml:space="preserve">Eq. (8)</x:t>
  </x:si>
  <x:si>
    <x:t xml:space="preserve">ORI-0042</x:t>
  </x:si>
  <x:si>
    <x:t xml:space="preserve">Spectral threshold k_T=100 chosen empirically</x:t>
  </x:si>
  <x:si>
    <x:t xml:space="preserve">ORI-0043</x:t>
  </x:si>
  <x:si>
    <x:t xml:space="preserve">physics.equation_form</x:t>
  </x:si>
  <x:si>
    <x:t xml:space="preserve">Reduced state dynamics dX/dt=F(X(t)); F approximated by FNO</x:t>
  </x:si>
  <x:si>
    <x:t xml:space="preserve">Eq. (1)-(2)</x:t>
  </x:si>
  <x:si>
    <x:t xml:space="preserve">ORI-0044</x:t>
  </x:si>
  <x:si>
    <x:t xml:space="preserve">Physics-inspired learned tendency/integrator and spectral regularization; not demonstrated PDE-residual PINN</x:t>
  </x:si>
  <x:si>
    <x:t xml:space="preserve">Eq. (1)-(8)</x:t>
  </x:si>
  <x:si>
    <x:t xml:space="preserve">ORI-0045</x:t>
  </x:si>
  <x:si>
    <x:t xml:space="preserve">evaluation.metrics</x:t>
  </x:si>
  <x:si>
    <x:t xml:space="preserve">['RMSE', 'correlation coefficient', 'modified Hausdorff distance for eddy shape']</x:t>
  </x:si>
  <x:si>
    <x:t xml:space="preserve">Results</x:t>
  </x:si>
  <x:si>
    <x:t xml:space="preserve">ORI-0046</x:t>
  </x:si>
  <x:si>
    <x:t xml:space="preserve">results.headline</x:t>
  </x:si>
  <x:si>
    <x:t xml:space="preserve">Forecast skill reported up to 90-120 days; substantially faster runtime than regional dynamical model</x:t>
  </x:si>
  <x:si>
    <x:t xml:space="preserve">Discussion</x:t>
  </x:si>
  <x:si>
    <x:t xml:space="preserve">ORI-0047</x:t>
  </x:si>
  <x:si>
    <x:t xml:space="preserve">No explicit lateral open-ocean boundary condition</x:t>
  </x:si>
  <x:si>
    <x:t xml:space="preserve">ORI-0048</x:t>
  </x:si>
  <x:si>
    <x:t xml:space="preserve">Add additional prognostic variables and address long-term/open-boundary regimes</x:t>
  </x:si>
  <x:si>
    <x:t xml:space="preserve">Introduction; Discussion</x:t>
  </x:si>
  <x:si>
    <x:t xml:space="preserve">ORI-0049</x:t>
  </x:si>
  <x:si>
    <x:t xml:space="preserve">OAI-0003</x:t>
  </x:si>
  <x:si>
    <x:t xml:space="preserve">OAI-0003:MAIN_EXPERIMENT</x:t>
  </x:si>
  <x:si>
    <x:t xml:space="preserve">Global multivariate ocean forecasting over operational 10-day horizon</x:t>
  </x:si>
  <x:si>
    <x:t xml:space="preserve">https://agupubs.onlinelibrary.wiley.com/doi/full/10.1029/2025JH000686</x:t>
  </x:si>
  <x:si>
    <x:t xml:space="preserve">10.1029/2025JH000686</x:t>
  </x:si>
  <x:si>
    <x:t xml:space="preserve">Abstract; Introduction</x:t>
  </x:si>
  <x:si>
    <x:t xml:space="preserve">ORI-0050</x:t>
  </x:si>
  <x:si>
    <x:t xml:space="preserve">GLORYS12 global physical ocean reanalysis</x:t>
  </x:si>
  <x:si>
    <x:t xml:space="preserve">3 Datasets and training</x:t>
  </x:si>
  <x:si>
    <x:t xml:space="preserve">ORI-0051</x:t>
  </x:si>
  <x:si>
    <x:t xml:space="preserve">data.dataset_role</x:t>
  </x:si>
  <x:si>
    <x:t xml:space="preserve">Training/reference reanalysis; not the same as real-time observed inputs</x:t>
  </x:si>
  <x:si>
    <x:t xml:space="preserve">ORI-0052</x:t>
  </x:si>
  <x:si>
    <x:t xml:space="preserve">GLORYS12 native 1/12 degree; network trained on 1/4-degree interpolated daily means</x:t>
  </x:si>
  <x:si>
    <x:t xml:space="preserve">Introduction; 3 Datasets and training</x:t>
  </x:si>
  <x:si>
    <x:t xml:space="preserve">ORI-0053</x:t>
  </x:si>
  <x:si>
    <x:t xml:space="preserve">1993-2019</x:t>
  </x:si>
  <x:si>
    <x:t xml:space="preserve">ORI-0054</x:t>
  </x:si>
  <x:si>
    <x:t xml:space="preserve">Two consecutive ocean states X(t-1), X(t)</x:t>
  </x:si>
  <x:si>
    <x:t xml:space="preserve">2 Methodology</x:t>
  </x:si>
  <x:si>
    <x:t xml:space="preserve">ORI-0055</x:t>
  </x:si>
  <x:si>
    <x:t xml:space="preserve">['temperature', 'salinity', 'sea surface height', 'ocean currents']</x:t>
  </x:si>
  <x:si>
    <x:t xml:space="preserve">Abstract; 4 Results</x:t>
  </x:si>
  <x:si>
    <x:t xml:space="preserve">ORI-0056</x:t>
  </x:si>
  <x:si>
    <x:t xml:space="preserve">Hybrid spectral/global and convolutional/local forecasting network</x:t>
  </x:si>
  <x:si>
    <x:t xml:space="preserve">ORI-0057</x:t>
  </x:si>
  <x:si>
    <x:t xml:space="preserve">Hierarchical Transformer-based architecture with temporal block and multi-scale spatial modules</x:t>
  </x:si>
  <x:si>
    <x:t xml:space="preserve">Introduction; 2 Methodology</x:t>
  </x:si>
  <x:si>
    <x:t xml:space="preserve">ORI-0058</x:t>
  </x:si>
  <x:si>
    <x:t xml:space="preserve">Fuses multi-scale feature maps into latent representation</x:t>
  </x:si>
  <x:si>
    <x:t xml:space="preserve">Figure 1</x:t>
  </x:si>
  <x:si>
    <x:t xml:space="preserve">ORI-0059</x:t>
  </x:si>
  <x:si>
    <x:t xml:space="preserve">Maps latent representation to future ocean-state variables</x:t>
  </x:si>
  <x:si>
    <x:t xml:space="preserve">ORI-0060</x:t>
  </x:si>
  <x:si>
    <x:t xml:space="preserve">architecture.block_type</x:t>
  </x:si>
  <x:si>
    <x:t xml:space="preserve">Time block; Fourier-domain global module; CNN local module; encoder-decoder</x:t>
  </x:si>
  <x:si>
    <x:t xml:space="preserve">Eq. (2)-(4)</x:t>
  </x:si>
  <x:si>
    <x:t xml:space="preserve">ORI-0061</x:t>
  </x:si>
  <x:si>
    <x:t xml:space="preserve">ORI-0062</x:t>
  </x:si>
  <x:si>
    <x:t xml:space="preserve">training.learning_rate</x:t>
  </x:si>
  <x:si>
    <x:t xml:space="preserve">Reported decrease from approximately 1e-4 to 1e-5</x:t>
  </x:si>
  <x:si>
    <x:t xml:space="preserve">Check source typesetting before numerical cross-paper comparison.</x:t>
  </x:si>
  <x:si>
    <x:t xml:space="preserve">ORI-0063</x:t>
  </x:si>
  <x:si>
    <x:t xml:space="preserve">Approximately 3 weeks</x:t>
  </x:si>
  <x:si>
    <x:t xml:space="preserve">ORI-0064</x:t>
  </x:si>
  <x:si>
    <x:t xml:space="preserve">32</x:t>
  </x:si>
  <x:si>
    <x:t xml:space="preserve">ORI-0065</x:t>
  </x:si>
  <x:si>
    <x:t xml:space="preserve">training.gpu_memory</x:t>
  </x:si>
  <x:si>
    <x:t xml:space="preserve">A100 40 GB each</x:t>
  </x:si>
  <x:si>
    <x:t xml:space="preserve">ORI-0066</x:t>
  </x:si>
  <x:si>
    <x:t xml:space="preserve">training.fine_tuning</x:t>
  </x:si>
  <x:si>
    <x:t xml:space="preserve">Second training stage targets accuracy up to forecast day 4</x:t>
  </x:si>
  <x:si>
    <x:t xml:space="preserve">ORI-0067</x:t>
  </x:si>
  <x:si>
    <x:t xml:space="preserve">Forecast state discrepancy against GLORYS12 targets; MSE appears as representative formulation</x:t>
  </x:si>
  <x:si>
    <x:t xml:space="preserve">Eq. (8)-(9)</x:t>
  </x:si>
  <x:si>
    <x:t xml:space="preserve">Do not infer exact production weighting from illustrative MSE equation.</x:t>
  </x:si>
  <x:si>
    <x:t xml:space="preserve">ORI-0068</x:t>
  </x:si>
  <x:si>
    <x:t xml:space="preserve">Data-driven emulator trained on physical reanalysis; no direct real-time observation assimilation or hard governing-equation enforcement</x:t>
  </x:si>
  <x:si>
    <x:t xml:space="preserve">5 Discussion and Summary</x:t>
  </x:si>
  <x:si>
    <x:t xml:space="preserve">ORI-0069</x:t>
  </x:si>
  <x:si>
    <x:t xml:space="preserve">['Class 4 observation-based evaluation', 'RMSE', 'mixed layer depth diagnostics', 'geostrophic currents', 'vorticity', 'Lagrangian trajectories']</x:t>
  </x:si>
  <x:si>
    <x:t xml:space="preserve">4 Results</x:t>
  </x:si>
  <x:si>
    <x:t xml:space="preserve">ORI-0070</x:t>
  </x:si>
  <x:si>
    <x:t xml:space="preserve">evaluation.baselines</x:t>
  </x:si>
  <x:si>
    <x:t xml:space="preserve">['GLO12 operational numerical system', 'XiHe neural forecasting system']</x:t>
  </x:si>
  <x:si>
    <x:t xml:space="preserve">ORI-0071</x:t>
  </x:si>
  <x:si>
    <x:t xml:space="preserve">results.runtime</x:t>
  </x:si>
  <x:si>
    <x:t xml:space="preserve">10-day forecast in under 10 seconds as reported</x:t>
  </x:si>
  <x:si>
    <x:t xml:space="preserve">ORI-0072</x:t>
  </x:si>
  <x:si>
    <x:t xml:space="preserve">Surface SST prediction weaker than GLO12 in some settings, particularly tropical regions</x:t>
  </x:si>
  <x:si>
    <x:t xml:space="preserve">ORI-0073</x:t>
  </x:si>
  <x:si>
    <x:t xml:space="preserve">limitations.physics_limitations</x:t>
  </x:si>
  <x:si>
    <x:t xml:space="preserve">Pointwise RMSE alone misses derived-variable/dynamical consistency</x:t>
  </x:si>
  <x:si>
    <x:t xml:space="preserve">4.3 Process-Oriented Evaluations</x:t>
  </x:si>
  <x:si>
    <x:t xml:space="preserve">ORI-0074</x:t>
  </x:si>
  <x:si>
    <x:t xml:space="preserve">Improve surface-variable performance and comprehensive physical validation</x:t>
  </x:si>
  <x:si>
    <x:t xml:space="preserve">ORI-0075</x:t>
  </x:si>
  <x:si>
    <x:t xml:space="preserve">OAI-0004</x:t>
  </x:si>
  <x:si>
    <x:t xml:space="preserve">OAI-0004:MAIN_EXPERIMENT</x:t>
  </x:si>
  <x:si>
    <x:t xml:space="preserve">Gap filling of satellite SST and along-track altimetry with per-pixel uncertainty</x:t>
  </x:si>
  <x:si>
    <x:t xml:space="preserve">https://gmd.copernicus.org/articles/15/2183/2022/</x:t>
  </x:si>
  <x:si>
    <x:t xml:space="preserve">10.5194/gmd-15-2183-2022</x:t>
  </x:si>
  <x:si>
    <x:t xml:space="preserve">ORI-0076</x:t>
  </x:si>
  <x:si>
    <x:t xml:space="preserve">Convolutional autoencoder / U-Net-like reconstruction model</x:t>
  </x:si>
  <x:si>
    <x:t xml:space="preserve">2 The neural network architecture</x:t>
  </x:si>
  <x:si>
    <x:t xml:space="preserve">ORI-0077</x:t>
  </x:si>
  <x:si>
    <x:t xml:space="preserve">Convolutions and max pooling compress gappy observations plus metadata</x:t>
  </x:si>
  <x:si>
    <x:t xml:space="preserve">ORI-0078</x:t>
  </x:si>
  <x:si>
    <x:t xml:space="preserve">Convolutions and interpolation reconstruct field and variance</x:t>
  </x:si>
  <x:si>
    <x:t xml:space="preserve">ORI-0079</x:t>
  </x:si>
  <x:si>
    <x:t xml:space="preserve">architecture.skip_connections</x:t>
  </x:si>
  <x:si>
    <x:t xml:space="preserve">Addition-based skip connections and optional refinement network</x:t>
  </x:si>
  <x:si>
    <x:t xml:space="preserve">2.1 Skip connections; 2.2 Refinement step</x:t>
  </x:si>
  <x:si>
    <x:t xml:space="preserve">ORI-0080</x:t>
  </x:si>
  <x:si>
    <x:t xml:space="preserve">architecture.output_shape</x:t>
  </x:si>
  <x:si>
    <x:t xml:space="preserve">Predicted field and expected error variance for each space-time pixel</x:t>
  </x:si>
  <x:si>
    <x:t xml:space="preserve">Abstract; 2.2 Refinement step</x:t>
  </x:si>
  <x:si>
    <x:t xml:space="preserve">ORI-0081</x:t>
  </x:si>
  <x:si>
    <x:t xml:space="preserve">Gaussian negative log likelihood including residual scaled by predicted sigma and log variance</x:t>
  </x:si>
  <x:si>
    <x:t xml:space="preserve">2.2 Refinement step</x:t>
  </x:si>
  <x:si>
    <x:t xml:space="preserve">ORI-0082</x:t>
  </x:si>
  <x:si>
    <x:t xml:space="preserve">objective.uncertainty_loss</x:t>
  </x:si>
  <x:si>
    <x:t xml:space="preserve">Heteroscedastic Gaussian likelihood; predicts mean and variance</x:t>
  </x:si>
  <x:si>
    <x:t xml:space="preserve">ORI-0083</x:t>
  </x:si>
  <x:si>
    <x:t xml:space="preserve">objective.masking_in_loss</x:t>
  </x:si>
  <x:si>
    <x:t xml:space="preserve">Likelihood evaluated at valid non-masked observations</x:t>
  </x:si>
  <x:si>
    <x:t xml:space="preserve">ORI-0084</x:t>
  </x:si>
  <x:si>
    <x:t xml:space="preserve">data.auxiliary_variables</x:t>
  </x:si>
  <x:si>
    <x:t xml:space="preserve">['chlorophyll-a', 'winds']</x:t>
  </x:si>
  <x:si>
    <x:t xml:space="preserve">Abstract; 5 Results</x:t>
  </x:si>
  <x:si>
    <x:t xml:space="preserve">Auxiliary variables depend on the specific experiment.</x:t>
  </x:si>
  <x:si>
    <x:t xml:space="preserve">ORI-0085</x:t>
  </x:si>
  <x:si>
    <x:t xml:space="preserve">['gappy SST and auxiliary fields OR irregular altimetry depending on experiment']</x:t>
  </x:si>
  <x:si>
    <x:t xml:space="preserve">Abstract; 2 Architecture</x:t>
  </x:si>
  <x:si>
    <x:t xml:space="preserve">ORI-0086</x:t>
  </x:si>
  <x:si>
    <x:t xml:space="preserve">['reconstructed SST or gridded altimetry', 'uncertainty variance']</x:t>
  </x:si>
  <x:si>
    <x:t xml:space="preserve">ORI-0087</x:t>
  </x:si>
  <x:si>
    <x:t xml:space="preserve">OAI-0004:ALTIMETRY_CASE</x:t>
  </x:si>
  <x:si>
    <x:t xml:space="preserve">4 Implementation</x:t>
  </x:si>
  <x:si>
    <x:t xml:space="preserve">ORI-0088</x:t>
  </x:si>
  <x:si>
    <x:t xml:space="preserve">ORI-0089</x:t>
  </x:si>
  <x:si>
    <x:t xml:space="preserve">0.00058</x:t>
  </x:si>
  <x:si>
    <x:t xml:space="preserve">ORI-0090</x:t>
  </x:si>
  <x:si>
    <x:t xml:space="preserve">training.weight_decay</x:t>
  </x:si>
  <x:si>
    <x:t xml:space="preserve">L2 regularization coefficient 1e-4</x:t>
  </x:si>
  <x:si>
    <x:t xml:space="preserve">ORI-0091</x:t>
  </x:si>
  <x:si>
    <x:t xml:space="preserve">training.gradient_clipping</x:t>
  </x:si>
  <x:si>
    <x:t xml:space="preserve">5</x:t>
  </x:si>
  <x:si>
    <x:t xml:space="preserve">ORI-0092</x:t>
  </x:si>
  <x:si>
    <x:t xml:space="preserve">training.lr_schedule</x:t>
  </x:si>
  <x:si>
    <x:t xml:space="preserve">Exponential halving schedule with gamma_decay</x:t>
  </x:si>
  <x:si>
    <x:t xml:space="preserve">ORI-0093</x:t>
  </x:si>
  <x:si>
    <x:t xml:space="preserve">training.augmentation</x:t>
  </x:si>
  <x:si>
    <x:t xml:space="preserve">27-day temporal window of along-track observations</x:t>
  </x:si>
  <x:si>
    <x:t xml:space="preserve">ORI-0094</x:t>
  </x:si>
  <x:si>
    <x:t xml:space="preserve">Supervised negative-log-likelihood with masked observations and cross-validation</x:t>
  </x:si>
  <x:si>
    <x:t xml:space="preserve">2.2 Refinement step; 4 Implementation</x:t>
  </x:si>
  <x:si>
    <x:t xml:space="preserve">ORI-0095</x:t>
  </x:si>
  <x:si>
    <x:t xml:space="preserve">training.hyperparameter_search</x:t>
  </x:si>
  <x:si>
    <x:t xml:space="preserve">Hyperparameters selected by Bayesian optimization on development RMS</x:t>
  </x:si>
  <x:si>
    <x:t xml:space="preserve">This describes tuning criterion; not a claim that early stopping is used.</x:t>
  </x:si>
  <x:si>
    <x:t xml:space="preserve">ORI-0096</x:t>
  </x:si>
  <x:si>
    <x:t xml:space="preserve">OAI-0004:LIGURIAN_SST</x:t>
  </x:si>
  <x:si>
    <x:t xml:space="preserve">results.quantitative_results</x:t>
  </x:si>
  <x:si>
    <x:t xml:space="preserve">Ligurian Sea SST RMS decreases from 0.3835 C to 0.3604 C under new sum skip connection</x:t>
  </x:si>
  <x:si>
    <x:t xml:space="preserve">5.1 Gridded data</x:t>
  </x:si>
  <x:si>
    <x:t xml:space="preserve">Compared configurations from the paper, not cross-paper model ranking.</x:t>
  </x:si>
  <x:si>
    <x:t xml:space="preserve">ORI-0097</x:t>
  </x:si>
  <x:si>
    <x:t xml:space="preserve">limitations.data_limitations</x:t>
  </x:si>
  <x:si>
    <x:t xml:space="preserve">Missing observations also affect the training samples; sparse irregular tracks require modified input/loss</x:t>
  </x:si>
  <x:si>
    <x:t xml:space="preserve">Introduction; Abstract</x:t>
  </x:si>
  <x:si>
    <x:t xml:space="preserve">ORI-0098</x:t>
  </x:si>
  <x:si>
    <x:t xml:space="preserve">OAI-0006</x:t>
  </x:si>
  <x:si>
    <x:t xml:space="preserve">OAI-0006:MAIN_EXPERIMENT</x:t>
  </x:si>
  <x:si>
    <x:t xml:space="preserve">Regional ocean circulation prediction with Fourier neural operators</x:t>
  </x:si>
  <x:si>
    <x:t xml:space="preserve">https://www.frontiersin.org/journals/marine-science/articles/10.3389/fmars.2024.1383997/full</x:t>
  </x:si>
  <x:si>
    <x:t xml:space="preserve">10.3389/fmars.2024.1383997</x:t>
  </x:si>
  <x:si>
    <x:t xml:space="preserve">Abstract; Methods</x:t>
  </x:si>
  <x:si>
    <x:t xml:space="preserve">ORI-0099</x:t>
  </x:si>
  <x:si>
    <x:t xml:space="preserve">Fourier neural operator (3D and regional 2D variants)</x:t>
  </x:si>
  <x:si>
    <x:t xml:space="preserve">Methods</x:t>
  </x:si>
  <x:si>
    <x:t xml:space="preserve">ORI-0100</x:t>
  </x:si>
  <x:si>
    <x:t xml:space="preserve">OAI-0006:FNO3D</x:t>
  </x:si>
  <x:si>
    <x:t xml:space="preserve">Methods / FNO3D</x:t>
  </x:si>
  <x:si>
    <x:t xml:space="preserve">Implementation setup</x:t>
  </x:si>
  <x:si>
    <x:t xml:space="preserve">ORI-0101</x:t>
  </x:si>
  <x:si>
    <x:t xml:space="preserve">architecture.activation</x:t>
  </x:si>
  <x:si>
    <x:t xml:space="preserve">ReLU</x:t>
  </x:si>
  <x:si>
    <x:t xml:space="preserve">ORI-0102</x:t>
  </x:si>
  <x:si>
    <x:t xml:space="preserve">[14, 28, 8]</x:t>
  </x:si>
  <x:si>
    <x:t xml:space="preserve">ORI-0103</x:t>
  </x:si>
  <x:si>
    <x:t xml:space="preserve">architecture.hidden_width</x:t>
  </x:si>
  <x:si>
    <x:t xml:space="preserve">20</x:t>
  </x:si>
  <x:si>
    <x:t xml:space="preserve">ORI-0104</x:t>
  </x:si>
  <x:si>
    <x:t xml:space="preserve">120427177</x:t>
  </x:si>
  <x:si>
    <x:t xml:space="preserve">ORI-0105</x:t>
  </x:si>
  <x:si>
    <x:t xml:space="preserve">ORI-0106</x:t>
  </x:si>
  <x:si>
    <x:t xml:space="preserve">0.001</x:t>
  </x:si>
  <x:si>
    <x:t xml:space="preserve">ORI-0107</x:t>
  </x:si>
  <x:si>
    <x:t xml:space="preserve">500</x:t>
  </x:si>
  <x:si>
    <x:t xml:space="preserve">ORI-0108</x:t>
  </x:si>
  <x:si>
    <x:t xml:space="preserve">ORI-0109</x:t>
  </x:si>
  <x:si>
    <x:t xml:space="preserve">Relative RMSE (RRMSE)</x:t>
  </x:si>
  <x:si>
    <x:t xml:space="preserve">ORI-0110</x:t>
  </x:si>
  <x:si>
    <x:t xml:space="preserve">training.training_hardware</x:t>
  </x:si>
  <x:si>
    <x:t xml:space="preserve">NVIDIA A100 80GB</x:t>
  </x:si>
  <x:si>
    <x:t xml:space="preserve">ORI-0111</x:t>
  </x:si>
  <x:si>
    <x:t xml:space="preserve">OAI-0006:RFNO2D</x:t>
  </x:si>
  <x:si>
    <x:t xml:space="preserve">[32, 16]</x:t>
  </x:si>
  <x:si>
    <x:t xml:space="preserve">Methods / RFNO2D</x:t>
  </x:si>
  <x:si>
    <x:t xml:space="preserve">Table 2</x:t>
  </x:si>
  <x:si>
    <x:t xml:space="preserve">ORI-0112</x:t>
  </x:si>
  <x:si>
    <x:t xml:space="preserve">ORI-0113</x:t>
  </x:si>
  <x:si>
    <x:t xml:space="preserve">ORI-0114</x:t>
  </x:si>
  <x:si>
    <x:t xml:space="preserve">ORI-0115</x:t>
  </x:si>
  <x:si>
    <x:t xml:space="preserve">ORI-0116</x:t>
  </x:si>
  <x:si>
    <x:t xml:space="preserve">RRMSE</x:t>
  </x:si>
  <x:si>
    <x:t xml:space="preserve">ORI-0117</x:t>
  </x:si>
  <x:si>
    <x:t xml:space="preserve">OAI-0040</x:t>
  </x:si>
  <x:si>
    <x:t xml:space="preserve">OAI-0040:MAIN_EXPERIMENT</x:t>
  </x:si>
  <x:si>
    <x:t xml:space="preserve">Reconstruct Eulerian surface velocity from sparse Lagrangian drifter observations</x:t>
  </x:si>
  <x:si>
    <x:t xml:space="preserve">https://www.frontiersin.org/journals/marine-science/articles/10.3389/fmars.2025.1547995/full</x:t>
  </x:si>
  <x:si>
    <x:t xml:space="preserve">10.3389/fmars.2025.1547995</x:t>
  </x:si>
  <x:si>
    <x:t xml:space="preserve">ORI-0118</x:t>
  </x:si>
  <x:si>
    <x:t xml:space="preserve">['x', 'y', 't coordinates of drifter positions']</x:t>
  </x:si>
  <x:si>
    <x:t xml:space="preserve">2 Methods / PINN-SR</x:t>
  </x:si>
  <x:si>
    <x:t xml:space="preserve">ORI-0119</x:t>
  </x:si>
  <x:si>
    <x:t xml:space="preserve">['surface u velocity', 'surface v velocity']</x:t>
  </x:si>
  <x:si>
    <x:t xml:space="preserve">ORI-0120</x:t>
  </x:si>
  <x:si>
    <x:t xml:space="preserve">data.split_strategy</x:t>
  </x:si>
  <x:si>
    <x:t xml:space="preserve">80% train / 20% validation</x:t>
  </x:si>
  <x:si>
    <x:t xml:space="preserve">2 Methods / Hyperparameters</x:t>
  </x:si>
  <x:si>
    <x:t xml:space="preserve">ORI-0121</x:t>
  </x:si>
  <x:si>
    <x:t xml:space="preserve">PINN with sparse regression for PDE discovery (PINN-SR)</x:t>
  </x:si>
  <x:si>
    <x:t xml:space="preserve">ORI-0122</x:t>
  </x:si>
  <x:si>
    <x:t xml:space="preserve">Fully connected MLP</x:t>
  </x:si>
  <x:si>
    <x:t xml:space="preserve">ORI-0123</x:t>
  </x:si>
  <x:si>
    <x:t xml:space="preserve">8</x:t>
  </x:si>
  <x:si>
    <x:t xml:space="preserve">Table 1</x:t>
  </x:si>
  <x:si>
    <x:t xml:space="preserve">ORI-0124</x:t>
  </x:si>
  <x:si>
    <x:t xml:space="preserve">60</x:t>
  </x:si>
  <x:si>
    <x:t xml:space="preserve">ORI-0125</x:t>
  </x:si>
  <x:si>
    <x:t xml:space="preserve">tanh</x:t>
  </x:si>
  <x:si>
    <x:t xml:space="preserve">ORI-0126</x:t>
  </x:si>
  <x:si>
    <x:t xml:space="preserve">L1 data fit to drifter velocities</x:t>
  </x:si>
  <x:si>
    <x:t xml:space="preserve">ORI-0127</x:t>
  </x:si>
  <x:si>
    <x:t xml:space="preserve">objective.physics_loss</x:t>
  </x:si>
  <x:si>
    <x:t xml:space="preserve">Residual from learned candidate PDE terms at collocation points</x:t>
  </x:si>
  <x:si>
    <x:t xml:space="preserve">ORI-0128</x:t>
  </x:si>
  <x:si>
    <x:t xml:space="preserve">Sparse regression on PDE coefficient matrix</x:t>
  </x:si>
  <x:si>
    <x:t xml:space="preserve">ORI-0129</x:t>
  </x:si>
  <x:si>
    <x:t xml:space="preserve">PDE discovered using candidate derivative terms and sparse coefficient matrix; not pre-fixed to one canonical ocean PDE</x:t>
  </x:si>
  <x:si>
    <x:t xml:space="preserve">ORI-0130</x:t>
  </x:si>
  <x:si>
    <x:t xml:space="preserve">physics.automatic_differentiation</x:t>
  </x:si>
  <x:si>
    <x:t xml:space="preserve">Derivatives of u,v with respect to x,y,t</x:t>
  </x:si>
  <x:si>
    <x:t xml:space="preserve">ORI-0131</x:t>
  </x:si>
  <x:si>
    <x:t xml:space="preserve">physics.collocation_points</x:t>
  </x:si>
  <x:si>
    <x:t xml:space="preserve">Physics loss computed at collocation points distinct from drifter measurement points</x:t>
  </x:si>
  <x:si>
    <x:t xml:space="preserve">ORI-0132</x:t>
  </x:si>
  <x:si>
    <x:t xml:space="preserve">PINN-SR: data + PDE residual + sparsity in loss</x:t>
  </x:si>
  <x:si>
    <x:t xml:space="preserve">ORI-0133</x:t>
  </x:si>
  <x:si>
    <x:t xml:space="preserve">Adam pretraining then L-BFGS-B; alternating Adam/sparse regression</x:t>
  </x:si>
  <x:si>
    <x:t xml:space="preserve">ORI-0134</x:t>
  </x:si>
  <x:si>
    <x:t xml:space="preserve">5e-3 pretraining; 1e-3 alternating phase</x:t>
  </x:si>
  <x:si>
    <x:t xml:space="preserve">ORI-0135</x:t>
  </x:si>
  <x:si>
    <x:t xml:space="preserve">training.iterations</x:t>
  </x:si>
  <x:si>
    <x:t xml:space="preserve">10,000 Adam + 40,000 L-BFGS-B pretraining; six alternating rounds, each 1,000 Adam steps</x:t>
  </x:si>
  <x:si>
    <x:t xml:space="preserve">ORI-0136</x:t>
  </x:si>
  <x:si>
    <x:t xml:space="preserve">Single NVIDIA Tesla V100 32GB</x:t>
  </x:si>
  <x:si>
    <x:t xml:space="preserve">ORI-0137</x:t>
  </x:si>
  <x:si>
    <x:t xml:space="preserve">About 6h15</x:t>
  </x:si>
  <x:si>
    <x:t xml:space="preserve">ORI-0138</x:t>
  </x:si>
  <x:si>
    <x:t xml:space="preserve">['MLP without physics', 'Universal Kriging', 'inverse-distance weighting']</x:t>
  </x:si>
  <x:si>
    <x:t xml:space="preserve">2.6 Deep neural network and field interpolation</x:t>
  </x:si>
  <x:si>
    <x:t xml:space="preserve">ORI-0139</x:t>
  </x:si>
  <x:si>
    <x:t xml:space="preserve">Required drifter count/placement and collocation density impose measurement/computational costs</x:t>
  </x:si>
  <x:si>
    <x:t xml:space="preserve">ORI-0140</x:t>
  </x:si>
  <x:si>
    <x:t xml:space="preserve">Study placement/sampling strategy and contribution of separate physical constraints</x:t>
  </x:si>
  <x:si>
    <x:t xml:space="preserve">ORI-0141</x:t>
  </x:si>
  <x:si>
    <x:t xml:space="preserve">OAI-0115</x:t>
  </x:si>
  <x:si>
    <x:t xml:space="preserve">OAI-0115:ABSTRACT_ONLY</x:t>
  </x:si>
  <x:si>
    <x:t xml:space="preserve">Plan underwater-glider trajectories in time-varying currents</x:t>
  </x:si>
  <x:si>
    <x:t xml:space="preserve">https://www.sciencedirect.com/science/article/pii/S0029801822015372</x:t>
  </x:si>
  <x:si>
    <x:t xml:space="preserve">10.1016/j.oceaneng.2022.112226</x:t>
  </x:si>
  <x:si>
    <x:t xml:space="preserve">PUBLISHED_ABSTRACT</x:t>
  </x:si>
  <x:si>
    <x:t xml:space="preserve">ABSTRACT_SCREENED</x:t>
  </x:si>
  <x:si>
    <x:t xml:space="preserve">ORI-0142</x:t>
  </x:si>
  <x:si>
    <x:t xml:space="preserve">rl.algorithm</x:t>
  </x:si>
  <x:si>
    <x:t xml:space="preserve">Deep deterministic policy gradient (DDPG)</x:t>
  </x:si>
  <x:si>
    <x:t xml:space="preserve">ORI-0143</x:t>
  </x:si>
  <x:si>
    <x:t xml:space="preserve">rl.environment</x:t>
  </x:si>
  <x:si>
    <x:t xml:space="preserve">Simulated ocean-current navigation including Tokyo Bay setting</x:t>
  </x:si>
  <x:si>
    <x:t xml:space="preserve">ORI-0144</x:t>
  </x:si>
  <x:si>
    <x:t xml:space="preserve">['deep Q-network (DQN)']</x:t>
  </x:si>
  <x:si>
    <x:t xml:space="preserve">WEB2-0001</x:t>
  </x:si>
  <x:si>
    <x:t xml:space="preserve">OAI-0005</x:t>
  </x:si>
  <x:si>
    <x:t xml:space="preserve">paper-main</x:t>
  </x:si>
  <x:si>
    <x:t xml:space="preserve">Forecast ocean surface circulation using data-driven deep neural operators.</x:t>
  </x:si>
  <x:si>
    <x:t xml:space="preserve">paper_primary_method</x:t>
  </x:si>
  <x:si>
    <x:t xml:space="preserve">https://arxiv.org/abs/2308.11814</x:t>
  </x:si>
  <x:si>
    <x:t xml:space="preserve">publisher_or_primary_web_fulltext</x:t>
  </x:si>
  <x:si>
    <x:t xml:space="preserve">WEB_SOURCE_CHECKED__PDF_QUOTE_PENDING</x:t>
  </x:si>
  <x:si>
    <x:t xml:space="preserve">PENDING_PDF_AUDIT</x:t>
  </x:si>
  <x:si>
    <x:t xml:space="preserve">WEB2-0002</x:t>
  </x:si>
  <x:si>
    <x:t xml:space="preserve">Deep neural operator models.</x:t>
  </x:si>
  <x:si>
    <x:t xml:space="preserve">WEB2-0003</x:t>
  </x:si>
  <x:si>
    <x:t xml:space="preserve">High-resolution data-assimilative simulations used as learning data.</x:t>
  </x:si>
  <x:si>
    <x:t xml:space="preserve">WEB2-0004</x:t>
  </x:si>
  <x:si>
    <x:t xml:space="preserve">2-D cylinder-flow benchmark plus realistic Middle Atlantic Bight and Massachusetts Bay ocean flows.</x:t>
  </x:si>
  <x:si>
    <x:t xml:space="preserve">WEB2-0005</x:t>
  </x:si>
  <x:si>
    <x:t xml:space="preserve">Models reproduced periodic eddy shedding and showed skill on realistic ocean surface flows.</x:t>
  </x:si>
  <x:si>
    <x:t xml:space="preserve">WEB2-0006</x:t>
  </x:si>
  <x:si>
    <x:t xml:space="preserve">Realistic-ocean evaluation is preliminary and positioned as future research.</x:t>
  </x:si>
  <x:si>
    <x:t xml:space="preserve">WEB2-0007</x:t>
  </x:si>
  <x:si>
    <x:t xml:space="preserve">OAI-0025</x:t>
  </x:si>
  <x:si>
    <x:t xml:space="preserve">Global eddy-resolving short-term ocean forecasting.</x:t>
  </x:si>
  <x:si>
    <x:t xml:space="preserve">https://www.nature.com/articles/s41467-025-57389-2</x:t>
  </x:si>
  <x:si>
    <x:t xml:space="preserve">L183-L224</x:t>
  </x:si>
  <x:si>
    <x:t xml:space="preserve">WEB2-0008</x:t>
  </x:si>
  <x:si>
    <x:t xml:space="preserve">GLORYS12 ocean reanalysis + ERA5 atmospheric reanalysis.</x:t>
  </x:si>
  <x:si>
    <x:t xml:space="preserve">Methods / training datasets</x:t>
  </x:si>
  <x:si>
    <x:t xml:space="preserve">L173-L190</x:t>
  </x:si>
  <x:si>
    <x:t xml:space="preserve">WEB2-0009</x:t>
  </x:si>
  <x:si>
    <x:t xml:space="preserve">1993–2018.</x:t>
  </x:si>
  <x:si>
    <x:t xml:space="preserve">L181-L183</x:t>
  </x:si>
  <x:si>
    <x:t xml:space="preserve">WEB2-0010</x:t>
  </x:si>
  <x:si>
    <x:t xml:space="preserve">2019 used for validation.</x:t>
  </x:si>
  <x:si>
    <x:t xml:space="preserve">WEB2-0011</x:t>
  </x:si>
  <x:si>
    <x:t xml:space="preserve">1/12° GLORYS12 horizontal grid.</x:t>
  </x:si>
  <x:si>
    <x:t xml:space="preserve">Methods / GLORYS</x:t>
  </x:si>
  <x:si>
    <x:t xml:space="preserve">L173-L176</x:t>
  </x:si>
  <x:si>
    <x:t xml:space="preserve">WEB2-0012</x:t>
  </x:si>
  <x:si>
    <x:t xml:space="preserve">Daily resolution; predicts daily-mean ocean tendencies.</x:t>
  </x:si>
  <x:si>
    <x:t xml:space="preserve">L176-L185</x:t>
  </x:si>
  <x:si>
    <x:t xml:space="preserve">WEB2-0013</x:t>
  </x:si>
  <x:si>
    <x:t xml:space="preserve">Zonal velocity; meridional velocity; temperature; salinity; SSH.</x:t>
  </x:si>
  <x:si>
    <x:t xml:space="preserve">Methods / inputs-outputs</x:t>
  </x:si>
  <x:si>
    <x:t xml:space="preserve">L184-L187</x:t>
  </x:si>
  <x:si>
    <x:t xml:space="preserve">WEB2-0014</x:t>
  </x:si>
  <x:si>
    <x:t xml:space="preserve">10-m winds, MSLP, 2-m temperature and dewpoint converted to air–sea fluxes.</x:t>
  </x:si>
  <x:si>
    <x:t xml:space="preserve">L189-L191</x:t>
  </x:si>
  <x:si>
    <x:t xml:space="preserve">WEB2-0015</x:t>
  </x:si>
  <x:si>
    <x:t xml:space="preserve">Swin-Transformer V2.</x:t>
  </x:si>
  <x:si>
    <x:t xml:space="preserve">Methods / Transformer</x:t>
  </x:si>
  <x:si>
    <x:t xml:space="preserve">L196-L207</x:t>
  </x:si>
  <x:si>
    <x:t xml:space="preserve">WEB2-0016</x:t>
  </x:si>
  <x:si>
    <x:t xml:space="preserve">10 homogeneous Swin-Transformer layers.</x:t>
  </x:si>
  <x:si>
    <x:t xml:space="preserve">WEB2-0017</x:t>
  </x:si>
  <x:si>
    <x:t xml:space="preserve">Hidden dimension 768.</x:t>
  </x:si>
  <x:si>
    <x:t xml:space="preserve">WEB2-0018</x:t>
  </x:si>
  <x:si>
    <x:t xml:space="preserve">Window attention with window size 7; convolutional patch embedding/down-up sampling.</x:t>
  </x:si>
  <x:si>
    <x:t xml:space="preserve">WEB2-0019</x:t>
  </x:si>
  <x:si>
    <x:t xml:space="preserve">Weighted MAE/L1 loss on one-day ocean tendency in base-model pretraining.</x:t>
  </x:si>
  <x:si>
    <x:t xml:space="preserve">Methods / two-stage training</x:t>
  </x:si>
  <x:si>
    <x:t xml:space="preserve">L211-L224</x:t>
  </x:si>
  <x:si>
    <x:t xml:space="preserve">WEB2-0020</x:t>
  </x:si>
  <x:si>
    <x:t xml:space="preserve">Depth-aware weighting; salinity tendency factor 4.5, other variables factor 1.</x:t>
  </x:si>
  <x:si>
    <x:t xml:space="preserve">L217-L224</x:t>
  </x:si>
  <x:si>
    <x:t xml:space="preserve">WEB2-0021</x:t>
  </x:si>
  <x:si>
    <x:t xml:space="preserve">RMSE and neighborhood-based CRPS.</x:t>
  </x:si>
  <x:si>
    <x:t xml:space="preserve">Verification</x:t>
  </x:si>
  <x:si>
    <x:t xml:space="preserve">L108-L112</x:t>
  </x:si>
  <x:si>
    <x:t xml:space="preserve">WEB2-0022</x:t>
  </x:si>
  <x:si>
    <x:t xml:space="preserve">Daily averaging filters diurnal/inertial/internal-wave variability; max depth 643 m; river runoff/sea ice omitted; mesoscale variability damped.</x:t>
  </x:si>
  <x:si>
    <x:t xml:space="preserve">L167-L169</x:t>
  </x:si>
  <x:si>
    <x:t xml:space="preserve">WEB2-0023</x:t>
  </x:si>
  <x:si>
    <x:t xml:space="preserve">Probabilistic losses, physical conservation, hybrid numerical-AI models, multiscale DNNs, better reanalysis.</x:t>
  </x:si>
  <x:si>
    <x:t xml:space="preserve">L169-L171</x:t>
  </x:si>
  <x:si>
    <x:t xml:space="preserve">WEB2-0024</x:t>
  </x:si>
  <x:si>
    <x:t xml:space="preserve">OAI-0026</x:t>
  </x:si>
  <x:si>
    <x:t xml:space="preserve">Global 1/12° eddy-resolving ocean forecasting.</x:t>
  </x:si>
  <x:si>
    <x:t xml:space="preserve">https://arxiv.org/abs/2402.02995</x:t>
  </x:si>
  <x:si>
    <x:t xml:space="preserve">Introduction</x:t>
  </x:si>
  <x:si>
    <x:t xml:space="preserve">L23-L33</x:t>
  </x:si>
  <x:si>
    <x:t xml:space="preserve">WEB2-0025</x:t>
  </x:si>
  <x:si>
    <x:t xml:space="preserve">Hierarchical Transformer with ocean-specific spatial-information-extraction blocks.</x:t>
  </x:si>
  <x:si>
    <x:t xml:space="preserve">L25-L26</x:t>
  </x:si>
  <x:si>
    <x:t xml:space="preserve">WEB2-0026</x:t>
  </x:si>
  <x:si>
    <x:t xml:space="preserve">Local window-attention SIE modules + global SIE module + land-ocean masking.</x:t>
  </x:si>
  <x:si>
    <x:t xml:space="preserve">WEB2-0027</x:t>
  </x:si>
  <x:si>
    <x:t xml:space="preserve">GLORYS12 + ERA5 surface winds + OSTIA SST.</x:t>
  </x:si>
  <x:si>
    <x:t xml:space="preserve">Data</x:t>
  </x:si>
  <x:si>
    <x:t xml:space="preserve">L71-L77</x:t>
  </x:si>
  <x:si>
    <x:t xml:space="preserve">WEB2-0028</x:t>
  </x:si>
  <x:si>
    <x:t xml:space="preserve">GLORYS12 source spans Jan 1993–Dec 2020.</x:t>
  </x:si>
  <x:si>
    <x:t xml:space="preserve">L71-L73</x:t>
  </x:si>
  <x:si>
    <x:t xml:space="preserve">WEB2-0029</x:t>
  </x:si>
  <x:si>
    <x:t xml:space="preserve">1/12° grid, 4320 × 2041.</x:t>
  </x:si>
  <x:si>
    <x:t xml:space="preserve">L71-L92</x:t>
  </x:si>
  <x:si>
    <x:t xml:space="preserve">WEB2-0030</x:t>
  </x:si>
  <x:si>
    <x:t xml:space="preserve">Daily ocean fields.</x:t>
  </x:si>
  <x:si>
    <x:t xml:space="preserve">L91-L92</x:t>
  </x:si>
  <x:si>
    <x:t xml:space="preserve">WEB2-0031</x:t>
  </x:si>
  <x:si>
    <x:t xml:space="preserve">96 input channels including ocean variables and 10-m zonal/meridional winds.</x:t>
  </x:si>
  <x:si>
    <x:t xml:space="preserve">WEB2-0032</x:t>
  </x:si>
  <x:si>
    <x:t xml:space="preserve">Reported average forecast generation about 0.35 s on one GPU.</x:t>
  </x:si>
  <x:si>
    <x:t xml:space="preserve">L31-L33</x:t>
  </x:si>
  <x:si>
    <x:t xml:space="preserve">WEB2-0033</x:t>
  </x:si>
  <x:si>
    <x:t xml:space="preserve">Evaluated 1–10 day forecasts and mesoscale-eddy trajectories against reanalysis/observations.</x:t>
  </x:si>
  <x:si>
    <x:t xml:space="preserve">Evaluation</x:t>
  </x:si>
  <x:si>
    <x:t xml:space="preserve">L234-L280</x:t>
  </x:si>
  <x:si>
    <x:t xml:space="preserve">WEB2-0034</x:t>
  </x:si>
  <x:si>
    <x:t xml:space="preserve">OAI-0034</x:t>
  </x:si>
  <x:si>
    <x:t xml:space="preserve">Invert sea-surface currents from joint SST and SSH observations using learned variational DA.</x:t>
  </x:si>
  <x:si>
    <x:t xml:space="preserve">https://agupubs.onlinelibrary.wiley.com/doi/10.1029/2023MS003609</x:t>
  </x:si>
  <x:si>
    <x:t xml:space="preserve">WEB2-0035</x:t>
  </x:si>
  <x:si>
    <x:t xml:space="preserve">4DVarNet learned variational data-assimilation formulation.</x:t>
  </x:si>
  <x:si>
    <x:t xml:space="preserve">WEB2-0036</x:t>
  </x:si>
  <x:si>
    <x:t xml:space="preserve">SSH from nadir/wide-swath altimetry and SST.</x:t>
  </x:si>
  <x:si>
    <x:t xml:space="preserve">WEB2-0037</x:t>
  </x:si>
  <x:si>
    <x:t xml:space="preserve">Sea-surface velocity including part of ageostrophic dynamics.</x:t>
  </x:si>
  <x:si>
    <x:t xml:space="preserve">WEB2-0038</x:t>
  </x:si>
  <x:si>
    <x:t xml:space="preserve">OSSE suggests recoverable velocity scales of about 2.5–3 days and 0.5°–0.7°, including ~47% of ageostrophic dynamics.</x:t>
  </x:si>
  <x:si>
    <x:t xml:space="preserve">WEB2-0039</x:t>
  </x:si>
  <x:si>
    <x:t xml:space="preserve">SST features contribute strongly to reconstructions at roughly 1/20°–1/4° spatial scales.</x:t>
  </x:si>
  <x:si>
    <x:t xml:space="preserve">WEB2-0040</x:t>
  </x:si>
  <x:si>
    <x:t xml:space="preserve">OAI-0035</x:t>
  </x:si>
  <x:si>
    <x:t xml:space="preserve">Global oceanic data assimilation with deep learning.</x:t>
  </x:si>
  <x:si>
    <x:t xml:space="preserve">https://www.nature.com/articles/s42256-024-00867-x</x:t>
  </x:si>
  <x:si>
    <x:t xml:space="preserve">L36-L40</x:t>
  </x:si>
  <x:si>
    <x:t xml:space="preserve">WEB2-0041</x:t>
  </x:si>
  <x:si>
    <x:t xml:space="preserve">Partial-convolution neural network integrated with a generative adversarial network.</x:t>
  </x:si>
  <x:si>
    <x:t xml:space="preserve">WEB2-0042</x:t>
  </x:si>
  <x:si>
    <x:t xml:space="preserve">Partial convolution serves as an observation operator mapping irregular observations onto grids.</x:t>
  </x:si>
  <x:si>
    <x:t xml:space="preserve">WEB2-0043</x:t>
  </x:si>
  <x:si>
    <x:t xml:space="preserve">Ocean temperature analysis fields.</x:t>
  </x:si>
  <x:si>
    <x:t xml:space="preserve">WEB2-0044</x:t>
  </x:si>
  <x:si>
    <x:t xml:space="preserve">OSSE analyses reduce ocean-temperature analysis error relative to background and observed values.</x:t>
  </x:si>
  <x:si>
    <x:t xml:space="preserve">WEB2-0045</x:t>
  </x:si>
  <x:si>
    <x:t xml:space="preserve">OAI-0037</x:t>
  </x:si>
  <x:si>
    <x:t xml:space="preserve">3-D ocean-state reconstruction from remote sensing and sparse in-situ observations.</x:t>
  </x:si>
  <x:si>
    <x:t xml:space="preserve">https://www.frontiersin.org/journals/marine-science/articles/10.3389/fmars.2024.1151868/full</x:t>
  </x:si>
  <x:si>
    <x:t xml:space="preserve">WEB2-0046</x:t>
  </x:si>
  <x:si>
    <x:t xml:space="preserve">Optimal Interpolation combined with self-supervised deep clustering.</x:t>
  </x:si>
  <x:si>
    <x:t xml:space="preserve">WEB2-0047</x:t>
  </x:si>
  <x:si>
    <x:t xml:space="preserve">CluNet CNN maps input 2-D fields to fuzzy cluster memberships.</x:t>
  </x:si>
  <x:si>
    <x:t xml:space="preserve">Methods / CluNet</x:t>
  </x:si>
  <x:si>
    <x:t xml:space="preserve">L403-L411</x:t>
  </x:si>
  <x:si>
    <x:t xml:space="preserve">WEB2-0048</x:t>
  </x:si>
  <x:si>
    <x:t xml:space="preserve">CluNet + OINet + RefiNet end-to-end modules.</x:t>
  </x:si>
  <x:si>
    <x:t xml:space="preserve">L403-L425</x:t>
  </x:si>
  <x:si>
    <x:t xml:space="preserve">WEB2-0049</x:t>
  </x:si>
  <x:si>
    <x:t xml:space="preserve">Two robust fuzzy C-means clustering losses plus supervised reconstruction MSE.</x:t>
  </x:si>
  <x:si>
    <x:t xml:space="preserve">L407-L425</x:t>
  </x:si>
  <x:si>
    <x:t xml:space="preserve">WEB2-0050</x:t>
  </x:si>
  <x:si>
    <x:t xml:space="preserve">Three components weighted equally (α=β=γ=1).</x:t>
  </x:si>
  <x:si>
    <x:t xml:space="preserve">L422-L425</x:t>
  </x:si>
  <x:si>
    <x:t xml:space="preserve">WEB2-0051</x:t>
  </x:si>
  <x:si>
    <x:t xml:space="preserve">Self-supervised clustering losses act as regularizers.</x:t>
  </x:si>
  <x:si>
    <x:t xml:space="preserve">WEB2-0052</x:t>
  </x:si>
  <x:si>
    <x:t xml:space="preserve">Surface remote-sensing fields plus sparse vertical in-situ observations.</x:t>
  </x:si>
  <x:si>
    <x:t xml:space="preserve">WEB2-0053</x:t>
  </x:si>
  <x:si>
    <x:t xml:space="preserve">Reported reconstruction-error reduction up to 40% and resolution of scales about 50% smaller than baseline OI.</x:t>
  </x:si>
  <x:si>
    <x:t xml:space="preserve">WEB2-0054</x:t>
  </x:si>
  <x:si>
    <x:t xml:space="preserve">Simulation-trained model also reconstructed unseen SST using glider temperature and satellite chlorophyll.</x:t>
  </x:si>
  <x:si>
    <x:t xml:space="preserve">WEB2-0055</x:t>
  </x:si>
  <x:si>
    <x:t xml:space="preserve">OAI-0059</x:t>
  </x:si>
  <x:si>
    <x:t xml:space="preserve">Short-term sea-ice concentration forecasting for the next 8 days.</x:t>
  </x:si>
  <x:si>
    <x:t xml:space="preserve">https://www.mdpi.com/2077-1312/12/8/1424</x:t>
  </x:si>
  <x:si>
    <x:t xml:space="preserve">Methods / Data</x:t>
  </x:si>
  <x:si>
    <x:t xml:space="preserve">WEB2-0056</x:t>
  </x:si>
  <x:si>
    <x:t xml:space="preserve">3D-Swin Transformer (SICFormer).</x:t>
  </x:si>
  <x:si>
    <x:t xml:space="preserve">WEB2-0057</x:t>
  </x:si>
  <x:si>
    <x:t xml:space="preserve">NSIDC daily sea-ice-concentration imagery.</x:t>
  </x:si>
  <x:si>
    <x:t xml:space="preserve">WEB2-0058</x:t>
  </x:si>
  <x:si>
    <x:t xml:space="preserve">25 km × 25 km.</x:t>
  </x:si>
  <x:si>
    <x:t xml:space="preserve">WEB2-0059</x:t>
  </x:si>
  <x:si>
    <x:t xml:space="preserve">Daily data from 2006–2022; 6209 days selected.</x:t>
  </x:si>
  <x:si>
    <x:t xml:space="preserve">WEB2-0060</x:t>
  </x:si>
  <x:si>
    <x:t xml:space="preserve">Full 448 × 304 SIC rasters.</x:t>
  </x:si>
  <x:si>
    <x:t xml:space="preserve">WEB2-0061</x:t>
  </x:si>
  <x:si>
    <x:t xml:space="preserve">OAI-0062</x:t>
  </x:si>
  <x:si>
    <x:t xml:space="preserve">Learn systematic sea-ice model errors from DA increments.</x:t>
  </x:si>
  <x:si>
    <x:t xml:space="preserve">https://agupubs.onlinelibrary.wiley.com/doi/full/10.1029/2023MS003757</x:t>
  </x:si>
  <x:si>
    <x:t xml:space="preserve">WEB2-0062</x:t>
  </x:si>
  <x:si>
    <x:t xml:space="preserve">Convolutional neural networks.</x:t>
  </x:si>
  <x:si>
    <x:t xml:space="preserve">WEB2-0063</x:t>
  </x:si>
  <x:si>
    <x:t xml:space="preserve">SIC and tendencies, SST, ice velocity, ice thickness, shortwave radiation, skin temperature, SSS, land-sea mask.</x:t>
  </x:si>
  <x:si>
    <x:t xml:space="preserve">Abstract / Inputs</x:t>
  </x:si>
  <x:si>
    <x:t xml:space="preserve">L352</x:t>
  </x:si>
  <x:si>
    <x:t xml:space="preserve">WEB2-0064</x:t>
  </x:si>
  <x:si>
    <x:t xml:space="preserve">SPEAR ice-ocean DA system assimilating satellite SIC every 5 days during 1982–2017.</x:t>
  </x:si>
  <x:si>
    <x:t xml:space="preserve">WEB2-0065</x:t>
  </x:si>
  <x:si>
    <x:t xml:space="preserve">Network A: MSE on ΔSIC; Network B: summed MSE on five ΔSIC components plus a soft consistency term.</x:t>
  </x:si>
  <x:si>
    <x:t xml:space="preserve">Methods / loss</x:t>
  </x:si>
  <x:si>
    <x:t xml:space="preserve">L298-L304</x:t>
  </x:si>
  <x:si>
    <x:t xml:space="preserve">WEB2-0066</x:t>
  </x:si>
  <x:si>
    <x:t xml:space="preserve">Adam.</x:t>
  </x:si>
  <x:si>
    <x:t xml:space="preserve">WEB2-0067</x:t>
  </x:si>
  <x:si>
    <x:t xml:space="preserve">CNN increment predictions outperform climatological increment prediction across Arctic/Antarctic seasons.</x:t>
  </x:si>
  <x:si>
    <x:t xml:space="preserve">WEB2-0068</x:t>
  </x:si>
  <x:si>
    <x:t xml:space="preserve">Suggested use as sea-ice parameterization or online bias correction.</x:t>
  </x:si>
  <x:si>
    <x:t xml:space="preserve">WEB2-0069</x:t>
  </x:si>
  <x:si>
    <x:t xml:space="preserve">OAI-0063</x:t>
  </x:si>
  <x:si>
    <x:t xml:space="preserve">Dynamic ensemble weighting of multiple wave models.</x:t>
  </x:si>
  <x:si>
    <x:t xml:space="preserve">https://www.frontiersin.org/journals/marine-science/articles/10.3389/fmars.2025.1534622/full</x:t>
  </x:si>
  <x:si>
    <x:t xml:space="preserve">Abstract / Methods</x:t>
  </x:si>
  <x:si>
    <x:t xml:space="preserve">L352-L580</x:t>
  </x:si>
  <x:si>
    <x:t xml:space="preserve">WEB2-0070</x:t>
  </x:si>
  <x:si>
    <x:t xml:space="preserve">Soft Actor-Critic (SAC).</x:t>
  </x:si>
  <x:si>
    <x:t xml:space="preserve">L427-L444</x:t>
  </x:si>
  <x:si>
    <x:t xml:space="preserve">WEB2-0071</x:t>
  </x:si>
  <x:si>
    <x:t xml:space="preserve">Two SWAN model outputs; ERA5 reanalysis as reference.</x:t>
  </x:si>
  <x:si>
    <x:t xml:space="preserve">Data / Methods</x:t>
  </x:si>
  <x:si>
    <x:t xml:space="preserve">WEB2-0072</x:t>
  </x:si>
  <x:si>
    <x:t xml:space="preserve">rl.action</x:t>
  </x:si>
  <x:si>
    <x:t xml:space="preserve">Action is the vector of weights assigned to base models.</x:t>
  </x:si>
  <x:si>
    <x:t xml:space="preserve">L420-L427</x:t>
  </x:si>
  <x:si>
    <x:t xml:space="preserve">WEB2-0073</x:t>
  </x:si>
  <x:si>
    <x:t xml:space="preserve">rl.reward</x:t>
  </x:si>
  <x:si>
    <x:t xml:space="preserve">Reward uses relative ensemble error versus best base model; β=2 and ε=0.05.</x:t>
  </x:si>
  <x:si>
    <x:t xml:space="preserve">WEB2-0074</x:t>
  </x:si>
  <x:si>
    <x:t xml:space="preserve">SAC entropy regularization balances exploration and exploitation.</x:t>
  </x:si>
  <x:si>
    <x:t xml:space="preserve">WEB2-0075</x:t>
  </x:si>
  <x:si>
    <x:t xml:space="preserve">Discount factor γ=0.99; entropy coefficient α optimized.</x:t>
  </x:si>
  <x:si>
    <x:t xml:space="preserve">L437-L444</x:t>
  </x:si>
  <x:si>
    <x:t xml:space="preserve">WEB2-0076</x:t>
  </x:si>
  <x:si>
    <x:t xml:space="preserve">RMSE, MAE, bias.</x:t>
  </x:si>
  <x:si>
    <x:t xml:space="preserve">L580-L581</x:t>
  </x:si>
  <x:si>
    <x:t xml:space="preserve">WEB2-0077</x:t>
  </x:si>
  <x:si>
    <x:t xml:space="preserve">RL ensemble reported to outperform individual SWAN base models on test data.</x:t>
  </x:si>
  <x:si>
    <x:t xml:space="preserve">WEB2-0078</x:t>
  </x:si>
  <x:si>
    <x:t xml:space="preserve">OAI-0064</x:t>
  </x:si>
  <x:si>
    <x:t xml:space="preserve">24-hour significant-wave-height prediction in the South China Sea.</x:t>
  </x:si>
  <x:si>
    <x:t xml:space="preserve">https://www.frontiersin.org/journals/marine-science/articles/10.3389/fmars.2024.1424714/full</x:t>
  </x:si>
  <x:si>
    <x:t xml:space="preserve">WEB2-0079</x:t>
  </x:si>
  <x:si>
    <x:t xml:space="preserve">ConvLSTM with attention/context mechanism (SAC-ConvLSTM).</x:t>
  </x:si>
  <x:si>
    <x:t xml:space="preserve">WEB2-0080</x:t>
  </x:si>
  <x:si>
    <x:t xml:space="preserve">ERA5 reanalysis.</x:t>
  </x:si>
  <x:si>
    <x:t xml:space="preserve">WEB2-0081</x:t>
  </x:si>
  <x:si>
    <x:t xml:space="preserve">17,544 hourly samples from 2020-01-01 to 2021-12-31.</x:t>
  </x:si>
  <x:si>
    <x:t xml:space="preserve">Discussion / conclusion</x:t>
  </x:si>
  <x:si>
    <x:t xml:space="preserve">WEB2-0082</x:t>
  </x:si>
  <x:si>
    <x:t xml:space="preserve">32.</x:t>
  </x:si>
  <x:si>
    <x:t xml:space="preserve">Experiments</x:t>
  </x:si>
  <x:si>
    <x:t xml:space="preserve">L476-L483</x:t>
  </x:si>
  <x:si>
    <x:t xml:space="preserve">WEB2-0083</x:t>
  </x:si>
  <x:si>
    <x:t xml:space="preserve">0.001 initial learning rate.</x:t>
  </x:si>
  <x:si>
    <x:t xml:space="preserve">L471-L483</x:t>
  </x:si>
  <x:si>
    <x:t xml:space="preserve">WEB2-0084</x:t>
  </x:si>
  <x:si>
    <x:t xml:space="preserve">WEB2-0085</x:t>
  </x:si>
  <x:si>
    <x:t xml:space="preserve">ReduceLROnPlateau patience 4; early stopping patience 20.</x:t>
  </x:si>
  <x:si>
    <x:t xml:space="preserve">WEB2-0086</x:t>
  </x:si>
  <x:si>
    <x:t xml:space="preserve">NVIDIA GTX 4080; i9-13900K; 64 GB RAM.</x:t>
  </x:si>
  <x:si>
    <x:t xml:space="preserve">WEB2-0087</x:t>
  </x:si>
  <x:si>
    <x:t xml:space="preserve">3 layers; kernel size 3; hidden dimension 32.</x:t>
  </x:si>
  <x:si>
    <x:t xml:space="preserve">WEB2-0088</x:t>
  </x:si>
  <x:si>
    <x:t xml:space="preserve">MAE, RMSE, MSE, Pearson correlation coefficient.</x:t>
  </x:si>
  <x:si>
    <x:t xml:space="preserve">WEB2-0089</x:t>
  </x:si>
  <x:si>
    <x:t xml:space="preserve">24 h: RMSE 0.2117 m, MAE 0.1083 m, PCC 0.9630.</x:t>
  </x:si>
  <x:si>
    <x:t xml:space="preserve">WEB2-0090</x:t>
  </x:si>
  <x:si>
    <x:t xml:space="preserve">Authors suggest adding variables such as mean wave period and sea-surface air pressure.</x:t>
  </x:si>
  <x:si>
    <x:t xml:space="preserve">WEB2-0091</x:t>
  </x:si>
  <x:si>
    <x:t xml:space="preserve">OAI-0090</x:t>
  </x:si>
  <x:si>
    <x:t xml:space="preserve">Satellite-derived shallow-water bathymetry from Sentinel-2 multispectral imagery.</x:t>
  </x:si>
  <x:si>
    <x:t xml:space="preserve">https://www.frontiersin.org/journals/marine-science/articles/10.3389/fmars.2025.1636124/full</x:t>
  </x:si>
  <x:si>
    <x:t xml:space="preserve">WEB2-0092</x:t>
  </x:si>
  <x:si>
    <x:t xml:space="preserve">Physics-guided deep neural network (HybridBathNet).</x:t>
  </x:si>
  <x:si>
    <x:t xml:space="preserve">L413-L555</x:t>
  </x:si>
  <x:si>
    <x:t xml:space="preserve">WEB2-0093</x:t>
  </x:si>
  <x:si>
    <x:t xml:space="preserve">Physics embedded at feature/output level via Water Depth Index and feature fusion rather than only loss regularization.</x:t>
  </x:si>
  <x:si>
    <x:t xml:space="preserve">L413</x:t>
  </x:si>
  <x:si>
    <x:t xml:space="preserve">WEB2-0094</x:t>
  </x:si>
  <x:si>
    <x:t xml:space="preserve">Weighted sum of MSE losses for water depth and Water Depth Index branches.</x:t>
  </x:si>
  <x:si>
    <x:t xml:space="preserve">Training</x:t>
  </x:si>
  <x:si>
    <x:t xml:space="preserve">L548-L550</x:t>
  </x:si>
  <x:si>
    <x:t xml:space="preserve">WEB2-0095</x:t>
  </x:si>
  <x:si>
    <x:t xml:space="preserve">64.</x:t>
  </x:si>
  <x:si>
    <x:t xml:space="preserve">L555</x:t>
  </x:si>
  <x:si>
    <x:t xml:space="preserve">WEB2-0096</x:t>
  </x:si>
  <x:si>
    <x:t xml:space="preserve">Initial 1e-4; minimum 1e-7.</x:t>
  </x:si>
  <x:si>
    <x:t xml:space="preserve">WEB2-0097</x:t>
  </x:si>
  <x:si>
    <x:t xml:space="preserve">Cosine annealing.</x:t>
  </x:si>
  <x:si>
    <x:t xml:space="preserve">WEB2-0098</x:t>
  </x:si>
  <x:si>
    <x:t xml:space="preserve">50.</x:t>
  </x:si>
  <x:si>
    <x:t xml:space="preserve">WEB2-0099</x:t>
  </x:si>
  <x:si>
    <x:t xml:space="preserve">AdamW.</x:t>
  </x:si>
  <x:si>
    <x:t xml:space="preserve">WEB2-0100</x:t>
  </x:si>
  <x:si>
    <x:t xml:space="preserve">Vertical flip, horizontal flip, random rotation.</x:t>
  </x:si>
  <x:si>
    <x:t xml:space="preserve">WEB2-0101</x:t>
  </x:si>
  <x:si>
    <x:t xml:space="preserve">OAI-0104</x:t>
  </x:si>
  <x:si>
    <x:t xml:space="preserve">Phase-resolved data assimilation and prediction of nonlinear ocean surface waves.</x:t>
  </x:si>
  <x:si>
    <x:t xml:space="preserve">https://arxiv.org/abs/2501.08430</x:t>
  </x:si>
  <x:si>
    <x:t xml:space="preserve">WEB2-0102</x:t>
  </x:si>
  <x:si>
    <x:t xml:space="preserve">Physics-informed neural network parameterizing potential-flow-theory solutions.</x:t>
  </x:si>
  <x:si>
    <x:t xml:space="preserve">WEB2-0103</x:t>
  </x:si>
  <x:si>
    <x:t xml:space="preserve">Potential flow theory governs the physics-informed solution.</x:t>
  </x:si>
  <x:si>
    <x:t xml:space="preserve">WEB2-0104</x:t>
  </x:si>
  <x:si>
    <x:t xml:space="preserve">Governing equations constrain reconstruction/prediction from sparse surface data.</x:t>
  </x:si>
  <x:si>
    <x:t xml:space="preserve">WEB2-0105</x:t>
  </x:si>
  <x:si>
    <x:t xml:space="preserve">Surface elevation measurements.</x:t>
  </x:si>
  <x:si>
    <x:t xml:space="preserve">WEB2-0106</x:t>
  </x:si>
  <x:si>
    <x:t xml:space="preserve">Phase-resolved surface dynamics plus velocity potential/fluid velocities.</x:t>
  </x:si>
  <x:si>
    <x:t xml:space="preserve">WEB2-0107</x:t>
  </x:si>
  <x:si>
    <x:t xml:space="preserve">Analytical linear-PFT solutions and laboratory wave-flume data.</x:t>
  </x:si>
  <x:si>
    <x:t xml:space="preserve">WEB2-0108</x:t>
  </x:si>
  <x:si>
    <x:t xml:space="preserve">Reported accurate irregular, nonlinear and dispersive wave reconstruction/prediction.</x:t>
  </x:si>
  <x:si>
    <x:t xml:space="preserve">WEB2-0109</x:t>
  </x:si>
  <x:si>
    <x:t xml:space="preserve">OAI-0107</x:t>
  </x:si>
  <x:si>
    <x:t xml:space="preserve">Estimate AMOC transport from Argo hydrographic profiles using ML trained on ocean simulations.</x:t>
  </x:si>
  <x:si>
    <x:t xml:space="preserve">https://os.copernicus.org/articles/21/3541/2025/</x:t>
  </x:si>
  <x:si>
    <x:t xml:space="preserve">Abstract / Introduction</x:t>
  </x:si>
  <x:si>
    <x:t xml:space="preserve">WEB2-0110</x:t>
  </x:si>
  <x:si>
    <x:t xml:space="preserve">Supervised learning with paired input-output data from simulations.</x:t>
  </x:si>
  <x:si>
    <x:t xml:space="preserve">L282</x:t>
  </x:si>
  <x:si>
    <x:t xml:space="preserve">WEB2-0111</x:t>
  </x:si>
  <x:si>
    <x:t xml:space="preserve">Argo-like hydrographic profiles.</x:t>
  </x:si>
  <x:si>
    <x:t xml:space="preserve">WEB2-0112</x:t>
  </x:si>
  <x:si>
    <x:t xml:space="preserve">High-resolution simulations provide training pairs because direct observations are too sparse for long-timescale learning.</x:t>
  </x:si>
  <x:si>
    <x:t xml:space="preserve">WEB2-0113</x:t>
  </x:si>
  <x:si>
    <x:t xml:space="preserve">RAPID record alone gives too few independent long-timescale samples for robust training.</x:t>
  </x:si>
  <x:si>
    <x:t xml:space="preserve">WEB2-0114</x:t>
  </x:si>
  <x:si>
    <x:t xml:space="preserve">reproducibility.code</x:t>
  </x:si>
  <x:si>
    <x:t xml:space="preserve">Code, datasets, experiment results and reproduction notebooks archived on Zenodo.</x:t>
  </x:si>
  <x:si>
    <x:t xml:space="preserve">Data/code availability</x:t>
  </x:si>
  <x:si>
    <x:t xml:space="preserve">B03-0001</x:t>
  </x:si>
  <x:si>
    <x:t xml:space="preserve">OAI-0007</x:t>
  </x:si>
  <x:si>
    <x:t xml:space="preserve">OAI-0007:MAIN</x:t>
  </x:si>
  <x:si>
    <x:t xml:space="preserve">Optimize FNO ocean forecasting</x:t>
  </x:si>
  <x:si>
    <x:t xml:space="preserve">https://www.osti.gov/servlets/purl/2477212</x:t>
  </x:si>
  <x:si>
    <x:t xml:space="preserve">10.3390/math12101483</x:t>
  </x:si>
  <x:si>
    <x:t xml:space="preserve">PUBLISHED_PDF_17_PAGES_OSTI_COPY</x:t>
  </x:si>
  <x:si>
    <x:t xml:space="preserve">4.1 Dataset</x:t>
  </x:si>
  <x:si>
    <x:t xml:space="preserve">PDF_TEXT_READ_TABLE3_VISUALLY_CHECKED</x:t>
  </x:si>
  <x:si>
    <x:t xml:space="preserve">2026-09-24</x:t>
  </x:si>
  <x:si>
    <x:t xml:space="preserve">B03</x:t>
  </x:si>
  <x:si>
    <x:t xml:space="preserve">B03-0002</x:t>
  </x:si>
  <x:si>
    <x:t xml:space="preserve">problem.domain</x:t>
  </x:si>
  <x:si>
    <x:t xml:space="preserve">Idealized baroclinic circulation</x:t>
  </x:si>
  <x:si>
    <x:t xml:space="preserve">B03-0003</x:t>
  </x:si>
  <x:si>
    <x:t xml:space="preserve">SOMA</x:t>
  </x:si>
  <x:si>
    <x:t xml:space="preserve">B03-0004</x:t>
  </x:si>
  <x:si>
    <x:t xml:space="preserve">data.simulation_count</x:t>
  </x:si>
  <x:si>
    <x:t xml:space="preserve">simulations</x:t>
  </x:si>
  <x:si>
    <x:t xml:space="preserve">B03-0005</x:t>
  </x:si>
  <x:si>
    <x:t xml:space="preserve">Salinity; temperature; zonal velocity; meridional velocity; kappa_GM</x:t>
  </x:si>
  <x:si>
    <x:t xml:space="preserve">B03-0006</x:t>
  </x:si>
  <x:si>
    <x:t xml:space="preserve">Next-day salinity; temperature; zonal velocity; meridional velocity</x:t>
  </x:si>
  <x:si>
    <x:t xml:space="preserve">B03-0007</x:t>
  </x:si>
  <x:si>
    <x:t xml:space="preserve">data.geographic_region</x:t>
  </x:si>
  <x:si>
    <x:t xml:space="preserve">Idealized circular basin</x:t>
  </x:si>
  <x:si>
    <x:t xml:space="preserve">B03-0008</x:t>
  </x:si>
  <x:si>
    <x:t xml:space="preserve">data.shelf_width</x:t>
  </x:si>
  <x:si>
    <x:t xml:space="preserve">km</x:t>
  </x:si>
  <x:si>
    <x:t xml:space="preserve">B03-0009</x:t>
  </x:si>
  <x:si>
    <x:t xml:space="preserve">data.shelf_depth</x:t>
  </x:si>
  <x:si>
    <x:t xml:space="preserve">m</x:t>
  </x:si>
  <x:si>
    <x:t xml:space="preserve">B03-0010</x:t>
  </x:si>
  <x:si>
    <x:t xml:space="preserve">data.spatial_grid</x:t>
  </x:si>
  <x:si>
    <x:t xml:space="preserve">100 × 100</x:t>
  </x:si>
  <x:si>
    <x:t xml:space="preserve">grid points</x:t>
  </x:si>
  <x:si>
    <x:t xml:space="preserve">B03-0011</x:t>
  </x:si>
  <x:si>
    <x:t xml:space="preserve">day</x:t>
  </x:si>
  <x:si>
    <x:t xml:space="preserve">B03-0012</x:t>
  </x:si>
  <x:si>
    <x:t xml:space="preserve">data.trajectory_length</x:t>
  </x:si>
  <x:si>
    <x:t xml:space="preserve">days</x:t>
  </x:si>
  <x:si>
    <x:t xml:space="preserve">B03-0013</x:t>
  </x:si>
  <x:si>
    <x:t xml:space="preserve">data.sample_count</x:t>
  </x:si>
  <x:si>
    <x:t xml:space="preserve">input-output pairs</x:t>
  </x:si>
  <x:si>
    <x:t xml:space="preserve">B03-0014</x:t>
  </x:si>
  <x:si>
    <x:t xml:space="preserve">data.parameter_sampling</x:t>
  </x:si>
  <x:si>
    <x:t xml:space="preserve">kappa_GM ~ Uniform[200,2000]</x:t>
  </x:si>
  <x:si>
    <x:t xml:space="preserve">B03-0015</x:t>
  </x:si>
  <x:si>
    <x:t xml:space="preserve">Independent simulations: 60%/20%/20% train/validation/test</x:t>
  </x:si>
  <x:si>
    <x:t xml:space="preserve">B03-0016</x:t>
  </x:si>
  <x:si>
    <x:t xml:space="preserve">data.preprocessing</x:t>
  </x:si>
  <x:si>
    <x:t xml:space="preserve">Consecutive-day pairs</x:t>
  </x:si>
  <x:si>
    <x:t xml:space="preserve">B03-0017</x:t>
  </x:si>
  <x:si>
    <x:t xml:space="preserve">FNO</x:t>
  </x:si>
  <x:si>
    <x:t xml:space="preserve">2.1 Fourier Neural Operator</x:t>
  </x:si>
  <x:si>
    <x:t xml:space="preserve">B03-0018</x:t>
  </x:si>
  <x:si>
    <x:t xml:space="preserve">Lifting</x:t>
  </x:si>
  <x:si>
    <x:t xml:space="preserve">B03-0019</x:t>
  </x:si>
  <x:si>
    <x:t xml:space="preserve">FFT → spectral convolution → truncation → inverse FFT</x:t>
  </x:si>
  <x:si>
    <x:t xml:space="preserve">B03-0020</x:t>
  </x:si>
  <x:si>
    <x:t xml:space="preserve">Projection</x:t>
  </x:si>
  <x:si>
    <x:t xml:space="preserve">B03-0021</x:t>
  </x:si>
  <x:si>
    <x:t xml:space="preserve">OAI-0007:HPO_SEARCH_SPACE</x:t>
  </x:si>
  <x:si>
    <x:t xml:space="preserve">[2,16] FNO blocks</x:t>
  </x:si>
  <x:si>
    <x:t xml:space="preserve">SEARCH_SPACE_NOT_SELECTED_CONFIGURATION</x:t>
  </x:si>
  <x:si>
    <x:t xml:space="preserve">4.2 Table 1</x:t>
  </x:si>
  <x:si>
    <x:t xml:space="preserve">B03-0022</x:t>
  </x:si>
  <x:si>
    <x:t xml:space="preserve">[2,64]</x:t>
  </x:si>
  <x:si>
    <x:t xml:space="preserve">B03-0023</x:t>
  </x:si>
  <x:si>
    <x:t xml:space="preserve">[2,32]</x:t>
  </x:si>
  <x:si>
    <x:t xml:space="preserve">B03-0024</x:t>
  </x:si>
  <x:si>
    <x:t xml:space="preserve">architecture.decoder.num_layers</x:t>
  </x:si>
  <x:si>
    <x:t xml:space="preserve">[2,16]</x:t>
  </x:si>
  <x:si>
    <x:t xml:space="preserve">B03-0025</x:t>
  </x:si>
  <x:si>
    <x:t xml:space="preserve">architecture.decoder.hidden_width</x:t>
  </x:si>
  <x:si>
    <x:t xml:space="preserve">B03-0026</x:t>
  </x:si>
  <x:si>
    <x:t xml:space="preserve">data.padding</x:t>
  </x:si>
  <x:si>
    <x:t xml:space="preserve">constant; reflect; replicate; circular</x:t>
  </x:si>
  <x:si>
    <x:t xml:space="preserve">B03-0027</x:t>
  </x:si>
  <x:si>
    <x:t xml:space="preserve">data.coordinate_features</x:t>
  </x:si>
  <x:si>
    <x:t xml:space="preserve">True/False</x:t>
  </x:si>
  <x:si>
    <x:t xml:space="preserve">B03-0028</x:t>
  </x:si>
  <x:si>
    <x:t xml:space="preserve">Adadelta; Adagrad; Adam; AdamW; RMSprop; SGD</x:t>
  </x:si>
  <x:si>
    <x:t xml:space="preserve">B03-0029</x:t>
  </x:si>
  <x:si>
    <x:t xml:space="preserve">(1e-6,1e-2)</x:t>
  </x:si>
  <x:si>
    <x:t xml:space="preserve">B03-0030</x:t>
  </x:si>
  <x:si>
    <x:t xml:space="preserve">(0,0.1)</x:t>
  </x:si>
  <x:si>
    <x:t xml:space="preserve">B03-0031</x:t>
  </x:si>
  <x:si>
    <x:t xml:space="preserve">(2,64)</x:t>
  </x:si>
  <x:si>
    <x:t xml:space="preserve">B03-0032</x:t>
  </x:si>
  <x:si>
    <x:t xml:space="preserve">alpha ∈ (0,1)</x:t>
  </x:si>
  <x:si>
    <x:t xml:space="preserve">B03-0033</x:t>
  </x:si>
  <x:si>
    <x:t xml:space="preserve">alpha*MSE + (1-alpha)*NegACC</x:t>
  </x:si>
  <x:si>
    <x:t xml:space="preserve">3.1 Equations 1–3</x:t>
  </x:si>
  <x:si>
    <x:t xml:space="preserve">B03-0034</x:t>
  </x:si>
  <x:si>
    <x:t xml:space="preserve">MSE</x:t>
  </x:si>
  <x:si>
    <x:t xml:space="preserve">B03-0035</x:t>
  </x:si>
  <x:si>
    <x:t xml:space="preserve">objective.anomaly_loss</x:t>
  </x:si>
  <x:si>
    <x:t xml:space="preserve">Negative anomaly correlation</x:t>
  </x:si>
  <x:si>
    <x:t xml:space="preserve">B03-0036</x:t>
  </x:si>
  <x:si>
    <x:t xml:space="preserve">dx/dt=f(x); x(0)=x0</x:t>
  </x:si>
  <x:si>
    <x:t xml:space="preserve">B03-0037</x:t>
  </x:si>
  <x:si>
    <x:t xml:space="preserve">OAI-0007:HPO_SEARCH</x:t>
  </x:si>
  <x:si>
    <x:t xml:space="preserve">DeepHyper; Bayesian multiobjective search</x:t>
  </x:si>
  <x:si>
    <x:t xml:space="preserve">HPO_COMPUTE_BUDGET</x:t>
  </x:si>
  <x:si>
    <x:t xml:space="preserve">4.4 Implementation</x:t>
  </x:si>
  <x:si>
    <x:t xml:space="preserve">B03-0038</x:t>
  </x:si>
  <x:si>
    <x:t xml:space="preserve">Polaris; NVIDIA A100</x:t>
  </x:si>
  <x:si>
    <x:t xml:space="preserve">B03-0039</x:t>
  </x:si>
  <x:si>
    <x:t xml:space="preserve">training.node_count</x:t>
  </x:si>
  <x:si>
    <x:t xml:space="preserve">nodes</x:t>
  </x:si>
  <x:si>
    <x:t xml:space="preserve">B03-0040</x:t>
  </x:si>
  <x:si>
    <x:t xml:space="preserve">training.gpus_per_node</x:t>
  </x:si>
  <x:si>
    <x:t xml:space="preserve">GPUs/node</x:t>
  </x:si>
  <x:si>
    <x:t xml:space="preserve">B03-0041</x:t>
  </x:si>
  <x:si>
    <x:t xml:space="preserve">Maximum per search evaluation; early stopping can terminate earlier.</x:t>
  </x:si>
  <x:si>
    <x:t xml:space="preserve">epochs</x:t>
  </x:si>
  <x:si>
    <x:t xml:space="preserve">B03-0042</x:t>
  </x:si>
  <x:si>
    <x:t xml:space="preserve">training.early_stopping</x:t>
  </x:si>
  <x:si>
    <x:t xml:space="preserve">Constant-predictor check at 10 epochs</x:t>
  </x:si>
  <x:si>
    <x:t xml:space="preserve">B03-0043</x:t>
  </x:si>
  <x:si>
    <x:t xml:space="preserve">training.epoch_time_cutoff</x:t>
  </x:si>
  <x:si>
    <x:t xml:space="preserve">seconds/epoch</x:t>
  </x:si>
  <x:si>
    <x:t xml:space="preserve">B03-0044</x:t>
  </x:si>
  <x:si>
    <x:t xml:space="preserve">OAI-0007:FINAL_TRAINING</x:t>
  </x:si>
  <x:si>
    <x:t xml:space="preserve">B03-0045</x:t>
  </x:si>
  <x:si>
    <x:t xml:space="preserve">Modulus default FNO</x:t>
  </x:si>
  <x:si>
    <x:t xml:space="preserve">B03-0046</x:t>
  </x:si>
  <x:si>
    <x:t xml:space="preserve">OAI-0007:LOSS_ABLATION</x:t>
  </x:si>
  <x:si>
    <x:t xml:space="preserve">evaluation.ablations</x:t>
  </x:si>
  <x:si>
    <x:t xml:space="preserve">MSE-only vs equal-weight MSE/NegACC</x:t>
  </x:si>
  <x:si>
    <x:t xml:space="preserve">5 Table 2</x:t>
  </x:si>
  <x:si>
    <x:t xml:space="preserve">B03-0047</x:t>
  </x:si>
  <x:si>
    <x:t xml:space="preserve">OAI-0007:LOSS_ABLATION_COMPOSITE</x:t>
  </x:si>
  <x:si>
    <x:t xml:space="preserve">0.5 MSE; 0.5 NegACC</x:t>
  </x:si>
  <x:si>
    <x:t xml:space="preserve">B03-0048</x:t>
  </x:si>
  <x:si>
    <x:t xml:space="preserve">OAI-0007:BASELINE_TEST</x:t>
  </x:si>
  <x:si>
    <x:t xml:space="preserve">results.salinity.log_RSE</x:t>
  </x:si>
  <x:si>
    <x:t xml:space="preserve">5.5 Table 3</x:t>
  </x:si>
  <x:si>
    <x:t xml:space="preserve">Table 3; salinity; BASELINE; log_RSE</x:t>
  </x:si>
  <x:si>
    <x:t xml:space="preserve">dimensionless; log base unspecified</x:t>
  </x:si>
  <x:si>
    <x:t xml:space="preserve">B03-0049</x:t>
  </x:si>
  <x:si>
    <x:t xml:space="preserve">results.salinity.log_1_minus_ACC</x:t>
  </x:si>
  <x:si>
    <x:t xml:space="preserve">Table 3; salinity; BASELINE; log_1_minus_ACC</x:t>
  </x:si>
  <x:si>
    <x:t xml:space="preserve">B03-0050</x:t>
  </x:si>
  <x:si>
    <x:t xml:space="preserve">OAI-0007:OPTIMAL_TEST</x:t>
  </x:si>
  <x:si>
    <x:t xml:space="preserve">Table 3; salinity; OPTIMAL; log_RSE</x:t>
  </x:si>
  <x:si>
    <x:t xml:space="preserve">B03-0051</x:t>
  </x:si>
  <x:si>
    <x:t xml:space="preserve">Table 3; salinity; OPTIMAL; log_1_minus_ACC</x:t>
  </x:si>
  <x:si>
    <x:t xml:space="preserve">B03-0052</x:t>
  </x:si>
  <x:si>
    <x:t xml:space="preserve">results.temperature.log_RSE</x:t>
  </x:si>
  <x:si>
    <x:t xml:space="preserve">Table 3; temperature; BASELINE; log_RSE</x:t>
  </x:si>
  <x:si>
    <x:t xml:space="preserve">B03-0053</x:t>
  </x:si>
  <x:si>
    <x:t xml:space="preserve">results.temperature.log_1_minus_ACC</x:t>
  </x:si>
  <x:si>
    <x:t xml:space="preserve">Table 3; temperature; BASELINE; log_1_minus_ACC</x:t>
  </x:si>
  <x:si>
    <x:t xml:space="preserve">B03-0054</x:t>
  </x:si>
  <x:si>
    <x:t xml:space="preserve">Table 3; temperature; OPTIMAL; log_RSE</x:t>
  </x:si>
  <x:si>
    <x:t xml:space="preserve">B03-0055</x:t>
  </x:si>
  <x:si>
    <x:t xml:space="preserve">Table 3; temperature; OPTIMAL; log_1_minus_ACC</x:t>
  </x:si>
  <x:si>
    <x:t xml:space="preserve">B03-0056</x:t>
  </x:si>
  <x:si>
    <x:t xml:space="preserve">results.meridional_velocity.log_RSE</x:t>
  </x:si>
  <x:si>
    <x:t xml:space="preserve">Table 3; meridional_velocity; BASELINE; log_RSE</x:t>
  </x:si>
  <x:si>
    <x:t xml:space="preserve">B03-0057</x:t>
  </x:si>
  <x:si>
    <x:t xml:space="preserve">results.meridional_velocity.log_1_minus_ACC</x:t>
  </x:si>
  <x:si>
    <x:t xml:space="preserve">Table 3; meridional_velocity; BASELINE; log_1_minus_ACC</x:t>
  </x:si>
  <x:si>
    <x:t xml:space="preserve">B03-0058</x:t>
  </x:si>
  <x:si>
    <x:t xml:space="preserve">Table 3; meridional_velocity; OPTIMAL; log_RSE</x:t>
  </x:si>
  <x:si>
    <x:t xml:space="preserve">B03-0059</x:t>
  </x:si>
  <x:si>
    <x:t xml:space="preserve">Table 3; meridional_velocity; OPTIMAL; log_1_minus_ACC</x:t>
  </x:si>
  <x:si>
    <x:t xml:space="preserve">B03-0060</x:t>
  </x:si>
  <x:si>
    <x:t xml:space="preserve">results.zonal_velocity.log_RSE</x:t>
  </x:si>
  <x:si>
    <x:t xml:space="preserve">Table 3; zonal_velocity; BASELINE; log_RSE</x:t>
  </x:si>
  <x:si>
    <x:t xml:space="preserve">B03-0061</x:t>
  </x:si>
  <x:si>
    <x:t xml:space="preserve">results.zonal_velocity.log_1_minus_ACC</x:t>
  </x:si>
  <x:si>
    <x:t xml:space="preserve">Table 3; zonal_velocity; BASELINE; log_1_minus_ACC</x:t>
  </x:si>
  <x:si>
    <x:t xml:space="preserve">B03-0062</x:t>
  </x:si>
  <x:si>
    <x:t xml:space="preserve">Table 3; zonal_velocity; OPTIMAL; log_RSE</x:t>
  </x:si>
  <x:si>
    <x:t xml:space="preserve">B03-0063</x:t>
  </x:si>
  <x:si>
    <x:t xml:space="preserve">Table 3; zonal_velocity; OPTIMAL; log_1_minus_ACC</x:t>
  </x:si>
  <x:si>
    <x:t xml:space="preserve">B03-0064</x:t>
  </x:si>
  <x:si>
    <x:t xml:space="preserve">evaluation.sensitivity</x:t>
  </x:si>
  <x:si>
    <x:t xml:space="preserve">Random-search SHAP; random-forest surrogate</x:t>
  </x:si>
  <x:si>
    <x:t xml:space="preserve">5.4 Sensitivity Analysis</x:t>
  </x:si>
  <x:si>
    <x:t xml:space="preserve">B03-0065</x:t>
  </x:si>
  <x:si>
    <x:t xml:space="preserve">Search cost; no global-optimum guarantee</x:t>
  </x:si>
  <x:si>
    <x:t xml:space="preserve">5.5 final paragraph</x:t>
  </x:si>
  <x:si>
    <x:t xml:space="preserve">B03-0066</x:t>
  </x:si>
  <x:si>
    <x:t xml:space="preserve">One-epoch/multifidelity search</x:t>
  </x:si>
  <x:si>
    <x:t xml:space="preserve">6 Conclusions</x:t>
  </x:si>
  <x:si>
    <x:t xml:space="preserve">B03-0067</x:t>
  </x:si>
  <x:si>
    <x:t xml:space="preserve">Analyze NegACC loss landscape</x:t>
  </x:si>
  <x:si>
    <x:t xml:space="preserve">B03-0068</x:t>
  </x:si>
  <x:si>
    <x:t xml:space="preserve">reproducibility.data</x:t>
  </x:si>
  <x:si>
    <x:t xml:space="preserve">On request; not public</x:t>
  </x:si>
  <x:si>
    <x:t xml:space="preserve">Data Availability Statement</x:t>
  </x:si>
  <x:si>
    <x:t xml:space="preserve">B03-0069</x:t>
  </x:si>
  <x:si>
    <x:t xml:space="preserve">EXTRACTION_METADATA</x:t>
  </x:si>
  <x:si>
    <x:t xml:space="preserve">Selected optimal configuration: 4.2, 5.5</x:t>
  </x:si>
  <x:si>
    <x:t xml:space="preserve">Search ranges are extracted separately. Exact selected configuration not established; figures/code require further extraction.</x:t>
  </x:si>
  <x:si>
    <x:t xml:space="preserve">B03-0070</x:t>
  </x:si>
  <x:si>
    <x:t xml:space="preserve">B03-0071</x:t>
  </x:si>
  <x:si>
    <x:t xml:space="preserve">B03-0072</x:t>
  </x:si>
  <x:si>
    <x:t xml:space="preserve">B03-0073</x:t>
  </x:si>
  <x:si>
    <x:t xml:space="preserve">B03-0074</x:t>
  </x:si>
  <x:si>
    <x:t xml:space="preserve">B03-0075</x:t>
  </x:si>
  <x:si>
    <x:t xml:space="preserve">B03-0076</x:t>
  </x:si>
  <x:si>
    <x:t xml:space="preserve">data.units</x:t>
  </x:si>
  <x:si>
    <x:t xml:space="preserve">Full published text and tables read; unresolved implementation fields</x:t>
  </x:si>
  <x:si>
    <x:t xml:space="preserve">Code and supplements not checked; absence from the full evidence corpus is not established.</x:t>
  </x:si>
  <x:si>
    <x:t xml:space="preserve">B03-0077</x:t>
  </x:si>
  <x:si>
    <x:t xml:space="preserve">B03-0078</x:t>
  </x:si>
  <x:si>
    <x:t xml:space="preserve">data.normalization</x:t>
  </x:si>
  <x:si>
    <x:t xml:space="preserve">B03-0079</x:t>
  </x:si>
  <x:si>
    <x:t xml:space="preserve">Not located in the inspected published PDF (main text and appendices). Code/configurations not inspected; absence is limited to this source.</x:t>
  </x:si>
  <x:si>
    <x:t xml:space="preserve">B03-0080</x:t>
  </x:si>
  <x:si>
    <x:t xml:space="preserve">B03-0081</x:t>
  </x:si>
  <x:si>
    <x:t xml:space="preserve">physics.boundary_conditions</x:t>
  </x:si>
  <x:si>
    <x:t xml:space="preserve">B03-0082</x:t>
  </x:si>
  <x:si>
    <x:t xml:space="preserve">physics.pde</x:t>
  </x:si>
  <x:si>
    <x:t xml:space="preserve">B03-0083</x:t>
  </x:si>
  <x:si>
    <x:t xml:space="preserve">B03-0084</x:t>
  </x:si>
  <x:si>
    <x:t xml:space="preserve">B03-0085</x:t>
  </x:si>
  <x:si>
    <x:t xml:space="preserve">rl.state</x:t>
  </x:si>
  <x:si>
    <x:t xml:space="preserve">B03-0086</x:t>
  </x:si>
  <x:si>
    <x:t xml:space="preserve">B03-0087</x:t>
  </x:si>
  <x:si>
    <x:t xml:space="preserve">B03-0088</x:t>
  </x:si>
  <x:si>
    <x:t xml:space="preserve">B03-0089</x:t>
  </x:si>
  <x:si>
    <x:t xml:space="preserve">research_gap.candidate</x:t>
  </x:si>
  <x:si>
    <x:t xml:space="preserve">Does NegACC improve cross-basin rollout stability?</x:t>
  </x:si>
  <x:si>
    <x:t xml:space="preserve">RESEARCH_HYPOTHESIS</x:t>
  </x:si>
  <x:si>
    <x:t xml:space="preserve">5.5; 6</x:t>
  </x:si>
  <x:si>
    <x:t xml:space="preserve">Proposed test, not an established literature-wide gap.</x:t>
  </x:si>
  <x:si>
    <x:t xml:space="preserve">B03-0090</x:t>
  </x:si>
  <x:si>
    <x:t xml:space="preserve">OAI-0008</x:t>
  </x:si>
  <x:si>
    <x:t xml:space="preserve">OAI-0008:MAIN</x:t>
  </x:si>
  <x:si>
    <x:t xml:space="preserve">Review ML integration into ocean DA</x:t>
  </x:si>
  <x:si>
    <x:t xml:space="preserve">REVIEW_SYNTHESIS</x:t>
  </x:si>
  <x:si>
    <x:t xml:space="preserve">https://www.researchgate.net/publication/399413753_Machine_learning_in_ocean_data_assimilation_Advances_gaps_and_the_road_to_operations</x:t>
  </x:si>
  <x:si>
    <x:t xml:space="preserve">10.1016/j.ocemod.2026.102678</x:t>
  </x:si>
  <x:si>
    <x:t xml:space="preserve">PUBLISHED_ARTICLE_AUTHOR_UPLOAD_2026-05-22</x:t>
  </x:si>
  <x:si>
    <x:t xml:space="preserve">1; 2; 4</x:t>
  </x:si>
  <x:si>
    <x:t xml:space="preserve">AUTHOR_UPLOADED_FULLTEXT_SECTIONS_READ</x:t>
  </x:si>
  <x:si>
    <x:t xml:space="preserve">B03-0091</x:t>
  </x:si>
  <x:si>
    <x:t xml:space="preserve">Ocean data assimilation</x:t>
  </x:si>
  <x:si>
    <x:t xml:space="preserve">B03-0092</x:t>
  </x:si>
  <x:si>
    <x:t xml:space="preserve">data.literature_period</x:t>
  </x:si>
  <x:si>
    <x:t xml:space="preserve">2020–2025</x:t>
  </x:si>
  <x:si>
    <x:t xml:space="preserve">B03-0093</x:t>
  </x:si>
  <x:si>
    <x:t xml:space="preserve">problem.challenge</x:t>
  </x:si>
  <x:si>
    <x:t xml:space="preserve">Irregular observations</x:t>
  </x:si>
  <x:si>
    <x:t xml:space="preserve">B03-0094</x:t>
  </x:si>
  <x:si>
    <x:t xml:space="preserve">Coastal/open-ocean boundaries</x:t>
  </x:si>
  <x:si>
    <x:t xml:space="preserve">B03-0095</x:t>
  </x:si>
  <x:si>
    <x:t xml:space="preserve">Fine-scale reconstruction</x:t>
  </x:si>
  <x:si>
    <x:t xml:space="preserve">B03-0096</x:t>
  </x:si>
  <x:si>
    <x:t xml:space="preserve">Physical consistency</x:t>
  </x:si>
  <x:si>
    <x:t xml:space="preserve">B03-0097</x:t>
  </x:si>
  <x:si>
    <x:t xml:space="preserve">CNN reconstruction/downscaling</x:t>
  </x:si>
  <x:si>
    <x:t xml:space="preserve">3.1</x:t>
  </x:si>
  <x:si>
    <x:t xml:space="preserve">B03-0098</x:t>
  </x:si>
  <x:si>
    <x:t xml:space="preserve">Latent-space dimensionality reduction</x:t>
  </x:si>
  <x:si>
    <x:t xml:space="preserve">B03-0099</x:t>
  </x:si>
  <x:si>
    <x:t xml:space="preserve">PINN physical-loss constraints</x:t>
  </x:si>
  <x:si>
    <x:t xml:space="preserve">B03-0100</x:t>
  </x:si>
  <x:si>
    <x:t xml:space="preserve">Generative posterior ensembles</x:t>
  </x:si>
  <x:si>
    <x:t xml:space="preserve">B03-0101</x:t>
  </x:si>
  <x:si>
    <x:t xml:space="preserve">Neural operators</x:t>
  </x:si>
  <x:si>
    <x:t xml:space="preserve">B03-0102</x:t>
  </x:si>
  <x:si>
    <x:t xml:space="preserve">evaluation.maturity_stage.1</x:t>
  </x:si>
  <x:si>
    <x:t xml:space="preserve">Conceptual design: TRL 1–2</x:t>
  </x:si>
  <x:si>
    <x:t xml:space="preserve">REVIEW_FRAMEWORK</x:t>
  </x:si>
  <x:si>
    <x:t xml:space="preserve">3.2</x:t>
  </x:si>
  <x:si>
    <x:t xml:space="preserve">B03-0103</x:t>
  </x:si>
  <x:si>
    <x:t xml:space="preserve">evaluation.maturity_stage.2</x:t>
  </x:si>
  <x:si>
    <x:t xml:space="preserve">Toy models: TRL 2–3</x:t>
  </x:si>
  <x:si>
    <x:t xml:space="preserve">B03-0104</x:t>
  </x:si>
  <x:si>
    <x:t xml:space="preserve">evaluation.maturity_stage.3</x:t>
  </x:si>
  <x:si>
    <x:t xml:space="preserve">OSSEs: TRL 4–5</x:t>
  </x:si>
  <x:si>
    <x:t xml:space="preserve">B03-0105</x:t>
  </x:si>
  <x:si>
    <x:t xml:space="preserve">evaluation.maturity_stage.4</x:t>
  </x:si>
  <x:si>
    <x:t xml:space="preserve">Regional real data: TRL 6–7</x:t>
  </x:si>
  <x:si>
    <x:t xml:space="preserve">B03-0106</x:t>
  </x:si>
  <x:si>
    <x:t xml:space="preserve">evaluation.maturity_stage.5</x:t>
  </x:si>
  <x:si>
    <x:t xml:space="preserve">Quasi-operational/operational tests: TRL 8–9</x:t>
  </x:si>
  <x:si>
    <x:t xml:space="preserve">B03-0107</x:t>
  </x:si>
  <x:si>
    <x:t xml:space="preserve">CNN spectral smoothing</x:t>
  </x:si>
  <x:si>
    <x:t xml:space="preserve">3.1; 3.3</x:t>
  </x:si>
  <x:si>
    <x:t xml:space="preserve">B03-0108</x:t>
  </x:si>
  <x:si>
    <x:t xml:space="preserve">PINN convergence/noise sensitivity</x:t>
  </x:si>
  <x:si>
    <x:t xml:space="preserve">B03-0109</x:t>
  </x:si>
  <x:si>
    <x:t xml:space="preserve">Weak cross-regime transfer</x:t>
  </x:si>
  <x:si>
    <x:t xml:space="preserve">B03-0110</x:t>
  </x:si>
  <x:si>
    <x:t xml:space="preserve">Expensive retraining</x:t>
  </x:si>
  <x:si>
    <x:t xml:space="preserve">B03-0111</x:t>
  </x:si>
  <x:si>
    <x:t xml:space="preserve">Uncalibrated uncertainty</x:t>
  </x:si>
  <x:si>
    <x:t xml:space="preserve">B03-0112</x:t>
  </x:si>
  <x:si>
    <x:t xml:space="preserve">Unreliable emulator gradients</x:t>
  </x:si>
  <x:si>
    <x:t xml:space="preserve">B03-0113</x:t>
  </x:si>
  <x:si>
    <x:t xml:space="preserve">Incompatible benchmarking protocols</x:t>
  </x:si>
  <x:si>
    <x:t xml:space="preserve">B03-0114</x:t>
  </x:si>
  <x:si>
    <x:t xml:space="preserve">Physics embedded in architecture</x:t>
  </x:si>
  <x:si>
    <x:t xml:space="preserve">3.4</x:t>
  </x:si>
  <x:si>
    <x:t xml:space="preserve">B03-0115</x:t>
  </x:si>
  <x:si>
    <x:t xml:space="preserve">Multiscale coupled models</x:t>
  </x:si>
  <x:si>
    <x:t xml:space="preserve">B03-0116</x:t>
  </x:si>
  <x:si>
    <x:t xml:space="preserve">Online assimilation-cycle evaluation</x:t>
  </x:si>
  <x:si>
    <x:t xml:space="preserve">B03-0117</x:t>
  </x:si>
  <x:si>
    <x:t xml:space="preserve">Common datasets and benchmarks</x:t>
  </x:si>
  <x:si>
    <x:t xml:space="preserve">B03-0118</x:t>
  </x:si>
  <x:si>
    <x:t xml:space="preserve">Explainability and calibrated uncertainty</x:t>
  </x:si>
  <x:si>
    <x:t xml:space="preserve">B03-0119</x:t>
  </x:si>
  <x:si>
    <x:t xml:space="preserve">results.runtime.scope</x:t>
  </x:si>
  <x:si>
    <x:t xml:space="preserve">Inference acceleration excludes training and DA cycling</x:t>
  </x:si>
  <x:si>
    <x:t xml:space="preserve">3.3 Computational Costs</x:t>
  </x:si>
  <x:si>
    <x:t xml:space="preserve">B03-0120</x:t>
  </x:si>
  <x:si>
    <x:t xml:space="preserve">extraction.model_scope</x:t>
  </x:si>
  <x:si>
    <x:t xml:space="preserve">Review: model-specific hyperparameters require cited originals</x:t>
  </x:si>
  <x:si>
    <x:t xml:space="preserve">1; 3.1</x:t>
  </x:si>
  <x:si>
    <x:t xml:space="preserve">Do not attach hyperparameters of cited studies to this review as a single trained model.</x:t>
  </x:si>
  <x:si>
    <x:t xml:space="preserve">B03-0121</x:t>
  </x:si>
  <x:si>
    <x:t xml:space="preserve">Does offline skill persist through repeated assimilation cycles?</x:t>
  </x:si>
  <x:si>
    <x:t xml:space="preserve">3.3; 3.4</x:t>
  </x:si>
  <x:si>
    <x:t xml:space="preserve">B03-0122</x:t>
  </x:si>
  <x:si>
    <x:t xml:space="preserve">OAI-0009</x:t>
  </x:si>
  <x:si>
    <x:t xml:space="preserve">OAI-0009:MAIN</x:t>
  </x:si>
  <x:si>
    <x:t xml:space="preserve">Infer ocean dynamics from incomplete observations</x:t>
  </x:si>
  <x:si>
    <x:t xml:space="preserve">https://www.researchgate.net/publication/414521335_Deep_Learning_to_Infer_Ocean_Dynamics</x:t>
  </x:si>
  <x:si>
    <x:t xml:space="preserve">10.31223/X5PF84</x:t>
  </x:si>
  <x:si>
    <x:t xml:space="preserve">EARTHARXIV_PREPRINT_COPY_LINKED_TO_10.1146/annurev-marine-040324-023244</x:t>
  </x:si>
  <x:si>
    <x:t xml:space="preserve">1; 7.1</x:t>
  </x:si>
  <x:si>
    <x:t xml:space="preserve">PREPRINT_FULLTEXT_SECTIONS_READ</x:t>
  </x:si>
  <x:si>
    <x:t xml:space="preserve">B03-0123</x:t>
  </x:si>
  <x:si>
    <x:t xml:space="preserve">Physical oceanography</x:t>
  </x:si>
  <x:si>
    <x:t xml:space="preserve">B03-0124</x:t>
  </x:si>
  <x:si>
    <x:t xml:space="preserve">data.modalities</x:t>
  </x:si>
  <x:si>
    <x:t xml:space="preserve">Satellite and in-situ observations; simulations</x:t>
  </x:si>
  <x:si>
    <x:t xml:space="preserve">B03-0125</x:t>
  </x:si>
  <x:si>
    <x:t xml:space="preserve">data.variables_reviewed</x:t>
  </x:si>
  <x:si>
    <x:t xml:space="preserve">SSH; SST; SSS; currents; subsurface hydrography</x:t>
  </x:si>
  <x:si>
    <x:t xml:space="preserve">B03-0126</x:t>
  </x:si>
  <x:si>
    <x:t xml:space="preserve">Neural interpolation</x:t>
  </x:si>
  <x:si>
    <x:t xml:space="preserve">B03-0127</x:t>
  </x:si>
  <x:si>
    <x:t xml:space="preserve">Neural forecasting</x:t>
  </x:si>
  <x:si>
    <x:t xml:space="preserve">B03-0128</x:t>
  </x:si>
  <x:si>
    <x:t xml:space="preserve">Hybrid eddy parameterization</x:t>
  </x:si>
  <x:si>
    <x:t xml:space="preserve">B03-0129</x:t>
  </x:si>
  <x:si>
    <x:t xml:space="preserve">4DVarNet</x:t>
  </x:si>
  <x:si>
    <x:t xml:space="preserve">REVIEWED_4DVARNET_FORMULATION</x:t>
  </x:si>
  <x:si>
    <x:t xml:space="preserve">4.1 Equation 1</x:t>
  </x:si>
  <x:si>
    <x:t xml:space="preserve">B03-0130</x:t>
  </x:si>
  <x:si>
    <x:t xml:space="preserve">architecture.learned_components</x:t>
  </x:si>
  <x:si>
    <x:t xml:space="preserve">Dynamical prior and minimizer</x:t>
  </x:si>
  <x:si>
    <x:t xml:space="preserve">B03-0131</x:t>
  </x:si>
  <x:si>
    <x:t xml:space="preserve">objective.observation_loss</x:t>
  </x:si>
  <x:si>
    <x:t xml:space="preserve">Observation mismatch</x:t>
  </x:si>
  <x:si>
    <x:t xml:space="preserve">B03-0132</x:t>
  </x:si>
  <x:si>
    <x:t xml:space="preserve">objective.prior_loss</x:t>
  </x:si>
  <x:si>
    <x:t xml:space="preserve">Dynamical-prior mismatch</x:t>
  </x:si>
  <x:si>
    <x:t xml:space="preserve">B03-0133</x:t>
  </x:si>
  <x:si>
    <x:t xml:space="preserve">lambda_1; lambda_2</x:t>
  </x:si>
  <x:si>
    <x:t xml:space="preserve">B03-0134</x:t>
  </x:si>
  <x:si>
    <x:t xml:space="preserve">Score-based diffusion</x:t>
  </x:si>
  <x:si>
    <x:t xml:space="preserve">4.2</x:t>
  </x:si>
  <x:si>
    <x:t xml:space="preserve">B03-0135</x:t>
  </x:si>
  <x:si>
    <x:t xml:space="preserve">Synthetic observation subsampling</x:t>
  </x:si>
  <x:si>
    <x:t xml:space="preserve">REVIEWED_CONDITIONAL_GENERATIVE_DA</x:t>
  </x:si>
  <x:si>
    <x:t xml:space="preserve">4.2.1</x:t>
  </x:si>
  <x:si>
    <x:t xml:space="preserve">B03-0136</x:t>
  </x:si>
  <x:si>
    <x:t xml:space="preserve">physics.data_assimilation</x:t>
  </x:si>
  <x:si>
    <x:t xml:space="preserve">Observation likelihood guides unconditional prior</x:t>
  </x:si>
  <x:si>
    <x:t xml:space="preserve">REVIEWED_GENERATIVE_DA</x:t>
  </x:si>
  <x:si>
    <x:t xml:space="preserve">4.2.2 Equation 4</x:t>
  </x:si>
  <x:si>
    <x:t xml:space="preserve">B03-0137</x:t>
  </x:si>
  <x:si>
    <x:t xml:space="preserve">Conditional models need observing-system retraining</x:t>
  </x:si>
  <x:si>
    <x:t xml:space="preserve">4.2.2</x:t>
  </x:si>
  <x:si>
    <x:t xml:space="preserve">B03-0138</x:t>
  </x:si>
  <x:si>
    <x:t xml:space="preserve">Observation-error handling is incomplete</x:t>
  </x:si>
  <x:si>
    <x:t xml:space="preserve">B03-0139</x:t>
  </x:si>
  <x:si>
    <x:t xml:space="preserve">Skill does not ensure conservation</x:t>
  </x:si>
  <x:si>
    <x:t xml:space="preserve">7.2.1–7.2.4</x:t>
  </x:si>
  <x:si>
    <x:t xml:space="preserve">B03-0140</x:t>
  </x:si>
  <x:si>
    <x:t xml:space="preserve">Out-of-distribution degradation</x:t>
  </x:si>
  <x:si>
    <x:t xml:space="preserve">B03-0141</x:t>
  </x:si>
  <x:si>
    <x:t xml:space="preserve">Inherited simulation biases</x:t>
  </x:si>
  <x:si>
    <x:t xml:space="preserve">B03-0142</x:t>
  </x:si>
  <x:si>
    <x:t xml:space="preserve">Sparse subsurface constraints</x:t>
  </x:si>
  <x:si>
    <x:t xml:space="preserve">B03-0143</x:t>
  </x:si>
  <x:si>
    <x:t xml:space="preserve">Task-specific models rarely reused</x:t>
  </x:si>
  <x:si>
    <x:t xml:space="preserve">B03-0144</x:t>
  </x:si>
  <x:si>
    <x:t xml:space="preserve">Process-oriented validation</x:t>
  </x:si>
  <x:si>
    <x:t xml:space="preserve">7.2.3–7.2.5</x:t>
  </x:si>
  <x:si>
    <x:t xml:space="preserve">B03-0145</x:t>
  </x:si>
  <x:si>
    <x:t xml:space="preserve">Continual multitask learning</x:t>
  </x:si>
  <x:si>
    <x:t xml:space="preserve">B03-0146</x:t>
  </x:si>
  <x:si>
    <x:t xml:space="preserve">Adaptive ocean observations</x:t>
  </x:si>
  <x:si>
    <x:t xml:space="preserve">B03-0147</x:t>
  </x:si>
  <x:si>
    <x:t xml:space="preserve">Hypothesis-driven physical discovery</x:t>
  </x:si>
  <x:si>
    <x:t xml:space="preserve">B03-0148</x:t>
  </x:si>
  <x:si>
    <x:t xml:space="preserve">Review: no unified training experiment</x:t>
  </x:si>
  <x:si>
    <x:t xml:space="preserve">1; 7</x:t>
  </x:si>
  <x:si>
    <x:t xml:space="preserve">Preprint edition only. Publisher version not compared. Hyperparameters of cited models require original-paper extraction.</x:t>
  </x:si>
  <x:si>
    <x:t xml:space="preserve">B03-0149</x:t>
  </x:si>
  <x:si>
    <x:t xml:space="preserve">How does calibration change under altered sensor coverage?</x:t>
  </x:si>
  <x:si>
    <x:t xml:space="preserve">4.2.2; 7.2.2</x:t>
  </x:si>
  <x:si>
    <x:t xml:space="preserve">B03-0150</x:t>
  </x:si>
  <x:si>
    <x:t xml:space="preserve">OAI-0010</x:t>
  </x:si>
  <x:si>
    <x:t xml:space="preserve">OAI-0010:PRETRAIN</x:t>
  </x:si>
  <x:si>
    <x:t xml:space="preserve">Transferable weather/climate prediction</x:t>
  </x:si>
  <x:si>
    <x:t xml:space="preserve">https://proceedings.mlr.press/v202/nguyen23a/nguyen23a.pdf</x:t>
  </x:si>
  <x:si>
    <x:t xml:space="preserve">ICML2023_PMLR202_PUBLISHED_PDF_35_PAGES</x:t>
  </x:si>
  <x:si>
    <x:t xml:space="preserve">2.3; Appendix E.1</x:t>
  </x:si>
  <x:si>
    <x:t xml:space="preserve">PUBLISHED_PDF_TEXT_READ_TABLE4_VISUALLY_CHECKED</x:t>
  </x:si>
  <x:si>
    <x:t xml:space="preserve">B03-0151</x:t>
  </x:si>
  <x:si>
    <x:t xml:space="preserve">Atmosphere/climate; adjacent method</x:t>
  </x:si>
  <x:si>
    <x:t xml:space="preserve">B03-0152</x:t>
  </x:si>
  <x:si>
    <x:t xml:space="preserve">CMIP6: MPI; TaiESM; AWI; HAMMOZ; CMCC</x:t>
  </x:si>
  <x:si>
    <x:t xml:space="preserve">B03-0153</x:t>
  </x:si>
  <x:si>
    <x:t xml:space="preserve">1850–2015</x:t>
  </x:si>
  <x:si>
    <x:t xml:space="preserve">B03-0154</x:t>
  </x:si>
  <x:si>
    <x:t xml:space="preserve">hours</x:t>
  </x:si>
  <x:si>
    <x:t xml:space="preserve">B03-0155</x:t>
  </x:si>
  <x:si>
    <x:t xml:space="preserve">Global</x:t>
  </x:si>
  <x:si>
    <x:t xml:space="preserve">B03-0156</x:t>
  </x:si>
  <x:si>
    <x:t xml:space="preserve">data.regridding</x:t>
  </x:si>
  <x:si>
    <x:t xml:space="preserve">xESMF bilinear</x:t>
  </x:si>
  <x:si>
    <x:t xml:space="preserve">B03-0157</x:t>
  </x:si>
  <x:si>
    <x:t xml:space="preserve">OAI-0010:LOW_RESOLUTION</x:t>
  </x:si>
  <x:si>
    <x:t xml:space="preserve">2.3</x:t>
  </x:si>
  <x:si>
    <x:t xml:space="preserve">degrees</x:t>
  </x:si>
  <x:si>
    <x:t xml:space="preserve">B03-0158</x:t>
  </x:si>
  <x:si>
    <x:t xml:space="preserve">OAI-0010:HIGH_RESOLUTION</x:t>
  </x:si>
  <x:si>
    <x:t xml:space="preserve">B03-0159</x:t>
  </x:si>
  <x:si>
    <x:t xml:space="preserve">OAI-0010:FINETUNE_WEATHER</x:t>
  </x:si>
  <x:si>
    <x:t xml:space="preserve">ERA5/WeatherBench</x:t>
  </x:si>
  <x:si>
    <x:t xml:space="preserve">Appendix E.2</x:t>
  </x:si>
  <x:si>
    <x:t xml:space="preserve">B03-0160</x:t>
  </x:si>
  <x:si>
    <x:t xml:space="preserve">OAI-0010:FINETUNE_CLIMATE</x:t>
  </x:si>
  <x:si>
    <x:t xml:space="preserve">ClimateBench</x:t>
  </x:si>
  <x:si>
    <x:t xml:space="preserve">B03-0161</x:t>
  </x:si>
  <x:si>
    <x:t xml:space="preserve">LSM; orography; T2m; U10; V10; Z; U; V; T; Q</x:t>
  </x:si>
  <x:si>
    <x:t xml:space="preserve">Appendix E.2 Table 9</x:t>
  </x:si>
  <x:si>
    <x:t xml:space="preserve">B03-0162</x:t>
  </x:si>
  <x:si>
    <x:t xml:space="preserve">OAI-0010:GLOBAL_FORECAST</x:t>
  </x:si>
  <x:si>
    <x:t xml:space="preserve">Z500; T2m; T850; U10</x:t>
  </x:si>
  <x:si>
    <x:t xml:space="preserve">B03-0163</x:t>
  </x:si>
  <x:si>
    <x:t xml:space="preserve">OAI-0010:MAIN</x:t>
  </x:si>
  <x:si>
    <x:t xml:space="preserve">Per-variable/per-level z-score</x:t>
  </x:si>
  <x:si>
    <x:t xml:space="preserve">Appendix D</x:t>
  </x:si>
  <x:si>
    <x:t xml:space="preserve">B03-0164</x:t>
  </x:si>
  <x:si>
    <x:t xml:space="preserve">ViT</x:t>
  </x:si>
  <x:si>
    <x:t xml:space="preserve">2.2; Appendix C.1 Table 4</x:t>
  </x:si>
  <x:si>
    <x:t xml:space="preserve">B03-0165</x:t>
  </x:si>
  <x:si>
    <x:t xml:space="preserve">Per-variable patch convolution</x:t>
  </x:si>
  <x:si>
    <x:t xml:space="preserve">B03-0166</x:t>
  </x:si>
  <x:si>
    <x:t xml:space="preserve">architecture.aggregation</x:t>
  </x:si>
  <x:si>
    <x:t xml:space="preserve">Cross-attention; learned query</x:t>
  </x:si>
  <x:si>
    <x:t xml:space="preserve">B03-0167</x:t>
  </x:si>
  <x:si>
    <x:t xml:space="preserve">ViT blocks</x:t>
  </x:si>
  <x:si>
    <x:t xml:space="preserve">B03-0168</x:t>
  </x:si>
  <x:si>
    <x:t xml:space="preserve">embedding features</x:t>
  </x:si>
  <x:si>
    <x:t xml:space="preserve">B03-0169</x:t>
  </x:si>
  <x:si>
    <x:t xml:space="preserve">architecture.attention_heads</x:t>
  </x:si>
  <x:si>
    <x:t xml:space="preserve">heads</x:t>
  </x:si>
  <x:si>
    <x:t xml:space="preserve">B03-0170</x:t>
  </x:si>
  <x:si>
    <x:t xml:space="preserve">architecture.mlp_ratio</x:t>
  </x:si>
  <x:si>
    <x:t xml:space="preserve">dimensionless</x:t>
  </x:si>
  <x:si>
    <x:t xml:space="preserve">B03-0171</x:t>
  </x:si>
  <x:si>
    <x:t xml:space="preserve">MLP prediction head</x:t>
  </x:si>
  <x:si>
    <x:t xml:space="preserve">B03-0172</x:t>
  </x:si>
  <x:si>
    <x:t xml:space="preserve">layers</x:t>
  </x:si>
  <x:si>
    <x:t xml:space="preserve">B03-0173</x:t>
  </x:si>
  <x:si>
    <x:t xml:space="preserve">features</x:t>
  </x:si>
  <x:si>
    <x:t xml:space="preserve">B03-0174</x:t>
  </x:si>
  <x:si>
    <x:t xml:space="preserve">architecture.dropout</x:t>
  </x:si>
  <x:si>
    <x:t xml:space="preserve">probability</x:t>
  </x:si>
  <x:si>
    <x:t xml:space="preserve">B03-0175</x:t>
  </x:si>
  <x:si>
    <x:t xml:space="preserve">architecture.drop_path</x:t>
  </x:si>
  <x:si>
    <x:t xml:space="preserve">B03-0176</x:t>
  </x:si>
  <x:si>
    <x:t xml:space="preserve">architecture.variable_vocabulary</x:t>
  </x:si>
  <x:si>
    <x:t xml:space="preserve">variables</x:t>
  </x:si>
  <x:si>
    <x:t xml:space="preserve">B03-0177</x:t>
  </x:si>
  <x:si>
    <x:t xml:space="preserve">architecture.mlp_hidden_width</x:t>
  </x:si>
  <x:si>
    <x:t xml:space="preserve">2.2</x:t>
  </x:si>
  <x:si>
    <x:t xml:space="preserve">B03-0178</x:t>
  </x:si>
  <x:si>
    <x:t xml:space="preserve">architecture.patch_size</x:t>
  </x:si>
  <x:si>
    <x:t xml:space="preserve">Appendix C.1 Table 4</x:t>
  </x:si>
  <x:si>
    <x:t xml:space="preserve">grid cells/side</x:t>
  </x:si>
  <x:si>
    <x:t xml:space="preserve">B03-0179</x:t>
  </x:si>
  <x:si>
    <x:t xml:space="preserve">B03-0180</x:t>
  </x:si>
  <x:si>
    <x:t xml:space="preserve">AdamW</x:t>
  </x:si>
  <x:si>
    <x:t xml:space="preserve">Appendix D.1 Equations 1–2</x:t>
  </x:si>
  <x:si>
    <x:t xml:space="preserve">B03-0181</x:t>
  </x:si>
  <x:si>
    <x:t xml:space="preserve">training.beta1</x:t>
  </x:si>
  <x:si>
    <x:t xml:space="preserve">B03-0182</x:t>
  </x:si>
  <x:si>
    <x:t xml:space="preserve">training.beta2</x:t>
  </x:si>
  <x:si>
    <x:t xml:space="preserve">B03-0183</x:t>
  </x:si>
  <x:si>
    <x:t xml:space="preserve">B03-0184</x:t>
  </x:si>
  <x:si>
    <x:t xml:space="preserve">Positional embeddings excluded from weight decay.</x:t>
  </x:si>
  <x:si>
    <x:t xml:space="preserve">B03-0185</x:t>
  </x:si>
  <x:si>
    <x:t xml:space="preserve">Linear warmup → cosine annealing</x:t>
  </x:si>
  <x:si>
    <x:t xml:space="preserve">B03-0186</x:t>
  </x:si>
  <x:si>
    <x:t xml:space="preserve">training.warmup_steps</x:t>
  </x:si>
  <x:si>
    <x:t xml:space="preserve">steps</x:t>
  </x:si>
  <x:si>
    <x:t xml:space="preserve">B03-0187</x:t>
  </x:si>
  <x:si>
    <x:t xml:space="preserve">training.cosine_steps</x:t>
  </x:si>
  <x:si>
    <x:t xml:space="preserve">B03-0188</x:t>
  </x:si>
  <x:si>
    <x:t xml:space="preserve">training.warmup_epochs</x:t>
  </x:si>
  <x:si>
    <x:t xml:space="preserve">B03-0189</x:t>
  </x:si>
  <x:si>
    <x:t xml:space="preserve">training.cosine_epochs</x:t>
  </x:si>
  <x:si>
    <x:t xml:space="preserve">B03-0190</x:t>
  </x:si>
  <x:si>
    <x:t xml:space="preserve">Latitude-weighted MSE</x:t>
  </x:si>
  <x:si>
    <x:t xml:space="preserve">B03-0191</x:t>
  </x:si>
  <x:si>
    <x:t xml:space="preserve">cos(latitude)/mean(cos(latitude))</x:t>
  </x:si>
  <x:si>
    <x:t xml:space="preserve">B03-0192</x:t>
  </x:si>
  <x:si>
    <x:t xml:space="preserve">NVIDIA V100</x:t>
  </x:si>
  <x:si>
    <x:t xml:space="preserve">B03-0193</x:t>
  </x:si>
  <x:si>
    <x:t xml:space="preserve">GPUs</x:t>
  </x:si>
  <x:si>
    <x:t xml:space="preserve">B03-0194</x:t>
  </x:si>
  <x:si>
    <x:t xml:space="preserve">GB/GPU</x:t>
  </x:si>
  <x:si>
    <x:t xml:space="preserve">B03-0195</x:t>
  </x:si>
  <x:si>
    <x:t xml:space="preserve">training.precision</x:t>
  </x:si>
  <x:si>
    <x:t xml:space="preserve">fp16</x:t>
  </x:si>
  <x:si>
    <x:t xml:space="preserve">B03-0196</x:t>
  </x:si>
  <x:si>
    <x:t xml:space="preserve">OAI-0010:FINETUNE</x:t>
  </x:si>
  <x:si>
    <x:t xml:space="preserve">Appendix D.2</x:t>
  </x:si>
  <x:si>
    <x:t xml:space="preserve">B03-0197</x:t>
  </x:si>
  <x:si>
    <x:t xml:space="preserve">B03-0198</x:t>
  </x:si>
  <x:si>
    <x:t xml:space="preserve">B03-0199</x:t>
  </x:si>
  <x:si>
    <x:t xml:space="preserve">B03-0200</x:t>
  </x:si>
  <x:si>
    <x:t xml:space="preserve">B03-0201</x:t>
  </x:si>
  <x:si>
    <x:t xml:space="preserve">B03-0202</x:t>
  </x:si>
  <x:si>
    <x:t xml:space="preserve">B03-0203</x:t>
  </x:si>
  <x:si>
    <x:t xml:space="preserve">Appendix D.2 Table 7</x:t>
  </x:si>
  <x:si>
    <x:t xml:space="preserve">B03-0204</x:t>
  </x:si>
  <x:si>
    <x:t xml:space="preserve">B03-0205</x:t>
  </x:si>
  <x:si>
    <x:t xml:space="preserve">OAI-0010:FINETUNE_DOWNSCALING</x:t>
  </x:si>
  <x:si>
    <x:t xml:space="preserve">B03-0206</x:t>
  </x:si>
  <x:si>
    <x:t xml:space="preserve">Unweighted MSE</x:t>
  </x:si>
  <x:si>
    <x:t xml:space="preserve">Appendix D.2.1</x:t>
  </x:si>
  <x:si>
    <x:t xml:space="preserve">B03-0207</x:t>
  </x:si>
  <x:si>
    <x:t xml:space="preserve">Appendix F.3</x:t>
  </x:si>
  <x:si>
    <x:t xml:space="preserve">Eight V100 GPUs. This is finetuning, not total pretraining time.</x:t>
  </x:si>
  <x:si>
    <x:t xml:space="preserve">hours approximately per weight set</x:t>
  </x:si>
  <x:si>
    <x:t xml:space="preserve">B03-0208</x:t>
  </x:si>
  <x:si>
    <x:t xml:space="preserve">ResNet; UNet; IFS</x:t>
  </x:si>
  <x:si>
    <x:t xml:space="preserve">B03-0209</x:t>
  </x:si>
  <x:si>
    <x:t xml:space="preserve">RMSE; ACC</x:t>
  </x:si>
  <x:si>
    <x:t xml:space="preserve">Appendix F.1</x:t>
  </x:si>
  <x:si>
    <x:t xml:space="preserve">B03-0210</x:t>
  </x:si>
  <x:si>
    <x:t xml:space="preserve">OAI-0010:CLIMAX_5.625</x:t>
  </x:si>
  <x:si>
    <x:t xml:space="preserve">results.Z500.RMSE_72h</x:t>
  </x:si>
  <x:si>
    <x:t xml:space="preserve">Appendix F.4 Table 12</x:t>
  </x:si>
  <x:si>
    <x:t xml:space="preserve">Table 12; Z500; 72 h; CLIMAX_5.625</x:t>
  </x:si>
  <x:si>
    <x:t xml:space="preserve">m²/s²</x:t>
  </x:si>
  <x:si>
    <x:t xml:space="preserve">B03-0211</x:t>
  </x:si>
  <x:si>
    <x:t xml:space="preserve">OAI-0010:CLIMAX_1.40625</x:t>
  </x:si>
  <x:si>
    <x:t xml:space="preserve">Table 12; Z500; 72 h; CLIMAX_1.40625</x:t>
  </x:si>
  <x:si>
    <x:t xml:space="preserve">B03-0212</x:t>
  </x:si>
  <x:si>
    <x:t xml:space="preserve">OAI-0010:RESNET_5.625</x:t>
  </x:si>
  <x:si>
    <x:t xml:space="preserve">Table 12; Z500; 72 h; RESNET_5.625</x:t>
  </x:si>
  <x:si>
    <x:t xml:space="preserve">B03-0213</x:t>
  </x:si>
  <x:si>
    <x:t xml:space="preserve">OAI-0010:UNET_5.625</x:t>
  </x:si>
  <x:si>
    <x:t xml:space="preserve">Table 12; Z500; 72 h; UNET_5.625</x:t>
  </x:si>
  <x:si>
    <x:t xml:space="preserve">B03-0214</x:t>
  </x:si>
  <x:si>
    <x:t xml:space="preserve">https://github.com/microsoft/ClimaX</x:t>
  </x:si>
  <x:si>
    <x:t xml:space="preserve">Abstract code link</x:t>
  </x:si>
  <x:si>
    <x:t xml:space="preserve">Paper-declared link; repository commit and execution not audited.</x:t>
  </x:si>
  <x:si>
    <x:t xml:space="preserve">B03-0215</x:t>
  </x:si>
  <x:si>
    <x:t xml:space="preserve">Compute limited spatial resolution</x:t>
  </x:si>
  <x:si>
    <x:t xml:space="preserve">4 Discussion</x:t>
  </x:si>
  <x:si>
    <x:t xml:space="preserve">B03-0216</x:t>
  </x:si>
  <x:si>
    <x:t xml:space="preserve">CMIP6 downloads unavailable for some sources</x:t>
  </x:si>
  <x:si>
    <x:t xml:space="preserve">Appendix E.1</x:t>
  </x:si>
  <x:si>
    <x:t xml:space="preserve">B03-0217</x:t>
  </x:si>
  <x:si>
    <x:t xml:space="preserve">Pretraining data/model size scaling</x:t>
  </x:si>
  <x:si>
    <x:t xml:space="preserve">3.4 Figure 6</x:t>
  </x:si>
  <x:si>
    <x:t xml:space="preserve">B03-0218</x:t>
  </x:si>
  <x:si>
    <x:t xml:space="preserve">Main paper and appendices; implementation follow-up pending</x:t>
  </x:si>
  <x:si>
    <x:t xml:space="preserve">B03-0219</x:t>
  </x:si>
  <x:si>
    <x:t xml:space="preserve">B03-0220</x:t>
  </x:si>
  <x:si>
    <x:t xml:space="preserve">B03-0221</x:t>
  </x:si>
  <x:si>
    <x:t xml:space="preserve">Not located in the inspected published PDF (main text and appendices). Code/configurations not inspected; absence is limited to this source. Finetuning duration is extracted separately.</x:t>
  </x:si>
  <x:si>
    <x:t xml:space="preserve">B03-0222</x:t>
  </x:si>
  <x:si>
    <x:t xml:space="preserve">B03-0223</x:t>
  </x:si>
  <x:si>
    <x:t xml:space="preserve">B03-0224</x:t>
  </x:si>
  <x:si>
    <x:t xml:space="preserve">B03-0225</x:t>
  </x:si>
  <x:si>
    <x:t xml:space="preserve">B03-0226</x:t>
  </x:si>
  <x:si>
    <x:t xml:space="preserve">B03-0227</x:t>
  </x:si>
  <x:si>
    <x:t xml:space="preserve">B03-0228</x:t>
  </x:si>
  <x:si>
    <x:t xml:space="preserve">Does ClimaX transfer to masked ocean variables?</x:t>
  </x:si>
  <x:si>
    <x:t xml:space="preserve">2.2; 4</x:t>
  </x:si>
  <x:si>
    <x:t xml:space="preserve">B03-0229</x:t>
  </x:si>
  <x:si>
    <x:t xml:space="preserve">OAI-0011</x:t>
  </x:si>
  <x:si>
    <x:t xml:space="preserve">OAI-0011:MAIN</x:t>
  </x:si>
  <x:si>
    <x:t xml:space="preserve">Coupled seasonal ENSO forecasting</x:t>
  </x:si>
  <x:si>
    <x:t xml:space="preserve">https://arxiv.org/html/2406.08632v1</x:t>
  </x:si>
  <x:si>
    <x:t xml:space="preserve">10.48550/arXiv.2406.08632</x:t>
  </x:si>
  <x:si>
    <x:t xml:space="preserve">ARXIV_V1_2024-06-12</x:t>
  </x:si>
  <x:si>
    <x:t xml:space="preserve">1; 4.1 Equations 1–2</x:t>
  </x:si>
  <x:si>
    <x:t xml:space="preserve">VERSIONED_HTML_METHODS_RESULTS_APPENDICES_READ</x:t>
  </x:si>
  <x:si>
    <x:t xml:space="preserve">B03-0230</x:t>
  </x:si>
  <x:si>
    <x:t xml:space="preserve">Ocean–atmosphere dynamics</x:t>
  </x:si>
  <x:si>
    <x:t xml:space="preserve">B03-0231</x:t>
  </x:si>
  <x:si>
    <x:t xml:space="preserve">SFNO</x:t>
  </x:si>
  <x:si>
    <x:t xml:space="preserve">B03-0232</x:t>
  </x:si>
  <x:si>
    <x:t xml:space="preserve">architecture.coupling</x:t>
  </x:si>
  <x:si>
    <x:t xml:space="preserve">Separately trained ocean/atmosphere models</x:t>
  </x:si>
  <x:si>
    <x:t xml:space="preserve">B03-0233</x:t>
  </x:si>
  <x:si>
    <x:t xml:space="preserve">Spherical MSE</x:t>
  </x:si>
  <x:si>
    <x:t xml:space="preserve">B03-0234</x:t>
  </x:si>
  <x:si>
    <x:t xml:space="preserve">Cosine solar zenith angle</x:t>
  </x:si>
  <x:si>
    <x:t xml:space="preserve">B03-0235</x:t>
  </x:si>
  <x:si>
    <x:t xml:space="preserve">OAI-0011:ATMOSPHERE</x:t>
  </x:si>
  <x:si>
    <x:t xml:space="preserve">ERA5</x:t>
  </x:si>
  <x:si>
    <x:t xml:space="preserve">B03-0236</x:t>
  </x:si>
  <x:si>
    <x:t xml:space="preserve">1980–2016</x:t>
  </x:si>
  <x:si>
    <x:t xml:space="preserve">B03-0237</x:t>
  </x:si>
  <x:si>
    <x:t xml:space="preserve">B03-0238</x:t>
  </x:si>
  <x:si>
    <x:t xml:space="preserve">B03-0239</x:t>
  </x:si>
  <x:si>
    <x:t xml:space="preserve">data.pressure_level_count</x:t>
  </x:si>
  <x:si>
    <x:t xml:space="preserve">levels</x:t>
  </x:si>
  <x:si>
    <x:t xml:space="preserve">B03-0240</x:t>
  </x:si>
  <x:si>
    <x:t xml:space="preserve">architecture.forecast_timestep</x:t>
  </x:si>
  <x:si>
    <x:t xml:space="preserve">B03-0241</x:t>
  </x:si>
  <x:si>
    <x:t xml:space="preserve">OAI-0011:OCEAN</x:t>
  </x:si>
  <x:si>
    <x:t xml:space="preserve">NOAA UFS-replay</x:t>
  </x:si>
  <x:si>
    <x:t xml:space="preserve">4.2; 4.3</x:t>
  </x:si>
  <x:si>
    <x:t xml:space="preserve">B03-0242</x:t>
  </x:si>
  <x:si>
    <x:t xml:space="preserve">1994–2016</x:t>
  </x:si>
  <x:si>
    <x:t xml:space="preserve">B03-0243</x:t>
  </x:si>
  <x:si>
    <x:t xml:space="preserve">B03-0244</x:t>
  </x:si>
  <x:si>
    <x:t xml:space="preserve">SST; SSH; potential temperature</x:t>
  </x:si>
  <x:si>
    <x:t xml:space="preserve">B03-0245</x:t>
  </x:si>
  <x:si>
    <x:t xml:space="preserve">Future SST; SSH; potential temperature</x:t>
  </x:si>
  <x:si>
    <x:t xml:space="preserve">B03-0246</x:t>
  </x:si>
  <x:si>
    <x:t xml:space="preserve">B03-0247</x:t>
  </x:si>
  <x:si>
    <x:t xml:space="preserve">Land values set to zero</x:t>
  </x:si>
  <x:si>
    <x:t xml:space="preserve">B03-0248</x:t>
  </x:si>
  <x:si>
    <x:t xml:space="preserve">Depth-dependent wet masks</x:t>
  </x:si>
  <x:si>
    <x:t xml:space="preserve">B03-0249</x:t>
  </x:si>
  <x:si>
    <x:t xml:space="preserve">data.vertical_level_count</x:t>
  </x:si>
  <x:si>
    <x:t xml:space="preserve">Paragraph beginning Specifically</x:t>
  </x:si>
  <x:si>
    <x:t xml:space="preserve">CONFLICT_VLEVELS: main text says eight levels; Appendix A lists six. Unresolved.</x:t>
  </x:si>
  <x:si>
    <x:t xml:space="preserve">B03-0250</x:t>
  </x:si>
  <x:si>
    <x:t xml:space="preserve">data.vertical_levels</x:t>
  </x:si>
  <x:si>
    <x:t xml:space="preserve">0.5, 9.8, 47.3, 97.2, 200.3, 301.7</x:t>
  </x:si>
  <x:si>
    <x:t xml:space="preserve">Appendix A</x:t>
  </x:si>
  <x:si>
    <x:t xml:space="preserve">Ocean Depth list</x:t>
  </x:si>
  <x:si>
    <x:t xml:space="preserve">CONFLICT_VLEVELS: six listed depths versus eight claimed in section 4.2. No correction inferred.</x:t>
  </x:si>
  <x:si>
    <x:t xml:space="preserve">B03-0251</x:t>
  </x:si>
  <x:si>
    <x:t xml:space="preserve">SST</x:t>
  </x:si>
  <x:si>
    <x:t xml:space="preserve">4.3</x:t>
  </x:si>
  <x:si>
    <x:t xml:space="preserve">B03-0252</x:t>
  </x:si>
  <x:si>
    <x:t xml:space="preserve">10u; 10v; 2t; mslp</x:t>
  </x:si>
  <x:si>
    <x:t xml:space="preserve">B03-0253</x:t>
  </x:si>
  <x:si>
    <x:t xml:space="preserve">physics.initial_conditions</x:t>
  </x:si>
  <x:si>
    <x:t xml:space="preserve">ERA5 and UFS-replay states</x:t>
  </x:si>
  <x:si>
    <x:t xml:space="preserve">B03-0254</x:t>
  </x:si>
  <x:si>
    <x:t xml:space="preserve">2017 onward</x:t>
  </x:si>
  <x:si>
    <x:t xml:space="preserve">2017 also used for atmosphere one-step validation. Results use varying 2017–2021 / 2017–2022 descriptions; do not assume an untouched 2017 test set.</x:t>
  </x:si>
  <x:si>
    <x:t xml:space="preserve">B03-0255</x:t>
  </x:si>
  <x:si>
    <x:t xml:space="preserve">GFDL-SPEAR</x:t>
  </x:si>
  <x:si>
    <x:t xml:space="preserve">B03-0256</x:t>
  </x:si>
  <x:si>
    <x:t xml:space="preserve">evaluation.ensemble_members</x:t>
  </x:si>
  <x:si>
    <x:t xml:space="preserve">4.4</x:t>
  </x:si>
  <x:si>
    <x:t xml:space="preserve">members</x:t>
  </x:si>
  <x:si>
    <x:t xml:space="preserve">B03-0257</x:t>
  </x:si>
  <x:si>
    <x:t xml:space="preserve">evaluation.ensemble_initialization</x:t>
  </x:si>
  <x:si>
    <x:t xml:space="preserve">Every 6 h during first 3 days/month</x:t>
  </x:si>
  <x:si>
    <x:t xml:space="preserve">B03-0258</x:t>
  </x:si>
  <x:si>
    <x:t xml:space="preserve">evaluation.forecast_horizon</x:t>
  </x:si>
  <x:si>
    <x:t xml:space="preserve">months</x:t>
  </x:si>
  <x:si>
    <x:t xml:space="preserve">B03-0259</x:t>
  </x:si>
  <x:si>
    <x:t xml:space="preserve">&lt;1 minute</x:t>
  </x:si>
  <x:si>
    <x:t xml:space="preserve">3</x:t>
  </x:si>
  <x:si>
    <x:t xml:space="preserve">Inference on one A100 GPU; not training time.</x:t>
  </x:si>
  <x:si>
    <x:t xml:space="preserve">per six-month forecast</x:t>
  </x:si>
  <x:si>
    <x:t xml:space="preserve">B03-0260</x:t>
  </x:si>
  <x:si>
    <x:t xml:space="preserve">results.inference_hardware</x:t>
  </x:si>
  <x:si>
    <x:t xml:space="preserve">1 NVIDIA A100</x:t>
  </x:si>
  <x:si>
    <x:t xml:space="preserve">B03-0261</x:t>
  </x:si>
  <x:si>
    <x:t xml:space="preserve">evaluation.bias_correction</x:t>
  </x:si>
  <x:si>
    <x:t xml:space="preserve">Lead-dependent climatological bias removal</x:t>
  </x:si>
  <x:si>
    <x:t xml:space="preserve">Appendix C</x:t>
  </x:si>
  <x:si>
    <x:t xml:space="preserve">B03-0262</x:t>
  </x:si>
  <x:si>
    <x:t xml:space="preserve">data.temperature_anomaly_units</x:t>
  </x:si>
  <x:si>
    <x:t xml:space="preserve">K</x:t>
  </x:si>
  <x:si>
    <x:t xml:space="preserve">Appendix C; Figure C1/C3</x:t>
  </x:si>
  <x:si>
    <x:t xml:space="preserve">B03-0263</x:t>
  </x:si>
  <x:si>
    <x:t xml:space="preserve">data.pressure_anomaly_units</x:t>
  </x:si>
  <x:si>
    <x:t xml:space="preserve">hPa</x:t>
  </x:si>
  <x:si>
    <x:t xml:space="preserve">Appendix C; Figure C2</x:t>
  </x:si>
  <x:si>
    <x:t xml:space="preserve">B03-0264</x:t>
  </x:si>
  <x:si>
    <x:t xml:space="preserve">High-latitude drift; instability beyond six months</x:t>
  </x:si>
  <x:si>
    <x:t xml:space="preserve">2; 3</x:t>
  </x:si>
  <x:si>
    <x:t xml:space="preserve">B03-0265</x:t>
  </x:si>
  <x:si>
    <x:t xml:space="preserve">Short evaluation prevents quantitative skill comparison</x:t>
  </x:si>
  <x:si>
    <x:t xml:space="preserve">B03-0266</x:t>
  </x:si>
  <x:si>
    <x:t xml:space="preserve">Earlier SST-only setup reached permanent El Niño</x:t>
  </x:si>
  <x:si>
    <x:t xml:space="preserve">B03-0267</x:t>
  </x:si>
  <x:si>
    <x:t xml:space="preserve">Richer ocean states; simulation pretraining</x:t>
  </x:si>
  <x:si>
    <x:t xml:space="preserve">B03-0268</x:t>
  </x:si>
  <x:si>
    <x:t xml:space="preserve">reproducibility.code_status</x:t>
  </x:si>
  <x:si>
    <x:t xml:space="preserve">Release planned</x:t>
  </x:si>
  <x:si>
    <x:t xml:space="preserve">B03-0269</x:t>
  </x:si>
  <x:si>
    <x:t xml:space="preserve">https://github.com/NVIDIA/modulus-makani</x:t>
  </x:si>
  <x:si>
    <x:t xml:space="preserve">BASE_PACKAGE</x:t>
  </x:si>
  <x:si>
    <x:t xml:space="preserve">4.1</x:t>
  </x:si>
  <x:si>
    <x:t xml:space="preserve">Package cited by paper; not evidence that all Ola-specific modifications were released.</x:t>
  </x:si>
  <x:si>
    <x:t xml:space="preserve">B03-0270</x:t>
  </x:si>
  <x:si>
    <x:t xml:space="preserve">reproducibility.inference_code</x:t>
  </x:si>
  <x:si>
    <x:t xml:space="preserve">https://github.com/NVIDIA/earth2mip</x:t>
  </x:si>
  <x:si>
    <x:t xml:space="preserve">B03-0271</x:t>
  </x:si>
  <x:si>
    <x:t xml:space="preserve">4 Data and Methods; Appendices A–C</x:t>
  </x:si>
  <x:si>
    <x:t xml:space="preserve">Not extracted from code/configurations; do not substitute defaults from the cited SFNO package.</x:t>
  </x:si>
  <x:si>
    <x:t xml:space="preserve">B03-0272</x:t>
  </x:si>
  <x:si>
    <x:t xml:space="preserve">B03-0273</x:t>
  </x:si>
  <x:si>
    <x:t xml:space="preserve">B03-0274</x:t>
  </x:si>
  <x:si>
    <x:t xml:space="preserve">B03-0275</x:t>
  </x:si>
  <x:si>
    <x:t xml:space="preserve">B03-0276</x:t>
  </x:si>
  <x:si>
    <x:t xml:space="preserve">B03-0277</x:t>
  </x:si>
  <x:si>
    <x:t xml:space="preserve">B03-0278</x:t>
  </x:si>
  <x:si>
    <x:t xml:space="preserve">B03-0279</x:t>
  </x:si>
  <x:si>
    <x:t xml:space="preserve">B03-0280</x:t>
  </x:si>
  <x:si>
    <x:t xml:space="preserve">B03-0281</x:t>
  </x:si>
  <x:si>
    <x:t xml:space="preserve">B03-0282</x:t>
  </x:si>
  <x:si>
    <x:t xml:space="preserve">B03-0283</x:t>
  </x:si>
  <x:si>
    <x:t xml:space="preserve">B03-0284</x:t>
  </x:si>
  <x:si>
    <x:t xml:space="preserve">B03-0285</x:t>
  </x:si>
  <x:si>
    <x:t xml:space="preserve">B03-0286</x:t>
  </x:si>
  <x:si>
    <x:t xml:space="preserve">B03-0287</x:t>
  </x:si>
  <x:si>
    <x:t xml:space="preserve">B03-0288</x:t>
  </x:si>
  <x:si>
    <x:t xml:space="preserve">B03-0289</x:t>
  </x:si>
  <x:si>
    <x:t xml:space="preserve">B03-0290</x:t>
  </x:si>
  <x:si>
    <x:t xml:space="preserve">B03-0291</x:t>
  </x:si>
  <x:si>
    <x:t xml:space="preserve">B03-0292</x:t>
  </x:si>
  <x:si>
    <x:t xml:space="preserve">B03-0293</x:t>
  </x:si>
  <x:si>
    <x:t xml:space="preserve">Which coupling choices control high-latitude drift?</x:t>
  </x:si>
  <x:si>
    <x:t xml:space="preserve">3; 4.3</x:t>
  </x:si>
  <x:si>
    <x:t xml:space="preserve">B04-0001</x:t>
  </x:si>
  <x:si>
    <x:t xml:space="preserve">OAI-0027</x:t>
  </x:si>
  <x:si>
    <x:t xml:space="preserve">architecture.family</x:t>
  </x:si>
  <x:si>
    <x:t xml:space="preserve">Hierarchical graph encode-process-decode network (SeaCast).</x:t>
  </x:si>
  <x:si>
    <x:t xml:space="preserve">Study configuration; use field and locator for experiment/variant.</x:t>
  </x:si>
  <x:si>
    <x:t xml:space="preserve">https://www.nature.com/articles/s41598-025-31177-w</x:t>
  </x:si>
  <x:si>
    <x:t xml:space="preserve">10.1038/s41598-025-31177-w</x:t>
  </x:si>
  <x:si>
    <x:t xml:space="preserve">SeaCast: data-driven regional ocean forecasting</x:t>
  </x:si>
  <x:si>
    <x:t xml:space="preserve">HTML extracted paragraph 9 (1-based; cached article order)</x:t>
  </x:si>
  <x:si>
    <x:t xml:space="preserve">SOURCE_SECTION_READ</x:t>
  </x:si>
  <x:si>
    <x:t xml:space="preserve">Sections inspected; supplements, code execution and independent audit remain pending.</x:t>
  </x:si>
  <x:si>
    <x:t xml:space="preserve">B04</x:t>
  </x:si>
  <x:si>
    <x:t xml:space="preserve">B04-0002</x:t>
  </x:si>
  <x:si>
    <x:t xml:space="preserve">outputs.target</x:t>
  </x:si>
  <x:si>
    <x:t xml:space="preserve">One-day ocean-state tendency added to current state.</x:t>
  </x:si>
  <x:si>
    <x:t xml:space="preserve">B04-0003</x:t>
  </x:si>
  <x:si>
    <x:t xml:space="preserve">Dynamic boundary conditions applied each autoregressive step.</x:t>
  </x:si>
  <x:si>
    <x:t xml:space="preserve">B04-0004</x:t>
  </x:si>
  <x:si>
    <x:t xml:space="preserve">architecture.mesh_levels</x:t>
  </x:si>
  <x:si>
    <x:t xml:space="preserve">Model and training</x:t>
  </x:si>
  <x:si>
    <x:t xml:space="preserve">HTML extracted paragraph 55 (1-based; cached article order)</x:t>
  </x:si>
  <x:si>
    <x:t xml:space="preserve">B04-0005</x:t>
  </x:si>
  <x:si>
    <x:t xml:space="preserve">architecture.processor_layers</x:t>
  </x:si>
  <x:si>
    <x:t xml:space="preserve">B04-0006</x:t>
  </x:si>
  <x:si>
    <x:t xml:space="preserve">architecture.hidden_dimensions</x:t>
  </x:si>
  <x:si>
    <x:t xml:space="preserve">units</x:t>
  </x:si>
  <x:si>
    <x:t xml:space="preserve">B04-0007</x:t>
  </x:si>
  <x:si>
    <x:t xml:space="preserve">parameters</x:t>
  </x:si>
  <x:si>
    <x:t xml:space="preserve">B04-0008</x:t>
  </x:si>
  <x:si>
    <x:t xml:space="preserve">B04-0009</x:t>
  </x:si>
  <x:si>
    <x:t xml:space="preserve">training.optimizer_beta1</x:t>
  </x:si>
  <x:si>
    <x:t xml:space="preserve">B04-0010</x:t>
  </x:si>
  <x:si>
    <x:t xml:space="preserve">training.optimizer_beta2</x:t>
  </x:si>
  <x:si>
    <x:t xml:space="preserve">B04-0011</x:t>
  </x:si>
  <x:si>
    <x:t xml:space="preserve">B04-0012</x:t>
  </x:si>
  <x:si>
    <x:t xml:space="preserve">training.learning_rate_initial</x:t>
  </x:si>
  <x:si>
    <x:t xml:space="preserve">B04-0013</x:t>
  </x:si>
  <x:si>
    <x:t xml:space="preserve">training.learning_rate_peak</x:t>
  </x:si>
  <x:si>
    <x:t xml:space="preserve">B04-0014</x:t>
  </x:si>
  <x:si>
    <x:t xml:space="preserve">training.scheduler</x:t>
  </x:si>
  <x:si>
    <x:t xml:space="preserve">Five-epoch warm-up followed by cosine decay.</x:t>
  </x:si>
  <x:si>
    <x:t xml:space="preserve">B04-0015</x:t>
  </x:si>
  <x:si>
    <x:t xml:space="preserve">training.batch_size_local</x:t>
  </x:si>
  <x:si>
    <x:t xml:space="preserve">sample per GPU</x:t>
  </x:si>
  <x:si>
    <x:t xml:space="preserve">B04-0016</x:t>
  </x:si>
  <x:si>
    <x:t xml:space="preserve">training.epochs_pretraining</x:t>
  </x:si>
  <x:si>
    <x:t xml:space="preserve">B04-0017</x:t>
  </x:si>
  <x:si>
    <x:t xml:space="preserve">training.epochs_finetuning</x:t>
  </x:si>
  <x:si>
    <x:t xml:space="preserve">B04-0018</x:t>
  </x:si>
  <x:si>
    <x:t xml:space="preserve">training.finetuning_initial_lr</x:t>
  </x:si>
  <x:si>
    <x:t xml:space="preserve">B04-0019</x:t>
  </x:si>
  <x:si>
    <x:t xml:space="preserve">training.finetuning_peak_lr</x:t>
  </x:si>
  <x:si>
    <x:t xml:space="preserve">B04-0020</x:t>
  </x:si>
  <x:si>
    <x:t xml:space="preserve">training.hardware_pretraining</x:t>
  </x:si>
  <x:si>
    <x:t xml:space="preserve">64 AMD MI250x GPUs</x:t>
  </x:si>
  <x:si>
    <x:t xml:space="preserve">B04-0021</x:t>
  </x:si>
  <x:si>
    <x:t xml:space="preserve">training.time_pretraining</x:t>
  </x:si>
  <x:si>
    <x:t xml:space="preserve">h</x:t>
  </x:si>
  <x:si>
    <x:t xml:space="preserve">B04-0022</x:t>
  </x:si>
  <x:si>
    <x:t xml:space="preserve">training.time_finetuning</x:t>
  </x:si>
  <x:si>
    <x:t xml:space="preserve">B04-0023</x:t>
  </x:si>
  <x:si>
    <x:t xml:space="preserve">training.hardware_finetuning</x:t>
  </x:si>
  <x:si>
    <x:t xml:space="preserve">8 GPUs</x:t>
  </x:si>
  <x:si>
    <x:t xml:space="preserve">B04-0024</x:t>
  </x:si>
  <x:si>
    <x:t xml:space="preserve">datasets.sample_count_training</x:t>
  </x:si>
  <x:si>
    <x:t xml:space="preserve">Ocean state</x:t>
  </x:si>
  <x:si>
    <x:t xml:space="preserve">HTML extracted paragraph 57 (1-based; cached article order)</x:t>
  </x:si>
  <x:si>
    <x:t xml:space="preserve">daily samples</x:t>
  </x:si>
  <x:si>
    <x:t xml:space="preserve">B04-0025</x:t>
  </x:si>
  <x:si>
    <x:t xml:space="preserve">datasets.spatial_resolution</x:t>
  </x:si>
  <x:si>
    <x:t xml:space="preserve">1/24</x:t>
  </x:si>
  <x:si>
    <x:t xml:space="preserve">degree</x:t>
  </x:si>
  <x:si>
    <x:t xml:space="preserve">B04-0026</x:t>
  </x:si>
  <x:si>
    <x:t xml:space="preserve">datasets.selected_depth_count</x:t>
  </x:si>
  <x:si>
    <x:t xml:space="preserve">depths</x:t>
  </x:si>
  <x:si>
    <x:t xml:space="preserve">B04-0027</x:t>
  </x:si>
  <x:si>
    <x:t xml:space="preserve">datasets.validation_period</x:t>
  </x:si>
  <x:si>
    <x:t xml:space="preserve">January–June 2024</x:t>
  </x:si>
  <x:si>
    <x:t xml:space="preserve">B04-0028</x:t>
  </x:si>
  <x:si>
    <x:t xml:space="preserve">datasets.test_initializations</x:t>
  </x:si>
  <x:si>
    <x:t xml:space="preserve">daily initializations</x:t>
  </x:si>
  <x:si>
    <x:t xml:space="preserve">B04-0029</x:t>
  </x:si>
  <x:si>
    <x:t xml:space="preserve">https://doi.org/10.57967/hf/5342</x:t>
  </x:si>
  <x:si>
    <x:t xml:space="preserve">Data availability</x:t>
  </x:si>
  <x:si>
    <x:t xml:space="preserve">HTML extracted paragraph 65 (1-based; cached article order)</x:t>
  </x:si>
  <x:si>
    <x:t xml:space="preserve">B04-0030</x:t>
  </x:si>
  <x:si>
    <x:t xml:space="preserve">https://doi.org/10.5281/zenodo.15367632</x:t>
  </x:si>
  <x:si>
    <x:t xml:space="preserve">Code availability</x:t>
  </x:si>
  <x:si>
    <x:t xml:space="preserve">HTML extracted paragraph 66 (1-based; cached article order)</x:t>
  </x:si>
  <x:si>
    <x:t xml:space="preserve">B04-0031</x:t>
  </x:si>
  <x:si>
    <x:t xml:space="preserve">OAI-0016</x:t>
  </x:si>
  <x:si>
    <x:t xml:space="preserve">problem.objective</x:t>
  </x:si>
  <x:si>
    <x:t xml:space="preserve">Review ML methods, datasets and evaluation for marine heatwave forecasting.</x:t>
  </x:si>
  <x:si>
    <x:t xml:space="preserve">Review synthesis, not a newly trained experimental model.</x:t>
  </x:si>
  <x:si>
    <x:t xml:space="preserve">https://link.springer.com/article/10.1007/s44295-025-00076-1</x:t>
  </x:si>
  <x:si>
    <x:t xml:space="preserve">10.1007/s44295-025-00076-1</x:t>
  </x:si>
  <x:si>
    <x:t xml:space="preserve">HTML extracted paragraph 4 (1-based; cached article order)</x:t>
  </x:si>
  <x:si>
    <x:t xml:space="preserve">B04-0032</x:t>
  </x:si>
  <x:si>
    <x:t xml:space="preserve">limitations.lead_time</x:t>
  </x:si>
  <x:si>
    <x:t xml:space="preserve">Forecast degradation and oversmoothing at longer leads across reviewed models.</x:t>
  </x:si>
  <x:si>
    <x:t xml:space="preserve">6.1 Challenges in long-term forecasting and model generalizability</x:t>
  </x:si>
  <x:si>
    <x:t xml:space="preserve">HTML extracted paragraph 62 (1-based; cached article order)</x:t>
  </x:si>
  <x:si>
    <x:t xml:space="preserve">B04-0033</x:t>
  </x:si>
  <x:si>
    <x:t xml:space="preserve">limitations.transferability</x:t>
  </x:si>
  <x:si>
    <x:t xml:space="preserve">Single-basin training limits geographic transferability.</x:t>
  </x:si>
  <x:si>
    <x:t xml:space="preserve">HTML extracted paragraph 63 (1-based; cached article order)</x:t>
  </x:si>
  <x:si>
    <x:t xml:space="preserve">B04-0034</x:t>
  </x:si>
  <x:si>
    <x:t xml:space="preserve">future_work.domain_adaptation</x:t>
  </x:si>
  <x:si>
    <x:t xml:space="preserve">Globally diverse training, transfer learning and domain adaptation.</x:t>
  </x:si>
  <x:si>
    <x:t xml:space="preserve">B04-0035</x:t>
  </x:si>
  <x:si>
    <x:t xml:space="preserve">future_work.physics</x:t>
  </x:si>
  <x:si>
    <x:t xml:space="preserve">Embed ocean–atmosphere interactions and dynamical balances.</x:t>
  </x:si>
  <x:si>
    <x:t xml:space="preserve">HTML extracted paragraph 64 (1-based; cached article order)</x:t>
  </x:si>
  <x:si>
    <x:t xml:space="preserve">B04-0036</x:t>
  </x:si>
  <x:si>
    <x:t xml:space="preserve">future_work.explainability</x:t>
  </x:si>
  <x:si>
    <x:t xml:space="preserve">Attention visualization, feature attribution and SHAP.</x:t>
  </x:si>
  <x:si>
    <x:t xml:space="preserve">B04-0037</x:t>
  </x:si>
  <x:si>
    <x:t xml:space="preserve">OAI-0018</x:t>
  </x:si>
  <x:si>
    <x:t xml:space="preserve">problem.scope</x:t>
  </x:si>
  <x:si>
    <x:t xml:space="preserve">Expert-perspective synthesis on machine learning and data assimilation.</x:t>
  </x:si>
  <x:si>
    <x:t xml:space="preserve">https://www.nature.com/articles/s44387-026-00107-0</x:t>
  </x:si>
  <x:si>
    <x:t xml:space="preserve">10.1038/s44387-026-00107-0</x:t>
  </x:si>
  <x:si>
    <x:t xml:space="preserve">HTML extracted paragraph 7 (1-based; cached article order)</x:t>
  </x:si>
  <x:si>
    <x:t xml:space="preserve">B04-0038</x:t>
  </x:si>
  <x:si>
    <x:t xml:space="preserve">review.expert_count</x:t>
  </x:si>
  <x:si>
    <x:t xml:space="preserve">experts</x:t>
  </x:si>
  <x:si>
    <x:t xml:space="preserve">B04-0039</x:t>
  </x:si>
  <x:si>
    <x:t xml:space="preserve">review.institution_count</x:t>
  </x:si>
  <x:si>
    <x:t xml:space="preserve">institutions</x:t>
  </x:si>
  <x:si>
    <x:t xml:space="preserve">B04-0040</x:t>
  </x:si>
  <x:si>
    <x:t xml:space="preserve">future_work.hybrid_da</x:t>
  </x:si>
  <x:si>
    <x:t xml:space="preserve">Hybrid DA–ML systems expected to dominate near-term applications.</x:t>
  </x:si>
  <x:si>
    <x:t xml:space="preserve">Conclusions</x:t>
  </x:si>
  <x:si>
    <x:t xml:space="preserve">B04-0041</x:t>
  </x:si>
  <x:si>
    <x:t xml:space="preserve">methods.ml_roles</x:t>
  </x:si>
  <x:si>
    <x:t xml:space="preserve">Observation operators, bias correction and model-error estimation.</x:t>
  </x:si>
  <x:si>
    <x:t xml:space="preserve">B04-0042</x:t>
  </x:si>
  <x:si>
    <x:t xml:space="preserve">future_work.reproducibility</x:t>
  </x:si>
  <x:si>
    <x:t xml:space="preserve">Maintain transparency, interpretability and physical consistency.</x:t>
  </x:si>
  <x:si>
    <x:t xml:space="preserve">HTML extracted paragraph 56 (1-based; cached article order)</x:t>
  </x:si>
  <x:si>
    <x:t xml:space="preserve">B04-0043</x:t>
  </x:si>
  <x:si>
    <x:t xml:space="preserve">OAI-0043</x:t>
  </x:si>
  <x:si>
    <x:t xml:space="preserve">datasets.geography</x:t>
  </x:si>
  <x:si>
    <x:t xml:space="preserve">East Australian Current, 25.25–41.55°S.</x:t>
  </x:si>
  <x:si>
    <x:t xml:space="preserve">https://gmd.copernicus.org/articles/17/2359/2024/</x:t>
  </x:si>
  <x:si>
    <x:t xml:space="preserve">10.5194/gmd-17-2359-2024</x:t>
  </x:si>
  <x:si>
    <x:t xml:space="preserve">2.1 The Regional Ocean Modeling System configuration</x:t>
  </x:si>
  <x:si>
    <x:t xml:space="preserve">HTML extracted paragraph 15 (1-based; cached article order)</x:t>
  </x:si>
  <x:si>
    <x:t xml:space="preserve">B04-0044</x:t>
  </x:si>
  <x:si>
    <x:t xml:space="preserve">datasets.cross_shore_resolution</x:t>
  </x:si>
  <x:si>
    <x:t xml:space="preserve">2.5–6</x:t>
  </x:si>
  <x:si>
    <x:t xml:space="preserve">B04-0045</x:t>
  </x:si>
  <x:si>
    <x:t xml:space="preserve">datasets.along_shore_resolution</x:t>
  </x:si>
  <x:si>
    <x:t xml:space="preserve">B04-0046</x:t>
  </x:si>
  <x:si>
    <x:t xml:space="preserve">datasets.vertical_layers</x:t>
  </x:si>
  <x:si>
    <x:t xml:space="preserve">terrain-following layers</x:t>
  </x:si>
  <x:si>
    <x:t xml:space="preserve">B04-0047</x:t>
  </x:si>
  <x:si>
    <x:t xml:space="preserve">inputs.observations</x:t>
  </x:si>
  <x:si>
    <x:t xml:space="preserve">SSH, SST, SSS, Argo temperature/salinity and XBT temperature.</x:t>
  </x:si>
  <x:si>
    <x:t xml:space="preserve">2.2 Observations</x:t>
  </x:si>
  <x:si>
    <x:t xml:space="preserve">HTML extracted paragraph 18 (1-based; cached article order)</x:t>
  </x:si>
  <x:si>
    <x:t xml:space="preserve">B04-0048</x:t>
  </x:si>
  <x:si>
    <x:t xml:space="preserve">assimilation.method</x:t>
  </x:si>
  <x:si>
    <x:t xml:space="preserve">Strong-constraint 4D-Var versus EnOI in ROMS.</x:t>
  </x:si>
  <x:si>
    <x:t xml:space="preserve">2.4.2 4D-Var</x:t>
  </x:si>
  <x:si>
    <x:t xml:space="preserve">HTML extracted paragraph 41 (1-based; cached article order)</x:t>
  </x:si>
  <x:si>
    <x:t xml:space="preserve">B04-0049</x:t>
  </x:si>
  <x:si>
    <x:t xml:space="preserve">loss.background_component</x:t>
  </x:si>
  <x:si>
    <x:t xml:space="preserve">Covariance-weighted background deviation.</x:t>
  </x:si>
  <x:si>
    <x:t xml:space="preserve">HTML extracted paragraph 42 (1-based; cached article order)</x:t>
  </x:si>
  <x:si>
    <x:t xml:space="preserve">B04-0050</x:t>
  </x:si>
  <x:si>
    <x:t xml:space="preserve">loss.observation_component</x:t>
  </x:si>
  <x:si>
    <x:t xml:space="preserve">Covariance-weighted observation misfit.</x:t>
  </x:si>
  <x:si>
    <x:t xml:space="preserve">B04-0051</x:t>
  </x:si>
  <x:si>
    <x:t xml:space="preserve">assimilation.inner_loops</x:t>
  </x:si>
  <x:si>
    <x:t xml:space="preserve">HTML extracted paragraph 47 (1-based; cached article order)</x:t>
  </x:si>
  <x:si>
    <x:t xml:space="preserve">iterations</x:t>
  </x:si>
  <x:si>
    <x:t xml:space="preserve">B04-0052</x:t>
  </x:si>
  <x:si>
    <x:t xml:space="preserve">assimilation.outer_loops</x:t>
  </x:si>
  <x:si>
    <x:t xml:space="preserve">iteration</x:t>
  </x:si>
  <x:si>
    <x:t xml:space="preserve">B04-0053</x:t>
  </x:si>
  <x:si>
    <x:t xml:space="preserve">assimilation.window</x:t>
  </x:si>
  <x:si>
    <x:t xml:space="preserve">HTML extracted paragraph 51 (1-based; cached article order)</x:t>
  </x:si>
  <x:si>
    <x:t xml:space="preserve">B04-0054</x:t>
  </x:si>
  <x:si>
    <x:t xml:space="preserve">physics.boundary_adjustment_interval</x:t>
  </x:si>
  <x:si>
    <x:t xml:space="preserve">B04-0055</x:t>
  </x:si>
  <x:si>
    <x:t xml:space="preserve">physics.surface_forcing_adjustment_interval</x:t>
  </x:si>
  <x:si>
    <x:t xml:space="preserve">B04-0056</x:t>
  </x:si>
  <x:si>
    <x:t xml:space="preserve">assimilation.cycle_interval</x:t>
  </x:si>
  <x:si>
    <x:t xml:space="preserve">B04-0057</x:t>
  </x:si>
  <x:si>
    <x:t xml:space="preserve">limitations.configuration</x:t>
  </x:si>
  <x:si>
    <x:t xml:space="preserve">Only one tuned configuration per DA method compared.</x:t>
  </x:si>
  <x:si>
    <x:t xml:space="preserve">4.3 Temporal and spatial scales of variability</x:t>
  </x:si>
  <x:si>
    <x:t xml:space="preserve">HTML extracted paragraph 106 (1-based; cached article order)</x:t>
  </x:si>
  <x:si>
    <x:t xml:space="preserve">B04-0058</x:t>
  </x:si>
  <x:si>
    <x:t xml:space="preserve">results.relative_cost</x:t>
  </x:si>
  <x:si>
    <x:t xml:space="preserve">EnOI approximately 25 times cheaper than tested 4D-Var.</x:t>
  </x:si>
  <x:si>
    <x:t xml:space="preserve">HTML extracted paragraph 107 (1-based; cached article order)</x:t>
  </x:si>
  <x:si>
    <x:t xml:space="preserve">B04-0059</x:t>
  </x:si>
  <x:si>
    <x:t xml:space="preserve">OAI-0032</x:t>
  </x:si>
  <x:si>
    <x:t xml:space="preserve">Self-organizing map for SLA-pattern classification.</x:t>
  </x:si>
  <x:si>
    <x:t xml:space="preserve">https://www.nature.com/articles/s41612-025-01182-x</x:t>
  </x:si>
  <x:si>
    <x:t xml:space="preserve">10.1038/s41612-025-01182-x</x:t>
  </x:si>
  <x:si>
    <x:t xml:space="preserve">Self-organizing map (SOM) analysis, configuration paragraph</x:t>
  </x:si>
  <x:si>
    <x:t xml:space="preserve">B04-0060</x:t>
  </x:si>
  <x:si>
    <x:t xml:space="preserve">architecture.map_size</x:t>
  </x:si>
  <x:si>
    <x:t xml:space="preserve">3 × 4</x:t>
  </x:si>
  <x:si>
    <x:t xml:space="preserve">12 nodes</x:t>
  </x:si>
  <x:si>
    <x:t xml:space="preserve">B04-0061</x:t>
  </x:si>
  <x:si>
    <x:t xml:space="preserve">20°S–65°N, 160°E–60°W.</x:t>
  </x:si>
  <x:si>
    <x:t xml:space="preserve">B04-0062</x:t>
  </x:si>
  <x:si>
    <x:t xml:space="preserve">preprocessing.grid</x:t>
  </x:si>
  <x:si>
    <x:t xml:space="preserve">Interpolate observations to nominal 1° grid.</x:t>
  </x:si>
  <x:si>
    <x:t xml:space="preserve">B04-0063</x:t>
  </x:si>
  <x:si>
    <x:t xml:space="preserve">training.passes_each_stage</x:t>
  </x:si>
  <x:si>
    <x:t xml:space="preserve">presentations per vector</x:t>
  </x:si>
  <x:si>
    <x:t xml:space="preserve">B04-0064</x:t>
  </x:si>
  <x:si>
    <x:t xml:space="preserve">training.learning_rate_stage1</x:t>
  </x:si>
  <x:si>
    <x:t xml:space="preserve">B04-0065</x:t>
  </x:si>
  <x:si>
    <x:t xml:space="preserve">training.learning_rate_stage2</x:t>
  </x:si>
  <x:si>
    <x:t xml:space="preserve">B04-0066</x:t>
  </x:si>
  <x:si>
    <x:t xml:space="preserve">training.radius_stage1</x:t>
  </x:si>
  <x:si>
    <x:t xml:space="preserve">B04-0067</x:t>
  </x:si>
  <x:si>
    <x:t xml:space="preserve">training.radius_stage2</x:t>
  </x:si>
  <x:si>
    <x:t xml:space="preserve">B04-0068</x:t>
  </x:si>
  <x:si>
    <x:t xml:space="preserve">training.neighborhood_kernel</x:t>
  </x:si>
  <x:si>
    <x:t xml:space="preserve">Epanechikov function, as named by authors.</x:t>
  </x:si>
  <x:si>
    <x:t xml:space="preserve">Self-organizing map (SOM) analysis, equations</x:t>
  </x:si>
  <x:si>
    <x:t xml:space="preserve">B04-0069</x:t>
  </x:si>
  <x:si>
    <x:t xml:space="preserve">datasets.sources</x:t>
  </x:si>
  <x:si>
    <x:t xml:space="preserve">Satellite SLA, PSMSL tide gauges, ERA5 pressure and NMME hindcasts.</x:t>
  </x:si>
  <x:si>
    <x:t xml:space="preserve">B04-0070</x:t>
  </x:si>
  <x:si>
    <x:t xml:space="preserve">OAI-0033</x:t>
  </x:si>
  <x:si>
    <x:t xml:space="preserve">Convolution, pooling, flattening and dense layers.</x:t>
  </x:si>
  <x:si>
    <x:t xml:space="preserve">https://www.nature.com/articles/s41598-025-31670-2</x:t>
  </x:si>
  <x:si>
    <x:t xml:space="preserve">10.1038/s41598-025-31670-2</x:t>
  </x:si>
  <x:si>
    <x:t xml:space="preserve">Spatial reconstruction of 2D fields</x:t>
  </x:si>
  <x:si>
    <x:t xml:space="preserve">B04-0071</x:t>
  </x:si>
  <x:si>
    <x:t xml:space="preserve">Convolution, upsampling, dense and reshape layers.</x:t>
  </x:si>
  <x:si>
    <x:t xml:space="preserve">B04-0072</x:t>
  </x:si>
  <x:si>
    <x:t xml:space="preserve">architecture.upsampling_factor</x:t>
  </x:si>
  <x:si>
    <x:t xml:space="preserve">2 × 2</x:t>
  </x:si>
  <x:si>
    <x:t xml:space="preserve">B04-0073</x:t>
  </x:si>
  <x:si>
    <x:t xml:space="preserve">architecture.temporal_model</x:t>
  </x:si>
  <x:si>
    <x:t xml:space="preserve">LSTM on encoded latent states.</x:t>
  </x:si>
  <x:si>
    <x:t xml:space="preserve">Forecasting</x:t>
  </x:si>
  <x:si>
    <x:t xml:space="preserve">B04-0074</x:t>
  </x:si>
  <x:si>
    <x:t xml:space="preserve">inputs.history</x:t>
  </x:si>
  <x:si>
    <x:t xml:space="preserve">B04-0075</x:t>
  </x:si>
  <x:si>
    <x:t xml:space="preserve">inputs.temporal_resolution</x:t>
  </x:si>
  <x:si>
    <x:t xml:space="preserve">B04-0076</x:t>
  </x:si>
  <x:si>
    <x:t xml:space="preserve">loss.total</x:t>
  </x:si>
  <x:si>
    <x:t xml:space="preserve">Mean squared error.</x:t>
  </x:si>
  <x:si>
    <x:t xml:space="preserve">B04-0077</x:t>
  </x:si>
  <x:si>
    <x:t xml:space="preserve">B04-0078</x:t>
  </x:si>
  <x:si>
    <x:t xml:space="preserve">limitations.baseline_instability</x:t>
  </x:si>
  <x:si>
    <x:t xml:space="preserve">Single-stage ConvLSTM accumulated recursive forecast errors.</x:t>
  </x:si>
  <x:si>
    <x:t xml:space="preserve">B04-0079</x:t>
  </x:si>
  <x:si>
    <x:t xml:space="preserve">OAI-0036</x:t>
  </x:si>
  <x:si>
    <x:t xml:space="preserve">Multiscale 4DVarNet with VAE-based anomaly reconstruction.</x:t>
  </x:si>
  <x:si>
    <x:t xml:space="preserve">https://www.nature.com/articles/s41598-025-23682-9</x:t>
  </x:si>
  <x:si>
    <x:t xml:space="preserve">10.1038/s41598-025-23682-9</x:t>
  </x:si>
  <x:si>
    <x:t xml:space="preserve">Multiscale approach, Figure 4 caption</x:t>
  </x:si>
  <x:si>
    <x:t xml:space="preserve">B04-0080</x:t>
  </x:si>
  <x:si>
    <x:t xml:space="preserve">preprocessing.training_patch</x:t>
  </x:si>
  <x:si>
    <x:t xml:space="preserve">240 × 240</x:t>
  </x:si>
  <x:si>
    <x:t xml:space="preserve">pixels</x:t>
  </x:si>
  <x:si>
    <x:t xml:space="preserve">B04-0081</x:t>
  </x:si>
  <x:si>
    <x:t xml:space="preserve">preprocessing.inference_crop</x:t>
  </x:si>
  <x:si>
    <x:t xml:space="preserve">200 × 200</x:t>
  </x:si>
  <x:si>
    <x:t xml:space="preserve">B04-0082</x:t>
  </x:si>
  <x:si>
    <x:t xml:space="preserve">preprocessing.land_mask</x:t>
  </x:si>
  <x:si>
    <x:t xml:space="preserve">Land masked in training loss and inference.</x:t>
  </x:si>
  <x:si>
    <x:t xml:space="preserve">B04-0083</x:t>
  </x:si>
  <x:si>
    <x:t xml:space="preserve">Generalization and seasonal variation</x:t>
  </x:si>
  <x:si>
    <x:t xml:space="preserve">B04-0084</x:t>
  </x:si>
  <x:si>
    <x:t xml:space="preserve">training.hardware</x:t>
  </x:si>
  <x:si>
    <x:t xml:space="preserve">One NVIDIA A100, 80 GB memory.</x:t>
  </x:si>
  <x:si>
    <x:t xml:space="preserve">B04-0085</x:t>
  </x:si>
  <x:si>
    <x:t xml:space="preserve">training.time</x:t>
  </x:si>
  <x:si>
    <x:t xml:space="preserve">h, approximately</x:t>
  </x:si>
  <x:si>
    <x:t xml:space="preserve">B04-0086</x:t>
  </x:si>
  <x:si>
    <x:t xml:space="preserve">inference.time_2021</x:t>
  </x:si>
  <x:si>
    <x:t xml:space="preserve">min, approximately</x:t>
  </x:si>
  <x:si>
    <x:t xml:space="preserve">B04-0087</x:t>
  </x:si>
  <x:si>
    <x:t xml:space="preserve">datasets.training_period</x:t>
  </x:si>
  <x:si>
    <x:t xml:space="preserve">April 2019–December 2020.</x:t>
  </x:si>
  <x:si>
    <x:t xml:space="preserve">B04-0088</x:t>
  </x:si>
  <x:si>
    <x:t xml:space="preserve">baselines.reference</x:t>
  </x:si>
  <x:si>
    <x:t xml:space="preserve">DMI optimal interpolation.</x:t>
  </x:si>
  <x:si>
    <x:t xml:space="preserve">B04-0089</x:t>
  </x:si>
  <x:si>
    <x:t xml:space="preserve">limitations.sparse_winter</x:t>
  </x:si>
  <x:si>
    <x:t xml:space="preserve">Winter observation sparsity degrades Baltic reconstruction performance.</x:t>
  </x:si>
  <x:si>
    <x:t xml:space="preserve">B04-0090</x:t>
  </x:si>
  <x:si>
    <x:t xml:space="preserve">future_work.training_data</x:t>
  </x:si>
  <x:si>
    <x:t xml:space="preserve">Extend training across more years and seasonal cycles.</x:t>
  </x:si>
  <x:si>
    <x:t xml:space="preserve">B04-0091</x:t>
  </x:si>
  <x:si>
    <x:t xml:space="preserve">OAI-0039</x:t>
  </x:si>
  <x:si>
    <x:t xml:space="preserve">Local Gaussian-process experts (GPSat).</x:t>
  </x:si>
  <x:si>
    <x:t xml:space="preserve">https://www.nature.com/articles/s41467-024-51900-x</x:t>
  </x:si>
  <x:si>
    <x:t xml:space="preserve">10.1038/s41467-024-51900-x</x:t>
  </x:si>
  <x:si>
    <x:t xml:space="preserve">Training local Gaussian process models</x:t>
  </x:si>
  <x:si>
    <x:t xml:space="preserve">B04-0092</x:t>
  </x:si>
  <x:si>
    <x:t xml:space="preserve">Maximize log marginal likelihood.</x:t>
  </x:si>
  <x:si>
    <x:t xml:space="preserve">B04-0093</x:t>
  </x:si>
  <x:si>
    <x:t xml:space="preserve">regularization.likelihood_variance_floor</x:t>
  </x:si>
  <x:si>
    <x:t xml:space="preserve">cm²</x:t>
  </x:si>
  <x:si>
    <x:t xml:space="preserve">B04-0094</x:t>
  </x:si>
  <x:si>
    <x:t xml:space="preserve">outputs.scope_variance_floor</x:t>
  </x:si>
  <x:si>
    <x:t xml:space="preserve">5-km freeboard and along-track SLA interpolation.</x:t>
  </x:si>
  <x:si>
    <x:t xml:space="preserve">B04-0095</x:t>
  </x:si>
  <x:si>
    <x:t xml:space="preserve">datasets.data_archive</x:t>
  </x:si>
  <x:si>
    <x:t xml:space="preserve">https://zenodo.org/doi/10.5281/zenodo.13218448</x:t>
  </x:si>
  <x:si>
    <x:t xml:space="preserve">B04-0096</x:t>
  </x:si>
  <x:si>
    <x:t xml:space="preserve">https://github.com/CPOMUCL/GPSat</x:t>
  </x:si>
  <x:si>
    <x:t xml:space="preserve">B04-0097</x:t>
  </x:si>
  <x:si>
    <x:t xml:space="preserve">reproducibility.capsule</x:t>
  </x:si>
  <x:si>
    <x:t xml:space="preserve">https://doi.org/10.24433/CO.4875513.v1</x:t>
  </x:si>
  <x:si>
    <x:t xml:space="preserve">B04-0098</x:t>
  </x:si>
  <x:si>
    <x:t xml:space="preserve">OAI-0044</x:t>
  </x:si>
  <x:si>
    <x:t xml:space="preserve">datasets.name</x:t>
  </x:si>
  <x:si>
    <x:t xml:space="preserve">OSTIA</x:t>
  </x:si>
  <x:si>
    <x:t xml:space="preserve">https://www.frontiersin.org/journals/marine-science/articles/10.3389/fmars.2025.1674064/full</x:t>
  </x:si>
  <x:si>
    <x:t xml:space="preserve">10.3389/fmars.2025.1674064</x:t>
  </x:si>
  <x:si>
    <x:t xml:space="preserve">4.1 Datasets</x:t>
  </x:si>
  <x:si>
    <x:t xml:space="preserve">B04-0099</x:t>
  </x:si>
  <x:si>
    <x:t xml:space="preserve">25–33°N, 122–130°E.</x:t>
  </x:si>
  <x:si>
    <x:t xml:space="preserve">B04-0100</x:t>
  </x:si>
  <x:si>
    <x:t xml:space="preserve">B04-0101</x:t>
  </x:si>
  <x:si>
    <x:t xml:space="preserve">B04-0102</x:t>
  </x:si>
  <x:si>
    <x:t xml:space="preserve">outputs.horizon</x:t>
  </x:si>
  <x:si>
    <x:t xml:space="preserve">B04-0103</x:t>
  </x:si>
  <x:si>
    <x:t xml:space="preserve">preprocessing.normalization</x:t>
  </x:si>
  <x:si>
    <x:t xml:space="preserve">Min–max scaling to [0,1].</x:t>
  </x:si>
  <x:si>
    <x:t xml:space="preserve">B04-0104</x:t>
  </x:si>
  <x:si>
    <x:t xml:space="preserve">datasets.split</x:t>
  </x:si>
  <x:si>
    <x:t xml:space="preserve">7:1:2 train/validation/test.</x:t>
  </x:si>
  <x:si>
    <x:t xml:space="preserve">B04-0105</x:t>
  </x:si>
  <x:si>
    <x:t xml:space="preserve">4.3 Experimental hyperparameter selection and evaluation indexes</x:t>
  </x:si>
  <x:si>
    <x:t xml:space="preserve">B04-0106</x:t>
  </x:si>
  <x:si>
    <x:t xml:space="preserve">B04-0107</x:t>
  </x:si>
  <x:si>
    <x:t xml:space="preserve">samples</x:t>
  </x:si>
  <x:si>
    <x:t xml:space="preserve">B04-0108</x:t>
  </x:si>
  <x:si>
    <x:t xml:space="preserve">B04-0109</x:t>
  </x:si>
  <x:si>
    <x:t xml:space="preserve">L2 loss.</x:t>
  </x:si>
  <x:si>
    <x:t xml:space="preserve">B04-0110</x:t>
  </x:si>
  <x:si>
    <x:t xml:space="preserve">Cosine annealing with reported 50% decay every five cycles; implementation unresolved.</x:t>
  </x:si>
  <x:si>
    <x:t xml:space="preserve">B04-0111</x:t>
  </x:si>
  <x:si>
    <x:t xml:space="preserve">regularization.early_stopping</x:t>
  </x:si>
  <x:si>
    <x:t xml:space="preserve">Validation-loss patience reported as 3–5 rounds.</x:t>
  </x:si>
  <x:si>
    <x:t xml:space="preserve">B04-0112</x:t>
  </x:si>
  <x:si>
    <x:t xml:space="preserve">Independent linear predictions for trend, seasonal and transient components, summed.</x:t>
  </x:si>
  <x:si>
    <x:t xml:space="preserve">3.2.2 DLinear three channel prediction</x:t>
  </x:si>
  <x:si>
    <x:t xml:space="preserve">B04-0113</x:t>
  </x:si>
  <x:si>
    <x:t xml:space="preserve">Depthwise separable convolution and FFT decomposition.</x:t>
  </x:si>
  <x:si>
    <x:t xml:space="preserve">4.5 Ablation experiments</x:t>
  </x:si>
  <x:si>
    <x:t xml:space="preserve">B04-0114</x:t>
  </x:si>
  <x:si>
    <x:t xml:space="preserve">results.mae_day1</x:t>
  </x:si>
  <x:si>
    <x:t xml:space="preserve">Table 2, Ours</x:t>
  </x:si>
  <x:si>
    <x:t xml:space="preserve">B04-0115</x:t>
  </x:si>
  <x:si>
    <x:t xml:space="preserve">results.rmse_day10</x:t>
  </x:si>
  <x:si>
    <x:t xml:space="preserve">B04-0116</x:t>
  </x:si>
  <x:si>
    <x:t xml:space="preserve">results.r2_day10</x:t>
  </x:si>
  <x:si>
    <x:t xml:space="preserve">B04-0117</x:t>
  </x:si>
  <x:si>
    <x:t xml:space="preserve">ablations.components</x:t>
  </x:si>
  <x:si>
    <x:t xml:space="preserve">Convolution, temporal decomposition and prediction-head substitutions.</x:t>
  </x:si>
  <x:si>
    <x:t xml:space="preserve">B04-0118</x:t>
  </x:si>
  <x:si>
    <x:t xml:space="preserve">OAI-0060</x:t>
  </x:si>
  <x:si>
    <x:t xml:space="preserve">NVIDIA A100 80 GB</x:t>
  </x:si>
  <x:si>
    <x:t xml:space="preserve">https://tc.copernicus.org/articles/19/4149/2025/</x:t>
  </x:si>
  <x:si>
    <x:t xml:space="preserve">10.5194/tc-19-4149-2025</x:t>
  </x:si>
  <x:si>
    <x:t xml:space="preserve">3.3, training paragraphs</x:t>
  </x:si>
  <x:si>
    <x:t xml:space="preserve">B04-0119</x:t>
  </x:si>
  <x:si>
    <x:t xml:space="preserve">Mixed precision.</x:t>
  </x:si>
  <x:si>
    <x:t xml:space="preserve">B04-0120</x:t>
  </x:si>
  <x:si>
    <x:t xml:space="preserve">B04-0121</x:t>
  </x:si>
  <x:si>
    <x:t xml:space="preserve">architecture.normalization</x:t>
  </x:si>
  <x:si>
    <x:t xml:space="preserve">Group normalization replaces batch normalization.</x:t>
  </x:si>
  <x:si>
    <x:t xml:space="preserve">B04-0122</x:t>
  </x:si>
  <x:si>
    <x:t xml:space="preserve">B04-0123</x:t>
  </x:si>
  <x:si>
    <x:t xml:space="preserve">B04-0124</x:t>
  </x:si>
  <x:si>
    <x:t xml:space="preserve">Halve learning rate every 10 epochs.</x:t>
  </x:si>
  <x:si>
    <x:t xml:space="preserve">B04-0125</x:t>
  </x:si>
  <x:si>
    <x:t xml:space="preserve">B04-0126</x:t>
  </x:si>
  <x:si>
    <x:t xml:space="preserve">training.selection</x:t>
  </x:si>
  <x:si>
    <x:t xml:space="preserve">Minimum loss over complete validation set.</x:t>
  </x:si>
  <x:si>
    <x:t xml:space="preserve">B04-0127</x:t>
  </x:si>
  <x:si>
    <x:t xml:space="preserve">Results, computational cost paragraph</x:t>
  </x:si>
  <x:si>
    <x:t xml:space="preserve">B04-0128</x:t>
  </x:si>
  <x:si>
    <x:t xml:space="preserve">inference.cpu_time</x:t>
  </x:si>
  <x:si>
    <x:t xml:space="preserve">s on AMD EPYC 7282</x:t>
  </x:si>
  <x:si>
    <x:t xml:space="preserve">B04-0129</x:t>
  </x:si>
  <x:si>
    <x:t xml:space="preserve">architecture.bottleneck</x:t>
  </x:si>
  <x:si>
    <x:t xml:space="preserve">Results, model width paragraph</x:t>
  </x:si>
  <x:si>
    <x:t xml:space="preserve">channels</x:t>
  </x:si>
  <x:si>
    <x:t xml:space="preserve">B04-0130</x:t>
  </x:si>
  <x:si>
    <x:t xml:space="preserve">Results, parameter count paragraph</x:t>
  </x:si>
  <x:si>
    <x:t xml:space="preserve">B04-0131</x:t>
  </x:si>
  <x:si>
    <x:t xml:space="preserve">architecture.encoder_parameters</x:t>
  </x:si>
  <x:si>
    <x:t xml:space="preserve">B04-0132</x:t>
  </x:si>
  <x:si>
    <x:t xml:space="preserve">architecture.decoder_parameters</x:t>
  </x:si>
  <x:si>
    <x:t xml:space="preserve">B04-0133</x:t>
  </x:si>
  <x:si>
    <x:t xml:space="preserve">metrics.primary</x:t>
  </x:si>
  <x:si>
    <x:t xml:space="preserve">Ice-edge-length-normalized integrated ice edge error (nIIEE).</x:t>
  </x:si>
  <x:si>
    <x:t xml:space="preserve">3.4 Verification metrics</x:t>
  </x:si>
  <x:si>
    <x:t xml:space="preserve">B04-0134</x:t>
  </x:si>
  <x:si>
    <x:t xml:space="preserve">results.example_niiee_model</x:t>
  </x:si>
  <x:si>
    <x:t xml:space="preserve">Single Figure 4 forecast example; not aggregate test performance.</x:t>
  </x:si>
  <x:si>
    <x:t xml:space="preserve">Figure 4 example</x:t>
  </x:si>
  <x:si>
    <x:t xml:space="preserve">B04-0135</x:t>
  </x:si>
  <x:si>
    <x:t xml:space="preserve">results.example_niiee_persistence</x:t>
  </x:si>
  <x:si>
    <x:t xml:space="preserve">B04-0136</x:t>
  </x:si>
  <x:si>
    <x:t xml:space="preserve">OAI-0068</x:t>
  </x:si>
  <x:si>
    <x:t xml:space="preserve">Aurora pretraining/general architecture unless wave-specific field.</x:t>
  </x:si>
  <x:si>
    <x:t xml:space="preserve">https://www.nature.com/articles/s41586-025-09005-y</x:t>
  </x:si>
  <x:si>
    <x:t xml:space="preserve">10.1038/s41586-025-09005-y</x:t>
  </x:si>
  <x:si>
    <x:t xml:space="preserve">Pretraining methods</x:t>
  </x:si>
  <x:si>
    <x:t xml:space="preserve">B04-0137</x:t>
  </x:si>
  <x:si>
    <x:t xml:space="preserve">training.steps</x:t>
  </x:si>
  <x:si>
    <x:t xml:space="preserve">B04-0138</x:t>
  </x:si>
  <x:si>
    <x:t xml:space="preserve">32 NVIDIA A100 GPUs</x:t>
  </x:si>
  <x:si>
    <x:t xml:space="preserve">B04-0139</x:t>
  </x:si>
  <x:si>
    <x:t xml:space="preserve">B04-0140</x:t>
  </x:si>
  <x:si>
    <x:t xml:space="preserve">B04-0141</x:t>
  </x:si>
  <x:si>
    <x:t xml:space="preserve">B04-0142</x:t>
  </x:si>
  <x:si>
    <x:t xml:space="preserve">1000-step linear warm-up; half-cosine decay to one tenth.</x:t>
  </x:si>
  <x:si>
    <x:t xml:space="preserve">B04-0143</x:t>
  </x:si>
  <x:si>
    <x:t xml:space="preserve">regularization.drop_path</x:t>
  </x:si>
  <x:si>
    <x:t xml:space="preserve">B04-0144</x:t>
  </x:si>
  <x:si>
    <x:t xml:space="preserve">bf16 mixed precision.</x:t>
  </x:si>
  <x:si>
    <x:t xml:space="preserve">B04-0145</x:t>
  </x:si>
  <x:si>
    <x:t xml:space="preserve">Pretraining, main text</x:t>
  </x:si>
  <x:si>
    <x:t xml:space="preserve">weeks, approximately</x:t>
  </x:si>
  <x:si>
    <x:t xml:space="preserve">B04-0146</x:t>
  </x:si>
  <x:si>
    <x:t xml:space="preserve">Weighted MAE over surface and atmospheric variables.</x:t>
  </x:si>
  <x:si>
    <x:t xml:space="preserve">Training objective, Equation 1</x:t>
  </x:si>
  <x:si>
    <x:t xml:space="preserve">B04-0147</x:t>
  </x:si>
  <x:si>
    <x:t xml:space="preserve">loss.surface_weight_symbol</x:t>
  </x:si>
  <x:si>
    <x:t xml:space="preserve">alpha</x:t>
  </x:si>
  <x:si>
    <x:t xml:space="preserve">B04-0148</x:t>
  </x:si>
  <x:si>
    <x:t xml:space="preserve">loss.atmosphere_weight_symbol</x:t>
  </x:si>
  <x:si>
    <x:t xml:space="preserve">beta</x:t>
  </x:si>
  <x:si>
    <x:t xml:space="preserve">B04-0149</x:t>
  </x:si>
  <x:si>
    <x:t xml:space="preserve">loss.dataset_weight_symbol</x:t>
  </x:si>
  <x:si>
    <x:t xml:space="preserve">gamma</x:t>
  </x:si>
  <x:si>
    <x:t xml:space="preserve">B04-0150</x:t>
  </x:si>
  <x:si>
    <x:t xml:space="preserve">architecture.attention</x:t>
  </x:si>
  <x:si>
    <x:t xml:space="preserve">3D Swin Transformer with shifted local windows.</x:t>
  </x:si>
  <x:si>
    <x:t xml:space="preserve">Backbone architecture</x:t>
  </x:si>
  <x:si>
    <x:t xml:space="preserve">B04-0151</x:t>
  </x:si>
  <x:si>
    <x:t xml:space="preserve">architecture.multiscale_stages</x:t>
  </x:si>
  <x:si>
    <x:t xml:space="preserve">Three downsampling and three upsampling stages.</x:t>
  </x:si>
  <x:si>
    <x:t xml:space="preserve">B04-0152</x:t>
  </x:si>
  <x:si>
    <x:t xml:space="preserve">Perceiver disaggregation and variable-specific linear patch decoding.</x:t>
  </x:si>
  <x:si>
    <x:t xml:space="preserve">Decoder</x:t>
  </x:si>
  <x:si>
    <x:t xml:space="preserve">B04-0153</x:t>
  </x:si>
  <x:si>
    <x:t xml:space="preserve">training.adaptation</x:t>
  </x:si>
  <x:si>
    <x:t xml:space="preserve">LoRA on backbone attention linear layers.</x:t>
  </x:si>
  <x:si>
    <x:t xml:space="preserve">Roll-out fine-tuning</x:t>
  </x:si>
  <x:si>
    <x:t xml:space="preserve">B04-0154</x:t>
  </x:si>
  <x:si>
    <x:t xml:space="preserve">training.rollout_gradient</x:t>
  </x:si>
  <x:si>
    <x:t xml:space="preserve">Backpropagation through final rollout step only.</x:t>
  </x:si>
  <x:si>
    <x:t xml:space="preserve">B04-0155</x:t>
  </x:si>
  <x:si>
    <x:t xml:space="preserve">preprocessing.missingness</x:t>
  </x:si>
  <x:si>
    <x:t xml:space="preserve">Extra density channel per variable represents observation presence.</x:t>
  </x:si>
  <x:si>
    <x:t xml:space="preserve">Ocean wave forecasting</x:t>
  </x:si>
  <x:si>
    <x:t xml:space="preserve">B04-0156</x:t>
  </x:si>
  <x:si>
    <x:t xml:space="preserve">limitations.compute</x:t>
  </x:si>
  <x:si>
    <x:t xml:space="preserve">Data loading can dominate training cost.</x:t>
  </x:si>
  <x:si>
    <x:t xml:space="preserve">Data infrastructure</x:t>
  </x:si>
  <x:si>
    <x:t xml:space="preserve">B04-0157</x:t>
  </x:si>
  <x:si>
    <x:t xml:space="preserve">OAI-0094</x:t>
  </x:si>
  <x:si>
    <x:t xml:space="preserve">Differentiable dynamical core coupled to learned atmospheric physics.</x:t>
  </x:si>
  <x:si>
    <x:t xml:space="preserve">Atmospheric NeuralGCM variants; not an ocean-model validation.</x:t>
  </x:si>
  <x:si>
    <x:t xml:space="preserve">https://www.nature.com/articles/s41586-024-07744-y</x:t>
  </x:si>
  <x:si>
    <x:t xml:space="preserve">10.1038/s41586-024-07744-y</x:t>
  </x:si>
  <x:si>
    <x:t xml:space="preserve">Model overview</x:t>
  </x:si>
  <x:si>
    <x:t xml:space="preserve">B04-0158</x:t>
  </x:si>
  <x:si>
    <x:t xml:space="preserve">outputs.physics_module</x:t>
  </x:si>
  <x:si>
    <x:t xml:space="preserve">Column-wise tendencies from unresolved atmospheric processes.</x:t>
  </x:si>
  <x:si>
    <x:t xml:space="preserve">B04-0159</x:t>
  </x:si>
  <x:si>
    <x:t xml:space="preserve">training.rollout_curriculum</x:t>
  </x:si>
  <x:si>
    <x:t xml:space="preserve">6 hours to 5 days.</x:t>
  </x:si>
  <x:si>
    <x:t xml:space="preserve">B04-0160</x:t>
  </x:si>
  <x:si>
    <x:t xml:space="preserve">datasets.spatial_resolutions</x:t>
  </x:si>
  <x:si>
    <x:t xml:space="preserve">2.8°, 1.4°, 0.7° model variants.</x:t>
  </x:si>
  <x:si>
    <x:t xml:space="preserve">B04-0161</x:t>
  </x:si>
  <x:si>
    <x:t xml:space="preserve">loss.deterministic_mse</x:t>
  </x:si>
  <x:si>
    <x:t xml:space="preserve">Spherical-harmonic MSE with lead-dependent high-wavenumber filtering.</x:t>
  </x:si>
  <x:si>
    <x:t xml:space="preserve">Training, deterministic models</x:t>
  </x:si>
  <x:si>
    <x:t xml:space="preserve">B04-0162</x:t>
  </x:si>
  <x:si>
    <x:t xml:space="preserve">loss.deterministic_spectral</x:t>
  </x:si>
  <x:si>
    <x:t xml:space="preserve">Squared error of total-wavenumber spectra.</x:t>
  </x:si>
  <x:si>
    <x:t xml:space="preserve">B04-0163</x:t>
  </x:si>
  <x:si>
    <x:t xml:space="preserve">loss.deterministic_bias</x:t>
  </x:si>
  <x:si>
    <x:t xml:space="preserve">MSE of batch-averaged spherical-harmonic coefficient amplitudes.</x:t>
  </x:si>
  <x:si>
    <x:t xml:space="preserve">B04-0164</x:t>
  </x:si>
  <x:si>
    <x:t xml:space="preserve">loss.stochastic</x:t>
  </x:si>
  <x:si>
    <x:t xml:space="preserve">Grid-space plus truncated spherical-harmonic CRPS.</x:t>
  </x:si>
  <x:si>
    <x:t xml:space="preserve">Training, stochastic models</x:t>
  </x:si>
  <x:si>
    <x:t xml:space="preserve">B04-0165</x:t>
  </x:si>
  <x:si>
    <x:t xml:space="preserve">training.ensemble_size</x:t>
  </x:si>
  <x:si>
    <x:t xml:space="preserve">members per forecast</x:t>
  </x:si>
  <x:si>
    <x:t xml:space="preserve">B04-0166</x:t>
  </x:si>
  <x:si>
    <x:t xml:space="preserve">architecture.stochastic_noise</x:t>
  </x:si>
  <x:si>
    <x:t xml:space="preserve">Gaussian fields with learned spatial and temporal correlation.</x:t>
  </x:si>
  <x:si>
    <x:t xml:space="preserve">B04-0167</x:t>
  </x:si>
  <x:si>
    <x:t xml:space="preserve">training.decoder_rollout</x:t>
  </x:si>
  <x:si>
    <x:t xml:space="preserve">Training, decoder fine-tuning</x:t>
  </x:si>
  <x:si>
    <x:t xml:space="preserve">B04-0168</x:t>
  </x:si>
  <x:si>
    <x:t xml:space="preserve">datasets.training</x:t>
  </x:si>
  <x:si>
    <x:t xml:space="preserve">B04-0169</x:t>
  </x:si>
  <x:si>
    <x:t xml:space="preserve">preprocessing.evaluation_grid</x:t>
  </x:si>
  <x:si>
    <x:t xml:space="preserve">1.5° conservative regridding.</x:t>
  </x:si>
  <x:si>
    <x:t xml:space="preserve">Medium-range weather forecasting</x:t>
  </x:si>
  <x:si>
    <x:t xml:space="preserve">B04-0170</x:t>
  </x:si>
  <x:si>
    <x:t xml:space="preserve">metrics.list</x:t>
  </x:si>
  <x:si>
    <x:t xml:space="preserve">RMSE, RMSB, CRPS, spread-skill ratio.</x:t>
  </x:si>
  <x:si>
    <x:t xml:space="preserve">Model accuracy</x:t>
  </x:si>
  <x:si>
    <x:t xml:space="preserve">B04-0171</x:t>
  </x:si>
  <x:si>
    <x:t xml:space="preserve">https://github.com/google-research/neuralgcm</x:t>
  </x:si>
  <x:si>
    <x:t xml:space="preserve">B04-0172</x:t>
  </x:si>
  <x:si>
    <x:t xml:space="preserve">reproducibility.dynamical_core</x:t>
  </x:si>
  <x:si>
    <x:t xml:space="preserve">https://github.com/google-research/dinosaur</x:t>
  </x:si>
  <x:si>
    <x:t xml:space="preserve">B04-0173</x:t>
  </x:si>
  <x:si>
    <x:t xml:space="preserve">OAI-0029</x:t>
  </x:si>
  <x:si>
    <x:t xml:space="preserve">Three parallel encoder–decoder branches with latent ConvLSTM.</x:t>
  </x:si>
  <x:si>
    <x:t xml:space="preserve">https://www.frontiersin.org/journals/marine-science/articles/10.3389/fmars.2024.1456480/full</x:t>
  </x:si>
  <x:si>
    <x:t xml:space="preserve">10.3389/fmars.2024.1456480</x:t>
  </x:si>
  <x:si>
    <x:t xml:space="preserve">2.1 MariNet neural network</x:t>
  </x:si>
  <x:si>
    <x:t xml:space="preserve">B04-0174</x:t>
  </x:si>
  <x:si>
    <x:t xml:space="preserve">architecture.encoder_layers</x:t>
  </x:si>
  <x:si>
    <x:t xml:space="preserve">B04-0175</x:t>
  </x:si>
  <x:si>
    <x:t xml:space="preserve">architecture.decoder_layers</x:t>
  </x:si>
  <x:si>
    <x:t xml:space="preserve">B04-0176</x:t>
  </x:si>
  <x:si>
    <x:t xml:space="preserve">B04-0177</x:t>
  </x:si>
  <x:si>
    <x:t xml:space="preserve">B04-0178</x:t>
  </x:si>
  <x:si>
    <x:t xml:space="preserve">B04-0179</x:t>
  </x:si>
  <x:si>
    <x:t xml:space="preserve">Sigmoid</x:t>
  </x:si>
  <x:si>
    <x:t xml:space="preserve">B04-0180</x:t>
  </x:si>
  <x:si>
    <x:t xml:space="preserve">B04-0181</x:t>
  </x:si>
  <x:si>
    <x:t xml:space="preserve">datasets.source</x:t>
  </x:si>
  <x:si>
    <x:t xml:space="preserve">CMEMS-GLO-PUM-001-024</x:t>
  </x:si>
  <x:si>
    <x:t xml:space="preserve">3 Data</x:t>
  </x:si>
  <x:si>
    <x:t xml:space="preserve">B04-0182</x:t>
  </x:si>
  <x:si>
    <x:t xml:space="preserve">datasets.period</x:t>
  </x:si>
  <x:si>
    <x:t xml:space="preserve">2019–2022</x:t>
  </x:si>
  <x:si>
    <x:t xml:space="preserve">B04-0183</x:t>
  </x:si>
  <x:si>
    <x:t xml:space="preserve">inputs.variables</x:t>
  </x:si>
  <x:si>
    <x:t xml:space="preserve">Surface u, v and sea-surface height above geoid.</x:t>
  </x:si>
  <x:si>
    <x:t xml:space="preserve">B04-0184</x:t>
  </x:si>
  <x:si>
    <x:t xml:space="preserve">preprocessing.temporal_grid</x:t>
  </x:si>
  <x:si>
    <x:t xml:space="preserve">B04-0185</x:t>
  </x:si>
  <x:si>
    <x:t xml:space="preserve">preprocessing.spatial_grid</x:t>
  </x:si>
  <x:si>
    <x:t xml:space="preserve">0.25 × 0.25</x:t>
  </x:si>
  <x:si>
    <x:t xml:space="preserve">B04-0186</x:t>
  </x:si>
  <x:si>
    <x:t xml:space="preserve">results.rmse_u</x:t>
  </x:si>
  <x:si>
    <x:t xml:space="preserve">Table 1, MariNet</x:t>
  </x:si>
  <x:si>
    <x:t xml:space="preserve">m/s</x:t>
  </x:si>
  <x:si>
    <x:t xml:space="preserve">B04-0187</x:t>
  </x:si>
  <x:si>
    <x:t xml:space="preserve">results.rmse_v</x:t>
  </x:si>
  <x:si>
    <x:t xml:space="preserve">B04-0188</x:t>
  </x:si>
  <x:si>
    <x:t xml:space="preserve">results.correlation_ssh</x:t>
  </x:si>
  <x:si>
    <x:t xml:space="preserve">B04-0189</x:t>
  </x:si>
  <x:si>
    <x:t xml:space="preserve">baselines.list</x:t>
  </x:si>
  <x:si>
    <x:t xml:space="preserve">FourCastNet and PhyDNet.</x:t>
  </x:si>
  <x:si>
    <x:t xml:space="preserve">2.4 Metrics</x:t>
  </x:si>
  <x:si>
    <x:t xml:space="preserve">B04-0190</x:t>
  </x:si>
  <x:si>
    <x:t xml:space="preserve">OAI-0031</x:t>
  </x:si>
  <x:si>
    <x:t xml:space="preserve">architecture.convolution_layers</x:t>
  </x:si>
  <x:si>
    <x:t xml:space="preserve">https://www.frontiersin.org/journals/marine-science/articles/10.3389/fmars.2023.1079286/full</x:t>
  </x:si>
  <x:si>
    <x:t xml:space="preserve">10.3389/fmars.2023.1079286</x:t>
  </x:si>
  <x:si>
    <x:t xml:space="preserve">2.2 Methods</x:t>
  </x:si>
  <x:si>
    <x:t xml:space="preserve">B04-0191</x:t>
  </x:si>
  <x:si>
    <x:t xml:space="preserve">architecture.pooling_layers</x:t>
  </x:si>
  <x:si>
    <x:t xml:space="preserve">B04-0192</x:t>
  </x:si>
  <x:si>
    <x:t xml:space="preserve">architecture.convolution_kernel</x:t>
  </x:si>
  <x:si>
    <x:t xml:space="preserve">4 × 4</x:t>
  </x:si>
  <x:si>
    <x:t xml:space="preserve">B04-0193</x:t>
  </x:si>
  <x:si>
    <x:t xml:space="preserve">architecture.dense_layers</x:t>
  </x:si>
  <x:si>
    <x:t xml:space="preserve">B04-0194</x:t>
  </x:si>
  <x:si>
    <x:t xml:space="preserve">B04-0195</x:t>
  </x:si>
  <x:si>
    <x:t xml:space="preserve">Batch normalization.</x:t>
  </x:si>
  <x:si>
    <x:t xml:space="preserve">B04-0196</x:t>
  </x:si>
  <x:si>
    <x:t xml:space="preserve">B04-0197</x:t>
  </x:si>
  <x:si>
    <x:t xml:space="preserve">B04-0198</x:t>
  </x:si>
  <x:si>
    <x:t xml:space="preserve">regularization.dropout</x:t>
  </x:si>
  <x:si>
    <x:t xml:space="preserve">probability between dense layers</x:t>
  </x:si>
  <x:si>
    <x:t xml:space="preserve">B04-0199</x:t>
  </x:si>
  <x:si>
    <x:t xml:space="preserve">MSE of Indonesian Throughflow transport.</x:t>
  </x:si>
  <x:si>
    <x:t xml:space="preserve">B04-0200</x:t>
  </x:si>
  <x:si>
    <x:t xml:space="preserve">SSH at t−2, t−1 and t months.</x:t>
  </x:si>
  <x:si>
    <x:t xml:space="preserve">B04-0201</x:t>
  </x:si>
  <x:si>
    <x:t xml:space="preserve">preprocessing.output_standardization</x:t>
  </x:si>
  <x:si>
    <x:t xml:space="preserve">Training-mean/standard-deviation z-score.</x:t>
  </x:si>
  <x:si>
    <x:t xml:space="preserve">2.1 Data</x:t>
  </x:si>
  <x:si>
    <x:t xml:space="preserve">B04-0202</x:t>
  </x:si>
  <x:si>
    <x:t xml:space="preserve">CMIP6, SODA and AVISO.</x:t>
  </x:si>
  <x:si>
    <x:t xml:space="preserve">B04-0203</x:t>
  </x:si>
  <x:si>
    <x:t xml:space="preserve">3 Results</x:t>
  </x:si>
  <x:si>
    <x:t xml:space="preserve">B04-0204</x:t>
  </x:si>
  <x:si>
    <x:t xml:space="preserve">results.soda_correlation_transfer</x:t>
  </x:si>
  <x:si>
    <x:t xml:space="preserve">3 Results, Figure 6</x:t>
  </x:si>
  <x:si>
    <x:t xml:space="preserve">B04-0205</x:t>
  </x:si>
  <x:si>
    <x:t xml:space="preserve">results.soda_correlation_no_transfer</x:t>
  </x:si>
  <x:si>
    <x:t xml:space="preserve">B04-0206</x:t>
  </x:si>
  <x:si>
    <x:t xml:space="preserve">limitations.extremes</x:t>
  </x:si>
  <x:si>
    <x:t xml:space="preserve">ITF transport extremes remain underestimated.</x:t>
  </x:si>
  <x:si>
    <x:t xml:space="preserve">3 Results, Figure 5</x:t>
  </x:si>
  <x:si>
    <x:t xml:space="preserve">B04-0207</x:t>
  </x:si>
  <x:si>
    <x:t xml:space="preserve">results.useful_forecast_lead</x:t>
  </x:si>
  <x:si>
    <x:t xml:space="preserve">Approximately 7 months at correlation &gt; 0.5.</x:t>
  </x:si>
  <x:si>
    <x:t xml:space="preserve">3 Results, Figure 9</x:t>
  </x:si>
  <x:si>
    <x:t xml:space="preserve">B04-0208</x:t>
  </x:si>
  <x:si>
    <x:t xml:space="preserve">OAI-0065</x:t>
  </x:si>
  <x:si>
    <x:t xml:space="preserve">Hs/Tm CNN variants; suffix identifies separate model where applicable.</x:t>
  </x:si>
  <x:si>
    <x:t xml:space="preserve">https://www.frontiersin.org/journals/marine-science/articles/10.3389/fmars.2025.1741623/full</x:t>
  </x:si>
  <x:si>
    <x:t xml:space="preserve">10.3389/fmars.2025.1741623</x:t>
  </x:si>
  <x:si>
    <x:t xml:space="preserve">2.2.2, model setup</x:t>
  </x:si>
  <x:si>
    <x:t xml:space="preserve">B04-0209</x:t>
  </x:si>
  <x:si>
    <x:t xml:space="preserve">architecture.hidden_channels_hs</x:t>
  </x:si>
  <x:si>
    <x:t xml:space="preserve">80, 80, 240, 464</x:t>
  </x:si>
  <x:si>
    <x:t xml:space="preserve">B04-0210</x:t>
  </x:si>
  <x:si>
    <x:t xml:space="preserve">architecture.hidden_channels_tm</x:t>
  </x:si>
  <x:si>
    <x:t xml:space="preserve">16, 64, 256, 160</x:t>
  </x:si>
  <x:si>
    <x:t xml:space="preserve">B04-0211</x:t>
  </x:si>
  <x:si>
    <x:t xml:space="preserve">architecture.kernel</x:t>
  </x:si>
  <x:si>
    <x:t xml:space="preserve">3 × 3</x:t>
  </x:si>
  <x:si>
    <x:t xml:space="preserve">B04-0212</x:t>
  </x:si>
  <x:si>
    <x:t xml:space="preserve">architecture.output_kernel</x:t>
  </x:si>
  <x:si>
    <x:t xml:space="preserve">1 × 1</x:t>
  </x:si>
  <x:si>
    <x:t xml:space="preserve">B04-0213</x:t>
  </x:si>
  <x:si>
    <x:t xml:space="preserve">B04-0214</x:t>
  </x:si>
  <x:si>
    <x:t xml:space="preserve">B04-0215</x:t>
  </x:si>
  <x:si>
    <x:t xml:space="preserve">training.learning_rate_hs</x:t>
  </x:si>
  <x:si>
    <x:t xml:space="preserve">B04-0216</x:t>
  </x:si>
  <x:si>
    <x:t xml:space="preserve">training.learning_rate_tm</x:t>
  </x:si>
  <x:si>
    <x:t xml:space="preserve">B04-0217</x:t>
  </x:si>
  <x:si>
    <x:t xml:space="preserve">B04-0218</x:t>
  </x:si>
  <x:si>
    <x:t xml:space="preserve">training.maximum_epochs</x:t>
  </x:si>
  <x:si>
    <x:t xml:space="preserve">B04-0219</x:t>
  </x:si>
  <x:si>
    <x:t xml:space="preserve">epochs patience</x:t>
  </x:si>
  <x:si>
    <x:t xml:space="preserve">B04-0220</x:t>
  </x:si>
  <x:si>
    <x:t xml:space="preserve">B04-0221</x:t>
  </x:si>
  <x:si>
    <x:t xml:space="preserve">6:2:2 train/validation/test.</x:t>
  </x:si>
  <x:si>
    <x:t xml:space="preserve">B04-0222</x:t>
  </x:si>
  <x:si>
    <x:t xml:space="preserve">results.rmse_hs</x:t>
  </x:si>
  <x:si>
    <x:t xml:space="preserve">Table 8, 3-h history / 1-h lead</x:t>
  </x:si>
  <x:si>
    <x:t xml:space="preserve">B04-0223</x:t>
  </x:si>
  <x:si>
    <x:t xml:space="preserve">results.rmse_tm</x:t>
  </x:si>
  <x:si>
    <x:t xml:space="preserve">s</x:t>
  </x:si>
  <x:si>
    <x:t xml:space="preserve">B04-0224</x:t>
  </x:si>
  <x:si>
    <x:t xml:space="preserve">LSTM, GRU, ConvLSTM and U-Net.</x:t>
  </x:si>
  <x:si>
    <x:t xml:space="preserve">3.2 Baseline model</x:t>
  </x:si>
  <x:si>
    <x:t xml:space="preserve">B04-0225</x:t>
  </x:si>
  <x:si>
    <x:t xml:space="preserve">OAI-0066</x:t>
  </x:si>
  <x:si>
    <x:t xml:space="preserve">2D-Geoformer, multiheaded spatiotemporal attention encoder–decoder.</x:t>
  </x:si>
  <x:si>
    <x:t xml:space="preserve">https://www.frontiersin.org/journals/marine-science/articles/10.3389/fmars.2024.1374902/full</x:t>
  </x:si>
  <x:si>
    <x:t xml:space="preserve">10.3389/fmars.2024.1374902</x:t>
  </x:si>
  <x:si>
    <x:t xml:space="preserve">2.2.1, Figure 1</x:t>
  </x:si>
  <x:si>
    <x:t xml:space="preserve">B04-0226</x:t>
  </x:si>
  <x:si>
    <x:t xml:space="preserve">architecture.decoder_blocks</x:t>
  </x:si>
  <x:si>
    <x:t xml:space="preserve">blocks</x:t>
  </x:si>
  <x:si>
    <x:t xml:space="preserve">B04-0227</x:t>
  </x:si>
  <x:si>
    <x:t xml:space="preserve">inputs.sequence_length</x:t>
  </x:si>
  <x:si>
    <x:t xml:space="preserve">time steps</x:t>
  </x:si>
  <x:si>
    <x:t xml:space="preserve">B04-0228</x:t>
  </x:si>
  <x:si>
    <x:t xml:space="preserve">B04-0229</x:t>
  </x:si>
  <x:si>
    <x:t xml:space="preserve">FIO-COM significant-wave-height forecast error fields.</x:t>
  </x:si>
  <x:si>
    <x:t xml:space="preserve">2.2.2 Model training strategy</x:t>
  </x:si>
  <x:si>
    <x:t xml:space="preserve">B04-0230</x:t>
  </x:si>
  <x:si>
    <x:t xml:space="preserve">RMSE of predicted versus reference error fields.</x:t>
  </x:si>
  <x:si>
    <x:t xml:space="preserve">B04-0231</x:t>
  </x:si>
  <x:si>
    <x:t xml:space="preserve">B04-0232</x:t>
  </x:si>
  <x:si>
    <x:t xml:space="preserve">Learning-rate warm-up.</x:t>
  </x:si>
  <x:si>
    <x:t xml:space="preserve">B04-0233</x:t>
  </x:si>
  <x:si>
    <x:t xml:space="preserve">2018-12-10 to 2022-12-31.</x:t>
  </x:si>
  <x:si>
    <x:t xml:space="preserve">B04-0234</x:t>
  </x:si>
  <x:si>
    <x:t xml:space="preserve">datasets.test_period</x:t>
  </x:si>
  <x:si>
    <x:t xml:space="preserve">2023-01-01 to 2023-11-29.</x:t>
  </x:si>
  <x:si>
    <x:t xml:space="preserve">B04-0235</x:t>
  </x:si>
  <x:si>
    <x:t xml:space="preserve">preprocessing.land</x:t>
  </x:si>
  <x:si>
    <x:t xml:space="preserve">Nullify land data.</x:t>
  </x:si>
  <x:si>
    <x:t xml:space="preserve">B04-0236</x:t>
  </x:si>
  <x:si>
    <x:t xml:space="preserve">results.rmse_original_24h</x:t>
  </x:si>
  <x:si>
    <x:t xml:space="preserve">3.1, Table 1</x:t>
  </x:si>
  <x:si>
    <x:t xml:space="preserve">B04-0237</x:t>
  </x:si>
  <x:si>
    <x:t xml:space="preserve">results.rmse_corrected_24h</x:t>
  </x:si>
  <x:si>
    <x:t xml:space="preserve">B04-0238</x:t>
  </x:si>
  <x:si>
    <x:t xml:space="preserve">results.rmse_original_72h</x:t>
  </x:si>
  <x:si>
    <x:t xml:space="preserve">B04-0239</x:t>
  </x:si>
  <x:si>
    <x:t xml:space="preserve">results.rmse_corrected_72h</x:t>
  </x:si>
  <x:si>
    <x:t xml:space="preserve">B04-0240</x:t>
  </x:si>
  <x:si>
    <x:t xml:space="preserve">OAI-0075</x:t>
  </x:si>
  <x:si>
    <x:t xml:space="preserve">architecture.hidden_layers</x:t>
  </x:si>
  <x:si>
    <x:t xml:space="preserve">https://www.frontiersin.org/journals/marine-science/articles/10.3389/fmars.2024.1378488/full</x:t>
  </x:si>
  <x:si>
    <x:t xml:space="preserve">10.3389/fmars.2024.1378488</x:t>
  </x:si>
  <x:si>
    <x:t xml:space="preserve">B04-0241</x:t>
  </x:si>
  <x:si>
    <x:t xml:space="preserve">64, 128, 128, 64</x:t>
  </x:si>
  <x:si>
    <x:t xml:space="preserve">B04-0242</x:t>
  </x:si>
  <x:si>
    <x:t xml:space="preserve">Gaussian radial basis function.</x:t>
  </x:si>
  <x:si>
    <x:t xml:space="preserve">2.2, Gaussian activation</x:t>
  </x:si>
  <x:si>
    <x:t xml:space="preserve">B04-0243</x:t>
  </x:si>
  <x:si>
    <x:t xml:space="preserve">architecture.bias_initialization</x:t>
  </x:si>
  <x:si>
    <x:t xml:space="preserve">B04-0244</x:t>
  </x:si>
  <x:si>
    <x:t xml:space="preserve">training.momentum</x:t>
  </x:si>
  <x:si>
    <x:t xml:space="preserve">B04-0245</x:t>
  </x:si>
  <x:si>
    <x:t xml:space="preserve">B04-0246</x:t>
  </x:si>
  <x:si>
    <x:t xml:space="preserve">depth-value samples</x:t>
  </x:si>
  <x:si>
    <x:t xml:space="preserve">B04-0247</x:t>
  </x:si>
  <x:si>
    <x:t xml:space="preserve">B04-0248</x:t>
  </x:si>
  <x:si>
    <x:t xml:space="preserve">B04-0249</x:t>
  </x:si>
  <x:si>
    <x:t xml:space="preserve">Surface chlorophyll, 3D temperature/salinity, location, depth, year and month.</x:t>
  </x:si>
  <x:si>
    <x:t xml:space="preserve">2.2, input/output description</x:t>
  </x:si>
  <x:si>
    <x:t xml:space="preserve">B04-0250</x:t>
  </x:si>
  <x:si>
    <x:t xml:space="preserve">Chlorophyll profiles, 0–300 m.</x:t>
  </x:si>
  <x:si>
    <x:t xml:space="preserve">B04-0251</x:t>
  </x:si>
  <x:si>
    <x:t xml:space="preserve">outputs.vertical_resolution</x:t>
  </x:si>
  <x:si>
    <x:t xml:space="preserve">B04-0252</x:t>
  </x:si>
  <x:si>
    <x:t xml:space="preserve">Zero mean and unit variance.</x:t>
  </x:si>
  <x:si>
    <x:t xml:space="preserve">2.2, normalization paragraph</x:t>
  </x:si>
  <x:si>
    <x:t xml:space="preserve">B04-0253</x:t>
  </x:si>
  <x:si>
    <x:t xml:space="preserve">75% training pool, 25% test; 15% of training pool for validation.</x:t>
  </x:si>
  <x:si>
    <x:t xml:space="preserve">B04-0254</x:t>
  </x:si>
  <x:si>
    <x:t xml:space="preserve">NSE, Pearson correlation, RMSE, MAE and MAPE.</x:t>
  </x:si>
  <x:si>
    <x:t xml:space="preserve">2.3 Statistical evaluation indexes</x:t>
  </x:si>
  <x:si>
    <x:t xml:space="preserve">B04-0255</x:t>
  </x:si>
  <x:si>
    <x:t xml:space="preserve">limitations.deep_chlorophyll</x:t>
  </x:si>
  <x:si>
    <x:t xml:space="preserve">Low chlorophyll below 200 m is slightly overestimated.</x:t>
  </x:si>
  <x:si>
    <x:t xml:space="preserve">3.1 Validation</x:t>
  </x:si>
  <x:si>
    <x:t xml:space="preserve">B04-0256</x:t>
  </x:si>
  <x:si>
    <x:t xml:space="preserve">OAI-0082</x:t>
  </x:si>
  <x:si>
    <x:t xml:space="preserve">datasets.train_count</x:t>
  </x:si>
  <x:si>
    <x:t xml:space="preserve">https://www.frontiersin.org/journals/marine-science/articles/10.3389/fmars.2025.1569781/full</x:t>
  </x:si>
  <x:si>
    <x:t xml:space="preserve">10.3389/fmars.2025.1569781</x:t>
  </x:si>
  <x:si>
    <x:t xml:space="preserve">3.3, dataset description</x:t>
  </x:si>
  <x:si>
    <x:t xml:space="preserve">daily ADT fields, 2011–2020</x:t>
  </x:si>
  <x:si>
    <x:t xml:space="preserve">B04-0257</x:t>
  </x:si>
  <x:si>
    <x:t xml:space="preserve">datasets.validation_count</x:t>
  </x:si>
  <x:si>
    <x:t xml:space="preserve">daily ADT fields, 2021</x:t>
  </x:si>
  <x:si>
    <x:t xml:space="preserve">B04-0258</x:t>
  </x:si>
  <x:si>
    <x:t xml:space="preserve">datasets.labels</x:t>
  </x:si>
  <x:si>
    <x:t xml:space="preserve">PET eddy detections.</x:t>
  </x:si>
  <x:si>
    <x:t xml:space="preserve">B04-0259</x:t>
  </x:si>
  <x:si>
    <x:t xml:space="preserve">preprocessing.highpass_radius</x:t>
  </x:si>
  <x:si>
    <x:t xml:space="preserve">3.3, preprocessing</x:t>
  </x:si>
  <x:si>
    <x:t xml:space="preserve">B04-0260</x:t>
  </x:si>
  <x:si>
    <x:t xml:space="preserve">inputs.image_size</x:t>
  </x:si>
  <x:si>
    <x:t xml:space="preserve">648 × 648</x:t>
  </x:si>
  <x:si>
    <x:t xml:space="preserve">B04-0261</x:t>
  </x:si>
  <x:si>
    <x:t xml:space="preserve">Two NVIDIA Tesla T4 GPUs.</x:t>
  </x:si>
  <x:si>
    <x:t xml:space="preserve">3.5 Experimental environment and parameter setting</x:t>
  </x:si>
  <x:si>
    <x:t xml:space="preserve">B04-0262</x:t>
  </x:si>
  <x:si>
    <x:t xml:space="preserve">B04-0263</x:t>
  </x:si>
  <x:si>
    <x:t xml:space="preserve">B04-0264</x:t>
  </x:si>
  <x:si>
    <x:t xml:space="preserve">B04-0265</x:t>
  </x:si>
  <x:si>
    <x:t xml:space="preserve">training.learning_rate_final</x:t>
  </x:si>
  <x:si>
    <x:t xml:space="preserve">B04-0266</x:t>
  </x:si>
  <x:si>
    <x:t xml:space="preserve">SGD</x:t>
  </x:si>
  <x:si>
    <x:t xml:space="preserve">B04-0267</x:t>
  </x:si>
  <x:si>
    <x:t xml:space="preserve">B04-0268</x:t>
  </x:si>
  <x:si>
    <x:t xml:space="preserve">loss.bounding_box</x:t>
  </x:si>
  <x:si>
    <x:t xml:space="preserve">Focal EIoU replaces CIoU.</x:t>
  </x:si>
  <x:si>
    <x:t xml:space="preserve">4.1 Sensitivity</x:t>
  </x:si>
  <x:si>
    <x:t xml:space="preserve">B04-0269</x:t>
  </x:si>
  <x:si>
    <x:t xml:space="preserve">Table 1, YOLOv8 Focal EIoU</x:t>
  </x:si>
  <x:si>
    <x:t xml:space="preserve">min</x:t>
  </x:si>
  <x:si>
    <x:t xml:space="preserve">B04-0270</x:t>
  </x:si>
  <x:si>
    <x:t xml:space="preserve">results.map</x:t>
  </x:si>
  <x:si>
    <x:t xml:space="preserve">percent</x:t>
  </x:si>
  <x:si>
    <x:t xml:space="preserve">B04-0271</x:t>
  </x:si>
  <x:si>
    <x:t xml:space="preserve">results.baseline_map</x:t>
  </x:si>
  <x:si>
    <x:t xml:space="preserve">Table 1, YOLOv8 CIoU</x:t>
  </x:si>
  <x:si>
    <x:t xml:space="preserve">B04-0272</x:t>
  </x:si>
  <x:si>
    <x:t xml:space="preserve">ablations.inputs</x:t>
  </x:si>
  <x:si>
    <x:t xml:space="preserve">ADT alone versus ADT plus surface geostrophic velocity.</x:t>
  </x:si>
  <x:si>
    <x:t xml:space="preserve">B04-0273</x:t>
  </x:si>
  <x:si>
    <x:t xml:space="preserve">OAI-0091</x:t>
  </x:si>
  <x:si>
    <x:t xml:space="preserve">CNN filtering followed by U-Net seamount segmentation.</x:t>
  </x:si>
  <x:si>
    <x:t xml:space="preserve">https://www.frontiersin.org/journals/marine-science/articles/10.3389/fmars.2025.1613061/full</x:t>
  </x:si>
  <x:si>
    <x:t xml:space="preserve">10.3389/fmars.2025.1613061</x:t>
  </x:si>
  <x:si>
    <x:t xml:space="preserve">4.3, optimal configuration</x:t>
  </x:si>
  <x:si>
    <x:t xml:space="preserve">B04-0274</x:t>
  </x:si>
  <x:si>
    <x:t xml:space="preserve">architecture.initial_filters</x:t>
  </x:si>
  <x:si>
    <x:t xml:space="preserve">4.3.6 Optimal configuration</x:t>
  </x:si>
  <x:si>
    <x:t xml:space="preserve">filters</x:t>
  </x:si>
  <x:si>
    <x:t xml:space="preserve">B04-0275</x:t>
  </x:si>
  <x:si>
    <x:t xml:space="preserve">5 × 5</x:t>
  </x:si>
  <x:si>
    <x:t xml:space="preserve">B04-0276</x:t>
  </x:si>
  <x:si>
    <x:t xml:space="preserve">B04-0277</x:t>
  </x:si>
  <x:si>
    <x:t xml:space="preserve">B04-0278</x:t>
  </x:si>
  <x:si>
    <x:t xml:space="preserve">B04-0279</x:t>
  </x:si>
  <x:si>
    <x:t xml:space="preserve">4.3, optimizer paragraph</x:t>
  </x:si>
  <x:si>
    <x:t xml:space="preserve">B04-0280</x:t>
  </x:si>
  <x:si>
    <x:t xml:space="preserve">80/20 stratified train/validation, pooled MSM75/MSM88 images.</x:t>
  </x:si>
  <x:si>
    <x:t xml:space="preserve">4.3, split paragraph</x:t>
  </x:si>
  <x:si>
    <x:t xml:space="preserve">B04-0281</x:t>
  </x:si>
  <x:si>
    <x:t xml:space="preserve">reproducibility.split_seed</x:t>
  </x:si>
  <x:si>
    <x:t xml:space="preserve">B04-0282</x:t>
  </x:si>
  <x:si>
    <x:t xml:space="preserve">preprocessing.augmentation</x:t>
  </x:si>
  <x:si>
    <x:t xml:space="preserve">90° and 180° rotations of normalized 256 × 256 images.</x:t>
  </x:si>
  <x:si>
    <x:t xml:space="preserve">4.3, augmentation paragraph</x:t>
  </x:si>
  <x:si>
    <x:t xml:space="preserve">B04-0283</x:t>
  </x:si>
  <x:si>
    <x:t xml:space="preserve">results.validation_mean_iou</x:t>
  </x:si>
  <x:si>
    <x:t xml:space="preserve">B04-0284</x:t>
  </x:si>
  <x:si>
    <x:t xml:space="preserve">limitations.domain_shift</x:t>
  </x:si>
  <x:si>
    <x:t xml:space="preserve">Morphology, resolution and noise shifts may reduce reliability.</x:t>
  </x:si>
  <x:si>
    <x:t xml:space="preserve">4.3.7 Balancing generalization</x:t>
  </x:si>
  <x:si>
    <x:t xml:space="preserve">B04-0285</x:t>
  </x:si>
  <x:si>
    <x:t xml:space="preserve">future_work.robustness</x:t>
  </x:si>
  <x:si>
    <x:t xml:space="preserve">Domain adaptation, transfer learning and uncertainty quantification.</x:t>
  </x:si>
  <x:si>
    <x:t xml:space="preserve">B04-0286</x:t>
  </x:si>
  <x:si>
    <x:t xml:space="preserve">OAI-0019</x:t>
  </x:si>
  <x:si>
    <x:t xml:space="preserve">Survey operational ocean assimilation methods, software and implementation choices.</x:t>
  </x:si>
  <x:si>
    <x:t xml:space="preserve">https://sp.copernicus.org/articles/5-opsr/9/2025/</x:t>
  </x:si>
  <x:si>
    <x:t xml:space="preserve">Introduction / methods and operational software overview</x:t>
  </x:si>
  <x:si>
    <x:t xml:space="preserve">HTML extracted paragraph 6 (1-based; cached article order)</x:t>
  </x:si>
  <x:si>
    <x:t xml:space="preserve">B04-0287</x:t>
  </x:si>
  <x:si>
    <x:t xml:space="preserve">limitations.model_error</x:t>
  </x:si>
  <x:si>
    <x:t xml:space="preserve">Numerics, unresolved physics, forcing and boundary inputs contribute model errors.</x:t>
  </x:si>
  <x:si>
    <x:t xml:space="preserve">HTML extracted paragraph 5 (1-based; cached article order)</x:t>
  </x:si>
  <x:si>
    <x:t xml:space="preserve">B04-0288</x:t>
  </x:si>
  <x:si>
    <x:t xml:space="preserve">limitations.observation_error</x:t>
  </x:si>
  <x:si>
    <x:t xml:space="preserve">Measurement and representation errors both require characterization.</x:t>
  </x:si>
  <x:si>
    <x:t xml:space="preserve">B04-0289</x:t>
  </x:si>
  <x:si>
    <x:t xml:space="preserve">Forecast emulation, analysis replacement and model-error parameterization.</x:t>
  </x:si>
  <x:si>
    <x:t xml:space="preserve">B04-0290</x:t>
  </x:si>
  <x:si>
    <x:t xml:space="preserve">reproducibility.software_scope</x:t>
  </x:si>
  <x:si>
    <x:t xml:space="preserve">Review inventories operational DA software including DART, PDAF and JEDI.</x:t>
  </x:si>
  <x:si>
    <x:t xml:space="preserve">HTML extracted paragraph 16 (1-based; cached article order)</x:t>
  </x:si>
  <x:si>
    <x:t xml:space="preserve">B04-0291</x:t>
  </x:si>
  <x:si>
    <x:t xml:space="preserve">OAI-0023</x:t>
  </x:si>
  <x:si>
    <x:t xml:space="preserve">methods.review_taxonomy</x:t>
  </x:si>
  <x:si>
    <x:t xml:space="preserve">Hybrid generation combines attention/CNN/GCN with assimilation and physical models.</x:t>
  </x:si>
  <x:si>
    <x:t xml:space="preserve">https://www.mdpi.com/2077-1312/13/10/1928</x:t>
  </x:si>
  <x:si>
    <x:t xml:space="preserve">10.3390/jmse13101928</x:t>
  </x:si>
  <x:si>
    <x:t xml:space="preserve">4. Major Trends in Generation-Specific Research Methods</x:t>
  </x:si>
  <x:si>
    <x:t xml:space="preserve">B04-0292</x:t>
  </x:si>
  <x:si>
    <x:t xml:space="preserve">limitations.observations</x:t>
  </x:si>
  <x:si>
    <x:t xml:space="preserve">Dense drifter deployment is costly and logistically difficult offshore and at high latitudes.</x:t>
  </x:si>
  <x:si>
    <x:t xml:space="preserve">4.1.3. Summary</x:t>
  </x:si>
  <x:si>
    <x:t xml:space="preserve">HTML extracted paragraph 48 (1-based; cached article order)</x:t>
  </x:si>
  <x:si>
    <x:t xml:space="preserve">B04-0293</x:t>
  </x:si>
  <x:si>
    <x:t xml:space="preserve">methods.probabilistic_categories</x:t>
  </x:si>
  <x:si>
    <x:t xml:space="preserve">Markov chains, Monte Carlo dispersion, AR/ARIMA and variational assimilation.</x:t>
  </x:si>
  <x:si>
    <x:t xml:space="preserve">4.2. Statistical and Probabilistic Models and the Expansion of Observations (Second Generation)</x:t>
  </x:si>
  <x:si>
    <x:t xml:space="preserve">HTML extracted paragraph 50 (1-based; cached article order)</x:t>
  </x:si>
  <x:si>
    <x:t xml:space="preserve">B04-0294</x:t>
  </x:si>
  <x:si>
    <x:t xml:space="preserve">OAI-0087</x:t>
  </x:si>
  <x:si>
    <x:t xml:space="preserve">datasets.benthicnet_1m_images</x:t>
  </x:si>
  <x:si>
    <x:t xml:space="preserve">https://www.nature.com/articles/s41597-025-04491-1</x:t>
  </x:si>
  <x:si>
    <x:t xml:space="preserve">10.1038/s41597-025-04491-1</x:t>
  </x:si>
  <x:si>
    <x:t xml:space="preserve">Spatial subsampling</x:t>
  </x:si>
  <x:si>
    <x:t xml:space="preserve">images</x:t>
  </x:si>
  <x:si>
    <x:t xml:space="preserve">B04-0295</x:t>
  </x:si>
  <x:si>
    <x:t xml:space="preserve">preprocessing.image_size</x:t>
  </x:si>
  <x:si>
    <x:t xml:space="preserve">Shortest side approximately 512 pixels, 10% tolerance.</x:t>
  </x:si>
  <x:si>
    <x:t xml:space="preserve">Compression</x:t>
  </x:si>
  <x:si>
    <x:t xml:space="preserve">B04-0296</x:t>
  </x:si>
  <x:si>
    <x:t xml:space="preserve">preprocessing.encoding</x:t>
  </x:si>
  <x:si>
    <x:t xml:space="preserve">JPEG; preserve aspect ratio.</x:t>
  </x:si>
  <x:si>
    <x:t xml:space="preserve">B04-0297</x:t>
  </x:si>
  <x:si>
    <x:t xml:space="preserve">preprocessing.quality_control</x:t>
  </x:si>
  <x:si>
    <x:t xml:space="preserve">Exclude missing, truncated and unreadable images.</x:t>
  </x:si>
  <x:si>
    <x:t xml:space="preserve">Downloading</x:t>
  </x:si>
  <x:si>
    <x:t xml:space="preserve">B04-0298</x:t>
  </x:si>
  <x:si>
    <x:t xml:space="preserve">reproducibility.artifacts</x:t>
  </x:si>
  <x:si>
    <x:t xml:space="preserve">Images, metadata and model weights deposited in FRDR.</x:t>
  </x:si>
  <x:si>
    <x:t xml:space="preserve">Data Records</x:t>
  </x:si>
  <x:si>
    <x:t xml:space="preserve">B04-0299</x:t>
  </x:si>
  <x:si>
    <x:t xml:space="preserve">architecture.released_model</x:t>
  </x:si>
  <x:si>
    <x:t xml:space="preserve">Self-supervised ResNet-50.</x:t>
  </x:si>
  <x:si>
    <x:t xml:space="preserve">B04-0300</x:t>
  </x:si>
  <x:si>
    <x:t xml:space="preserve">reproducibility.metadata_license</x:t>
  </x:si>
  <x:si>
    <x:t xml:space="preserve">CC-BY-4.0 for metadata and models.</x:t>
  </x:si>
  <x:si>
    <x:t xml:space="preserve">B04-0301</x:t>
  </x:si>
  <x:si>
    <x:t xml:space="preserve">limitations.image_licenses</x:t>
  </x:si>
  <x:si>
    <x:t xml:space="preserve">Image licenses retain source-specific restrictions.</x:t>
  </x:si>
  <x:si>
    <x:t xml:space="preserve">B04-0302</x:t>
  </x:si>
  <x:si>
    <x:t xml:space="preserve">OAI-0088</x:t>
  </x:si>
  <x:si>
    <x:t xml:space="preserve">datasets.surveys</x:t>
  </x:si>
  <x:si>
    <x:t xml:space="preserve">https://www.nature.com/articles/s41597-024-04267-z</x:t>
  </x:si>
  <x:si>
    <x:t xml:space="preserve">10.1038/s41597-024-04267-z</x:t>
  </x:si>
  <x:si>
    <x:t xml:space="preserve">surveys in article edition</x:t>
  </x:si>
  <x:si>
    <x:t xml:space="preserve">B04-0303</x:t>
  </x:si>
  <x:si>
    <x:t xml:space="preserve">datasets.asv_surveys</x:t>
  </x:si>
  <x:si>
    <x:t xml:space="preserve">surveys</x:t>
  </x:si>
  <x:si>
    <x:t xml:space="preserve">B04-0304</x:t>
  </x:si>
  <x:si>
    <x:t xml:space="preserve">datasets.uav_surveys</x:t>
  </x:si>
  <x:si>
    <x:t xml:space="preserve">B04-0305</x:t>
  </x:si>
  <x:si>
    <x:t xml:space="preserve">datasets.diving_surveys</x:t>
  </x:si>
  <x:si>
    <x:t xml:space="preserve">B04-0306</x:t>
  </x:si>
  <x:si>
    <x:t xml:space="preserve">datasets.paddleboard_surveys</x:t>
  </x:si>
  <x:si>
    <x:t xml:space="preserve">B04-0307</x:t>
  </x:si>
  <x:si>
    <x:t xml:space="preserve">reproducibility.repository</x:t>
  </x:si>
  <x:si>
    <x:t xml:space="preserve">Zenodo, one DOI per survey.</x:t>
  </x:si>
  <x:si>
    <x:t xml:space="preserve">B04-0308</x:t>
  </x:si>
  <x:si>
    <x:t xml:space="preserve">reproducibility.data_versions</x:t>
  </x:si>
  <x:si>
    <x:t xml:space="preserve">Separate RAW_DATA and PROCESSED_DATA deposits.</x:t>
  </x:si>
  <x:si>
    <x:t xml:space="preserve">Session deposit</x:t>
  </x:si>
  <x:si>
    <x:t xml:space="preserve">B04-0309</x:t>
  </x:si>
  <x:si>
    <x:t xml:space="preserve">limitations.raw_access</x:t>
  </x:si>
  <x:si>
    <x:t xml:space="preserve">Some raw images are restricted and available on request.</x:t>
  </x:si>
  <x:si>
    <x:t xml:space="preserve">B04-0310</x:t>
  </x:si>
  <x:si>
    <x:t xml:space="preserve">OAI-0089</x:t>
  </x:si>
  <x:si>
    <x:t xml:space="preserve">datasets.image_count</x:t>
  </x:si>
  <x:si>
    <x:t xml:space="preserve">https://www.nature.com/articles/s41597-024-03766-3</x:t>
  </x:si>
  <x:si>
    <x:t xml:space="preserve">10.1038/s41597-024-03766-3</x:t>
  </x:si>
  <x:si>
    <x:t xml:space="preserve">Data Records: Deepdive Dataset</x:t>
  </x:si>
  <x:si>
    <x:t xml:space="preserve">B04-0311</x:t>
  </x:si>
  <x:si>
    <x:t xml:space="preserve">datasets.class_count</x:t>
  </x:si>
  <x:si>
    <x:t xml:space="preserve">classes</x:t>
  </x:si>
  <x:si>
    <x:t xml:space="preserve">B04-0312</x:t>
  </x:si>
  <x:si>
    <x:t xml:space="preserve">datasets.reported_split</x:t>
  </x:si>
  <x:si>
    <x:t xml:space="preserve">60:20:20 train/validation/test, as stated.</x:t>
  </x:si>
  <x:si>
    <x:t xml:space="preserve">B04-0313</x:t>
  </x:si>
  <x:si>
    <x:t xml:space="preserve">B04-0314</x:t>
  </x:si>
  <x:si>
    <x:t xml:space="preserve">B04-0315</x:t>
  </x:si>
  <x:si>
    <x:t xml:space="preserve">datasets.test_count</x:t>
  </x:si>
  <x:si>
    <x:t xml:space="preserve">B04-0316</x:t>
  </x:si>
  <x:si>
    <x:t xml:space="preserve">preprocessing.resize</x:t>
  </x:si>
  <x:si>
    <x:t xml:space="preserve">250 × 250 pixels, bilinear interpolation.</x:t>
  </x:si>
  <x:si>
    <x:t xml:space="preserve">Technical Validation</x:t>
  </x:si>
  <x:si>
    <x:t xml:space="preserve">B04-0317</x:t>
  </x:si>
  <x:si>
    <x:t xml:space="preserve">preprocessing.pixel_scaling</x:t>
  </x:si>
  <x:si>
    <x:t xml:space="preserve">[0,255] to [0,1].</x:t>
  </x:si>
  <x:si>
    <x:t xml:space="preserve">B04-0318</x:t>
  </x:si>
  <x:si>
    <x:t xml:space="preserve">limitations.class_imbalance</x:t>
  </x:si>
  <x:si>
    <x:t xml:space="preserve">Most-to-least class instance ratio remains 33:1.</x:t>
  </x:si>
  <x:si>
    <x:t xml:space="preserve">B04-0319</x:t>
  </x:si>
  <x:si>
    <x:t xml:space="preserve">architecture.transfer</x:t>
  </x:si>
  <x:si>
    <x:t xml:space="preserve">ImageNet-pretrained ResNet, DenseNet and Inception variants.</x:t>
  </x:si>
  <x:si>
    <x:t xml:space="preserve">Methods, stages 3–4</x:t>
  </x:si>
  <x:si>
    <x:t xml:space="preserve">B04-0320</x:t>
  </x:si>
  <x:si>
    <x:t xml:space="preserve">architecture.classifier</x:t>
  </x:si>
  <x:si>
    <x:t xml:space="preserve">Replace final fully connected layer for 33 classes.</x:t>
  </x:si>
  <x:si>
    <x:t xml:space="preserve">B04-0321</x:t>
  </x:si>
  <x:si>
    <x:t xml:space="preserve">reproducibility.split_conflict</x:t>
  </x:si>
  <x:si>
    <x:t xml:space="preserve">Stated 60:20:20 ratio disagrees with reported subset counts; unresolved.</x:t>
  </x:si>
  <x:si>
    <x:t xml:space="preserve">Extractor arithmetic check only; not an independent scientific audit.</x:t>
  </x:si>
  <x:si>
    <x:t xml:space="preserve">B04-0322</x:t>
  </x:si>
  <x:si>
    <x:t xml:space="preserve">OAI-0076</x:t>
  </x:si>
  <x:si>
    <x:t xml:space="preserve">https://www.nature.com/articles/s41467-025-62901-9</x:t>
  </x:si>
  <x:si>
    <x:t xml:space="preserve">10.1038/s41467-025-62901-9</x:t>
  </x:si>
  <x:si>
    <x:t xml:space="preserve">More training details</x:t>
  </x:si>
  <x:si>
    <x:t xml:space="preserve">B04-0323</x:t>
  </x:si>
  <x:si>
    <x:t xml:space="preserve">B04-0324</x:t>
  </x:si>
  <x:si>
    <x:t xml:space="preserve">B04-0325</x:t>
  </x:si>
  <x:si>
    <x:t xml:space="preserve">training.epochs_imputation</x:t>
  </x:si>
  <x:si>
    <x:t xml:space="preserve">B04-0326</x:t>
  </x:si>
  <x:si>
    <x:t xml:space="preserve">training.epochs_prediction</x:t>
  </x:si>
  <x:si>
    <x:t xml:space="preserve">B04-0327</x:t>
  </x:si>
  <x:si>
    <x:t xml:space="preserve">architecture.embedding</x:t>
  </x:si>
  <x:si>
    <x:t xml:space="preserve">1 × 1 convolution.</x:t>
  </x:si>
  <x:si>
    <x:t xml:space="preserve">Network structures of STDDM</x:t>
  </x:si>
  <x:si>
    <x:t xml:space="preserve">B04-0328</x:t>
  </x:si>
  <x:si>
    <x:t xml:space="preserve">architecture.diffusion_step_embedding</x:t>
  </x:si>
  <x:si>
    <x:t xml:space="preserve">Two fully connected layers with SiLU.</x:t>
  </x:si>
  <x:si>
    <x:t xml:space="preserve">B04-0329</x:t>
  </x:si>
  <x:si>
    <x:t xml:space="preserve">Group normalization.</x:t>
  </x:si>
  <x:si>
    <x:t xml:space="preserve">B04-0330</x:t>
  </x:si>
  <x:si>
    <x:t xml:space="preserve">architecture.gated_activation</x:t>
  </x:si>
  <x:si>
    <x:t xml:space="preserve">Sigmoid multiplied by tanh.</x:t>
  </x:si>
  <x:si>
    <x:t xml:space="preserve">Network structures of STDDM, Equation 18</x:t>
  </x:si>
  <x:si>
    <x:t xml:space="preserve">B04-0331</x:t>
  </x:si>
  <x:si>
    <x:t xml:space="preserve">architecture.temporal_attention</x:t>
  </x:si>
  <x:si>
    <x:t xml:space="preserve">Multihead temporal self-attention.</x:t>
  </x:si>
  <x:si>
    <x:t xml:space="preserve">Network structures of TLT</x:t>
  </x:si>
  <x:si>
    <x:t xml:space="preserve">B04-0332</x:t>
  </x:si>
  <x:si>
    <x:t xml:space="preserve">architecture.feedforward_activation</x:t>
  </x:si>
  <x:si>
    <x:t xml:space="preserve">B04-0333</x:t>
  </x:si>
  <x:si>
    <x:t xml:space="preserve">architecture.spatial_model</x:t>
  </x:si>
  <x:si>
    <x:t xml:space="preserve">Location-specific graph parameters from a shared prototype pool.</x:t>
  </x:si>
  <x:si>
    <x:t xml:space="preserve">Network structures of HSGNN</x:t>
  </x:si>
  <x:si>
    <x:t xml:space="preserve">B04-0334</x:t>
  </x:si>
  <x:si>
    <x:t xml:space="preserve">datasets.temporal_resolution</x:t>
  </x:si>
  <x:si>
    <x:t xml:space="preserve">Acknowledgements</x:t>
  </x:si>
  <x:si>
    <x:t xml:space="preserve">B04-0335</x:t>
  </x:si>
  <x:si>
    <x:t xml:space="preserve">B04-0336</x:t>
  </x:si>
  <x:si>
    <x:t xml:space="preserve">MODIS Aqua chlorophyll-a.</x:t>
  </x:si>
  <x:si>
    <x:t xml:space="preserve">B04-0337</x:t>
  </x:si>
  <x:si>
    <x:t xml:space="preserve">https://doi.org/10.5281/zenodo.14638405</x:t>
  </x:si>
  <x:si>
    <x:t xml:space="preserve">B04-0338</x:t>
  </x:si>
  <x:si>
    <x:t xml:space="preserve">https://github.com/YangLabHKUST/STIMP.git</x:t>
  </x:si>
  <x:si>
    <x:t xml:space="preserve">B04-0339</x:t>
  </x:si>
  <x:si>
    <x:t xml:space="preserve">OAI-0101</x:t>
  </x:si>
  <x:si>
    <x:t xml:space="preserve">https://arxiv.org/html/2512.04452v1</x:t>
  </x:si>
  <x:si>
    <x:t xml:space="preserve">10.48550/arXiv.2512.04452</x:t>
  </x:si>
  <x:si>
    <x:t xml:space="preserve">ARXIV_V1</x:t>
  </x:si>
  <x:si>
    <x:t xml:space="preserve">5, a posteriori calibration</x:t>
  </x:si>
  <x:si>
    <x:t xml:space="preserve">Preprint v1; journal edition not compared.</x:t>
  </x:si>
  <x:si>
    <x:t xml:space="preserve">B04-0340</x:t>
  </x:si>
  <x:si>
    <x:t xml:space="preserve">units per layer</x:t>
  </x:si>
  <x:si>
    <x:t xml:space="preserve">B04-0341</x:t>
  </x:si>
  <x:si>
    <x:t xml:space="preserve">B04-0342</x:t>
  </x:si>
  <x:si>
    <x:t xml:space="preserve">B04-0343</x:t>
  </x:si>
  <x:si>
    <x:t xml:space="preserve">training.initialization</x:t>
  </x:si>
  <x:si>
    <x:t xml:space="preserve">Glorot</x:t>
  </x:si>
  <x:si>
    <x:t xml:space="preserve">B04-0344</x:t>
  </x:si>
  <x:si>
    <x:t xml:space="preserve">Inputs and outputs standardized across training simulations.</x:t>
  </x:si>
  <x:si>
    <x:t xml:space="preserve">B04-0345</x:t>
  </x:si>
  <x:si>
    <x:t xml:space="preserve">training.batch</x:t>
  </x:si>
  <x:si>
    <x:t xml:space="preserve">Full batch over 62 simulations.</x:t>
  </x:si>
  <x:si>
    <x:t xml:space="preserve">B04-0346</x:t>
  </x:si>
  <x:si>
    <x:t xml:space="preserve">training.epochs_per_stage</x:t>
  </x:si>
  <x:si>
    <x:t xml:space="preserve">B04-0347</x:t>
  </x:si>
  <x:si>
    <x:t xml:space="preserve">training.curriculum_windows</x:t>
  </x:si>
  <x:si>
    <x:t xml:space="preserve">15, 23.3 and 43.3</x:t>
  </x:si>
  <x:si>
    <x:t xml:space="preserve">B04-0348</x:t>
  </x:si>
  <x:si>
    <x:t xml:space="preserve">B04-0349</x:t>
  </x:si>
  <x:si>
    <x:t xml:space="preserve">Single CPU on Supercloud.</x:t>
  </x:si>
  <x:si>
    <x:t xml:space="preserve">B04-0350</x:t>
  </x:si>
  <x:si>
    <x:t xml:space="preserve">physics.integrator</x:t>
  </x:si>
  <x:si>
    <x:t xml:space="preserve">Implicit Euler diffusion plus explicit Euler nonlocal flux.</x:t>
  </x:si>
  <x:si>
    <x:t xml:space="preserve">B04-0351</x:t>
  </x:si>
  <x:si>
    <x:t xml:space="preserve">physics.training_timestep</x:t>
  </x:si>
  <x:si>
    <x:t xml:space="preserve">B04-0352</x:t>
  </x:si>
  <x:si>
    <x:t xml:space="preserve">physics.validation_timestep</x:t>
  </x:si>
  <x:si>
    <x:t xml:space="preserve">B04-0353</x:t>
  </x:si>
  <x:si>
    <x:t xml:space="preserve">loss.excluded_terms</x:t>
  </x:si>
  <x:si>
    <x:t xml:space="preserve">Momentum losses omitted during neural calibration.</x:t>
  </x:si>
  <x:si>
    <x:t xml:space="preserve">B04-0354</x:t>
  </x:si>
  <x:si>
    <x:t xml:space="preserve">regularization.derivatives</x:t>
  </x:si>
  <x:si>
    <x:t xml:space="preserve">Tracer vertical-derivative terms promote smooth solutions.</x:t>
  </x:si>
  <x:si>
    <x:t xml:space="preserve">B04-0355</x:t>
  </x:si>
  <x:si>
    <x:t xml:space="preserve">limitations.apriori_training</x:t>
  </x:si>
  <x:si>
    <x:t xml:space="preserve">Noise in a priori flux calibration accumulates into finite-time blowup.</x:t>
  </x:si>
  <x:si>
    <x:t xml:space="preserve">B04-0356</x:t>
  </x:si>
  <x:si>
    <x:t xml:space="preserve">datasets.validation_cases</x:t>
  </x:si>
  <x:si>
    <x:t xml:space="preserve">6.1 Training and validation loss</x:t>
  </x:si>
  <x:si>
    <x:t xml:space="preserve">cases</x:t>
  </x:si>
  <x:si>
    <x:t xml:space="preserve">B04-0357</x:t>
  </x:si>
  <x:si>
    <x:t xml:space="preserve">OAI-0108</x:t>
  </x:si>
  <x:si>
    <x:t xml:space="preserve">Multilayer perceptron predicts principal-component scores.</x:t>
  </x:si>
  <x:si>
    <x:t xml:space="preserve">https://www.researchgate.net/publication/389118424_Neural_Synthetic_Profiles_from_Remote_Sensing_and_Observations_NeSPReSO_-Reconstructing_temperature_and_salinity_fields_in_the_Gulf_of_Mexico</x:t>
  </x:si>
  <x:si>
    <x:t xml:space="preserve">AUTHOR_MANUSCRIPT_COPY</x:t>
  </x:si>
  <x:si>
    <x:t xml:space="preserve">3.2, manuscript pp.13–14</x:t>
  </x:si>
  <x:si>
    <x:t xml:space="preserve">13–14</x:t>
  </x:si>
  <x:si>
    <x:t xml:space="preserve">Author manuscript hosted on ResearchGate, pp.13–14; publisher edition and corrigendum not compared.</x:t>
  </x:si>
  <x:si>
    <x:t xml:space="preserve">B04-0358</x:t>
  </x:si>
  <x:si>
    <x:t xml:space="preserve">3.2, manuscript p.13</x:t>
  </x:si>
  <x:si>
    <x:t xml:space="preserve">13</x:t>
  </x:si>
  <x:si>
    <x:t xml:space="preserve">B04-0359</x:t>
  </x:si>
  <x:si>
    <x:t xml:space="preserve">neurons per layer</x:t>
  </x:si>
  <x:si>
    <x:t xml:space="preserve">B04-0360</x:t>
  </x:si>
  <x:si>
    <x:t xml:space="preserve">B04-0361</x:t>
  </x:si>
  <x:si>
    <x:t xml:space="preserve">B04-0362</x:t>
  </x:si>
  <x:si>
    <x:t xml:space="preserve">profiles</x:t>
  </x:si>
  <x:si>
    <x:t xml:space="preserve">B04-0363</x:t>
  </x:si>
  <x:si>
    <x:t xml:space="preserve">B04-0364</x:t>
  </x:si>
  <x:si>
    <x:t xml:space="preserve">3.2, manuscript p.14</x:t>
  </x:si>
  <x:si>
    <x:t xml:space="preserve">14</x:t>
  </x:si>
  <x:si>
    <x:t xml:space="preserve">B04-0365</x:t>
  </x:si>
  <x:si>
    <x:t xml:space="preserve">B04-0366</x:t>
  </x:si>
  <x:si>
    <x:t xml:space="preserve">Single GPU, model unspecified in inspected passage.</x:t>
  </x:si>
  <x:si>
    <x:t xml:space="preserve">B04-0367</x:t>
  </x:si>
  <x:si>
    <x:t xml:space="preserve">Satellite ADT, SST, SSS, location and seasonal harmonics.</x:t>
  </x:si>
  <x:si>
    <x:t xml:space="preserve">B04-0368</x:t>
  </x:si>
  <x:si>
    <x:t xml:space="preserve">preprocessing.interpolation</x:t>
  </x:si>
  <x:si>
    <x:t xml:space="preserve">Bicubic interpolation to Argo-profile locations.</x:t>
  </x:si>
  <x:si>
    <x:t xml:space="preserve">B04-0369</x:t>
  </x:si>
  <x:si>
    <x:t xml:space="preserve">Inverse PCA reconstructs temperature and salinity profiles.</x:t>
  </x:si>
  <x:si>
    <x:t xml:space="preserve">B04-0370</x:t>
  </x:si>
  <x:si>
    <x:t xml:space="preserve">B04-0371</x:t>
  </x:si>
  <x:si>
    <x:t xml:space="preserve">B04-0372</x:t>
  </x:si>
  <x:si>
    <x:t xml:space="preserve">B04-0373</x:t>
  </x:si>
  <x:si>
    <x:t xml:space="preserve">Multiple Linear Regression, Gravest Empirical Modes, Improved Synthetic Ocean Profile.</x:t>
  </x:si>
  <x:si>
    <x:t xml:space="preserve">B04-0374</x:t>
  </x:si>
  <x:si>
    <x:t xml:space="preserve">OAI-0103</x:t>
  </x:si>
  <x:si>
    <x:t xml:space="preserve">L_sensor + L_phy1 + L_phy2 + 0.25 L_reg.</x:t>
  </x:si>
  <x:si>
    <x:t xml:space="preserve">PINO cases A/B; III.1 architecture and result apply only to buoy case A.</x:t>
  </x:si>
  <x:si>
    <x:t xml:space="preserve">https://arxiv.org/html/2508.03315v1</x:t>
  </x:si>
  <x:si>
    <x:t xml:space="preserve">10.48550/arXiv.2508.03315</x:t>
  </x:si>
  <x:si>
    <x:t xml:space="preserve">II.3.2, Equation 10</x:t>
  </x:si>
  <x:si>
    <x:t xml:space="preserve">Preprint v1; journal edition not compared. Equation transcription should be checked against PDF before reuse.</x:t>
  </x:si>
  <x:si>
    <x:t xml:space="preserve">B04-0375</x:t>
  </x:si>
  <x:si>
    <x:t xml:space="preserve">loss.sensor_component</x:t>
  </x:si>
  <x:si>
    <x:t xml:space="preserve">Normalized squared calibration-buoy mismatch.</x:t>
  </x:si>
  <x:si>
    <x:t xml:space="preserve">II.3.2, Equation 11</x:t>
  </x:si>
  <x:si>
    <x:t xml:space="preserve">B04-0376</x:t>
  </x:si>
  <x:si>
    <x:t xml:space="preserve">loss.physics_component_1</x:t>
  </x:si>
  <x:si>
    <x:t xml:space="preserve">Free-surface kinematic boundary residual.</x:t>
  </x:si>
  <x:si>
    <x:t xml:space="preserve">II.3.2, Equation 12</x:t>
  </x:si>
  <x:si>
    <x:t xml:space="preserve">B04-0377</x:t>
  </x:si>
  <x:si>
    <x:t xml:space="preserve">loss.physics_component_2</x:t>
  </x:si>
  <x:si>
    <x:t xml:space="preserve">Free-surface dynamic boundary residual.</x:t>
  </x:si>
  <x:si>
    <x:t xml:space="preserve">II.3.2, Equation 13</x:t>
  </x:si>
  <x:si>
    <x:t xml:space="preserve">B04-0378</x:t>
  </x:si>
  <x:si>
    <x:t xml:space="preserve">loss.regularization_component</x:t>
  </x:si>
  <x:si>
    <x:t xml:space="preserve">Squared mismatch of surface-elevation standard deviations.</x:t>
  </x:si>
  <x:si>
    <x:t xml:space="preserve">II.3.2, Equation 14</x:t>
  </x:si>
  <x:si>
    <x:t xml:space="preserve">B04-0379</x:t>
  </x:si>
  <x:si>
    <x:t xml:space="preserve">loss.regularization_weight</x:t>
  </x:si>
  <x:si>
    <x:t xml:space="preserve">B04-0380</x:t>
  </x:si>
  <x:si>
    <x:t xml:space="preserve">loss.sensor_weight</x:t>
  </x:si>
  <x:si>
    <x:t xml:space="preserve">B04-0381</x:t>
  </x:si>
  <x:si>
    <x:t xml:space="preserve">loss.physics1_weight</x:t>
  </x:si>
  <x:si>
    <x:t xml:space="preserve">B04-0382</x:t>
  </x:si>
  <x:si>
    <x:t xml:space="preserve">loss.physics2_weight</x:t>
  </x:si>
  <x:si>
    <x:t xml:space="preserve">B04-0383</x:t>
  </x:si>
  <x:si>
    <x:t xml:space="preserve">preprocessing.spectral_leakage</x:t>
  </x:si>
  <x:si>
    <x:t xml:space="preserve">Tukey windows along space and time; central-region loss evaluation.</x:t>
  </x:si>
  <x:si>
    <x:t xml:space="preserve">II.3.2</x:t>
  </x:si>
  <x:si>
    <x:t xml:space="preserve">B04-0384</x:t>
  </x:si>
  <x:si>
    <x:t xml:space="preserve">physics.derivatives</x:t>
  </x:si>
  <x:si>
    <x:t xml:space="preserve">Fourier differentiation.</x:t>
  </x:si>
  <x:si>
    <x:t xml:space="preserve">B04-0385</x:t>
  </x:si>
  <x:si>
    <x:t xml:space="preserve">B04-0386</x:t>
  </x:si>
  <x:si>
    <x:t xml:space="preserve">B04-0387</x:t>
  </x:si>
  <x:si>
    <x:t xml:space="preserve">Halve learning rate every 25 epochs.</x:t>
  </x:si>
  <x:si>
    <x:t xml:space="preserve">B04-0388</x:t>
  </x:si>
  <x:si>
    <x:t xml:space="preserve">B04-0389</x:t>
  </x:si>
  <x:si>
    <x:t xml:space="preserve">NVIDIA GeForce RTX 3090</x:t>
  </x:si>
  <x:si>
    <x:t xml:space="preserve">B04-0390</x:t>
  </x:si>
  <x:si>
    <x:t xml:space="preserve">B04-0391</x:t>
  </x:si>
  <x:si>
    <x:t xml:space="preserve">architecture.fourier_layers</x:t>
  </x:si>
  <x:si>
    <x:t xml:space="preserve">III.1, case A buoy reconstruction</x:t>
  </x:si>
  <x:si>
    <x:t xml:space="preserve">B04-0392</x:t>
  </x:si>
  <x:si>
    <x:t xml:space="preserve">modes</x:t>
  </x:si>
  <x:si>
    <x:t xml:space="preserve">B04-0393</x:t>
  </x:si>
  <x:si>
    <x:t xml:space="preserve">architecture.latent_width</x:t>
  </x:si>
  <x:si>
    <x:t xml:space="preserve">B04-0394</x:t>
  </x:si>
  <x:si>
    <x:t xml:space="preserve">training.best_validation_epoch</x:t>
  </x:si>
  <x:si>
    <x:t xml:space="preserve">epoch</x:t>
  </x:si>
  <x:si>
    <x:t xml:space="preserve">B04-0395</x:t>
  </x:si>
  <x:si>
    <x:t xml:space="preserve">III Results</x:t>
  </x:si>
  <x:si>
    <x:t xml:space="preserve">samples per case</x:t>
  </x:si>
  <x:si>
    <x:t xml:space="preserve">B04-0396</x:t>
  </x:si>
  <x:si>
    <x:t xml:space="preserve">B04-0397</x:t>
  </x:si>
  <x:si>
    <x:t xml:space="preserve">B04-0398</x:t>
  </x:si>
  <x:si>
    <x:t xml:space="preserve">results.mean_test_ssp_case_a</x:t>
  </x:si>
  <x:si>
    <x:t xml:space="preserve">III.1, Figure 4</x:t>
  </x:si>
  <x:si>
    <x:t xml:space="preserve">B04-0399</x:t>
  </x:si>
  <x:si>
    <x:t xml:space="preserve">gap.extremes</x:t>
  </x:si>
  <x:si>
    <x:t xml:space="preserve">Test tail-sensitive losses with independent observational evaluation for ITF extremes.</x:t>
  </x:si>
  <x:si>
    <x:t xml:space="preserve">Research proposal, not established novelty.</x:t>
  </x:si>
  <x:si>
    <x:t xml:space="preserve">Hypothesis motivated by stated limitation; requires broader literature review.</x:t>
  </x:si>
  <x:si>
    <x:t xml:space="preserve">B04-0400</x:t>
  </x:si>
  <x:si>
    <x:t xml:space="preserve">gap.sparsity</x:t>
  </x:si>
  <x:si>
    <x:t xml:space="preserve">Compare observation-density-aware training across winters and ocean basins.</x:t>
  </x:si>
  <x:si>
    <x:t xml:space="preserve">B04-0401</x:t>
  </x:si>
  <x:si>
    <x:t xml:space="preserve">gap.domain_shift</x:t>
  </x:si>
  <x:si>
    <x:t xml:space="preserve">Benchmark bathymetry domain adaptation with geographically separated test cruises.</x:t>
  </x:si>
  <x:si>
    <x:t xml:space="preserve">B04-0402</x:t>
  </x:si>
  <x:si>
    <x:t xml:space="preserve">gap.stability</x:t>
  </x:si>
  <x:si>
    <x:t xml:space="preserve">Compare derivative regularization and long-rollout stability under unseen forcing.</x:t>
  </x:si>
  <x:si>
    <x:t xml:space="preserve">B05-0001</x:t>
  </x:si>
  <x:si>
    <x:t xml:space="preserve">OAI-0038</x:t>
  </x:si>
  <x:si>
    <x:t xml:space="preserve">CMEMS SLA, UKMO SST, SMAP SSS and EN4.2.1 profiles.</x:t>
  </x:si>
  <x:si>
    <x:t xml:space="preserve">https://www.frontiersin.org/journals/marine-science/articles/10.3389/fmars.2022.985048/full</x:t>
  </x:si>
  <x:si>
    <x:t xml:space="preserve">10.3389/fmars.2022.985048</x:t>
  </x:si>
  <x:si>
    <x:t xml:space="preserve">B05</x:t>
  </x:si>
  <x:si>
    <x:t xml:space="preserve">B05-0002</x:t>
  </x:si>
  <x:si>
    <x:t xml:space="preserve">day, satellite products</x:t>
  </x:si>
  <x:si>
    <x:t xml:space="preserve">B05-0003</x:t>
  </x:si>
  <x:si>
    <x:t xml:space="preserve">datasets.target_depth_levels</x:t>
  </x:si>
  <x:si>
    <x:t xml:space="preserve">B05-0004</x:t>
  </x:si>
  <x:si>
    <x:t xml:space="preserve">2004–2018</x:t>
  </x:si>
  <x:si>
    <x:t xml:space="preserve">B05-0005</x:t>
  </x:si>
  <x:si>
    <x:t xml:space="preserve">B05-0006</x:t>
  </x:si>
  <x:si>
    <x:t xml:space="preserve">Generalized regression neural network with fruit-fly optimization.</x:t>
  </x:si>
  <x:si>
    <x:t xml:space="preserve">2.2.1 FOAGRNN</x:t>
  </x:si>
  <x:si>
    <x:t xml:space="preserve">B05-0007</x:t>
  </x:si>
  <x:si>
    <x:t xml:space="preserve">SST, SSS, SLA, longitude and latitude.</x:t>
  </x:si>
  <x:si>
    <x:t xml:space="preserve">2.2.1 FOAGRNN, Step 1</x:t>
  </x:si>
  <x:si>
    <x:t xml:space="preserve">B05-0008</x:t>
  </x:si>
  <x:si>
    <x:t xml:space="preserve">Subsurface temperature or salinity.</x:t>
  </x:si>
  <x:si>
    <x:t xml:space="preserve">B05-0009</x:t>
  </x:si>
  <x:si>
    <x:t xml:space="preserve">Scale inputs to [0,1].</x:t>
  </x:si>
  <x:si>
    <x:t xml:space="preserve">B05-0010</x:t>
  </x:si>
  <x:si>
    <x:t xml:space="preserve">training.smoothing_search_range</x:t>
  </x:si>
  <x:si>
    <x:t xml:space="preserve">0.001–1; selected by FOA, not fixed final setting.</x:t>
  </x:si>
  <x:si>
    <x:t xml:space="preserve">2.2.1 FOAGRNN, Step 2</x:t>
  </x:si>
  <x:si>
    <x:t xml:space="preserve">B05-0011</x:t>
  </x:si>
  <x:si>
    <x:t xml:space="preserve">ROMS incremental strong-constraint 4D-Var.</x:t>
  </x:si>
  <x:si>
    <x:t xml:space="preserve">2.2.2 I4D-Var</x:t>
  </x:si>
  <x:si>
    <x:t xml:space="preserve">B05-0012</x:t>
  </x:si>
  <x:si>
    <x:t xml:space="preserve">physics.boundary_data</x:t>
  </x:si>
  <x:si>
    <x:t xml:space="preserve">SODA3.4.2 five-day means.</x:t>
  </x:si>
  <x:si>
    <x:t xml:space="preserve">2.3 Experiment configuration</x:t>
  </x:si>
  <x:si>
    <x:t xml:space="preserve">B05-0013</x:t>
  </x:si>
  <x:si>
    <x:t xml:space="preserve">physics.surface_forcing</x:t>
  </x:si>
  <x:si>
    <x:t xml:space="preserve">ERA-Interim wind stress, heat and freshwater fluxes.</x:t>
  </x:si>
  <x:si>
    <x:t xml:space="preserve">B05-0014</x:t>
  </x:si>
  <x:si>
    <x:t xml:space="preserve">datasets.model_grid</x:t>
  </x:si>
  <x:si>
    <x:t xml:space="preserve">1/6 × 1/6</x:t>
  </x:si>
  <x:si>
    <x:t xml:space="preserve">B05-0015</x:t>
  </x:si>
  <x:si>
    <x:t xml:space="preserve">datasets.model_vertical_layers</x:t>
  </x:si>
  <x:si>
    <x:t xml:space="preserve">B05-0016</x:t>
  </x:si>
  <x:si>
    <x:t xml:space="preserve">OAI-0045</x:t>
  </x:si>
  <x:si>
    <x:t xml:space="preserve">https://www.frontiersin.org/journals/marine-science/articles/10.3389/fmars.2025.1543177/full</x:t>
  </x:si>
  <x:si>
    <x:t xml:space="preserve">10.3389/fmars.2025.1543177</x:t>
  </x:si>
  <x:si>
    <x:t xml:space="preserve">2.1 Datasets</x:t>
  </x:si>
  <x:si>
    <x:t xml:space="preserve">B05-0017</x:t>
  </x:si>
  <x:si>
    <x:t xml:space="preserve">1980–2022</x:t>
  </x:si>
  <x:si>
    <x:t xml:space="preserve">B05-0018</x:t>
  </x:si>
  <x:si>
    <x:t xml:space="preserve">B05-0019</x:t>
  </x:si>
  <x:si>
    <x:t xml:space="preserve">datasets.temporal_resolutions</x:t>
  </x:si>
  <x:si>
    <x:t xml:space="preserve">Hourly and monthly.</x:t>
  </x:si>
  <x:si>
    <x:t xml:space="preserve">B05-0020</x:t>
  </x:si>
  <x:si>
    <x:t xml:space="preserve">inputs.wind</x:t>
  </x:si>
  <x:si>
    <x:t xml:space="preserve">10-m zonal and meridional wind.</x:t>
  </x:si>
  <x:si>
    <x:t xml:space="preserve">B05-0021</x:t>
  </x:si>
  <x:si>
    <x:t xml:space="preserve">inputs.air_temperature</x:t>
  </x:si>
  <x:si>
    <x:t xml:space="preserve">2-m air and dew-point temperatures.</x:t>
  </x:si>
  <x:si>
    <x:t xml:space="preserve">B05-0022</x:t>
  </x:si>
  <x:si>
    <x:t xml:space="preserve">inputs.pressure</x:t>
  </x:si>
  <x:si>
    <x:t xml:space="preserve">Mean sea-level pressure.</x:t>
  </x:si>
  <x:si>
    <x:t xml:space="preserve">Pa</x:t>
  </x:si>
  <x:si>
    <x:t xml:space="preserve">B05-0023</x:t>
  </x:si>
  <x:si>
    <x:t xml:space="preserve">inputs.cloud_cover</x:t>
  </x:si>
  <x:si>
    <x:t xml:space="preserve">Total cloud cover.</x:t>
  </x:si>
  <x:si>
    <x:t xml:space="preserve">fraction 0–1</x:t>
  </x:si>
  <x:si>
    <x:t xml:space="preserve">B05-0024</x:t>
  </x:si>
  <x:si>
    <x:t xml:space="preserve">outputs.sst</x:t>
  </x:si>
  <x:si>
    <x:t xml:space="preserve">Sea-surface temperature.</x:t>
  </x:si>
  <x:si>
    <x:t xml:space="preserve">B05-0025</x:t>
  </x:si>
  <x:si>
    <x:t xml:space="preserve">OAI-0074</x:t>
  </x:si>
  <x:si>
    <x:t xml:space="preserve">Barents and Kara Seas, 23–71°E, 63–78°N.</x:t>
  </x:si>
  <x:si>
    <x:t xml:space="preserve">https://www.frontiersin.org/journals/marine-science/articles/10.3389/fmars.2024.1412883/full</x:t>
  </x:si>
  <x:si>
    <x:t xml:space="preserve">10.3389/fmars.2024.1412883</x:t>
  </x:si>
  <x:si>
    <x:t xml:space="preserve">2.1 Study area</x:t>
  </x:si>
  <x:si>
    <x:t xml:space="preserve">B05-0026</x:t>
  </x:si>
  <x:si>
    <x:t xml:space="preserve">B05-0027</x:t>
  </x:si>
  <x:si>
    <x:t xml:space="preserve">MODIS chlorophyll, WRF atmosphere and NEMO ocean simulations.</x:t>
  </x:si>
  <x:si>
    <x:t xml:space="preserve">2.2 Data collection</x:t>
  </x:si>
  <x:si>
    <x:t xml:space="preserve">B05-0028</x:t>
  </x:si>
  <x:si>
    <x:t xml:space="preserve">datasets.chlorophyll_pixel_size</x:t>
  </x:si>
  <x:si>
    <x:t xml:space="preserve">B05-0029</x:t>
  </x:si>
  <x:si>
    <x:t xml:space="preserve">outputs.chlorophyll_units</x:t>
  </x:si>
  <x:si>
    <x:t xml:space="preserve">Chlorophyll-a concentration.</x:t>
  </x:si>
  <x:si>
    <x:t xml:space="preserve">mg/m³</x:t>
  </x:si>
  <x:si>
    <x:t xml:space="preserve">B05-0030</x:t>
  </x:si>
  <x:si>
    <x:t xml:space="preserve">Next eight-day mean chlorophyll concentration.</x:t>
  </x:si>
  <x:si>
    <x:t xml:space="preserve">3.1 Training of the models</x:t>
  </x:si>
  <x:si>
    <x:t xml:space="preserve">B05-0031</x:t>
  </x:si>
  <x:si>
    <x:t xml:space="preserve">inputs.patch_size</x:t>
  </x:si>
  <x:si>
    <x:t xml:space="preserve">33 × 33</x:t>
  </x:si>
  <x:si>
    <x:t xml:space="preserve">2.4, patch model</x:t>
  </x:si>
  <x:si>
    <x:t xml:space="preserve">B05-0032</x:t>
  </x:si>
  <x:si>
    <x:t xml:space="preserve">ResNet-18 adapted to input feature channels.</x:t>
  </x:si>
  <x:si>
    <x:t xml:space="preserve">B05-0033</x:t>
  </x:si>
  <x:si>
    <x:t xml:space="preserve">Min–max scaling.</x:t>
  </x:si>
  <x:si>
    <x:t xml:space="preserve">B05-0034</x:t>
  </x:si>
  <x:si>
    <x:t xml:space="preserve">preprocessing.land_value</x:t>
  </x:si>
  <x:si>
    <x:t xml:space="preserve">marine-only features on land</x:t>
  </x:si>
  <x:si>
    <x:t xml:space="preserve">B05-0035</x:t>
  </x:si>
  <x:si>
    <x:t xml:space="preserve">preprocessing.missing_chlorophyll</x:t>
  </x:si>
  <x:si>
    <x:t xml:space="preserve">Interpolation of preceding chlorophyll gaps.</x:t>
  </x:si>
  <x:si>
    <x:t xml:space="preserve">B05-0036</x:t>
  </x:si>
  <x:si>
    <x:t xml:space="preserve">B05-0037</x:t>
  </x:si>
  <x:si>
    <x:t xml:space="preserve">B05-0038</x:t>
  </x:si>
  <x:si>
    <x:t xml:space="preserve">Multiply learning rate by 0.2 every 10 epochs.</x:t>
  </x:si>
  <x:si>
    <x:t xml:space="preserve">B05-0039</x:t>
  </x:si>
  <x:si>
    <x:t xml:space="preserve">patches</x:t>
  </x:si>
  <x:si>
    <x:t xml:space="preserve">B05-0040</x:t>
  </x:si>
  <x:si>
    <x:t xml:space="preserve">B05-0041</x:t>
  </x:si>
  <x:si>
    <x:t xml:space="preserve">B05-0042</x:t>
  </x:si>
  <x:si>
    <x:t xml:space="preserve">baselines.pixel_model</x:t>
  </x:si>
  <x:si>
    <x:t xml:space="preserve">LightGBM</x:t>
  </x:si>
  <x:si>
    <x:t xml:space="preserve">B05-0043</x:t>
  </x:si>
  <x:si>
    <x:t xml:space="preserve">OAI-0030</x:t>
  </x:si>
  <x:si>
    <x:t xml:space="preserve">training.spatial_clusters</x:t>
  </x:si>
  <x:si>
    <x:t xml:space="preserve">Cluster-specific models; modal settings are not shared by every cluster.</x:t>
  </x:si>
  <x:si>
    <x:t xml:space="preserve">https://www.frontiersin.org/journals/marine-science/articles/10.3389/fmars.2026.1796684/full</x:t>
  </x:si>
  <x:si>
    <x:t xml:space="preserve">10.3389/fmars.2026.1796684</x:t>
  </x:si>
  <x:si>
    <x:t xml:space="preserve">2.3.4 Hyperparameter optimization</x:t>
  </x:si>
  <x:si>
    <x:t xml:space="preserve">hydrodynamic clusters</x:t>
  </x:si>
  <x:si>
    <x:t xml:space="preserve">B05-0044</x:t>
  </x:si>
  <x:si>
    <x:t xml:space="preserve">training.lstm_search</x:t>
  </x:si>
  <x:si>
    <x:t xml:space="preserve">Hyperband</x:t>
  </x:si>
  <x:si>
    <x:t xml:space="preserve">B05-0045</x:t>
  </x:si>
  <x:si>
    <x:t xml:space="preserve">training.adaboost_search</x:t>
  </x:si>
  <x:si>
    <x:t xml:space="preserve">Successive-halving random search.</x:t>
  </x:si>
  <x:si>
    <x:t xml:space="preserve">B05-0046</x:t>
  </x:si>
  <x:si>
    <x:t xml:space="preserve">training.cross_validation</x:t>
  </x:si>
  <x:si>
    <x:t xml:space="preserve">Five sequential, temporally ordered folds.</x:t>
  </x:si>
  <x:si>
    <x:t xml:space="preserve">2.3.5 Cross-validation</x:t>
  </x:si>
  <x:si>
    <x:t xml:space="preserve">B05-0047</x:t>
  </x:si>
  <x:si>
    <x:t xml:space="preserve">preprocessing.scaling_fit</x:t>
  </x:si>
  <x:si>
    <x:t xml:space="preserve">Fit scaling using each fold's training subset only.</x:t>
  </x:si>
  <x:si>
    <x:t xml:space="preserve">B05-0048</x:t>
  </x:si>
  <x:si>
    <x:t xml:space="preserve">baselines.knn_neighbors</x:t>
  </x:si>
  <x:si>
    <x:t xml:space="preserve">3.1 Hyperparameters optimization</x:t>
  </x:si>
  <x:si>
    <x:t xml:space="preserve">neighbors</x:t>
  </x:si>
  <x:si>
    <x:t xml:space="preserve">B05-0049</x:t>
  </x:si>
  <x:si>
    <x:t xml:space="preserve">architecture.lstm_layers_mode</x:t>
  </x:si>
  <x:si>
    <x:t xml:space="preserve">Table 2, modal values across clusters</x:t>
  </x:si>
  <x:si>
    <x:t xml:space="preserve">layer</x:t>
  </x:si>
  <x:si>
    <x:t xml:space="preserve">B05-0050</x:t>
  </x:si>
  <x:si>
    <x:t xml:space="preserve">architecture.lstm_units_layer1_mode</x:t>
  </x:si>
  <x:si>
    <x:t xml:space="preserve">B05-0051</x:t>
  </x:si>
  <x:si>
    <x:t xml:space="preserve">architecture.dense_layers_mode</x:t>
  </x:si>
  <x:si>
    <x:t xml:space="preserve">B05-0052</x:t>
  </x:si>
  <x:si>
    <x:t xml:space="preserve">training.learning_rate_mode</x:t>
  </x:si>
  <x:si>
    <x:t xml:space="preserve">B05-0053</x:t>
  </x:si>
  <x:si>
    <x:t xml:space="preserve">regularization.dropout_layer1_mode</x:t>
  </x:si>
  <x:si>
    <x:t xml:space="preserve">B05-0054</x:t>
  </x:si>
  <x:si>
    <x:t xml:space="preserve">outputs.variables</x:t>
  </x:si>
  <x:si>
    <x:t xml:space="preserve">Surface u, v and SSH.</x:t>
  </x:si>
  <x:si>
    <x:t xml:space="preserve">Figure 10</x:t>
  </x:si>
  <x:si>
    <x:t xml:space="preserve">B05-0055</x:t>
  </x:si>
  <x:si>
    <x:t xml:space="preserve">December 2022–April 2023.</x:t>
  </x:si>
  <x:si>
    <x:t xml:space="preserve">3.2 Model performance and comparison</x:t>
  </x:si>
  <x:si>
    <x:t xml:space="preserve">B05-0056</x:t>
  </x:si>
  <x:si>
    <x:t xml:space="preserve">OAI-0109</x:t>
  </x:si>
  <x:si>
    <x:t xml:space="preserve">architecture.layers_v1</x:t>
  </x:si>
  <x:si>
    <x:t xml:space="preserve">https://os.copernicus.org/articles/21/2579/2025/</x:t>
  </x:si>
  <x:si>
    <x:t xml:space="preserve">10.5194/os-21-2579-2025</x:t>
  </x:si>
  <x:si>
    <x:t xml:space="preserve">4.4 Implementation and Training, LSTMv1</x:t>
  </x:si>
  <x:si>
    <x:t xml:space="preserve">LSTM layers</x:t>
  </x:si>
  <x:si>
    <x:t xml:space="preserve">B05-0057</x:t>
  </x:si>
  <x:si>
    <x:t xml:space="preserve">architecture.units_v1</x:t>
  </x:si>
  <x:si>
    <x:t xml:space="preserve">B05-0058</x:t>
  </x:si>
  <x:si>
    <x:t xml:space="preserve">architecture.activation_v1</x:t>
  </x:si>
  <x:si>
    <x:t xml:space="preserve">B05-0059</x:t>
  </x:si>
  <x:si>
    <x:t xml:space="preserve">architecture.layers_v2</x:t>
  </x:si>
  <x:si>
    <x:t xml:space="preserve">4.4 Implementation and Training, LSTMv2</x:t>
  </x:si>
  <x:si>
    <x:t xml:space="preserve">B05-0060</x:t>
  </x:si>
  <x:si>
    <x:t xml:space="preserve">architecture.units_v2</x:t>
  </x:si>
  <x:si>
    <x:t xml:space="preserve">B05-0061</x:t>
  </x:si>
  <x:si>
    <x:t xml:space="preserve">architecture.activation_v2</x:t>
  </x:si>
  <x:si>
    <x:t xml:space="preserve">Softsign</x:t>
  </x:si>
  <x:si>
    <x:t xml:space="preserve">B05-0062</x:t>
  </x:si>
  <x:si>
    <x:t xml:space="preserve">4.4 Implementation and Training</x:t>
  </x:si>
  <x:si>
    <x:t xml:space="preserve">both LSTM variants</x:t>
  </x:si>
  <x:si>
    <x:t xml:space="preserve">B05-0063</x:t>
  </x:si>
  <x:si>
    <x:t xml:space="preserve">B05-0064</x:t>
  </x:si>
  <x:si>
    <x:t xml:space="preserve">Time-distributed dense layer.</x:t>
  </x:si>
  <x:si>
    <x:t xml:space="preserve">B05-0065</x:t>
  </x:si>
  <x:si>
    <x:t xml:space="preserve">baselines.random_forest</x:t>
  </x:si>
  <x:si>
    <x:t xml:space="preserve">100 trees maximum, depth 20 maximum, minimum leaf size 10.</x:t>
  </x:si>
  <x:si>
    <x:t xml:space="preserve">B05-0066</x:t>
  </x:si>
  <x:si>
    <x:t xml:space="preserve">inputs.variables_lstm</x:t>
  </x:si>
  <x:si>
    <x:t xml:space="preserve">Surface S/T, currents, MLD, SSH, day, depth, longitude and latitude.</x:t>
  </x:si>
  <x:si>
    <x:t xml:space="preserve">B05-0067</x:t>
  </x:si>
  <x:si>
    <x:t xml:space="preserve">Random daily split, balanced monthly/yearly; common to all models.</x:t>
  </x:si>
  <x:si>
    <x:t xml:space="preserve">B05-0068</x:t>
  </x:si>
  <x:si>
    <x:t xml:space="preserve">Interior reconstruction; not future prediction.</x:t>
  </x:si>
  <x:si>
    <x:t xml:space="preserve">B05-0069</x:t>
  </x:si>
  <x:si>
    <x:t xml:space="preserve">limitations.temperature_depth</x:t>
  </x:si>
  <x:si>
    <x:t xml:space="preserve">Temperature reconstruction deteriorates around 200 m depth.</x:t>
  </x:si>
  <x:si>
    <x:t xml:space="preserve">5 Results</x:t>
  </x:si>
  <x:si>
    <x:t xml:space="preserve">B05-0070</x:t>
  </x:si>
  <x:si>
    <x:t xml:space="preserve">OAI-0110</x:t>
  </x:si>
  <x:si>
    <x:t xml:space="preserve">architecture.cnn_stages</x:t>
  </x:si>
  <x:si>
    <x:t xml:space="preserve">https://www.nature.com/articles/s41598-026-46210-9</x:t>
  </x:si>
  <x:si>
    <x:t xml:space="preserve">10.1038/s41598-026-46210-9</x:t>
  </x:si>
  <x:si>
    <x:t xml:space="preserve">Experiment methodology</x:t>
  </x:si>
  <x:si>
    <x:t xml:space="preserve">stages</x:t>
  </x:si>
  <x:si>
    <x:t xml:space="preserve">B05-0071</x:t>
  </x:si>
  <x:si>
    <x:t xml:space="preserve">architecture.cnn_dimensions</x:t>
  </x:si>
  <x:si>
    <x:t xml:space="preserve">128, 256, 512</x:t>
  </x:si>
  <x:si>
    <x:t xml:space="preserve">B05-0072</x:t>
  </x:si>
  <x:si>
    <x:t xml:space="preserve">architecture.transformer_stages</x:t>
  </x:si>
  <x:si>
    <x:t xml:space="preserve">B05-0073</x:t>
  </x:si>
  <x:si>
    <x:t xml:space="preserve">architecture.embedding_dimension</x:t>
  </x:si>
  <x:si>
    <x:t xml:space="preserve">B05-0074</x:t>
  </x:si>
  <x:si>
    <x:t xml:space="preserve">heads per block</x:t>
  </x:si>
  <x:si>
    <x:t xml:space="preserve">B05-0075</x:t>
  </x:si>
  <x:si>
    <x:t xml:space="preserve">architecture.attention_reduction</x:t>
  </x:si>
  <x:si>
    <x:t xml:space="preserve">8, 4, 2, 1</x:t>
  </x:si>
  <x:si>
    <x:t xml:space="preserve">B05-0076</x:t>
  </x:si>
  <x:si>
    <x:t xml:space="preserve">B05-0077</x:t>
  </x:si>
  <x:si>
    <x:t xml:space="preserve">B05-0078</x:t>
  </x:si>
  <x:si>
    <x:t xml:space="preserve">B05-0079</x:t>
  </x:si>
  <x:si>
    <x:t xml:space="preserve">B05-0080</x:t>
  </x:si>
  <x:si>
    <x:t xml:space="preserve">B05-0081</x:t>
  </x:si>
  <x:si>
    <x:t xml:space="preserve">B05-0082</x:t>
  </x:si>
  <x:si>
    <x:t xml:space="preserve">regularization.gradient_clipping</x:t>
  </x:si>
  <x:si>
    <x:t xml:space="preserve">B05-0083</x:t>
  </x:si>
  <x:si>
    <x:t xml:space="preserve">NVIDIA A100, 512 GB system RAM.</x:t>
  </x:si>
  <x:si>
    <x:t xml:space="preserve">B05-0084</x:t>
  </x:si>
  <x:si>
    <x:t xml:space="preserve">Class-weighted binary cross-entropy.</x:t>
  </x:si>
  <x:si>
    <x:t xml:space="preserve">Binary cross-entropy loss, Equation 13</x:t>
  </x:si>
  <x:si>
    <x:t xml:space="preserve">B05-0085</x:t>
  </x:si>
  <x:si>
    <x:t xml:space="preserve">SWOT L3 SSH, cycles 3–7.</x:t>
  </x:si>
  <x:si>
    <x:t xml:space="preserve">B05-0086</x:t>
  </x:si>
  <x:si>
    <x:t xml:space="preserve">B05-0087</x:t>
  </x:si>
  <x:si>
    <x:t xml:space="preserve">South China Sea, Andaman Sea and Bay of Bengal.</x:t>
  </x:si>
  <x:si>
    <x:t xml:space="preserve">B05-0088</x:t>
  </x:si>
  <x:si>
    <x:t xml:space="preserve">preprocessing.background</x:t>
  </x:si>
  <x:si>
    <x:t xml:space="preserve">2D high-pass filtering and coherent internal-tide restoration.</x:t>
  </x:si>
  <x:si>
    <x:t xml:space="preserve">B05-0089</x:t>
  </x:si>
  <x:si>
    <x:t xml:space="preserve">80% train and 20% test; separate validation allocation unresolved.</x:t>
  </x:si>
  <x:si>
    <x:t xml:space="preserve">B05-0090</x:t>
  </x:si>
  <x:si>
    <x:t xml:space="preserve">OAI-0028</x:t>
  </x:si>
  <x:si>
    <x:t xml:space="preserve">Regional SLA analog forecasting around Australia and New Zealand.</x:t>
  </x:si>
  <x:si>
    <x:t xml:space="preserve">https://www.frontiersin.org/journals/marine-science/articles/10.3389/fmars.2025.1729116/full</x:t>
  </x:si>
  <x:si>
    <x:t xml:space="preserve">10.3389/fmars.2025.1729116</x:t>
  </x:si>
  <x:si>
    <x:t xml:space="preserve">2.2, regional archive</x:t>
  </x:si>
  <x:si>
    <x:t xml:space="preserve">B05-0091</x:t>
  </x:si>
  <x:si>
    <x:t xml:space="preserve">datasets.regional_domains</x:t>
  </x:si>
  <x:si>
    <x:t xml:space="preserve">domains</x:t>
  </x:si>
  <x:si>
    <x:t xml:space="preserve">B05-0092</x:t>
  </x:si>
  <x:si>
    <x:t xml:space="preserve">datasets.domain_extent</x:t>
  </x:si>
  <x:si>
    <x:t xml:space="preserve">B05-0093</x:t>
  </x:si>
  <x:si>
    <x:t xml:space="preserve">datasets.archive_sources</x:t>
  </x:si>
  <x:si>
    <x:t xml:space="preserve">2.3 Analysis of the model archive</x:t>
  </x:si>
  <x:si>
    <x:t xml:space="preserve">model runs or analysis products</x:t>
  </x:si>
  <x:si>
    <x:t xml:space="preserve">B05-0094</x:t>
  </x:si>
  <x:si>
    <x:t xml:space="preserve">datasets.archive_duration</x:t>
  </x:si>
  <x:si>
    <x:t xml:space="preserve">More than 1000</x:t>
  </x:si>
  <x:si>
    <x:t xml:space="preserve">years</x:t>
  </x:si>
  <x:si>
    <x:t xml:space="preserve">B05-0095</x:t>
  </x:si>
  <x:si>
    <x:t xml:space="preserve">methods.archive_analysis</x:t>
  </x:si>
  <x:si>
    <x:t xml:space="preserve">SVD measures independent variability contributed by each source.</x:t>
  </x:si>
  <x:si>
    <x:t xml:space="preserve">B05-0096</x:t>
  </x:si>
  <x:si>
    <x:t xml:space="preserve">limitations.ensemble_spread</x:t>
  </x:si>
  <x:si>
    <x:t xml:space="preserve">Ensembles are under-dispersive in several regions.</x:t>
  </x:si>
  <x:si>
    <x:t xml:space="preserve">4.3 Ensemble forecasts</x:t>
  </x:si>
  <x:si>
    <x:t xml:space="preserve">B05-0097</x:t>
  </x:si>
  <x:si>
    <x:t xml:space="preserve">limitations.tuning</x:t>
  </x:si>
  <x:si>
    <x:t xml:space="preserve">Sensitivity experiments do not establish a statistically tested optimum.</x:t>
  </x:si>
  <x:si>
    <x:t xml:space="preserve">Sensitivity analysis before Table 3</x:t>
  </x:si>
  <x:si>
    <x:t xml:space="preserve">B05-0098</x:t>
  </x:si>
  <x:si>
    <x:t xml:space="preserve">OAI-0080</x:t>
  </x:si>
  <x:si>
    <x:t xml:space="preserve">datasets.image_pairs</x:t>
  </x:si>
  <x:si>
    <x:t xml:space="preserve">https://www.frontiersin.org/journals/marine-science/articles/10.3389/fmars.2024.1464942/full</x:t>
  </x:si>
  <x:si>
    <x:t xml:space="preserve">10.3389/fmars.2024.1464942</x:t>
  </x:si>
  <x:si>
    <x:t xml:space="preserve">2.1 Sentinel-2 imagery data set</x:t>
  </x:si>
  <x:si>
    <x:t xml:space="preserve">Sentinel-2/MODIS pairs</x:t>
  </x:si>
  <x:si>
    <x:t xml:space="preserve">B05-0099</x:t>
  </x:si>
  <x:si>
    <x:t xml:space="preserve">preprocessing.cloud_screening</x:t>
  </x:si>
  <x:si>
    <x:t xml:space="preserve">Exclude cloud coverage above 15%.</x:t>
  </x:si>
  <x:si>
    <x:t xml:space="preserve">B05-0100</x:t>
  </x:si>
  <x:si>
    <x:t xml:space="preserve">datasets.label_resolution</x:t>
  </x:si>
  <x:si>
    <x:t xml:space="preserve">2.2 MODIS Kd490 data set</x:t>
  </x:si>
  <x:si>
    <x:t xml:space="preserve">B05-0101</x:t>
  </x:si>
  <x:si>
    <x:t xml:space="preserve">preprocessing.max_time_difference</x:t>
  </x:si>
  <x:si>
    <x:t xml:space="preserve">B05-0102</x:t>
  </x:si>
  <x:si>
    <x:t xml:space="preserve">Sentinel-2 bands 1–4 reflectance and coordinates.</x:t>
  </x:si>
  <x:si>
    <x:t xml:space="preserve">3.1 Data preprocessing</x:t>
  </x:si>
  <x:si>
    <x:t xml:space="preserve">B05-0103</x:t>
  </x:si>
  <x:si>
    <x:t xml:space="preserve">Kd490</x:t>
  </x:si>
  <x:si>
    <x:t xml:space="preserve">m⁻¹</x:t>
  </x:si>
  <x:si>
    <x:t xml:space="preserve">B05-0104</x:t>
  </x:si>
  <x:si>
    <x:t xml:space="preserve">preprocessing.label_range</x:t>
  </x:si>
  <x:si>
    <x:t xml:space="preserve">0–1</x:t>
  </x:si>
  <x:si>
    <x:t xml:space="preserve">B05-0105</x:t>
  </x:si>
  <x:si>
    <x:t xml:space="preserve">preprocessing.matching_grid</x:t>
  </x:si>
  <x:si>
    <x:t xml:space="preserve">Downsample Sentinel-2 to 1 km for matching.</x:t>
  </x:si>
  <x:si>
    <x:t xml:space="preserve">B05-0106</x:t>
  </x:si>
  <x:si>
    <x:t xml:space="preserve">RF regression ensemble combined with regional empirical band-ratio models.</x:t>
  </x:si>
  <x:si>
    <x:t xml:space="preserve">3.2 Geolocation segmentation</x:t>
  </x:si>
  <x:si>
    <x:t xml:space="preserve">B05-0107</x:t>
  </x:si>
  <x:si>
    <x:t xml:space="preserve">training.learning_cycles</x:t>
  </x:si>
  <x:si>
    <x:t xml:space="preserve">cycles</x:t>
  </x:si>
  <x:si>
    <x:t xml:space="preserve">B05-0108</x:t>
  </x:si>
  <x:si>
    <x:t xml:space="preserve">training.minimum_leaf_size</x:t>
  </x:si>
  <x:si>
    <x:t xml:space="preserve">B05-0109</x:t>
  </x:si>
  <x:si>
    <x:t xml:space="preserve">OAI-0081</x:t>
  </x:si>
  <x:si>
    <x:t xml:space="preserve">datasets.antarctic_scenes</x:t>
  </x:si>
  <x:si>
    <x:t xml:space="preserve">https://www.frontiersin.org/journals/marine-science/articles/10.3389/fmars.2025.1648021/full</x:t>
  </x:si>
  <x:si>
    <x:t xml:space="preserve">10.3389/fmars.2025.1648021</x:t>
  </x:si>
  <x:si>
    <x:t xml:space="preserve">2.1.2 Dataset composition</x:t>
  </x:si>
  <x:si>
    <x:t xml:space="preserve">Sentinel-1 scenes, 2018 and 2022</x:t>
  </x:si>
  <x:si>
    <x:t xml:space="preserve">B05-0110</x:t>
  </x:si>
  <x:si>
    <x:t xml:space="preserve">datasets.fram_strait_scenes</x:t>
  </x:si>
  <x:si>
    <x:t xml:space="preserve">additional scenes</x:t>
  </x:si>
  <x:si>
    <x:t xml:space="preserve">B05-0111</x:t>
  </x:si>
  <x:si>
    <x:t xml:space="preserve">datasets.test_scenes</x:t>
  </x:si>
  <x:si>
    <x:t xml:space="preserve">Antarctic scenes</x:t>
  </x:si>
  <x:si>
    <x:t xml:space="preserve">B05-0112</x:t>
  </x:si>
  <x:si>
    <x:t xml:space="preserve">datasets.resolution</x:t>
  </x:si>
  <x:si>
    <x:t xml:space="preserve">2.1.1 Sentinel-1 data</x:t>
  </x:si>
  <x:si>
    <x:t xml:space="preserve">B05-0113</x:t>
  </x:si>
  <x:si>
    <x:t xml:space="preserve">preprocessing.sar</x:t>
  </x:si>
  <x:si>
    <x:t xml:space="preserve">Thermal/speckle correction and sigma-nought calibration in SNAP.</x:t>
  </x:si>
  <x:si>
    <x:t xml:space="preserve">B05-0114</x:t>
  </x:si>
  <x:si>
    <x:t xml:space="preserve">inputs.composite</x:t>
  </x:si>
  <x:si>
    <x:t xml:space="preserve">HV, HH, HH false-color channels.</x:t>
  </x:si>
  <x:si>
    <x:t xml:space="preserve">B05-0115</x:t>
  </x:si>
  <x:si>
    <x:t xml:space="preserve">YOLOv11 backbone–neck–head detector.</x:t>
  </x:si>
  <x:si>
    <x:t xml:space="preserve">2.2.1 Overall framework</x:t>
  </x:si>
  <x:si>
    <x:t xml:space="preserve">B05-0116</x:t>
  </x:si>
  <x:si>
    <x:t xml:space="preserve">preprocessing.mosaic_probability</x:t>
  </x:si>
  <x:si>
    <x:t xml:space="preserve">2.2.2 Data augmentation</x:t>
  </x:si>
  <x:si>
    <x:t xml:space="preserve">B05-0117</x:t>
  </x:si>
  <x:si>
    <x:t xml:space="preserve">preprocessing.flips</x:t>
  </x:si>
  <x:si>
    <x:t xml:space="preserve">Offline flips with cyclone/anticyclone labels swapped.</x:t>
  </x:si>
  <x:si>
    <x:t xml:space="preserve">B05-0118</x:t>
  </x:si>
  <x:si>
    <x:t xml:space="preserve">inference.method</x:t>
  </x:si>
  <x:si>
    <x:t xml:space="preserve">SAHI overlapping tiles and detection merging.</x:t>
  </x:si>
  <x:si>
    <x:t xml:space="preserve">2.2.3 Slicing aided hyper inference</x:t>
  </x:si>
  <x:si>
    <x:t xml:space="preserve">B05-0119</x:t>
  </x:si>
  <x:si>
    <x:t xml:space="preserve">Precision, recall, mAP0.5 and mAP0.5–0.95.</x:t>
  </x:si>
  <x:si>
    <x:t xml:space="preserve">2.2.5 Evaluation Metrics</x:t>
  </x:si>
  <x:si>
    <x:t xml:space="preserve">B05-0120</x:t>
  </x:si>
  <x:si>
    <x:t xml:space="preserve">future_work.release</x:t>
  </x:si>
  <x:si>
    <x:t xml:space="preserve">Authors plan future release of training data and YOLOv11 configuration.</x:t>
  </x:si>
  <x:si>
    <x:t xml:space="preserve">Discussion, release plans</x:t>
  </x:si>
  <x:si>
    <x:t xml:space="preserve">B05-0121</x:t>
  </x:si>
  <x:si>
    <x:t xml:space="preserve">OAI-0084</x:t>
  </x:si>
  <x:si>
    <x:t xml:space="preserve">datasets.training_fraction</x:t>
  </x:si>
  <x:si>
    <x:t xml:space="preserve">https://www.frontiersin.org/journals/marine-science/articles/10.3389/fmars.2024.1480796/full</x:t>
  </x:si>
  <x:si>
    <x:t xml:space="preserve">10.3389/fmars.2024.1480796</x:t>
  </x:si>
  <x:si>
    <x:t xml:space="preserve">4.1 Experimental environment</x:t>
  </x:si>
  <x:si>
    <x:t xml:space="preserve">B05-0122</x:t>
  </x:si>
  <x:si>
    <x:t xml:space="preserve">training.hardware_as_printed</x:t>
  </x:si>
  <x:si>
    <x:t xml:space="preserve">NVIDIA TESLA-A-1002; designation retained verbatim, unresolved.</x:t>
  </x:si>
  <x:si>
    <x:t xml:space="preserve">B05-0123</x:t>
  </x:si>
  <x:si>
    <x:t xml:space="preserve">training.gpu_memory_reported</x:t>
  </x:si>
  <x:si>
    <x:t xml:space="preserve">GB per card, as printed</x:t>
  </x:si>
  <x:si>
    <x:t xml:space="preserve">B05-0124</x:t>
  </x:si>
  <x:si>
    <x:t xml:space="preserve">YOLOX and YOLOv8.</x:t>
  </x:si>
  <x:si>
    <x:t xml:space="preserve">B05-0125</x:t>
  </x:si>
  <x:si>
    <x:t xml:space="preserve">ablations.preprocessing</x:t>
  </x:si>
  <x:si>
    <x:t xml:space="preserve">Denoising versus no denoising; single versus dual polarization.</x:t>
  </x:si>
  <x:si>
    <x:t xml:space="preserve">B05-0126</x:t>
  </x:si>
  <x:si>
    <x:t xml:space="preserve">results.precision_oiednet</x:t>
  </x:si>
  <x:si>
    <x:t xml:space="preserve">4.2 Comparison, Table 3</x:t>
  </x:si>
  <x:si>
    <x:t xml:space="preserve">B05-0127</x:t>
  </x:si>
  <x:si>
    <x:t xml:space="preserve">results.recall_oiednet</x:t>
  </x:si>
  <x:si>
    <x:t xml:space="preserve">B05-0128</x:t>
  </x:si>
  <x:si>
    <x:t xml:space="preserve">preprocessing.geocoding</x:t>
  </x:si>
  <x:si>
    <x:t xml:space="preserve">WGS1984 pixel-to-geographic transformation.</x:t>
  </x:si>
  <x:si>
    <x:t xml:space="preserve">Feature Statistical Analysis Module</x:t>
  </x:si>
  <x:si>
    <x:t xml:space="preserve">B05-0129</x:t>
  </x:si>
  <x:si>
    <x:t xml:space="preserve">limitations.angle_regression</x:t>
  </x:si>
  <x:si>
    <x:t xml:space="preserve">Small angle changes can destabilize rotated detection boxes.</x:t>
  </x:si>
  <x:si>
    <x:t xml:space="preserve">Discussion, limitations paragraph</x:t>
  </x:si>
  <x:si>
    <x:t xml:space="preserve">B05-0130</x:t>
  </x:si>
  <x:si>
    <x:t xml:space="preserve">future_work.angle_representation</x:t>
  </x:si>
  <x:si>
    <x:t xml:space="preserve">Explore less ambiguous angle representations.</x:t>
  </x:si>
  <x:si>
    <x:t xml:space="preserve">B05-0131</x:t>
  </x:si>
  <x:si>
    <x:t xml:space="preserve">future_work.multisensor</x:t>
  </x:si>
  <x:si>
    <x:t xml:space="preserve">Include multi-polarization and multi-frequency SAR.</x:t>
  </x:si>
  <x:si>
    <x:t xml:space="preserve">B05-0132</x:t>
  </x:si>
  <x:si>
    <x:t xml:space="preserve">OAI-0067</x:t>
  </x:si>
  <x:si>
    <x:t xml:space="preserve">inference.rollout</x:t>
  </x:si>
  <x:si>
    <x:t xml:space="preserve">Single-step prediction iteratively feeds the rolling history.</x:t>
  </x:si>
  <x:si>
    <x:t xml:space="preserve">https://www.frontiersin.org/journals/marine-science/articles/10.3389/fmars.2022.983007/full</x:t>
  </x:si>
  <x:si>
    <x:t xml:space="preserve">10.3389/fmars.2022.983007</x:t>
  </x:si>
  <x:si>
    <x:t xml:space="preserve">3.2 Forecasting method</x:t>
  </x:si>
  <x:si>
    <x:t xml:space="preserve">B05-0133</x:t>
  </x:si>
  <x:si>
    <x:t xml:space="preserve">0 on land and 1 over ocean.</x:t>
  </x:si>
  <x:si>
    <x:t xml:space="preserve">B05-0134</x:t>
  </x:si>
  <x:si>
    <x:t xml:space="preserve">loss.masking</x:t>
  </x:si>
  <x:si>
    <x:t xml:space="preserve">Training error evaluated on ocean pixels only.</x:t>
  </x:si>
  <x:si>
    <x:t xml:space="preserve">3.2 Forecasting method, Equations 11–12</x:t>
  </x:si>
  <x:si>
    <x:t xml:space="preserve">B05-0135</x:t>
  </x:si>
  <x:si>
    <x:t xml:space="preserve">Dual-input ConvLSTM.</x:t>
  </x:si>
  <x:si>
    <x:t xml:space="preserve">3.3 The proposed model</x:t>
  </x:si>
  <x:si>
    <x:t xml:space="preserve">B05-0136</x:t>
  </x:si>
  <x:si>
    <x:t xml:space="preserve">Wind speed and significant wave height.</x:t>
  </x:si>
  <x:si>
    <x:t xml:space="preserve">B05-0137</x:t>
  </x:si>
  <x:si>
    <x:t xml:space="preserve">1/40 × 1/40</x:t>
  </x:si>
  <x:si>
    <x:t xml:space="preserve">B05-0138</x:t>
  </x:si>
  <x:si>
    <x:t xml:space="preserve">B05-0139</x:t>
  </x:si>
  <x:si>
    <x:t xml:space="preserve">OAI-0092</x:t>
  </x:si>
  <x:si>
    <x:t xml:space="preserve">https://www.frontiersin.org/journals/marine-science/articles/10.3389/fmars.2024.1471695/full</x:t>
  </x:si>
  <x:si>
    <x:t xml:space="preserve">10.3389/fmars.2024.1471695</x:t>
  </x:si>
  <x:si>
    <x:t xml:space="preserve">2, sampling description</x:t>
  </x:si>
  <x:si>
    <x:t xml:space="preserve">points</x:t>
  </x:si>
  <x:si>
    <x:t xml:space="preserve">B05-0140</x:t>
  </x:si>
  <x:si>
    <x:t xml:space="preserve">B05-0141</x:t>
  </x:si>
  <x:si>
    <x:t xml:space="preserve">architecture.tree_count</x:t>
  </x:si>
  <x:si>
    <x:t xml:space="preserve">3.1.3 Random forests</x:t>
  </x:si>
  <x:si>
    <x:t xml:space="preserve">trees</x:t>
  </x:si>
  <x:si>
    <x:t xml:space="preserve">B05-0142</x:t>
  </x:si>
  <x:si>
    <x:t xml:space="preserve">architecture.max_tree_depth</x:t>
  </x:si>
  <x:si>
    <x:t xml:space="preserve">B05-0143</x:t>
  </x:si>
  <x:si>
    <x:t xml:space="preserve">training.minimum_split_samples</x:t>
  </x:si>
  <x:si>
    <x:t xml:space="preserve">B05-0144</x:t>
  </x:si>
  <x:si>
    <x:t xml:space="preserve">training.minimum_leaf_samples</x:t>
  </x:si>
  <x:si>
    <x:t xml:space="preserve">B05-0145</x:t>
  </x:si>
  <x:si>
    <x:t xml:space="preserve">Grid search with cross-validation.</x:t>
  </x:si>
  <x:si>
    <x:t xml:space="preserve">B05-0146</x:t>
  </x:si>
  <x:si>
    <x:t xml:space="preserve">Spectral reflectance plus geographical coordinates.</x:t>
  </x:si>
  <x:si>
    <x:t xml:space="preserve">3.2 RF-Lat./Lon</x:t>
  </x:si>
  <x:si>
    <x:t xml:space="preserve">B05-0147</x:t>
  </x:si>
  <x:si>
    <x:t xml:space="preserve">preprocessing.corrections</x:t>
  </x:si>
  <x:si>
    <x:t xml:space="preserve">Atmospheric correction and tidal adjustment.</x:t>
  </x:si>
  <x:si>
    <x:t xml:space="preserve">3.4 Bathymetry mapping workflow</x:t>
  </x:si>
  <x:si>
    <x:t xml:space="preserve">B05-0148</x:t>
  </x:si>
  <x:si>
    <x:t xml:space="preserve">Stumpf, log-linear and conventional random forest.</x:t>
  </x:si>
  <x:si>
    <x:t xml:space="preserve">B05-0149</x:t>
  </x:si>
  <x:si>
    <x:t xml:space="preserve">OAI-0056</x:t>
  </x:si>
  <x:si>
    <x:t xml:space="preserve">CMIP6, 1950–2014.</x:t>
  </x:si>
  <x:si>
    <x:t xml:space="preserve">https://egusphere.copernicus.org/preprints/2026/egusphere-2026-262/</x:t>
  </x:si>
  <x:si>
    <x:t xml:space="preserve">10.5194/egusphere-2026-262</x:t>
  </x:si>
  <x:si>
    <x:t xml:space="preserve">AUTHOR_RESPONSE</x:t>
  </x:si>
  <x:si>
    <x:t xml:space="preserve">Author response AC2, 14 August 2026, reply (1)</x:t>
  </x:si>
  <x:si>
    <x:t xml:space="preserve">Author replies in open discussion; not an extraction of the complete preprint or a verified final edition.</x:t>
  </x:si>
  <x:si>
    <x:t xml:space="preserve">B05-0150</x:t>
  </x:si>
  <x:si>
    <x:t xml:space="preserve">ERA5, 2015–2018.</x:t>
  </x:si>
  <x:si>
    <x:t xml:space="preserve">B05-0151</x:t>
  </x:si>
  <x:si>
    <x:t xml:space="preserve">ERA5, 2019–2022.</x:t>
  </x:si>
  <x:si>
    <x:t xml:space="preserve">B05-0152</x:t>
  </x:si>
  <x:si>
    <x:t xml:space="preserve">preprocessing.eof_retention</x:t>
  </x:si>
  <x:si>
    <x:t xml:space="preserve">First nine EOF modes and corresponding principal components per variable.</x:t>
  </x:si>
  <x:si>
    <x:t xml:space="preserve">Author response CC1, EOF clarification</x:t>
  </x:si>
  <x:si>
    <x:t xml:space="preserve">B05-0153</x:t>
  </x:si>
  <x:si>
    <x:t xml:space="preserve">OAI-0057</x:t>
  </x:si>
  <x:si>
    <x:t xml:space="preserve">datasets.observations</x:t>
  </x:si>
  <x:si>
    <x:t xml:space="preserve">NOAA OISST v2.1.</x:t>
  </x:si>
  <x:si>
    <x:t xml:space="preserve">Dynamical NMME ensemble; not a trained neural-network architecture.</x:t>
  </x:si>
  <x:si>
    <x:t xml:space="preserve">https://www.nature.com/articles/s41586-022-04573-9</x:t>
  </x:si>
  <x:si>
    <x:t xml:space="preserve">10.1038/s41586-022-04573-9</x:t>
  </x:si>
  <x:si>
    <x:t xml:space="preserve">Methods, SST observations</x:t>
  </x:si>
  <x:si>
    <x:t xml:space="preserve">B05-0154</x:t>
  </x:si>
  <x:si>
    <x:t xml:space="preserve">preprocessing.aggregation</x:t>
  </x:si>
  <x:si>
    <x:t xml:space="preserve">Daily 0.25° observations averaged to monthly 1° fields.</x:t>
  </x:si>
  <x:si>
    <x:t xml:space="preserve">B05-0155</x:t>
  </x:si>
  <x:si>
    <x:t xml:space="preserve">outputs.event_threshold</x:t>
  </x:si>
  <x:si>
    <x:t xml:space="preserve">Seasonally varying 90th-percentile SST anomaly, 1991–2020 baseline and three-month window.</x:t>
  </x:si>
  <x:si>
    <x:t xml:space="preserve">Methods, marine heatwave definition</x:t>
  </x:si>
  <x:si>
    <x:t xml:space="preserve">B05-0156</x:t>
  </x:si>
  <x:si>
    <x:t xml:space="preserve">architecture.forecast_ensemble</x:t>
  </x:si>
  <x:si>
    <x:t xml:space="preserve">Six global NMME dynamical models; 73-member multimodel ensemble.</x:t>
  </x:si>
  <x:si>
    <x:t xml:space="preserve">Methods, seasonal forecasts</x:t>
  </x:si>
  <x:si>
    <x:t xml:space="preserve">B05-0157</x:t>
  </x:si>
  <x:si>
    <x:t xml:space="preserve">datasets.forecast_period</x:t>
  </x:si>
  <x:si>
    <x:t xml:space="preserve">1991–2020.</x:t>
  </x:si>
  <x:si>
    <x:t xml:space="preserve">B05-0158</x:t>
  </x:si>
  <x:si>
    <x:t xml:space="preserve">outputs.lead_range</x:t>
  </x:si>
  <x:si>
    <x:t xml:space="preserve">0.5–11.5</x:t>
  </x:si>
  <x:si>
    <x:t xml:space="preserve">B05-0159</x:t>
  </x:si>
  <x:si>
    <x:t xml:space="preserve">preprocessing.forecast_anomalies</x:t>
  </x:si>
  <x:si>
    <x:t xml:space="preserve">Model-specific climatologies depend on initialization month and lead time.</x:t>
  </x:si>
  <x:si>
    <x:t xml:space="preserve">B05-0160</x:t>
  </x:si>
  <x:si>
    <x:t xml:space="preserve">preprocessing.trend</x:t>
  </x:si>
  <x:si>
    <x:t xml:space="preserve">Linear 1991–2020 trend removed for principal skill analysis; raw and detrended series compared.</x:t>
  </x:si>
  <x:si>
    <x:t xml:space="preserve">Methods, detrending</x:t>
  </x:si>
  <x:si>
    <x:t xml:space="preserve">B05-0161</x:t>
  </x:si>
  <x:si>
    <x:t xml:space="preserve">metrics.names</x:t>
  </x:si>
  <x:si>
    <x:t xml:space="preserve">Accuracy; symmetric extremal dependence index; Brier skill score.</x:t>
  </x:si>
  <x:si>
    <x:t xml:space="preserve">Methods, skill assessment</x:t>
  </x:si>
  <x:si>
    <x:t xml:space="preserve">B05-0162</x:t>
  </x:si>
  <x:si>
    <x:t xml:space="preserve">limitations.event_duration</x:t>
  </x:si>
  <x:si>
    <x:t xml:space="preserve">Monthly forecasts primarily represent prolonged events; skill does not establish seasonal prediction of individual five-day events.</x:t>
  </x:si>
  <x:si>
    <x:t xml:space="preserve">Discussion, temporal resolution</x:t>
  </x:si>
  <x:si>
    <x:t xml:space="preserve">B05-0163</x:t>
  </x:si>
  <x:si>
    <x:t xml:space="preserve">OAI-0078</x:t>
  </x:si>
  <x:si>
    <x:t xml:space="preserve">architecture.model</x:t>
  </x:si>
  <x:si>
    <x:t xml:space="preserve">Kernel ridge regression with radial basis function kernel.</x:t>
  </x:si>
  <x:si>
    <x:t xml:space="preserve">https://www.nature.com/articles/s43247-024-01257-2</x:t>
  </x:si>
  <x:si>
    <x:t xml:space="preserve">10.1038/s43247-024-01257-2</x:t>
  </x:si>
  <x:si>
    <x:t xml:space="preserve">Methods, machine learning</x:t>
  </x:si>
  <x:si>
    <x:t xml:space="preserve">B05-0164</x:t>
  </x:si>
  <x:si>
    <x:t xml:space="preserve">DIC, alkalinity, SST, SSS, phosphate, surface wind, sea-ice concentration and atmospheric CO2.</x:t>
  </x:si>
  <x:si>
    <x:t xml:space="preserve">Methods, predictors</x:t>
  </x:si>
  <x:si>
    <x:t xml:space="preserve">B05-0165</x:t>
  </x:si>
  <x:si>
    <x:t xml:space="preserve">outputs.variable</x:t>
  </x:si>
  <x:si>
    <x:t xml:space="preserve">Air–sea CO2 flux.</x:t>
  </x:si>
  <x:si>
    <x:t xml:space="preserve">Methods, target variable</x:t>
  </x:si>
  <x:si>
    <x:t xml:space="preserve">B05-0166</x:t>
  </x:si>
  <x:si>
    <x:t xml:space="preserve">datasets.models</x:t>
  </x:si>
  <x:si>
    <x:t xml:space="preserve">ACCESS-ESM1-5; CESM2; IPSL-CM6A-LR; NorESM2-LM; MPI-ESM1-2-LR.</x:t>
  </x:si>
  <x:si>
    <x:t xml:space="preserve">Methods, Earth system models</x:t>
  </x:si>
  <x:si>
    <x:t xml:space="preserve">B05-0167</x:t>
  </x:si>
  <x:si>
    <x:t xml:space="preserve">datasets.scenarios</x:t>
  </x:si>
  <x:si>
    <x:t xml:space="preserve">Preindustrial, historical, SSP126 and SSP585; 20 simulations.</x:t>
  </x:si>
  <x:si>
    <x:t xml:space="preserve">Methods, simulations</x:t>
  </x:si>
  <x:si>
    <x:t xml:space="preserve">B05-0168</x:t>
  </x:si>
  <x:si>
    <x:t xml:space="preserve">Monthly surface fields.</x:t>
  </x:si>
  <x:si>
    <x:t xml:space="preserve">Methods, input data</x:t>
  </x:si>
  <x:si>
    <x:t xml:space="preserve">B05-0169</x:t>
  </x:si>
  <x:si>
    <x:t xml:space="preserve">datasets.spatial_grids</x:t>
  </x:si>
  <x:si>
    <x:t xml:space="preserve">1° × 1°, 2° × 2° and 4° × 4°.</x:t>
  </x:si>
  <x:si>
    <x:t xml:space="preserve">Methods, spatial analysis</x:t>
  </x:si>
  <x:si>
    <x:t xml:space="preserve">B05-0170</x:t>
  </x:si>
  <x:si>
    <x:t xml:space="preserve">architecture.spatial_scope</x:t>
  </x:si>
  <x:si>
    <x:t xml:space="preserve">Separate temporal regression at each geographical location.</x:t>
  </x:si>
  <x:si>
    <x:t xml:space="preserve">Methods, regression design</x:t>
  </x:si>
  <x:si>
    <x:t xml:space="preserve">B05-0171</x:t>
  </x:si>
  <x:si>
    <x:t xml:space="preserve">metrics.feature_importance</x:t>
  </x:si>
  <x:si>
    <x:t xml:space="preserve">Normalized permutation importance with 50 bootstrap resamples.</x:t>
  </x:si>
  <x:si>
    <x:t xml:space="preserve">Methods, variable importance</x:t>
  </x:si>
  <x:si>
    <x:t xml:space="preserve">B05-0172</x:t>
  </x:si>
  <x:si>
    <x:t xml:space="preserve">metrics.interannual_score</x:t>
  </x:si>
  <x:si>
    <x:t xml:space="preserve">Modified R² after removal of a smooth cubic trend and seasonal signal.</x:t>
  </x:si>
  <x:si>
    <x:t xml:space="preserve">Methods, model evaluation</x:t>
  </x:si>
  <x:si>
    <x:t xml:space="preserve">B05-0173</x:t>
  </x:si>
  <x:si>
    <x:t xml:space="preserve">future_work.predictors</x:t>
  </x:si>
  <x:si>
    <x:t xml:space="preserve">Add export production, vertical velocity and surface currents; examine salinity-normalized DIC and alkalinity.</x:t>
  </x:si>
  <x:si>
    <x:t xml:space="preserve">Discussion, predictor extensions</x:t>
  </x:si>
  <x:si>
    <x:t xml:space="preserve">B05-0174</x:t>
  </x:si>
  <x:si>
    <x:t xml:space="preserve">limitations.alkalinity_bias</x:t>
  </x:si>
  <x:si>
    <x:t xml:space="preserve">Earth system model alkalinity biases affect projected carbon-flux regimes.</x:t>
  </x:si>
  <x:si>
    <x:t xml:space="preserve">Discussion, model uncertainty</x:t>
  </x:si>
  <x:si>
    <x:t xml:space="preserve">B05-0175</x:t>
  </x:si>
  <x:si>
    <x:t xml:space="preserve">OAI-0079</x:t>
  </x:si>
  <x:si>
    <x:t xml:space="preserve">Random forests for chlorophyll by phytoplankton group.</x:t>
  </x:si>
  <x:si>
    <x:t xml:space="preserve">https://www.nature.com/articles/s41558-025-02379-x</x:t>
  </x:si>
  <x:si>
    <x:t xml:space="preserve">10.1038/s41558-025-02379-x</x:t>
  </x:si>
  <x:si>
    <x:t xml:space="preserve">Methods, random forest modelling</x:t>
  </x:si>
  <x:si>
    <x:t xml:space="preserve">B05-0176</x:t>
  </x:si>
  <x:si>
    <x:t xml:space="preserve">B05-0177</x:t>
  </x:si>
  <x:si>
    <x:t xml:space="preserve">Monthly.</x:t>
  </x:si>
  <x:si>
    <x:t xml:space="preserve">B05-0178</x:t>
  </x:si>
  <x:si>
    <x:t xml:space="preserve">datasets.pigment_samples</x:t>
  </x:si>
  <x:si>
    <x:t xml:space="preserve">Methods, pigment observations</x:t>
  </x:si>
  <x:si>
    <x:t xml:space="preserve">B05-0179</x:t>
  </x:si>
  <x:si>
    <x:t xml:space="preserve">outputs.groups</x:t>
  </x:si>
  <x:si>
    <x:t xml:space="preserve">Diatoms, haptophytes, cryptophytes, green algae, dinoflagellates, pelagophytes and Synechococcus.</x:t>
  </x:si>
  <x:si>
    <x:t xml:space="preserve">Methods, Phytoclass</x:t>
  </x:si>
  <x:si>
    <x:t xml:space="preserve">B05-0180</x:t>
  </x:si>
  <x:si>
    <x:t xml:space="preserve">preprocessing.depth_filter</x:t>
  </x:si>
  <x:si>
    <x:t xml:space="preserve">Exclude samples below the mixed-layer depth.</x:t>
  </x:si>
  <x:si>
    <x:t xml:space="preserve">Methods, sample selection</x:t>
  </x:si>
  <x:si>
    <x:t xml:space="preserve">B05-0181</x:t>
  </x:si>
  <x:si>
    <x:t xml:space="preserve">datasets.seasonal_scope</x:t>
  </x:si>
  <x:si>
    <x:t xml:space="preserve">December–February austral summer.</x:t>
  </x:si>
  <x:si>
    <x:t xml:space="preserve">Methods, seasonal analysis</x:t>
  </x:si>
  <x:si>
    <x:t xml:space="preserve">B05-0182</x:t>
  </x:si>
  <x:si>
    <x:t xml:space="preserve">limitations.weddell_shelf</x:t>
  </x:si>
  <x:si>
    <x:t xml:space="preserve">No pigment samples from the Weddell Shelf.</x:t>
  </x:si>
  <x:si>
    <x:t xml:space="preserve">Discussion, observational coverage</x:t>
  </x:si>
  <x:si>
    <x:t xml:space="preserve">B05-0183</x:t>
  </x:si>
  <x:si>
    <x:t xml:space="preserve">limitations.seasonal_window</x:t>
  </x:si>
  <x:si>
    <x:t xml:space="preserve">Summer analysis can miss community changes outside the sampled seasonal window.</x:t>
  </x:si>
  <x:si>
    <x:t xml:space="preserve">Discussion, seasonal coverage</x:t>
  </x:si>
  <x:si>
    <x:t xml:space="preserve">B05-0184</x:t>
  </x:si>
  <x:si>
    <x:t xml:space="preserve">R², MAE, RMSE and bias.</x:t>
  </x:si>
  <x:si>
    <x:t xml:space="preserve">Methods, validation</x:t>
  </x:si>
  <x:si>
    <x:t xml:space="preserve">B05-0185</x:t>
  </x:si>
  <x:si>
    <x:t xml:space="preserve">metrics.bootstrap_interval</x:t>
  </x:si>
  <x:si>
    <x:t xml:space="preserve">2.5th and 97.5th bootstrap percentiles.</x:t>
  </x:si>
  <x:si>
    <x:t xml:space="preserve">Methods, uncertainty</x:t>
  </x:si>
  <x:si>
    <x:t xml:space="preserve">B05-0186</x:t>
  </x:si>
  <x:si>
    <x:t xml:space="preserve">future_work.satellite_data</x:t>
  </x:si>
  <x:si>
    <x:t xml:space="preserve">Multiyear PACE observations for phytoplankton community assessment.</x:t>
  </x:si>
  <x:si>
    <x:t xml:space="preserve">Discussion, future observations</x:t>
  </x:si>
  <x:si>
    <x:t xml:space="preserve">B05-0187</x:t>
  </x:si>
  <x:si>
    <x:t xml:space="preserve">OAI-0114</x:t>
  </x:si>
  <x:si>
    <x:t xml:space="preserve">Web of Science and Scopus; English-language literature; search 27–30 January 2023.</x:t>
  </x:si>
  <x:si>
    <x:t xml:space="preserve">Literature text classification, not ocean-physics forecasting.</x:t>
  </x:si>
  <x:si>
    <x:t xml:space="preserve">https://www.nature.com/articles/s44183-025-00159-w</x:t>
  </x:si>
  <x:si>
    <x:t xml:space="preserve">10.1038/s44183-025-00159-w</x:t>
  </x:si>
  <x:si>
    <x:t xml:space="preserve">Methods, literature search</x:t>
  </x:si>
  <x:si>
    <x:t xml:space="preserve">B05-0188</x:t>
  </x:si>
  <x:si>
    <x:t xml:space="preserve">datasets.benchmark_count</x:t>
  </x:si>
  <x:si>
    <x:t xml:space="preserve">Methods, benchmark validation</x:t>
  </x:si>
  <x:si>
    <x:t xml:space="preserve">papers</x:t>
  </x:si>
  <x:si>
    <x:t xml:space="preserve">B05-0189</x:t>
  </x:si>
  <x:si>
    <x:t xml:space="preserve">Fine-tuned DistilBERT for literature classification.</x:t>
  </x:si>
  <x:si>
    <x:t xml:space="preserve">Methods, machine learning classification</x:t>
  </x:si>
  <x:si>
    <x:t xml:space="preserve">B05-0190</x:t>
  </x:si>
  <x:si>
    <x:t xml:space="preserve">inputs.text_fields</x:t>
  </x:si>
  <x:si>
    <x:t xml:space="preserve">Titles, abstracts and keywords.</x:t>
  </x:si>
  <x:si>
    <x:t xml:space="preserve">B05-0191</x:t>
  </x:si>
  <x:si>
    <x:t xml:space="preserve">preprocessing.geolocation</x:t>
  </x:si>
  <x:si>
    <x:t xml:space="preserve">Geoparser identifies study countries.</x:t>
  </x:si>
  <x:si>
    <x:t xml:space="preserve">Methods, geographical classification</x:t>
  </x:si>
  <x:si>
    <x:t xml:space="preserve">B05-0192</x:t>
  </x:si>
  <x:si>
    <x:t xml:space="preserve">outputs.candidate_variables</x:t>
  </x:si>
  <x:si>
    <x:t xml:space="preserve">Methods, variable selection</x:t>
  </x:si>
  <x:si>
    <x:t xml:space="preserve">coded variables</x:t>
  </x:si>
  <x:si>
    <x:t xml:space="preserve">B05-0193</x:t>
  </x:si>
  <x:si>
    <x:t xml:space="preserve">metrics.retained_models</x:t>
  </x:si>
  <x:si>
    <x:t xml:space="preserve">F1 or macro-F1 between 0.70 and 0.89 for retained classification models.</x:t>
  </x:si>
  <x:si>
    <x:t xml:space="preserve">Methods, model selection</x:t>
  </x:si>
  <x:si>
    <x:t xml:space="preserve">B05-0194</x:t>
  </x:si>
  <x:si>
    <x:t xml:space="preserve">metrics.exclusion_rule</x:t>
  </x:si>
  <x:si>
    <x:t xml:space="preserve">Variables with F1 below 0.65 excluded.</x:t>
  </x:si>
  <x:si>
    <x:t xml:space="preserve">B05-0195</x:t>
  </x:si>
  <x:si>
    <x:t xml:space="preserve">limitations.effectiveness</x:t>
  </x:si>
  <x:si>
    <x:t xml:space="preserve">Mapping does not determine intervention effectiveness, co-benefits or side-effect trade-offs.</x:t>
  </x:si>
  <x:si>
    <x:t xml:space="preserve">Discussion, evidence-map scope</x:t>
  </x:si>
  <x:si>
    <x:t xml:space="preserve">B05-0196</x:t>
  </x:si>
  <x:si>
    <x:t xml:space="preserve">OAI-0083</x:t>
  </x:si>
  <x:si>
    <x:t xml:space="preserve">AVISO geostrophic velocities, January 1994–December 2017.</x:t>
  </x:si>
  <x:si>
    <x:t xml:space="preserve">https://www.frontiersin.org/journals/marine-science/articles/10.3389/fmars.2024.1506419/full</x:t>
  </x:si>
  <x:si>
    <x:t xml:space="preserve">10.3389/fmars.2024.1506419</x:t>
  </x:si>
  <x:si>
    <x:t xml:space="preserve">B05-0197</x:t>
  </x:si>
  <x:si>
    <x:t xml:space="preserve">0.25° × 0.25°.</x:t>
  </x:si>
  <x:si>
    <x:t xml:space="preserve">B05-0198</x:t>
  </x:si>
  <x:si>
    <x:t xml:space="preserve">Daily.</x:t>
  </x:si>
  <x:si>
    <x:t xml:space="preserve">B05-0199</x:t>
  </x:si>
  <x:si>
    <x:t xml:space="preserve">architecture.stn</x:t>
  </x:si>
  <x:si>
    <x:t xml:space="preserve">Localization network outputs six affine parameters; grid generator and bilinear sampler precede the prediction network.</x:t>
  </x:si>
  <x:si>
    <x:t xml:space="preserve">2.2.2, Model 1</x:t>
  </x:si>
  <x:si>
    <x:t xml:space="preserve">B05-0200</x:t>
  </x:si>
  <x:si>
    <x:t xml:space="preserve">architecture.stn_main_network</x:t>
  </x:si>
  <x:si>
    <x:t xml:space="preserve">Two convolutional layers with ReLU and average pooling, then flattening and two fully connected layers; dropout regularization.</x:t>
  </x:si>
  <x:si>
    <x:t xml:space="preserve">B05-0201</x:t>
  </x:si>
  <x:si>
    <x:t xml:space="preserve">architecture.cnn_conv_layers</x:t>
  </x:si>
  <x:si>
    <x:t xml:space="preserve">2.2.2, Model 2</x:t>
  </x:si>
  <x:si>
    <x:t xml:space="preserve">B05-0202</x:t>
  </x:si>
  <x:si>
    <x:t xml:space="preserve">architecture.cnn_pool_layers</x:t>
  </x:si>
  <x:si>
    <x:t xml:space="preserve">B05-0203</x:t>
  </x:si>
  <x:si>
    <x:t xml:space="preserve">regularization.cnn_dropout</x:t>
  </x:si>
  <x:si>
    <x:t xml:space="preserve">B05-0204</x:t>
  </x:si>
  <x:si>
    <x:t xml:space="preserve">architecture.cnn_output_dimension</x:t>
  </x:si>
  <x:si>
    <x:t xml:space="preserve">B05-0205</x:t>
  </x:si>
  <x:si>
    <x:t xml:space="preserve">architecture.cnn_activation</x:t>
  </x:si>
  <x:si>
    <x:t xml:space="preserve">ReLU and batch normalization after the first four convolutions.</x:t>
  </x:si>
  <x:si>
    <x:t xml:space="preserve">B05-0206</x:t>
  </x:si>
  <x:si>
    <x:t xml:space="preserve">training.cnn_learning_rate</x:t>
  </x:si>
  <x:si>
    <x:t xml:space="preserve">B05-0207</x:t>
  </x:si>
  <x:si>
    <x:t xml:space="preserve">training.cnn_max_epochs</x:t>
  </x:si>
  <x:si>
    <x:t xml:space="preserve">B05-0208</x:t>
  </x:si>
  <x:si>
    <x:t xml:space="preserve">architecture.rf_trees</x:t>
  </x:si>
  <x:si>
    <x:t xml:space="preserve">2.2.2, Model 3</x:t>
  </x:si>
  <x:si>
    <x:t xml:space="preserve">B05-0209</x:t>
  </x:si>
  <x:si>
    <x:t xml:space="preserve">architecture.rf_mtry</x:t>
  </x:si>
  <x:si>
    <x:t xml:space="preserve">B05-0210</x:t>
  </x:si>
  <x:si>
    <x:t xml:space="preserve">Eddy size, eddy velocity magnitude, inverse decorrelation timescale and propagation speed relative to mean flow.</x:t>
  </x:si>
  <x:si>
    <x:t xml:space="preserve">2.2.2, Step 1</x:t>
  </x:si>
  <x:si>
    <x:t xml:space="preserve">B05-0211</x:t>
  </x:si>
  <x:si>
    <x:t xml:space="preserve">Mixing-ellipse major axis, minor axis and anisotropy.</x:t>
  </x:si>
  <x:si>
    <x:t xml:space="preserve">B05-0212</x:t>
  </x:si>
  <x:si>
    <x:t xml:space="preserve">Z-scores for predictors and targets.</x:t>
  </x:si>
  <x:si>
    <x:t xml:space="preserve">B05-0213</x:t>
  </x:si>
  <x:si>
    <x:t xml:space="preserve">datasets.long_split</x:t>
  </x:si>
  <x:si>
    <x:t xml:space="preserve">Train 1994–2005; test 2006–2017.</x:t>
  </x:si>
  <x:si>
    <x:t xml:space="preserve">2.2.2, Step 2</x:t>
  </x:si>
  <x:si>
    <x:t xml:space="preserve">B05-0214</x:t>
  </x:si>
  <x:si>
    <x:t xml:space="preserve">datasets.short_split</x:t>
  </x:si>
  <x:si>
    <x:t xml:space="preserve">Two preceding years train the model for each predicted year.</x:t>
  </x:si>
  <x:si>
    <x:t xml:space="preserve">B05-0215</x:t>
  </x:si>
  <x:si>
    <x:t xml:space="preserve">OAI-0014</x:t>
  </x:si>
  <x:si>
    <x:t xml:space="preserve">limitations.eddy_labels</x:t>
  </x:si>
  <x:si>
    <x:t xml:space="preserve">Review identifies insufficient effective labels for mesoscale-eddy detection.</x:t>
  </x:si>
  <x:si>
    <x:t xml:space="preserve">https://www.frontiersin.org/journals/marine-science/articles/10.3389/fmars.2024.1396322/full</x:t>
  </x:si>
  <x:si>
    <x:t xml:space="preserve">10.3389/fmars.2024.1396322</x:t>
  </x:si>
  <x:si>
    <x:t xml:space="preserve">Table 3</x:t>
  </x:si>
  <x:si>
    <x:t xml:space="preserve">B05-0216</x:t>
  </x:si>
  <x:si>
    <x:t xml:space="preserve">limitations.eddy_tracking</x:t>
  </x:si>
  <x:si>
    <x:t xml:space="preserve">Review identifies three-dimensional representation as an eddy-tracking challenge.</x:t>
  </x:si>
  <x:si>
    <x:t xml:space="preserve">B05-0217</x:t>
  </x:si>
  <x:si>
    <x:t xml:space="preserve">limitations.enso</x:t>
  </x:si>
  <x:si>
    <x:t xml:space="preserve">Spring predictability barrier and long-range seasonal prediction remain ENSO challenges in the reviewed literature.</x:t>
  </x:si>
  <x:si>
    <x:t xml:space="preserve">Table 4</x:t>
  </x:si>
  <x:si>
    <x:t xml:space="preserve">B05-0218</x:t>
  </x:si>
  <x:si>
    <x:t xml:space="preserve">Infrared SST observations suffer cloud gaps; microwave SST has lower resolution.</x:t>
  </x:si>
  <x:si>
    <x:t xml:space="preserve">3.1.1 Sea surface temperature</x:t>
  </x:si>
  <x:si>
    <x:t xml:space="preserve">B05-0219</x:t>
  </x:si>
  <x:si>
    <x:t xml:space="preserve">OAI-0020</x:t>
  </x:si>
  <x:si>
    <x:t xml:space="preserve">assimilation.families</x:t>
  </x:si>
  <x:si>
    <x:t xml:space="preserve">Review contrasts variational and ensemble approaches for sequential operational assimilation.</x:t>
  </x:si>
  <x:si>
    <x:t xml:space="preserve">https://www.frontiersin.org/journals/marine-science/articles/10.3389/fmars.2019.00090/full</x:t>
  </x:si>
  <x:si>
    <x:t xml:space="preserve">10.3389/fmars.2019.00090</x:t>
  </x:si>
  <x:si>
    <x:t xml:space="preserve">The Current State-of-the-Art of Ocean DA</x:t>
  </x:si>
  <x:si>
    <x:t xml:space="preserve">B05-0220</x:t>
  </x:si>
  <x:si>
    <x:t xml:space="preserve">limitations.conservation</x:t>
  </x:si>
  <x:si>
    <x:t xml:space="preserve">Sequential analysis increments can interrupt conservation budgets unless explicitly accounted for.</x:t>
  </x:si>
  <x:si>
    <x:t xml:space="preserve">B05-0221</x:t>
  </x:si>
  <x:si>
    <x:t xml:space="preserve">Numerical approximations, parameterizations and surface or lateral boundary errors limit assimilation.</x:t>
  </x:si>
  <x:si>
    <x:t xml:space="preserve">Overarching Challenges for Ocean DA</x:t>
  </x:si>
  <x:si>
    <x:t xml:space="preserve">B05-0222</x:t>
  </x:si>
  <x:si>
    <x:t xml:space="preserve">limitations.initialization_shock</x:t>
  </x:si>
  <x:si>
    <x:t xml:space="preserve">Assimilation can disrupt dynamical balance and generate artificial wave energy.</x:t>
  </x:si>
  <x:si>
    <x:t xml:space="preserve">B05-0223</x:t>
  </x:si>
  <x:si>
    <x:t xml:space="preserve">assimilation.initialization_mitigation</x:t>
  </x:si>
  <x:si>
    <x:t xml:space="preserve">Incremental analysis updates are used at some centres to reduce initialization shocks.</x:t>
  </x:si>
  <x:si>
    <x:t xml:space="preserve">B05-0224</x:t>
  </x:si>
  <x:si>
    <x:t xml:space="preserve">limitations.error_covariance</x:t>
  </x:si>
  <x:si>
    <x:t xml:space="preserve">Representativeness errors and correlated satellite errors complicate observation-error covariance specification.</x:t>
  </x:si>
  <x:si>
    <x:t xml:space="preserve">Observation error discussion before Overarching Challenges</x:t>
  </x:si>
  <x:si>
    <x:t xml:space="preserve">B06-0001</x:t>
  </x:si>
  <x:si>
    <x:t xml:space="preserve">OAI-0050</x:t>
  </x:si>
  <x:si>
    <x:t xml:space="preserve">31 CMIP6 historical simulations, 1900–2014.</x:t>
  </x:si>
  <x:si>
    <x:t xml:space="preserve">CNN / 3D-Geoformer / fusion strategy as named; hyperparameters are model-specific.</x:t>
  </x:si>
  <x:si>
    <x:t xml:space="preserve">https://www.researchgate.net/publication/391120414_Combined_dynamical-deep_learning_ENSO_forecasts</x:t>
  </x:si>
  <x:si>
    <x:t xml:space="preserve">10.1038/s41467-025-59173-8</x:t>
  </x:si>
  <x:si>
    <x:t xml:space="preserve">PUBLISHED_PAPER_COPY</x:t>
  </x:si>
  <x:si>
    <x:t xml:space="preserve">Methods, Reanalysis and model outputs, p.5</x:t>
  </x:si>
  <x:si>
    <x:t xml:space="preserve">Original article text in ResearchGate full-text copy; publisher endpoint unavailable. No independent audit or code execution.</x:t>
  </x:si>
  <x:si>
    <x:t xml:space="preserve">2026-09-25</x:t>
  </x:si>
  <x:si>
    <x:t xml:space="preserve">B06</x:t>
  </x:si>
  <x:si>
    <x:t xml:space="preserve">B06-0002</x:t>
  </x:si>
  <x:si>
    <x:t xml:space="preserve">datasets.validation</x:t>
  </x:si>
  <x:si>
    <x:t xml:space="preserve">ORAS5 SST/SSH, 1982–2018.</x:t>
  </x:si>
  <x:si>
    <x:t xml:space="preserve">B06-0003</x:t>
  </x:si>
  <x:si>
    <x:t xml:space="preserve">B06-0004</x:t>
  </x:si>
  <x:si>
    <x:t xml:space="preserve">datasets.region</x:t>
  </x:si>
  <x:si>
    <x:t xml:space="preserve">0°–360°, 20°S–20°N.</x:t>
  </x:si>
  <x:si>
    <x:t xml:space="preserve">B06-0005</x:t>
  </x:si>
  <x:si>
    <x:t xml:space="preserve">preprocessing.anomalies</x:t>
  </x:si>
  <x:si>
    <x:t xml:space="preserve">Remove seasonal climatology and linear trends.</x:t>
  </x:si>
  <x:si>
    <x:t xml:space="preserve">B06-0006</x:t>
  </x:si>
  <x:si>
    <x:t xml:space="preserve">datasets.cnn_grid</x:t>
  </x:si>
  <x:si>
    <x:t xml:space="preserve">5° × 5°.</x:t>
  </x:si>
  <x:si>
    <x:t xml:space="preserve">Methods, CNN model, p.5</x:t>
  </x:si>
  <x:si>
    <x:t xml:space="preserve">B06-0007</x:t>
  </x:si>
  <x:si>
    <x:t xml:space="preserve">inputs.cnn_history</x:t>
  </x:si>
  <x:si>
    <x:t xml:space="preserve">B06-0008</x:t>
  </x:si>
  <x:si>
    <x:t xml:space="preserve">SST and SSH.</x:t>
  </x:si>
  <x:si>
    <x:t xml:space="preserve">B06-0009</x:t>
  </x:si>
  <x:si>
    <x:t xml:space="preserve">outputs.cnn_target</x:t>
  </x:si>
  <x:si>
    <x:t xml:space="preserve">Scalar Niño3.4 index.</x:t>
  </x:si>
  <x:si>
    <x:t xml:space="preserve">B06-0010</x:t>
  </x:si>
  <x:si>
    <x:t xml:space="preserve">B06-0011</x:t>
  </x:si>
  <x:si>
    <x:t xml:space="preserve">B06-0012</x:t>
  </x:si>
  <x:si>
    <x:t xml:space="preserve">architecture.cnn_pool_kernel</x:t>
  </x:si>
  <x:si>
    <x:t xml:space="preserve">2 × 2 max pooling.</x:t>
  </x:si>
  <x:si>
    <x:t xml:space="preserve">B06-0013</x:t>
  </x:si>
  <x:si>
    <x:t xml:space="preserve">architecture.cnn_variants</x:t>
  </x:si>
  <x:si>
    <x:t xml:space="preserve">C30H30, C30H50, C50H30, C50H50; C filters, H dense neurons.</x:t>
  </x:si>
  <x:si>
    <x:t xml:space="preserve">B06-0014</x:t>
  </x:si>
  <x:si>
    <x:t xml:space="preserve">architecture.cnn_ensemble</x:t>
  </x:si>
  <x:si>
    <x:t xml:space="preserve">Average four CNN variants.</x:t>
  </x:si>
  <x:si>
    <x:t xml:space="preserve">B06-0015</x:t>
  </x:si>
  <x:si>
    <x:t xml:space="preserve">training.cnn_batch_size</x:t>
  </x:si>
  <x:si>
    <x:t xml:space="preserve">B06-0016</x:t>
  </x:si>
  <x:si>
    <x:t xml:space="preserve">training.cnn_epochs</x:t>
  </x:si>
  <x:si>
    <x:t xml:space="preserve">B06-0017</x:t>
  </x:si>
  <x:si>
    <x:t xml:space="preserve">inputs.geoformer_history</x:t>
  </x:si>
  <x:si>
    <x:t xml:space="preserve">Methods, 3D-Geoformer model, p.5</x:t>
  </x:si>
  <x:si>
    <x:t xml:space="preserve">B06-0018</x:t>
  </x:si>
  <x:si>
    <x:t xml:space="preserve">outputs.geoformer_horizon</x:t>
  </x:si>
  <x:si>
    <x:t xml:space="preserve">B06-0019</x:t>
  </x:si>
  <x:si>
    <x:t xml:space="preserve">outputs.geoformer_variables</x:t>
  </x:si>
  <x:si>
    <x:t xml:space="preserve">Gridded SST and SSH.</x:t>
  </x:si>
  <x:si>
    <x:t xml:space="preserve">B06-0020</x:t>
  </x:si>
  <x:si>
    <x:t xml:space="preserve">architecture.fusion</x:t>
  </x:si>
  <x:si>
    <x:t xml:space="preserve">Average dynamical multimodel, CNN and 3D-Geoformer forecasts.</x:t>
  </x:si>
  <x:si>
    <x:t xml:space="preserve">Methods, Strategy 1, p.5</x:t>
  </x:si>
  <x:si>
    <x:t xml:space="preserve">B06-0021</x:t>
  </x:si>
  <x:si>
    <x:t xml:space="preserve">limitations.peaks</x:t>
  </x:si>
  <x:si>
    <x:t xml:space="preserve">DL forecasts underestimate extreme ENSO peaks.</x:t>
  </x:si>
  <x:si>
    <x:t xml:space="preserve">Discussion, p.5</x:t>
  </x:si>
  <x:si>
    <x:t xml:space="preserve">B06-0022</x:t>
  </x:si>
  <x:si>
    <x:t xml:space="preserve">limitations.latency</x:t>
  </x:si>
  <x:si>
    <x:t xml:space="preserve">Reanalysis update latency limits real-time initialization.</x:t>
  </x:si>
  <x:si>
    <x:t xml:space="preserve">B06-0023</x:t>
  </x:si>
  <x:si>
    <x:t xml:space="preserve">future_work.observations</x:t>
  </x:si>
  <x:si>
    <x:t xml:space="preserve">Use scattered observations to reduce reanalysis dependence.</x:t>
  </x:si>
  <x:si>
    <x:t xml:space="preserve">B06-0024</x:t>
  </x:si>
  <x:si>
    <x:t xml:space="preserve">OAI-0061</x:t>
  </x:si>
  <x:si>
    <x:t xml:space="preserve">physics.host_model</x:t>
  </x:si>
  <x:si>
    <x:t xml:space="preserve">SPEAR ice–ocean configuration: MOM6 and SIS2.</x:t>
  </x:si>
  <x:si>
    <x:t xml:space="preserve">CNN bias correction in SPEAR; refinement epochs differ from original CNN training.</x:t>
  </x:si>
  <x:si>
    <x:t xml:space="preserve">https://www.researchgate.net/publication/377814068_Machine_Learning_for_Online_Sea_Ice_Bias_Correction_Within_Global_Ice-Ocean_Simulations</x:t>
  </x:si>
  <x:si>
    <x:t xml:space="preserve">10.1029/2023GL106776</x:t>
  </x:si>
  <x:si>
    <x:t xml:space="preserve">2.1, p.2</x:t>
  </x:si>
  <x:si>
    <x:t xml:space="preserve">B06-0025</x:t>
  </x:si>
  <x:si>
    <x:t xml:space="preserve">B06-0026</x:t>
  </x:si>
  <x:si>
    <x:t xml:space="preserve">datasets.atmospheric_forcing</x:t>
  </x:si>
  <x:si>
    <x:t xml:space="preserve">JRA55-do.</x:t>
  </x:si>
  <x:si>
    <x:t xml:space="preserve">B06-0027</x:t>
  </x:si>
  <x:si>
    <x:t xml:space="preserve">1982–2017.</x:t>
  </x:si>
  <x:si>
    <x:t xml:space="preserve">2.2, p.2</x:t>
  </x:si>
  <x:si>
    <x:t xml:space="preserve">B06-0028</x:t>
  </x:si>
  <x:si>
    <x:t xml:space="preserve">Ensemble Adjustment Kalman Filter.</x:t>
  </x:si>
  <x:si>
    <x:t xml:space="preserve">B06-0029</x:t>
  </x:si>
  <x:si>
    <x:t xml:space="preserve">assimilation.interval</x:t>
  </x:si>
  <x:si>
    <x:t xml:space="preserve">B06-0030</x:t>
  </x:si>
  <x:si>
    <x:t xml:space="preserve">datasets.sic_observations</x:t>
  </x:si>
  <x:si>
    <x:t xml:space="preserve">NSIDC NASA Team algorithm.</x:t>
  </x:si>
  <x:si>
    <x:t xml:space="preserve">B06-0031</x:t>
  </x:si>
  <x:si>
    <x:t xml:space="preserve">Five-day means/tendencies: SIC, SST, ice velocities, thickness, shortwave radiation, ice skin temperature, SSS; land–sea mask.</x:t>
  </x:si>
  <x:si>
    <x:t xml:space="preserve">B06-0032</x:t>
  </x:si>
  <x:si>
    <x:t xml:space="preserve">outputs.first_cnn</x:t>
  </x:si>
  <x:si>
    <x:t xml:space="preserve">Aggregate SIC increment.</x:t>
  </x:si>
  <x:si>
    <x:t xml:space="preserve">B06-0033</x:t>
  </x:si>
  <x:si>
    <x:t xml:space="preserve">architecture.second_cnn</x:t>
  </x:si>
  <x:si>
    <x:t xml:space="preserve">Aggregate increment and category SIC feed a second CNN predicting category increments.</x:t>
  </x:si>
  <x:si>
    <x:t xml:space="preserve">2.2, pp.2–3</x:t>
  </x:si>
  <x:si>
    <x:t xml:space="preserve">2–3</x:t>
  </x:si>
  <x:si>
    <x:t xml:space="preserve">B06-0034</x:t>
  </x:si>
  <x:si>
    <x:t xml:space="preserve">outputs.ice_categories</x:t>
  </x:si>
  <x:si>
    <x:t xml:space="preserve">B06-0035</x:t>
  </x:si>
  <x:si>
    <x:t xml:space="preserve">Sequential CNN then DA corrections generate updated training simulations.</x:t>
  </x:si>
  <x:si>
    <x:t xml:space="preserve">2.3, pp.3–4</x:t>
  </x:si>
  <x:si>
    <x:t xml:space="preserve">3–4</x:t>
  </x:si>
  <x:si>
    <x:t xml:space="preserve">B06-0036</x:t>
  </x:si>
  <x:si>
    <x:t xml:space="preserve">training.augmentation_iterations</x:t>
  </x:si>
  <x:si>
    <x:t xml:space="preserve">2.3, p.4</x:t>
  </x:si>
  <x:si>
    <x:t xml:space="preserve">B06-0037</x:t>
  </x:si>
  <x:si>
    <x:t xml:space="preserve">training.refinement_epochs_per_iteration</x:t>
  </x:si>
  <x:si>
    <x:t xml:space="preserve">B06-0038</x:t>
  </x:si>
  <x:si>
    <x:t xml:space="preserve">datasets.online_test_period</x:t>
  </x:si>
  <x:si>
    <x:t xml:space="preserve">2018–2022; optimized CNN runs without DA.</x:t>
  </x:si>
  <x:si>
    <x:t xml:space="preserve">B06-0039</x:t>
  </x:si>
  <x:si>
    <x:t xml:space="preserve">metrics.sic_rmse</x:t>
  </x:si>
  <x:si>
    <x:t xml:space="preserve">Daily RMSE over ice-covered cells, averaged over days.</x:t>
  </x:si>
  <x:si>
    <x:t xml:space="preserve">Figure 2 caption, p.5</x:t>
  </x:si>
  <x:si>
    <x:t xml:space="preserve">B06-0040</x:t>
  </x:si>
  <x:si>
    <x:t xml:space="preserve">results.free_arctic_rmse</x:t>
  </x:si>
  <x:si>
    <x:t xml:space="preserve">3.1, p.4</x:t>
  </x:si>
  <x:si>
    <x:t xml:space="preserve">percent SIC</x:t>
  </x:si>
  <x:si>
    <x:t xml:space="preserve">B06-0041</x:t>
  </x:si>
  <x:si>
    <x:t xml:space="preserve">results.free_antarctic_rmse</x:t>
  </x:si>
  <x:si>
    <x:t xml:space="preserve">B06-0042</x:t>
  </x:si>
  <x:si>
    <x:t xml:space="preserve">limitations.model_shock</x:t>
  </x:si>
  <x:si>
    <x:t xml:space="preserve">Optimized Antarctic simulations retain five-day extent fluctuations.</x:t>
  </x:si>
  <x:si>
    <x:t xml:space="preserve">3.1, pp.4–5</x:t>
  </x:si>
  <x:si>
    <x:t xml:space="preserve">4–5</x:t>
  </x:si>
  <x:si>
    <x:t xml:space="preserve">B06-0043</x:t>
  </x:si>
  <x:si>
    <x:t xml:space="preserve">reproducibility.architecture_reference</x:t>
  </x:si>
  <x:si>
    <x:t xml:space="preserve">Detailed architecture/hyperparameters referred to Gregory et al. 2023; not extracted here.</x:t>
  </x:si>
  <x:si>
    <x:t xml:space="preserve">2.3, p.3</x:t>
  </x:si>
  <x:si>
    <x:t xml:space="preserve">B06-0044</x:t>
  </x:si>
  <x:si>
    <x:t xml:space="preserve">OAI-0086</x:t>
  </x:si>
  <x:si>
    <x:t xml:space="preserve">datasets.simulations_per_configuration</x:t>
  </x:si>
  <x:si>
    <x:t xml:space="preserve">FCNN variants in idealized quasi-geostrophic simulations; not global-ocean forecasts.</x:t>
  </x:si>
  <x:si>
    <x:t xml:space="preserve">https://www.researchgate.net/publication/366233698_Benchmarking_of_machine_learning_ocean_subgrid_parameterizations_in_an_idealized_model</x:t>
  </x:si>
  <x:si>
    <x:t xml:space="preserve">10.1029/2022MS003258</x:t>
  </x:si>
  <x:si>
    <x:t xml:space="preserve">5.1, p.14</x:t>
  </x:si>
  <x:si>
    <x:t xml:space="preserve">B06-0045</x:t>
  </x:si>
  <x:si>
    <x:t xml:space="preserve">datasets.simulation_duration</x:t>
  </x:si>
  <x:si>
    <x:t xml:space="preserve">B06-0046</x:t>
  </x:si>
  <x:si>
    <x:t xml:space="preserve">datasets.snapshot_interval</x:t>
  </x:si>
  <x:si>
    <x:t xml:space="preserve">B06-0047</x:t>
  </x:si>
  <x:si>
    <x:t xml:space="preserve">datasets.snapshots_per_dataset</x:t>
  </x:si>
  <x:si>
    <x:t xml:space="preserve">B06-0048</x:t>
  </x:si>
  <x:si>
    <x:t xml:space="preserve">datasets.array_shape</x:t>
  </x:si>
  <x:si>
    <x:t xml:space="preserve">64 × 64 × 2.</x:t>
  </x:si>
  <x:si>
    <x:t xml:space="preserve">B06-0049</x:t>
  </x:si>
  <x:si>
    <x:t xml:space="preserve">ablations.design</x:t>
  </x:si>
  <x:si>
    <x:t xml:space="preserve">Five forcings × three coarse-graining operators × seven input combinations.</x:t>
  </x:si>
  <x:si>
    <x:t xml:space="preserve">B06-0050</x:t>
  </x:si>
  <x:si>
    <x:t xml:space="preserve">architecture.conv_layers</x:t>
  </x:si>
  <x:si>
    <x:t xml:space="preserve">5.2, p.14</x:t>
  </x:si>
  <x:si>
    <x:t xml:space="preserve">B06-0051</x:t>
  </x:si>
  <x:si>
    <x:t xml:space="preserve">architecture.hidden_filters</x:t>
  </x:si>
  <x:si>
    <x:t xml:space="preserve">128, 64, then 32, as described in Section 5.2.</x:t>
  </x:si>
  <x:si>
    <x:t xml:space="preserve">B06-0052</x:t>
  </x:si>
  <x:si>
    <x:t xml:space="preserve">ReLU.</x:t>
  </x:si>
  <x:si>
    <x:t xml:space="preserve">B06-0053</x:t>
  </x:si>
  <x:si>
    <x:t xml:space="preserve">Batch normalization after intermediate layers.</x:t>
  </x:si>
  <x:si>
    <x:t xml:space="preserve">B06-0054</x:t>
  </x:si>
  <x:si>
    <x:t xml:space="preserve">architecture.padding</x:t>
  </x:si>
  <x:si>
    <x:t xml:space="preserve">Circular.</x:t>
  </x:si>
  <x:si>
    <x:t xml:space="preserve">B06-0055</x:t>
  </x:si>
  <x:si>
    <x:t xml:space="preserve">B06-0056</x:t>
  </x:si>
  <x:si>
    <x:t xml:space="preserve">B06-0057</x:t>
  </x:si>
  <x:si>
    <x:t xml:space="preserve">B06-0058</x:t>
  </x:si>
  <x:si>
    <x:t xml:space="preserve">physics.output_constraint</x:t>
  </x:si>
  <x:si>
    <x:t xml:space="preserve">Zero spatial mean for predicted PV/momentum forcing.</x:t>
  </x:si>
  <x:si>
    <x:t xml:space="preserve">B06-0059</x:t>
  </x:si>
  <x:si>
    <x:t xml:space="preserve">physics.flux_variant</x:t>
  </x:si>
  <x:si>
    <x:t xml:space="preserve">Flux predictions unconstrained before taking divergence.</x:t>
  </x:si>
  <x:si>
    <x:t xml:space="preserve">B06-0060</x:t>
  </x:si>
  <x:si>
    <x:t xml:space="preserve">limitations.unconstrained_stability</x:t>
  </x:si>
  <x:si>
    <x:t xml:space="preserve">Unconstrained forcing can accumulate PV and violate CFL stability.</x:t>
  </x:si>
  <x:si>
    <x:t xml:space="preserve">B06-0061</x:t>
  </x:si>
  <x:si>
    <x:t xml:space="preserve">results.online_stability</x:t>
  </x:si>
  <x:si>
    <x:t xml:space="preserve">All tested configurations in this comparison remained numerically stable.</x:t>
  </x:si>
  <x:si>
    <x:t xml:space="preserve">5.3, p.15</x:t>
  </x:si>
  <x:si>
    <x:t xml:space="preserve">15</x:t>
  </x:si>
  <x:si>
    <x:t xml:space="preserve">B06-0062</x:t>
  </x:si>
  <x:si>
    <x:t xml:space="preserve">OAI-0048</x:t>
  </x:si>
  <x:si>
    <x:t xml:space="preserve">Combined SST and Niño3.4 RMSE objective.</x:t>
  </x:si>
  <x:si>
    <x:t xml:space="preserve">https://www.researchgate.net/publication/383844262_Incorporating_heat_budget_dynamics_in_a_Transformer-based_deep_learning_model_for_skillful_ENSO_prediction</x:t>
  </x:si>
  <x:si>
    <x:t xml:space="preserve">10.1038/s41612-024-00741-y</x:t>
  </x:si>
  <x:si>
    <x:t xml:space="preserve">Methods, Training, Eq.26</x:t>
  </x:si>
  <x:si>
    <x:t xml:space="preserve">B06-0063</x:t>
  </x:si>
  <x:si>
    <x:t xml:space="preserve">loss.component_sst</x:t>
  </x:si>
  <x:si>
    <x:t xml:space="preserve">SST-field RMSE.</x:t>
  </x:si>
  <x:si>
    <x:t xml:space="preserve">B06-0064</x:t>
  </x:si>
  <x:si>
    <x:t xml:space="preserve">loss.component_nino</x:t>
  </x:si>
  <x:si>
    <x:t xml:space="preserve">Niño3.4-index error contribution.</x:t>
  </x:si>
  <x:si>
    <x:t xml:space="preserve">B06-0065</x:t>
  </x:si>
  <x:si>
    <x:t xml:space="preserve">Methods, Training after Eq.26</x:t>
  </x:si>
  <x:si>
    <x:t xml:space="preserve">B06-0066</x:t>
  </x:si>
  <x:si>
    <x:t xml:space="preserve">B06-0067</x:t>
  </x:si>
  <x:si>
    <x:t xml:space="preserve">StepLR; step and decay values not extracted.</x:t>
  </x:si>
  <x:si>
    <x:t xml:space="preserve">B06-0068</x:t>
  </x:si>
  <x:si>
    <x:t xml:space="preserve">https://github.com/Skye777/ENSO-PhyNet</x:t>
  </x:si>
  <x:si>
    <x:t xml:space="preserve">B06-0069</x:t>
  </x:si>
  <x:si>
    <x:t xml:space="preserve">OAI-0051</x:t>
  </x:si>
  <x:si>
    <x:t xml:space="preserve">11 CMIP6 models.</x:t>
  </x:si>
  <x:si>
    <x:t xml:space="preserve">Climate projection of 30-year ENSO amplitude, not monthly event forecasting.</x:t>
  </x:si>
  <x:si>
    <x:t xml:space="preserve">https://www.nature.com/articles/s41467-025-63157-z</x:t>
  </x:si>
  <x:si>
    <x:t xml:space="preserve">10.1038/s41467-025-63157-z</x:t>
  </x:si>
  <x:si>
    <x:t xml:space="preserve">Methods, Observational and CMIP data</x:t>
  </x:si>
  <x:si>
    <x:t xml:space="preserve">B06-0070</x:t>
  </x:si>
  <x:si>
    <x:t xml:space="preserve">COBE2, ERSSTv5 and HadISSTv1.1.</x:t>
  </x:si>
  <x:si>
    <x:t xml:space="preserve">B06-0071</x:t>
  </x:si>
  <x:si>
    <x:t xml:space="preserve">datasets.validation_split</x:t>
  </x:si>
  <x:si>
    <x:t xml:space="preserve">Second realization validates; other available realizations train.</x:t>
  </x:si>
  <x:si>
    <x:t xml:space="preserve">B06-0072</x:t>
  </x:si>
  <x:si>
    <x:t xml:space="preserve">Delaunay triangulation, linear barycentric interpolation; no extrapolation.</x:t>
  </x:si>
  <x:si>
    <x:t xml:space="preserve">B06-0073</x:t>
  </x:si>
  <x:si>
    <x:t xml:space="preserve">B06-0074</x:t>
  </x:si>
  <x:si>
    <x:t xml:space="preserve">datasets.grid_shape</x:t>
  </x:si>
  <x:si>
    <x:t xml:space="preserve">50 × 165.</x:t>
  </x:si>
  <x:si>
    <x:t xml:space="preserve">B06-0075</x:t>
  </x:si>
  <x:si>
    <x:t xml:space="preserve">inputs.variable</x:t>
  </x:si>
  <x:si>
    <x:t xml:space="preserve">30-year mean tropical-Pacific SST.</x:t>
  </x:si>
  <x:si>
    <x:t xml:space="preserve">Methods, Definition of ENSO SST amplitude and SST mean state</x:t>
  </x:si>
  <x:si>
    <x:t xml:space="preserve">B06-0076</x:t>
  </x:si>
  <x:si>
    <x:t xml:space="preserve">30-year running standard deviation of detrended Niño3.4 SST anomalies.</x:t>
  </x:si>
  <x:si>
    <x:t xml:space="preserve">B06-0077</x:t>
  </x:si>
  <x:si>
    <x:t xml:space="preserve">preprocessing.climatology</x:t>
  </x:si>
  <x:si>
    <x:t xml:space="preserve">Subtract 1870–2014 climatological SST.</x:t>
  </x:si>
  <x:si>
    <x:t xml:space="preserve">Methods, Framework and training of ANNs</x:t>
  </x:si>
  <x:si>
    <x:t xml:space="preserve">B06-0078</x:t>
  </x:si>
  <x:si>
    <x:t xml:space="preserve">B06-0079</x:t>
  </x:si>
  <x:si>
    <x:t xml:space="preserve">B06-0080</x:t>
  </x:si>
  <x:si>
    <x:t xml:space="preserve">LeakyReLU.</x:t>
  </x:si>
  <x:si>
    <x:t xml:space="preserve">B06-0081</x:t>
  </x:si>
  <x:si>
    <x:t xml:space="preserve">architecture.blocks</x:t>
  </x:si>
  <x:si>
    <x:t xml:space="preserve">Batch normalization and max pooling.</x:t>
  </x:si>
  <x:si>
    <x:t xml:space="preserve">B06-0082</x:t>
  </x:si>
  <x:si>
    <x:t xml:space="preserve">architecture.parameters</x:t>
  </x:si>
  <x:si>
    <x:t xml:space="preserve">B06-0083</x:t>
  </x:si>
  <x:si>
    <x:t xml:space="preserve">B06-0084</x:t>
  </x:si>
  <x:si>
    <x:t xml:space="preserve">B06-0085</x:t>
  </x:si>
  <x:si>
    <x:t xml:space="preserve">training.max_epochs</x:t>
  </x:si>
  <x:si>
    <x:t xml:space="preserve">B06-0086</x:t>
  </x:si>
  <x:si>
    <x:t xml:space="preserve">Early stopping using observational performance.</x:t>
  </x:si>
  <x:si>
    <x:t xml:space="preserve">B06-0087</x:t>
  </x:si>
  <x:si>
    <x:t xml:space="preserve">Squared error in ENSO amplitude.</x:t>
  </x:si>
  <x:si>
    <x:t xml:space="preserve">B06-0088</x:t>
  </x:si>
  <x:si>
    <x:t xml:space="preserve">architecture.ensemble_members</x:t>
  </x:si>
  <x:si>
    <x:t xml:space="preserve">B06-0089</x:t>
  </x:si>
  <x:si>
    <x:t xml:space="preserve">ablations.interpretability</x:t>
  </x:si>
  <x:si>
    <x:t xml:space="preserve">Grid-point occlusion; normalize RMSE by its spatial maximum.</x:t>
  </x:si>
  <x:si>
    <x:t xml:space="preserve">Methods, Occlusion sensitivity</x:t>
  </x:si>
  <x:si>
    <x:t xml:space="preserve">B06-0090</x:t>
  </x:si>
  <x:si>
    <x:t xml:space="preserve">https://doi.org/10.5281/zenodo.14942083</x:t>
  </x:si>
  <x:si>
    <x:t xml:space="preserve">B06-0091</x:t>
  </x:si>
  <x:si>
    <x:t xml:space="preserve">OAI-0049</x:t>
  </x:si>
  <x:si>
    <x:t xml:space="preserve">ORAS5 and 91 CMIP5/6 historical simulations.</x:t>
  </x:si>
  <x:si>
    <x:t xml:space="preserve">XRO statistical-dynamical model. Publisher extended-data captions and availability sections only; full Methods pending.</x:t>
  </x:si>
  <x:si>
    <x:t xml:space="preserve">https://www.nature.com/articles/s41586-024-07534-6</x:t>
  </x:si>
  <x:si>
    <x:t xml:space="preserve">10.1038/s41586-024-07534-6</x:t>
  </x:si>
  <x:si>
    <x:t xml:space="preserve">Extended Data Figure 1</x:t>
  </x:si>
  <x:si>
    <x:t xml:space="preserve">B06-0092</x:t>
  </x:si>
  <x:si>
    <x:t xml:space="preserve">inputs.climate_modes</x:t>
  </x:si>
  <x:si>
    <x:t xml:space="preserve">ENSO/WWV, NPMM, SPMM, IOB, IOD, SIOD, TNA, ATL3, SASD.</x:t>
  </x:si>
  <x:si>
    <x:t xml:space="preserve">B06-0093</x:t>
  </x:si>
  <x:si>
    <x:t xml:space="preserve">architecture.linear_operator</x:t>
  </x:si>
  <x:si>
    <x:t xml:space="preserve">Seasonally varying cross-mode coefficients; normalized by index standard deviations.</x:t>
  </x:si>
  <x:si>
    <x:t xml:space="preserve">B06-0094</x:t>
  </x:si>
  <x:si>
    <x:t xml:space="preserve">architecture.coefficient_units</x:t>
  </x:si>
  <x:si>
    <x:t xml:space="preserve">year^-1</x:t>
  </x:si>
  <x:si>
    <x:t xml:space="preserve">B06-0095</x:t>
  </x:si>
  <x:si>
    <x:t xml:space="preserve">metrics.cross_validation</x:t>
  </x:si>
  <x:si>
    <x:t xml:space="preserve">Three-year blocks excluded for fitting spread.</x:t>
  </x:si>
  <x:si>
    <x:t xml:space="preserve">B06-0096</x:t>
  </x:si>
  <x:si>
    <x:t xml:space="preserve">datasets.early_test</x:t>
  </x:si>
  <x:si>
    <x:t xml:space="preserve">Test 1950–1970; out-of-sample model fitted on 1973–2022.</x:t>
  </x:si>
  <x:si>
    <x:t xml:space="preserve">Extended Data Figure 2</x:t>
  </x:si>
  <x:si>
    <x:t xml:space="preserve">B06-0097</x:t>
  </x:si>
  <x:si>
    <x:t xml:space="preserve">ablations.mode_interactions</x:t>
  </x:si>
  <x:si>
    <x:t xml:space="preserve">Uninitialized, decoupled and observation-relaxed basin experiments.</x:t>
  </x:si>
  <x:si>
    <x:t xml:space="preserve">Extended Data Figure 3</x:t>
  </x:si>
  <x:si>
    <x:t xml:space="preserve">B06-0098</x:t>
  </x:si>
  <x:si>
    <x:t xml:space="preserve">limitations.decoupling</x:t>
  </x:si>
  <x:si>
    <x:t xml:space="preserve">Separate basin-decoupling effects are nonadditive and can overestimate individual contributions.</x:t>
  </x:si>
  <x:si>
    <x:t xml:space="preserve">B06-0099</x:t>
  </x:si>
  <x:si>
    <x:t xml:space="preserve">Correlation and RMSE of three-month-mean Niño3.4.</x:t>
  </x:si>
  <x:si>
    <x:t xml:space="preserve">Extended Data Figure 4</x:t>
  </x:si>
  <x:si>
    <x:t xml:space="preserve">B06-0100</x:t>
  </x:si>
  <x:si>
    <x:t xml:space="preserve">https://doi.org/10.5281/zenodo.10681114</x:t>
  </x:si>
  <x:si>
    <x:t xml:space="preserve">B06-0101</x:t>
  </x:si>
  <x:si>
    <x:t xml:space="preserve">reproducibility.figure_data</x:t>
  </x:si>
  <x:si>
    <x:t xml:space="preserve">https://doi.org/10.5281/zenodo.10951443</x:t>
  </x:si>
  <x:si>
    <x:t xml:space="preserve">B06-0102</x:t>
  </x:si>
  <x:si>
    <x:t xml:space="preserve">OAI-0052</x:t>
  </x:si>
  <x:si>
    <x:t xml:space="preserve">Current partial factor sequence; next state concatenates the selected action.</x:t>
  </x:si>
  <x:si>
    <x:t xml:space="preserve">MARINA preprint v1; RL factor discovery and downstream forecasting are separate stages.</x:t>
  </x:si>
  <x:si>
    <x:t xml:space="preserve">https://www.researchgate.net/publication/395729376_A_Lightweight_Physics-Aware_Framework_for_Multi-Scale_Marine_Heatwaves_Forecasting</x:t>
  </x:si>
  <x:si>
    <x:t xml:space="preserve">10.21203/rs.3.rs-7663664/v1</x:t>
  </x:si>
  <x:si>
    <x:t xml:space="preserve">PREPRINT_V1</x:t>
  </x:si>
  <x:si>
    <x:t xml:space="preserve">Methods, Algorithm 1</x:t>
  </x:si>
  <x:si>
    <x:t xml:space="preserve">Research Square v1, 2025-09-23, hosted on ResearchGate; final journal edition not compared.</x:t>
  </x:si>
  <x:si>
    <x:t xml:space="preserve">B06-0103</x:t>
  </x:si>
  <x:si>
    <x:t xml:space="preserve">Discrete factor-construction action; SEP terminates the sequence.</x:t>
  </x:si>
  <x:si>
    <x:t xml:space="preserve">B06-0104</x:t>
  </x:si>
  <x:si>
    <x:t xml:space="preserve">Interaction-factor construction evaluated on meteorological inputs and observed SST.</x:t>
  </x:si>
  <x:si>
    <x:t xml:space="preserve">B06-0105</x:t>
  </x:si>
  <x:si>
    <x:t xml:space="preserve">PPO.</x:t>
  </x:si>
  <x:si>
    <x:t xml:space="preserve">B06-0106</x:t>
  </x:si>
  <x:si>
    <x:t xml:space="preserve">R1 - alpha × R2.</x:t>
  </x:si>
  <x:si>
    <x:t xml:space="preserve">Methods, Eq.3</x:t>
  </x:si>
  <x:si>
    <x:t xml:space="preserve">B06-0107</x:t>
  </x:si>
  <x:si>
    <x:t xml:space="preserve">rl.reward_component_accuracy</x:t>
  </x:si>
  <x:si>
    <x:t xml:space="preserve">Pearson correlation between factor-predicted and observed SST.</x:t>
  </x:si>
  <x:si>
    <x:t xml:space="preserve">Methods, Eqs.1–2</x:t>
  </x:si>
  <x:si>
    <x:t xml:space="preserve">B06-0108</x:t>
  </x:si>
  <x:si>
    <x:t xml:space="preserve">rl.reward_component_diversity</x:t>
  </x:si>
  <x:si>
    <x:t xml:space="preserve">Mean cosine similarity to GP-factor embeddings, penalized.</x:t>
  </x:si>
  <x:si>
    <x:t xml:space="preserve">Methods, Eqs.4–5</x:t>
  </x:si>
  <x:si>
    <x:t xml:space="preserve">B06-0109</x:t>
  </x:si>
  <x:si>
    <x:t xml:space="preserve">architecture.policy</x:t>
  </x:si>
  <x:si>
    <x:t xml:space="preserve">LSTM-based policy; GP encoder updated by momentum.</x:t>
  </x:si>
  <x:si>
    <x:t xml:space="preserve">Methods, Eq.6</x:t>
  </x:si>
  <x:si>
    <x:t xml:space="preserve">B06-0110</x:t>
  </x:si>
  <x:si>
    <x:t xml:space="preserve">rl.intermediate_reward</x:t>
  </x:si>
  <x:si>
    <x:t xml:space="preserve">B06-0111</x:t>
  </x:si>
  <x:si>
    <x:t xml:space="preserve">rl.termination</x:t>
  </x:si>
  <x:si>
    <x:t xml:space="preserve">SEP action or maximum factor length.</x:t>
  </x:si>
  <x:si>
    <x:t xml:space="preserve">B06-0112</x:t>
  </x:si>
  <x:si>
    <x:t xml:space="preserve">SST, air temperature, atmospheric pressure, wind speed and PAR.</x:t>
  </x:si>
  <x:si>
    <x:t xml:space="preserve">Methods, LLM-enhanced MHW forecast network</x:t>
  </x:si>
  <x:si>
    <x:t xml:space="preserve">B06-0113</x:t>
  </x:si>
  <x:si>
    <x:t xml:space="preserve">Separate interaction-factor and historical-observation branches, followed by feature fusion.</x:t>
  </x:si>
  <x:si>
    <x:t xml:space="preserve">B06-0114</x:t>
  </x:si>
  <x:si>
    <x:t xml:space="preserve">Linear, DLinear, NLinear, Informer, Autoformer.</x:t>
  </x:si>
  <x:si>
    <x:t xml:space="preserve">Results, MARINA outperformed state-of-the-art models</x:t>
  </x:si>
  <x:si>
    <x:t xml:space="preserve">B06-0115</x:t>
  </x:si>
  <x:si>
    <x:t xml:space="preserve">ablations.factors</x:t>
  </x:si>
  <x:si>
    <x:t xml:space="preserve">MARINA without interaction factors.</x:t>
  </x:si>
  <x:si>
    <x:t xml:space="preserve">B06-0116</x:t>
  </x:si>
  <x:si>
    <x:t xml:space="preserve">limitations.comparison_scope</x:t>
  </x:si>
  <x:si>
    <x:t xml:space="preserve">Physics-based models excluded from direct statistical-model comparison.</x:t>
  </x:si>
  <x:si>
    <x:t xml:space="preserve">B06-0117</x:t>
  </x:si>
  <x:si>
    <x:t xml:space="preserve">OAI-0046</x:t>
  </x:si>
  <x:si>
    <x:t xml:space="preserve">physics.guidance</x:t>
  </x:si>
  <x:si>
    <x:t xml:space="preserve">First six vertical EOF modes of temperature/salinity.</x:t>
  </x:si>
  <x:si>
    <x:t xml:space="preserve">https://www.researchgate.net/publication/394987936_Reconstruction_of_the_Subsurface_Temperature_and_Salinity_in_the_South_China_Sea_Using_Deep-Learning_Techniques_with_a_Physical_Guidance</x:t>
  </x:si>
  <x:si>
    <x:t xml:space="preserve">10.3390/rs17172954</x:t>
  </x:si>
  <x:si>
    <x:t xml:space="preserve">2.3, pp.6–7</x:t>
  </x:si>
  <x:si>
    <x:t xml:space="preserve">6–7</x:t>
  </x:si>
  <x:si>
    <x:t xml:space="preserve">B06-0118</x:t>
  </x:si>
  <x:si>
    <x:t xml:space="preserve">outputs.training_target</x:t>
  </x:si>
  <x:si>
    <x:t xml:space="preserve">Principal-component amplitudes.</x:t>
  </x:si>
  <x:si>
    <x:t xml:space="preserve">B06-0119</x:t>
  </x:si>
  <x:si>
    <x:t xml:space="preserve">loss.component_pc</x:t>
  </x:si>
  <x:si>
    <x:t xml:space="preserve">RMSE between reconstructed and reference PC amplitudes.</x:t>
  </x:si>
  <x:si>
    <x:t xml:space="preserve">2.3, p.7</x:t>
  </x:si>
  <x:si>
    <x:t xml:space="preserve">7</x:t>
  </x:si>
  <x:si>
    <x:t xml:space="preserve">Original article text in ResearchGate full-text copy; publisher endpoint unavailable. No independent audit or code execution. Equation 1 profile-similarity sign requires reconciliation against PDF/code before reuse; no correction inferred.</x:t>
  </x:si>
  <x:si>
    <x:t xml:space="preserve">B06-0120</x:t>
  </x:si>
  <x:si>
    <x:t xml:space="preserve">loss.component_profile</x:t>
  </x:si>
  <x:si>
    <x:t xml:space="preserve">Similarity between reconstructed and reference T/S profiles.</x:t>
  </x:si>
  <x:si>
    <x:t xml:space="preserve">2.3, Eq.1, p.7</x:t>
  </x:si>
  <x:si>
    <x:t xml:space="preserve">B06-0121</x:t>
  </x:si>
  <x:si>
    <x:t xml:space="preserve">Six RTX 3090 GPUs, 24 GB each.</x:t>
  </x:si>
  <x:si>
    <x:t xml:space="preserve">B06-0122</x:t>
  </x:si>
  <x:si>
    <x:t xml:space="preserve">training.epochs_per_point</x:t>
  </x:si>
  <x:si>
    <x:t xml:space="preserve">B06-0123</x:t>
  </x:si>
  <x:si>
    <x:t xml:space="preserve">training.point_count</x:t>
  </x:si>
  <x:si>
    <x:t xml:space="preserve">B06-0124</x:t>
  </x:si>
  <x:si>
    <x:t xml:space="preserve">training.total_time</x:t>
  </x:si>
  <x:si>
    <x:t xml:space="preserve">B06-0125</x:t>
  </x:si>
  <x:si>
    <x:t xml:space="preserve">reproducibility.framework</x:t>
  </x:si>
  <x:si>
    <x:t xml:space="preserve">PyTorch; Python 3.10; CUDA 12.4.</x:t>
  </x:si>
  <x:si>
    <x:t xml:space="preserve">B06-0126</x:t>
  </x:si>
  <x:si>
    <x:t xml:space="preserve">preprocessing.geostrophic_current</x:t>
  </x:si>
  <x:si>
    <x:t xml:space="preserve">Central SSH differences; geostrophic balance converts gradients to currents.</x:t>
  </x:si>
  <x:si>
    <x:t xml:space="preserve">2.4, pp.7–8</x:t>
  </x:si>
  <x:si>
    <x:t xml:space="preserve">7–8</x:t>
  </x:si>
  <x:si>
    <x:t xml:space="preserve">B06-0127</x:t>
  </x:si>
  <x:si>
    <x:t xml:space="preserve">inputs.base</x:t>
  </x:si>
  <x:si>
    <x:t xml:space="preserve">SST, SSS and SSH.</x:t>
  </x:si>
  <x:si>
    <x:t xml:space="preserve">Table 1, p.8</x:t>
  </x:si>
  <x:si>
    <x:t xml:space="preserve">B06-0128</x:t>
  </x:si>
  <x:si>
    <x:t xml:space="preserve">inputs.current_variants</x:t>
  </x:si>
  <x:si>
    <x:t xml:space="preserve">Add full surface currents or SSH-derived geostrophic currents.</x:t>
  </x:si>
  <x:si>
    <x:t xml:space="preserve">B06-0129</x:t>
  </x:si>
  <x:si>
    <x:t xml:space="preserve">RF, ANN, CNN, Transformer, CNN-PG.</x:t>
  </x:si>
  <x:si>
    <x:t xml:space="preserve">2.5, pp.8–9</x:t>
  </x:si>
  <x:si>
    <x:t xml:space="preserve">8–9</x:t>
  </x:si>
  <x:si>
    <x:t xml:space="preserve">B06-0130</x:t>
  </x:si>
  <x:si>
    <x:t xml:space="preserve">Monthly profile/region RMSE.</x:t>
  </x:si>
  <x:si>
    <x:t xml:space="preserve">B06-0131</x:t>
  </x:si>
  <x:si>
    <x:t xml:space="preserve">outputs.vertical_layers</x:t>
  </x:si>
  <x:si>
    <x:t xml:space="preserve">B06-0132</x:t>
  </x:si>
  <x:si>
    <x:t xml:space="preserve">OAI-0102</x:t>
  </x:si>
  <x:si>
    <x:t xml:space="preserve">CMEMS daily absolute dynamic topography.</x:t>
  </x:si>
  <x:si>
    <x:t xml:space="preserve">Phys-SV configuration unless field states otherwise; loss lambda applies to normalized velocities.</x:t>
  </x:si>
  <x:si>
    <x:t xml:space="preserve">https://www.researchgate.net/publication/398074458_Investigation_of_Physics-Informed_Methods_for_Improving_Sea_Surface_Height_Prediction_Based_on_Neural_Networks_in_the_South_China_Sea</x:t>
  </x:si>
  <x:si>
    <x:t xml:space="preserve">10.3390/rs17233838</x:t>
  </x:si>
  <x:si>
    <x:t xml:space="preserve">2.1, p.4</x:t>
  </x:si>
  <x:si>
    <x:t xml:space="preserve">B06-0133</x:t>
  </x:si>
  <x:si>
    <x:t xml:space="preserve">1/8° × 1/8°.</x:t>
  </x:si>
  <x:si>
    <x:t xml:space="preserve">B06-0134</x:t>
  </x:si>
  <x:si>
    <x:t xml:space="preserve">2°–22°N, 104°–124°E.</x:t>
  </x:si>
  <x:si>
    <x:t xml:space="preserve">B06-0135</x:t>
  </x:si>
  <x:si>
    <x:t xml:space="preserve">160 × 160.</x:t>
  </x:si>
  <x:si>
    <x:t xml:space="preserve">B06-0136</x:t>
  </x:si>
  <x:si>
    <x:t xml:space="preserve">physics.constraint</x:t>
  </x:si>
  <x:si>
    <x:t xml:space="preserve">Geostrophic constraint.</x:t>
  </x:si>
  <x:si>
    <x:t xml:space="preserve">Figure 4, p.9</x:t>
  </x:si>
  <x:si>
    <x:t xml:space="preserve">9</x:t>
  </x:si>
  <x:si>
    <x:t xml:space="preserve">B06-0137</x:t>
  </x:si>
  <x:si>
    <x:t xml:space="preserve">loss.constraint_lambda</x:t>
  </x:si>
  <x:si>
    <x:t xml:space="preserve">B06-0138</x:t>
  </x:si>
  <x:si>
    <x:t xml:space="preserve">loss.latitude_weighting</x:t>
  </x:si>
  <x:si>
    <x:t xml:space="preserve">Latitude-weighted loss.</x:t>
  </x:si>
  <x:si>
    <x:t xml:space="preserve">B06-0139</x:t>
  </x:si>
  <x:si>
    <x:t xml:space="preserve">inputs.mask</x:t>
  </x:si>
  <x:si>
    <x:t xml:space="preserve">Mask-informed inputs.</x:t>
  </x:si>
  <x:si>
    <x:t xml:space="preserve">B06-0140</x:t>
  </x:si>
  <x:si>
    <x:t xml:space="preserve">ablations.strategies</x:t>
  </x:si>
  <x:si>
    <x:t xml:space="preserve">Remove geostrophy, latitude weighting or mask individually.</x:t>
  </x:si>
  <x:si>
    <x:t xml:space="preserve">B06-0141</x:t>
  </x:si>
  <x:si>
    <x:t xml:space="preserve">architecture.spatial_hidden_dimension</x:t>
  </x:si>
  <x:si>
    <x:t xml:space="preserve">Appendix A.2, pp.18–19</x:t>
  </x:si>
  <x:si>
    <x:t xml:space="preserve">18–19</x:t>
  </x:si>
  <x:si>
    <x:t xml:space="preserve">B06-0142</x:t>
  </x:si>
  <x:si>
    <x:t xml:space="preserve">architecture.temporal_hidden_dimension</x:t>
  </x:si>
  <x:si>
    <x:t xml:space="preserve">B06-0143</x:t>
  </x:si>
  <x:si>
    <x:t xml:space="preserve">B06-0144</x:t>
  </x:si>
  <x:si>
    <x:t xml:space="preserve">B06-0145</x:t>
  </x:si>
  <x:si>
    <x:t xml:space="preserve">architecture.encoder_decoder_kernel</x:t>
  </x:si>
  <x:si>
    <x:t xml:space="preserve">B06-0146</x:t>
  </x:si>
  <x:si>
    <x:t xml:space="preserve">B06-0147</x:t>
  </x:si>
  <x:si>
    <x:t xml:space="preserve">One RTX 4090, 24 GB.</x:t>
  </x:si>
  <x:si>
    <x:t xml:space="preserve">B06-0148</x:t>
  </x:si>
  <x:si>
    <x:t xml:space="preserve">B06-0149</x:t>
  </x:si>
  <x:si>
    <x:t xml:space="preserve">B06-0150</x:t>
  </x:si>
  <x:si>
    <x:t xml:space="preserve">ReduceLROnPlateau.</x:t>
  </x:si>
  <x:si>
    <x:t xml:space="preserve">B06-0151</x:t>
  </x:si>
  <x:si>
    <x:t xml:space="preserve">training.scheduler_factor</x:t>
  </x:si>
  <x:si>
    <x:t xml:space="preserve">B06-0152</x:t>
  </x:si>
  <x:si>
    <x:t xml:space="preserve">training.scheduler_patience</x:t>
  </x:si>
  <x:si>
    <x:t xml:space="preserve">B06-0153</x:t>
  </x:si>
  <x:si>
    <x:t xml:space="preserve">B06-0154</x:t>
  </x:si>
  <x:si>
    <x:t xml:space="preserve">training.early_stopping_patience</x:t>
  </x:si>
  <x:si>
    <x:t xml:space="preserve">B06-0155</x:t>
  </x:si>
  <x:si>
    <x:t xml:space="preserve">B06-0156</x:t>
  </x:si>
  <x:si>
    <x:t xml:space="preserve">B06-0157</x:t>
  </x:si>
  <x:si>
    <x:t xml:space="preserve">results.inference_time</x:t>
  </x:si>
  <x:si>
    <x:t xml:space="preserve">Appendix A.2, p.19</x:t>
  </x:si>
  <x:si>
    <x:t xml:space="preserve">19</x:t>
  </x:si>
  <x:si>
    <x:t xml:space="preserve">ms/sample; batch=1, mean of 10000 runs</x:t>
  </x:si>
  <x:si>
    <x:t xml:space="preserve">B06-0158</x:t>
  </x:si>
  <x:si>
    <x:t xml:space="preserve">metrics.uncertainty</x:t>
  </x:si>
  <x:si>
    <x:t xml:space="preserve">Five random-seed trials; 10000 bootstrap resamples; 95% intervals.</x:t>
  </x:si>
  <x:si>
    <x:t xml:space="preserve">Appendix B, p.19</x:t>
  </x:si>
  <x:si>
    <x:t xml:space="preserve">B06-0159</x:t>
  </x:si>
  <x:si>
    <x:t xml:space="preserve">datasets.selected_cmip6</x:t>
  </x:si>
  <x:si>
    <x:t xml:space="preserve">CESM2, E3SM-1-1, FIO-ESM-2-0, GFDL-CM4.</x:t>
  </x:si>
  <x:si>
    <x:t xml:space="preserve">Methods, Data before Table 2</x:t>
  </x:si>
  <x:si>
    <x:t xml:space="preserve">B06-0160</x:t>
  </x:si>
  <x:si>
    <x:t xml:space="preserve">datasets.reanalysis_training</x:t>
  </x:si>
  <x:si>
    <x:t xml:space="preserve">SODA 1871–2005; GODAS 1980–2005.</x:t>
  </x:si>
  <x:si>
    <x:t xml:space="preserve">B06-0161</x:t>
  </x:si>
  <x:si>
    <x:t xml:space="preserve">datasets.test</x:t>
  </x:si>
  <x:si>
    <x:t xml:space="preserve">GODAS 2010–2022.</x:t>
  </x:si>
  <x:si>
    <x:t xml:space="preserve">B06-0162</x:t>
  </x:si>
  <x:si>
    <x:t xml:space="preserve">B06-0163</x:t>
  </x:si>
  <x:si>
    <x:t xml:space="preserve">datasets.sst_region</x:t>
  </x:si>
  <x:si>
    <x:t xml:space="preserve">60°S–60°N, all longitudes.</x:t>
  </x:si>
  <x:si>
    <x:t xml:space="preserve">B06-0164</x:t>
  </x:si>
  <x:si>
    <x:t xml:space="preserve">datasets.heat_budget_region</x:t>
  </x:si>
  <x:si>
    <x:t xml:space="preserve">10°S–10°N, 160°E–80°W.</x:t>
  </x:si>
  <x:si>
    <x:t xml:space="preserve">B06-0165</x:t>
  </x:si>
  <x:si>
    <x:t xml:space="preserve">inputs.heat_budget_requirements</x:t>
  </x:si>
  <x:si>
    <x:t xml:space="preserve">SST, three-dimensional temperature and zonal/meridional/vertical currents.</x:t>
  </x:si>
  <x:si>
    <x:t xml:space="preserve">B06-0166</x:t>
  </x:si>
  <x:si>
    <x:t xml:space="preserve">preprocessing.model_selection</x:t>
  </x:si>
  <x:si>
    <x:t xml:space="preserve">Retain CMIP6 models only when validation loss improves.</x:t>
  </x:si>
  <x:si>
    <x:t xml:space="preserve">B06-0167</x:t>
  </x:si>
  <x:si>
    <x:t xml:space="preserve">limitations.data_availability</x:t>
  </x:si>
  <x:si>
    <x:t xml:space="preserve">Incomplete three-dimensional currents restrict CMIP6 model selection.</x:t>
  </x:si>
  <x:si>
    <x:t xml:space="preserve">B06-0168</x:t>
  </x:si>
  <x:si>
    <x:t xml:space="preserve">Per-variable residual blocks with two convolutions and channel attention.</x:t>
  </x:si>
  <x:si>
    <x:t xml:space="preserve">2.3, p.6</x:t>
  </x:si>
  <x:si>
    <x:t xml:space="preserve">6</x:t>
  </x:si>
  <x:si>
    <x:t xml:space="preserve">B06-0169</x:t>
  </x:si>
  <x:si>
    <x:t xml:space="preserve">Zigzag arrangement of SST, SSS and fusion features before deeper extraction.</x:t>
  </x:si>
  <x:si>
    <x:t xml:space="preserve">B06-0170</x:t>
  </x:si>
  <x:si>
    <x:t xml:space="preserve">baselines.rf_trees</x:t>
  </x:si>
  <x:si>
    <x:t xml:space="preserve">2.2, p.5</x:t>
  </x:si>
  <x:si>
    <x:t xml:space="preserve">B06-0171</x:t>
  </x:si>
  <x:si>
    <x:t xml:space="preserve">baselines.rf_mtry</x:t>
  </x:si>
  <x:si>
    <x:t xml:space="preserve">B06-0172</x:t>
  </x:si>
  <x:si>
    <x:t xml:space="preserve">B06-0173</x:t>
  </x:si>
  <x:si>
    <x:t xml:space="preserve">B06-0174</x:t>
  </x:si>
  <x:si>
    <x:t xml:space="preserve">B06-0175</x:t>
  </x:si>
  <x:si>
    <x:t xml:space="preserve">architecture.attention_dilation</x:t>
  </x:si>
  <x:si>
    <x:t xml:space="preserve">B06-0176</x:t>
  </x:si>
  <x:si>
    <x:t xml:space="preserve">architecture.attention_effective_kernel</x:t>
  </x:si>
  <x:si>
    <x:t xml:space="preserve">B06-0177</x:t>
  </x:si>
  <x:si>
    <x:t xml:space="preserve">L_SSH + lambda × (L_u + L_v).</x:t>
  </x:si>
  <x:si>
    <x:t xml:space="preserve">2.3.1, Eq.11</x:t>
  </x:si>
  <x:si>
    <x:t xml:space="preserve">B06-0178</x:t>
  </x:si>
  <x:si>
    <x:t xml:space="preserve">loss.component_ssh</x:t>
  </x:si>
  <x:si>
    <x:t xml:space="preserve">SSH MSE over ocean cells.</x:t>
  </x:si>
  <x:si>
    <x:t xml:space="preserve">2.3.1, Eq.6</x:t>
  </x:si>
  <x:si>
    <x:t xml:space="preserve">B06-0179</x:t>
  </x:si>
  <x:si>
    <x:t xml:space="preserve">loss.component_u</x:t>
  </x:si>
  <x:si>
    <x:t xml:space="preserve">Rescaled geostrophic zonal-velocity MSE.</x:t>
  </x:si>
  <x:si>
    <x:t xml:space="preserve">2.3.1, Eq.8</x:t>
  </x:si>
  <x:si>
    <x:t xml:space="preserve">B06-0180</x:t>
  </x:si>
  <x:si>
    <x:t xml:space="preserve">loss.component_v</x:t>
  </x:si>
  <x:si>
    <x:t xml:space="preserve">Rescaled geostrophic meridional-velocity MSE.</x:t>
  </x:si>
  <x:si>
    <x:t xml:space="preserve">2.3.1, Eq.9</x:t>
  </x:si>
  <x:si>
    <x:t xml:space="preserve">B06-0181</x:t>
  </x:si>
  <x:si>
    <x:t xml:space="preserve">preprocessing.geostrophic_gradients</x:t>
  </x:si>
  <x:si>
    <x:t xml:space="preserve">Sobel operator; velocity rescaled using 1993–2021 standard deviations.</x:t>
  </x:si>
  <x:si>
    <x:t xml:space="preserve">2.3.1, pp.6–7</x:t>
  </x:si>
  <x:si>
    <x:t xml:space="preserve">B06-0182</x:t>
  </x:si>
  <x:si>
    <x:t xml:space="preserve">loss.latitude_transition_center</x:t>
  </x:si>
  <x:si>
    <x:t xml:space="preserve">2.3.2, Eq.12</x:t>
  </x:si>
  <x:si>
    <x:t xml:space="preserve">degree N</x:t>
  </x:si>
  <x:si>
    <x:t xml:space="preserve">B06-0183</x:t>
  </x:si>
  <x:si>
    <x:t xml:space="preserve">loss.latitude_sigmoid_k</x:t>
  </x:si>
  <x:si>
    <x:t xml:space="preserve">B07-0001</x:t>
  </x:si>
  <x:si>
    <x:t xml:space="preserve">OAI-0042</x:t>
  </x:si>
  <x:si>
    <x:t xml:space="preserve">California Current state estimation</x:t>
  </x:si>
  <x:si>
    <x:t xml:space="preserve">Regional dynamical 4D-Var, not a trained neural network.</x:t>
  </x:si>
  <x:si>
    <x:t xml:space="preserve">https://agupubs.onlinelibrary.wiley.com/doi/full/10.1029/2025EA004931</x:t>
  </x:si>
  <x:si>
    <x:t xml:space="preserve">10.1029/2025EA004931</x:t>
  </x:si>
  <x:si>
    <x:t xml:space="preserve">2.1</x:t>
  </x:si>
  <x:si>
    <x:t xml:space="preserve">Partial section extraction; independent audit and code execution pending.</x:t>
  </x:si>
  <x:si>
    <x:t xml:space="preserve">B07</x:t>
  </x:si>
  <x:si>
    <x:t xml:space="preserve">B07-0002</x:t>
  </x:si>
  <x:si>
    <x:t xml:space="preserve">datasets.model</x:t>
  </x:si>
  <x:si>
    <x:t xml:space="preserve">MITgcm</x:t>
  </x:si>
  <x:si>
    <x:t xml:space="preserve">B07-0003</x:t>
  </x:si>
  <x:si>
    <x:t xml:space="preserve">B07-0004</x:t>
  </x:si>
  <x:si>
    <x:t xml:space="preserve">datasets.vertical_levels</x:t>
  </x:si>
  <x:si>
    <x:t xml:space="preserve">B07-0005</x:t>
  </x:si>
  <x:si>
    <x:t xml:space="preserve">datasets.model_step</x:t>
  </x:si>
  <x:si>
    <x:t xml:space="preserve">B07-0006</x:t>
  </x:si>
  <x:si>
    <x:t xml:space="preserve">GLORYS12V1; 2023-05-01</x:t>
  </x:si>
  <x:si>
    <x:t xml:space="preserve">B07-0007</x:t>
  </x:si>
  <x:si>
    <x:t xml:space="preserve">physics.boundary_ocean</x:t>
  </x:si>
  <x:si>
    <x:t xml:space="preserve">Daily GLORYS12V1</x:t>
  </x:si>
  <x:si>
    <x:t xml:space="preserve">B07-0008</x:t>
  </x:si>
  <x:si>
    <x:t xml:space="preserve">physics.boundary_atmosphere</x:t>
  </x:si>
  <x:si>
    <x:t xml:space="preserve">Hourly ERA5</x:t>
  </x:si>
  <x:si>
    <x:t xml:space="preserve">B07-0009</x:t>
  </x:si>
  <x:si>
    <x:t xml:space="preserve">physics.tides</x:t>
  </x:si>
  <x:si>
    <x:t xml:space="preserve">Not simulated</x:t>
  </x:si>
  <x:si>
    <x:t xml:space="preserve">B07-0010</x:t>
  </x:si>
  <x:si>
    <x:t xml:space="preserve">Adjoint 4D-Var / ECCO</x:t>
  </x:si>
  <x:si>
    <x:t xml:space="preserve">B07-0011</x:t>
  </x:si>
  <x:si>
    <x:t xml:space="preserve">Observation cost + background cost</x:t>
  </x:si>
  <x:si>
    <x:t xml:space="preserve">B07-0012</x:t>
  </x:si>
  <x:si>
    <x:t xml:space="preserve">loss.component_observation</x:t>
  </x:si>
  <x:si>
    <x:t xml:space="preserve">Weighted squared observation misfits</x:t>
  </x:si>
  <x:si>
    <x:t xml:space="preserve">B07-0013</x:t>
  </x:si>
  <x:si>
    <x:t xml:space="preserve">loss.component_background</x:t>
  </x:si>
  <x:si>
    <x:t xml:space="preserve">Control departures from prior</x:t>
  </x:si>
  <x:si>
    <x:t xml:space="preserve">B07-0014</x:t>
  </x:si>
  <x:si>
    <x:t xml:space="preserve">inputs.ocean_controls</x:t>
  </x:si>
  <x:si>
    <x:t xml:space="preserve">Initial temperature and salinity</x:t>
  </x:si>
  <x:si>
    <x:t xml:space="preserve">B07-0015</x:t>
  </x:si>
  <x:si>
    <x:t xml:space="preserve">inputs.atmospheric_controls</x:t>
  </x:si>
  <x:si>
    <x:t xml:space="preserve">Winds, air temperature, radiation, humidity, precipitation</x:t>
  </x:si>
  <x:si>
    <x:t xml:space="preserve">B07-0016</x:t>
  </x:si>
  <x:si>
    <x:t xml:space="preserve">preprocessing.atmospheric_smoothing</x:t>
  </x:si>
  <x:si>
    <x:t xml:space="preserve">km e-folding</x:t>
  </x:si>
  <x:si>
    <x:t xml:space="preserve">B07-0017</x:t>
  </x:si>
  <x:si>
    <x:t xml:space="preserve">preprocessing.initial_horizontal_smoothing</x:t>
  </x:si>
  <x:si>
    <x:t xml:space="preserve">B07-0018</x:t>
  </x:si>
  <x:si>
    <x:t xml:space="preserve">preprocessing.initial_vertical_smoothing</x:t>
  </x:si>
  <x:si>
    <x:t xml:space="preserve">m e-folding</x:t>
  </x:si>
  <x:si>
    <x:t xml:space="preserve">B07-0019</x:t>
  </x:si>
  <x:si>
    <x:t xml:space="preserve">B07-0020</x:t>
  </x:si>
  <x:si>
    <x:t xml:space="preserve">baselines.assimilation_experiments</x:t>
  </x:si>
  <x:si>
    <x:t xml:space="preserve">SWOT; GOOS; SWOT+GOOS</x:t>
  </x:si>
  <x:si>
    <x:t xml:space="preserve">B07-0021</x:t>
  </x:si>
  <x:si>
    <x:t xml:space="preserve">datasets.profile_sources</x:t>
  </x:si>
  <x:si>
    <x:t xml:space="preserve">Argo / Spray</x:t>
  </x:si>
  <x:si>
    <x:t xml:space="preserve">3.1.2</x:t>
  </x:si>
  <x:si>
    <x:t xml:space="preserve">B07-0022</x:t>
  </x:si>
  <x:si>
    <x:t xml:space="preserve">preprocessing.profile_depths</x:t>
  </x:si>
  <x:si>
    <x:t xml:space="preserve">B07-0023</x:t>
  </x:si>
  <x:si>
    <x:t xml:space="preserve">assimilation.nadir_uncertainty</x:t>
  </x:si>
  <x:si>
    <x:t xml:space="preserve">cm</x:t>
  </x:si>
  <x:si>
    <x:t xml:space="preserve">B07-0024</x:t>
  </x:si>
  <x:si>
    <x:t xml:space="preserve">limitations.ssh_consistency</x:t>
  </x:si>
  <x:si>
    <x:t xml:space="preserve">Nadir anomalies versus total SWOT SSH</x:t>
  </x:si>
  <x:si>
    <x:t xml:space="preserve">B07-0025</x:t>
  </x:si>
  <x:si>
    <x:t xml:space="preserve">future_work.ssh</x:t>
  </x:si>
  <x:si>
    <x:t xml:space="preserve">Unified ObsFit treatment</x:t>
  </x:si>
  <x:si>
    <x:t xml:space="preserve">B07-0026</x:t>
  </x:si>
  <x:si>
    <x:t xml:space="preserve">datasets.independent_validation</x:t>
  </x:si>
  <x:si>
    <x:t xml:space="preserve">11 moorings; 2 gliders</x:t>
  </x:si>
  <x:si>
    <x:t xml:space="preserve">3.2.1</x:t>
  </x:si>
  <x:si>
    <x:t xml:space="preserve">B07-0027</x:t>
  </x:si>
  <x:si>
    <x:t xml:space="preserve">OAI-0085</x:t>
  </x:si>
  <x:si>
    <x:t xml:space="preserve">Stochastic subgrid momentum parameterization</x:t>
  </x:si>
  <x:si>
    <x:t xml:space="preserve">CM2.6-trained stochastic CNN; online implementation tested in an idealized shallow-water model.</x:t>
  </x:si>
  <x:si>
    <x:t xml:space="preserve">https://agupubs.onlinelibrary.wiley.com/doi/full/10.1029/2021MS002534</x:t>
  </x:si>
  <x:si>
    <x:t xml:space="preserve">10.1029/2021MS002534</x:t>
  </x:si>
  <x:si>
    <x:t xml:space="preserve">B07-0028</x:t>
  </x:si>
  <x:si>
    <x:t xml:space="preserve">CM2.6 piControl</x:t>
  </x:si>
  <x:si>
    <x:t xml:space="preserve">B07-0029</x:t>
  </x:si>
  <x:si>
    <x:t xml:space="preserve">datasets.climate_shift_test</x:t>
  </x:si>
  <x:si>
    <x:t xml:space="preserve">1pctCO2 simulation</x:t>
  </x:si>
  <x:si>
    <x:t xml:space="preserve">B07-0030</x:t>
  </x:si>
  <x:si>
    <x:t xml:space="preserve">B07-0031</x:t>
  </x:si>
  <x:si>
    <x:t xml:space="preserve">Surface zonal and meridional velocities</x:t>
  </x:si>
  <x:si>
    <x:t xml:space="preserve">2.5</x:t>
  </x:si>
  <x:si>
    <x:t xml:space="preserve">B07-0032</x:t>
  </x:si>
  <x:si>
    <x:t xml:space="preserve">Forcing means and standard deviations</x:t>
  </x:si>
  <x:si>
    <x:t xml:space="preserve">B07-0033</x:t>
  </x:si>
  <x:si>
    <x:t xml:space="preserve">B07-0034</x:t>
  </x:si>
  <x:si>
    <x:t xml:space="preserve">architecture.input_channels</x:t>
  </x:si>
  <x:si>
    <x:t xml:space="preserve">B07-0035</x:t>
  </x:si>
  <x:si>
    <x:t xml:space="preserve">architecture.output_channels</x:t>
  </x:si>
  <x:si>
    <x:t xml:space="preserve">B07-0036</x:t>
  </x:si>
  <x:si>
    <x:t xml:space="preserve">architecture.hidden_activation</x:t>
  </x:si>
  <x:si>
    <x:t xml:space="preserve">B07-0037</x:t>
  </x:si>
  <x:si>
    <x:t xml:space="preserve">architecture.mean_activation</x:t>
  </x:si>
  <x:si>
    <x:t xml:space="preserve">Linear</x:t>
  </x:si>
  <x:si>
    <x:t xml:space="preserve">B07-0038</x:t>
  </x:si>
  <x:si>
    <x:t xml:space="preserve">architecture.std_activation</x:t>
  </x:si>
  <x:si>
    <x:t xml:space="preserve">Softplus</x:t>
  </x:si>
  <x:si>
    <x:t xml:space="preserve">B07-0039</x:t>
  </x:si>
  <x:si>
    <x:t xml:space="preserve">None</x:t>
  </x:si>
  <x:si>
    <x:t xml:space="preserve">B07-0040</x:t>
  </x:si>
  <x:si>
    <x:t xml:space="preserve">architecture.kernel_layers_1_2</x:t>
  </x:si>
  <x:si>
    <x:t xml:space="preserve">https://www.researchgate.net/publication/353472395_Stochastic-Deep_Learning_Parameterization_of_Ocean_Momentum_Forcing</x:t>
  </x:si>
  <x:si>
    <x:t xml:space="preserve">Appendix A, Table A1, p.17</x:t>
  </x:si>
  <x:si>
    <x:t xml:space="preserve">17</x:t>
  </x:si>
  <x:si>
    <x:t xml:space="preserve">B07-0041</x:t>
  </x:si>
  <x:si>
    <x:t xml:space="preserve">architecture.kernel_layers_3_8</x:t>
  </x:si>
  <x:si>
    <x:t xml:space="preserve">B07-0042</x:t>
  </x:si>
  <x:si>
    <x:t xml:space="preserve">Gaussian negative log-likelihood</x:t>
  </x:si>
  <x:si>
    <x:t xml:space="preserve">2.4</x:t>
  </x:si>
  <x:si>
    <x:t xml:space="preserve">B07-0043</x:t>
  </x:si>
  <x:si>
    <x:t xml:space="preserve">preprocessing.velocity_scaling</x:t>
  </x:si>
  <x:si>
    <x:t xml:space="preserve">Multiply by 10</x:t>
  </x:si>
  <x:si>
    <x:t xml:space="preserve">2.6</x:t>
  </x:si>
  <x:si>
    <x:t xml:space="preserve">B07-0044</x:t>
  </x:si>
  <x:si>
    <x:t xml:space="preserve">80% training; 5% gap; 15% validation</x:t>
  </x:si>
  <x:si>
    <x:t xml:space="preserve">B07-0045</x:t>
  </x:si>
  <x:si>
    <x:t xml:space="preserve">preprocessing.shuffling</x:t>
  </x:si>
  <x:si>
    <x:t xml:space="preserve">Time and subdomains</x:t>
  </x:si>
  <x:si>
    <x:t xml:space="preserve">B07-0046</x:t>
  </x:si>
  <x:si>
    <x:t xml:space="preserve">B07-0047</x:t>
  </x:si>
  <x:si>
    <x:t xml:space="preserve">4 unimproved validation epochs</x:t>
  </x:si>
  <x:si>
    <x:t xml:space="preserve">B07-0048</x:t>
  </x:si>
  <x:si>
    <x:t xml:space="preserve">B07-0049</x:t>
  </x:si>
  <x:si>
    <x:t xml:space="preserve">B07-0050</x:t>
  </x:si>
  <x:si>
    <x:t xml:space="preserve">B07-0051</x:t>
  </x:si>
  <x:si>
    <x:t xml:space="preserve">Epoch 10: 5e-5; epoch 20: 5e-6</x:t>
  </x:si>
  <x:si>
    <x:t xml:space="preserve">B07-0052</x:t>
  </x:si>
  <x:si>
    <x:t xml:space="preserve">preprocessing.filter</x:t>
  </x:si>
  <x:si>
    <x:t xml:space="preserve">Cell-area-weighted Gaussian</x:t>
  </x:si>
  <x:si>
    <x:t xml:space="preserve">Appendix B</x:t>
  </x:si>
  <x:si>
    <x:t xml:space="preserve">B07-0053</x:t>
  </x:si>
  <x:si>
    <x:t xml:space="preserve">limitations.parameter_uncertainty</x:t>
  </x:si>
  <x:si>
    <x:t xml:space="preserve">Neural-parameter uncertainty omitted</x:t>
  </x:si>
  <x:si>
    <x:t xml:space="preserve">5 Conclusions</x:t>
  </x:si>
  <x:si>
    <x:t xml:space="preserve">B07-0054</x:t>
  </x:si>
  <x:si>
    <x:t xml:space="preserve">future_work.probabilistic</x:t>
  </x:si>
  <x:si>
    <x:t xml:space="preserve">Higher moments; Bayesian networks</x:t>
  </x:si>
  <x:si>
    <x:t xml:space="preserve">B07-0055</x:t>
  </x:si>
  <x:si>
    <x:t xml:space="preserve">reproducibility.code_training</x:t>
  </x:si>
  <x:si>
    <x:t xml:space="preserve">https://doi.org/10.5281/zenodo.4573438</x:t>
  </x:si>
  <x:si>
    <x:t xml:space="preserve">B07-0056</x:t>
  </x:si>
  <x:si>
    <x:t xml:space="preserve">reproducibility.code_online</x:t>
  </x:si>
  <x:si>
    <x:t xml:space="preserve">https://doi.org/10.5281/zenodo.4573448</x:t>
  </x:si>
  <x:si>
    <x:t xml:space="preserve">B07-0057</x:t>
  </x:si>
  <x:si>
    <x:t xml:space="preserve">OAI-0096</x:t>
  </x:si>
  <x:si>
    <x:t xml:space="preserve">Learn systematic ocean-model errors</x:t>
  </x:si>
  <x:si>
    <x:t xml:space="preserve">Canonical Table 1 network unless field/locator names a separate experiment.</x:t>
  </x:si>
  <x:si>
    <x:t xml:space="preserve">https://agupubs.onlinelibrary.wiley.com/doi/10.1029/2025MS005155</x:t>
  </x:si>
  <x:si>
    <x:t xml:space="preserve">10.1029/2025MS005155</x:t>
  </x:si>
  <x:si>
    <x:t xml:space="preserve">B07-0058</x:t>
  </x:si>
  <x:si>
    <x:t xml:space="preserve">T/S/U/V gradients; radiative, heat, momentum fluxes</x:t>
  </x:si>
  <x:si>
    <x:t xml:space="preserve">B07-0059</x:t>
  </x:si>
  <x:si>
    <x:t xml:space="preserve">Temperature-increment profiles</x:t>
  </x:si>
  <x:si>
    <x:t xml:space="preserve">B07-0060</x:t>
  </x:si>
  <x:si>
    <x:t xml:space="preserve">Fully connected</x:t>
  </x:si>
  <x:si>
    <x:t xml:space="preserve">B07-0061</x:t>
  </x:si>
  <x:si>
    <x:t xml:space="preserve">B07-0062</x:t>
  </x:si>
  <x:si>
    <x:t xml:space="preserve">B07-0063</x:t>
  </x:si>
  <x:si>
    <x:t xml:space="preserve">B07-0064</x:t>
  </x:si>
  <x:si>
    <x:t xml:space="preserve">MSE + L2 regularization</x:t>
  </x:si>
  <x:si>
    <x:t xml:space="preserve">B07-0065</x:t>
  </x:si>
  <x:si>
    <x:t xml:space="preserve">loss.component_fit</x:t>
  </x:si>
  <x:si>
    <x:t xml:space="preserve">B07-0066</x:t>
  </x:si>
  <x:si>
    <x:t xml:space="preserve">loss.component_regularization</x:t>
  </x:si>
  <x:si>
    <x:t xml:space="preserve">L2</x:t>
  </x:si>
  <x:si>
    <x:t xml:space="preserve">B07-0067</x:t>
  </x:si>
  <x:si>
    <x:t xml:space="preserve">loss.weight_l2</x:t>
  </x:si>
  <x:si>
    <x:t xml:space="preserve">B07-0068</x:t>
  </x:si>
  <x:si>
    <x:t xml:space="preserve">B07-0069</x:t>
  </x:si>
  <x:si>
    <x:t xml:space="preserve">B07-0070</x:t>
  </x:si>
  <x:si>
    <x:t xml:space="preserve">Step; gamma 0.25; every 20 epochs</x:t>
  </x:si>
  <x:si>
    <x:t xml:space="preserve">B07-0071</x:t>
  </x:si>
  <x:si>
    <x:t xml:space="preserve">B07-0072</x:t>
  </x:si>
  <x:si>
    <x:t xml:space="preserve">B07-0073</x:t>
  </x:si>
  <x:si>
    <x:t xml:space="preserve">datasets.training_validation_years</x:t>
  </x:si>
  <x:si>
    <x:t xml:space="preserve">2008–2018</x:t>
  </x:si>
  <x:si>
    <x:t xml:space="preserve">B07-0074</x:t>
  </x:si>
  <x:si>
    <x:t xml:space="preserve">datasets.test_years</x:t>
  </x:si>
  <x:si>
    <x:t xml:space="preserve">B07-0075</x:t>
  </x:si>
  <x:si>
    <x:t xml:space="preserve">datasets.training_validation_split</x:t>
  </x:si>
  <x:si>
    <x:t xml:space="preserve">80:20</x:t>
  </x:si>
  <x:si>
    <x:t xml:space="preserve">B07-0076</x:t>
  </x:si>
  <x:si>
    <x:t xml:space="preserve">Standardization; per-depth or pooled depths</x:t>
  </x:si>
  <x:si>
    <x:t xml:space="preserve">B07-0077</x:t>
  </x:si>
  <x:si>
    <x:t xml:space="preserve">preprocessing.horizontal_subsampling</x:t>
  </x:si>
  <x:si>
    <x:t xml:space="preserve">B07-0078</x:t>
  </x:si>
  <x:si>
    <x:t xml:space="preserve">preprocessing.temporal_subsampling</x:t>
  </x:si>
  <x:si>
    <x:t xml:space="preserve">B07-0079</x:t>
  </x:si>
  <x:si>
    <x:t xml:space="preserve">OAI-0097</x:t>
  </x:si>
  <x:si>
    <x:t xml:space="preserve">Coupled-ocean bias correction</x:t>
  </x:si>
  <x:si>
    <x:t xml:space="preserve">Flux-form neural correction in SPEAR; Appendix A offline training.</x:t>
  </x:si>
  <x:si>
    <x:t xml:space="preserve">https://www.researchgate.net/publication/404935709_Reducing_Model_Biases_With_Machine_Learning_Corrections_Derived_From_Ocean_Data_Assimilation_Increments</x:t>
  </x:si>
  <x:si>
    <x:t xml:space="preserve">10.1029/2026MS005736</x:t>
  </x:si>
  <x:si>
    <x:t xml:space="preserve">B07-0080</x:t>
  </x:si>
  <x:si>
    <x:t xml:space="preserve">SPEAR_LO / MOM6</x:t>
  </x:si>
  <x:si>
    <x:t xml:space="preserve">B07-0081</x:t>
  </x:si>
  <x:si>
    <x:t xml:space="preserve">datasets.assimilation_method</x:t>
  </x:si>
  <x:si>
    <x:t xml:space="preserve">Ensemble Adjustment Kalman Filter</x:t>
  </x:si>
  <x:si>
    <x:t xml:space="preserve">B07-0082</x:t>
  </x:si>
  <x:si>
    <x:t xml:space="preserve">datasets.ensemble_members</x:t>
  </x:si>
  <x:si>
    <x:t xml:space="preserve">B07-0083</x:t>
  </x:si>
  <x:si>
    <x:t xml:space="preserve">inputs.scalars</x:t>
  </x:si>
  <x:si>
    <x:t xml:space="preserve">Mixed-layer depth; Coriolis parameter</x:t>
  </x:si>
  <x:si>
    <x:t xml:space="preserve">B07-0084</x:t>
  </x:si>
  <x:si>
    <x:t xml:space="preserve">inputs.profiles</x:t>
  </x:si>
  <x:si>
    <x:t xml:space="preserve">Tz; Sz; squared vertical shear; squared horizontal density gradient</x:t>
  </x:si>
  <x:si>
    <x:t xml:space="preserve">B07-0085</x:t>
  </x:si>
  <x:si>
    <x:t xml:space="preserve">Vertical flux; derived temperature tendency</x:t>
  </x:si>
  <x:si>
    <x:t xml:space="preserve">B07-0086</x:t>
  </x:si>
  <x:si>
    <x:t xml:space="preserve">preprocessing.vertical_coordinate</x:t>
  </x:si>
  <x:si>
    <x:t xml:space="preserve">MLD-scaled; linear interpolation</x:t>
  </x:si>
  <x:si>
    <x:t xml:space="preserve">B07-0087</x:t>
  </x:si>
  <x:si>
    <x:t xml:space="preserve">B07-0088</x:t>
  </x:si>
  <x:si>
    <x:t xml:space="preserve">B07-0089</x:t>
  </x:si>
  <x:si>
    <x:t xml:space="preserve">B07-0090</x:t>
  </x:si>
  <x:si>
    <x:t xml:space="preserve">training.selected_epoch</x:t>
  </x:si>
  <x:si>
    <x:t xml:space="preserve">B07-0091</x:t>
  </x:si>
  <x:si>
    <x:t xml:space="preserve">architecture.encoder_count</x:t>
  </x:si>
  <x:si>
    <x:t xml:space="preserve">Appendix A, p.12</x:t>
  </x:si>
  <x:si>
    <x:t xml:space="preserve">12</x:t>
  </x:si>
  <x:si>
    <x:t xml:space="preserve">B07-0092</x:t>
  </x:si>
  <x:si>
    <x:t xml:space="preserve">architecture.encoder_conv_layers</x:t>
  </x:si>
  <x:si>
    <x:t xml:space="preserve">2 per encoder</x:t>
  </x:si>
  <x:si>
    <x:t xml:space="preserve">B07-0093</x:t>
  </x:si>
  <x:si>
    <x:t xml:space="preserve">architecture.encoder_channels</x:t>
  </x:si>
  <x:si>
    <x:t xml:space="preserve">1→16→8</x:t>
  </x:si>
  <x:si>
    <x:t xml:space="preserve">B07-0094</x:t>
  </x:si>
  <x:si>
    <x:t xml:space="preserve">architecture.encoder_kernel</x:t>
  </x:si>
  <x:si>
    <x:t xml:space="preserve">3; padding 1</x:t>
  </x:si>
  <x:si>
    <x:t xml:space="preserve">B07-0095</x:t>
  </x:si>
  <x:si>
    <x:t xml:space="preserve">architecture.encoder_pooling</x:t>
  </x:si>
  <x:si>
    <x:t xml:space="preserve">Adaptive average</x:t>
  </x:si>
  <x:si>
    <x:t xml:space="preserve">B07-0096</x:t>
  </x:si>
  <x:si>
    <x:t xml:space="preserve">38→32 ReLU→38 Softmax; multiplicative gating</x:t>
  </x:si>
  <x:si>
    <x:t xml:space="preserve">B07-0097</x:t>
  </x:si>
  <x:si>
    <x:t xml:space="preserve">architecture.mlp_hidden_dimensions</x:t>
  </x:si>
  <x:si>
    <x:t xml:space="preserve">32,32; ReLU</x:t>
  </x:si>
  <x:si>
    <x:t xml:space="preserve">B07-0098</x:t>
  </x:si>
  <x:si>
    <x:t xml:space="preserve">architecture.mlp_output_dimension</x:t>
  </x:si>
  <x:si>
    <x:t xml:space="preserve">B07-0099</x:t>
  </x:si>
  <x:si>
    <x:t xml:space="preserve">Dense 128→reshape 16×8→transposed Conv1D→Conv1D</x:t>
  </x:si>
  <x:si>
    <x:t xml:space="preserve">Appendix A, p.13</x:t>
  </x:si>
  <x:si>
    <x:t xml:space="preserve">B07-0100</x:t>
  </x:si>
  <x:si>
    <x:t xml:space="preserve">architecture.decoder_transpose</x:t>
  </x:si>
  <x:si>
    <x:t xml:space="preserve">Kernel 3; stride 2; padding 1; output-padding 1</x:t>
  </x:si>
  <x:si>
    <x:t xml:space="preserve">B07-0101</x:t>
  </x:si>
  <x:si>
    <x:t xml:space="preserve">architecture.decoder_output_length</x:t>
  </x:si>
  <x:si>
    <x:t xml:space="preserve">B07-0102</x:t>
  </x:si>
  <x:si>
    <x:t xml:space="preserve">outputs.tendency_unit</x:t>
  </x:si>
  <x:si>
    <x:t xml:space="preserve">°C/s</x:t>
  </x:si>
  <x:si>
    <x:t xml:space="preserve">B07-0103</x:t>
  </x:si>
  <x:si>
    <x:t xml:space="preserve">(0.2 MLD/k) MAE(ΔTML,ΔTDA) + α|Q(σ=3)|</x:t>
  </x:si>
  <x:si>
    <x:t xml:space="preserve">Appendix A, pp.13–14</x:t>
  </x:si>
  <x:si>
    <x:t xml:space="preserve">B07-0104</x:t>
  </x:si>
  <x:si>
    <x:t xml:space="preserve">Scaled MAE across 15 levels</x:t>
  </x:si>
  <x:si>
    <x:t xml:space="preserve">B07-0105</x:t>
  </x:si>
  <x:si>
    <x:t xml:space="preserve">loss.component_boundary</x:t>
  </x:si>
  <x:si>
    <x:t xml:space="preserve">Absolute bottom flux</x:t>
  </x:si>
  <x:si>
    <x:t xml:space="preserve">B07-0106</x:t>
  </x:si>
  <x:si>
    <x:t xml:space="preserve">loss.weight_boundary</x:t>
  </x:si>
  <x:si>
    <x:t xml:space="preserve">Appendix A, p.14</x:t>
  </x:si>
  <x:si>
    <x:t xml:space="preserve">B07-0107</x:t>
  </x:si>
  <x:si>
    <x:t xml:space="preserve">B07-0108</x:t>
  </x:si>
  <x:si>
    <x:t xml:space="preserve">B07-0109</x:t>
  </x:si>
  <x:si>
    <x:t xml:space="preserve">Epochs 1–80: 1e-3; 81–100: 1e-4; 101–120: 1e-5</x:t>
  </x:si>
  <x:si>
    <x:t xml:space="preserve">B07-0110</x:t>
  </x:si>
  <x:si>
    <x:t xml:space="preserve">limitations.online_drift</x:t>
  </x:si>
  <x:si>
    <x:t xml:space="preserve">Thermocline and shear drift degrade corrections</x:t>
  </x:si>
  <x:si>
    <x:t xml:space="preserve">3, Figure 8</x:t>
  </x:si>
  <x:si>
    <x:t xml:space="preserve">B07-0111</x:t>
  </x:si>
  <x:si>
    <x:t xml:space="preserve">future_work.residuals</x:t>
  </x:si>
  <x:si>
    <x:t xml:space="preserve">State-dependent thermocline correction</x:t>
  </x:si>
  <x:si>
    <x:t xml:space="preserve">4 Conclusions</x:t>
  </x:si>
  <x:si>
    <x:t xml:space="preserve">B07-0112</x:t>
  </x:si>
  <x:si>
    <x:t xml:space="preserve">results.daily_surface_correlation</x:t>
  </x:si>
  <x:si>
    <x:t xml:space="preserve">&gt;0.66</x:t>
  </x:si>
  <x:si>
    <x:t xml:space="preserve">2.2, Figure 1e</x:t>
  </x:si>
  <x:si>
    <x:t xml:space="preserve">B07-0113</x:t>
  </x:si>
  <x:si>
    <x:t xml:space="preserve">OAI-0098</x:t>
  </x:si>
  <x:si>
    <x:t xml:space="preserve">Idealized AMOC regime-shift reconstruction</x:t>
  </x:si>
  <x:si>
    <x:t xml:space="preserve">Synthetic idealized AMOC; ODE and U-Net prior variants.</x:t>
  </x:si>
  <x:si>
    <x:t xml:space="preserve">https://www.researchgate.net/publication/390975877_Neural_Data_Assimilation_for_Regime_Shift_Monitoring_of_an_Idealized_AMOC_Chaotic_Model</x:t>
  </x:si>
  <x:si>
    <x:t xml:space="preserve">10.1029/2024MS004462</x:t>
  </x:si>
  <x:si>
    <x:t xml:space="preserve">B07-0114</x:t>
  </x:si>
  <x:si>
    <x:t xml:space="preserve">B07-0115</x:t>
  </x:si>
  <x:si>
    <x:t xml:space="preserve">architecture.solver</x:t>
  </x:si>
  <x:si>
    <x:t xml:space="preserve">ConvLSTM gradient-to-update mapping</x:t>
  </x:si>
  <x:si>
    <x:t xml:space="preserve">B07-0116</x:t>
  </x:si>
  <x:si>
    <x:t xml:space="preserve">architecture.prior_variants</x:t>
  </x:si>
  <x:si>
    <x:t xml:space="preserve">RK4 ODE; learned U-Net</x:t>
  </x:si>
  <x:si>
    <x:t xml:space="preserve">B07-0117</x:t>
  </x:si>
  <x:si>
    <x:t xml:space="preserve">architecture.unrolled_iterations</x:t>
  </x:si>
  <x:si>
    <x:t xml:space="preserve">3.3</x:t>
  </x:si>
  <x:si>
    <x:t xml:space="preserve">B07-0118</x:t>
  </x:si>
  <x:si>
    <x:t xml:space="preserve">B07-0119</x:t>
  </x:si>
  <x:si>
    <x:t xml:space="preserve">B07-0120</x:t>
  </x:si>
  <x:si>
    <x:t xml:space="preserve">B07-0121</x:t>
  </x:si>
  <x:si>
    <x:t xml:space="preserve">training.learning_rate_range</x:t>
  </x:si>
  <x:si>
    <x:t xml:space="preserve">1e-3 to 1e-7</x:t>
  </x:si>
  <x:si>
    <x:t xml:space="preserve">B07-0122</x:t>
  </x:si>
  <x:si>
    <x:t xml:space="preserve">B07-0123</x:t>
  </x:si>
  <x:si>
    <x:t xml:space="preserve">outputs.temporal_resolution</x:t>
  </x:si>
  <x:si>
    <x:t xml:space="preserve">B07-0124</x:t>
  </x:si>
  <x:si>
    <x:t xml:space="preserve">α1 reconstruction + α2 prior-consistency + α3 derivative error</x:t>
  </x:si>
  <x:si>
    <x:t xml:space="preserve">3.3, Eq.6</x:t>
  </x:si>
  <x:si>
    <x:t xml:space="preserve">B07-0125</x:t>
  </x:si>
  <x:si>
    <x:t xml:space="preserve">loss.component_reconstruction</x:t>
  </x:si>
  <x:si>
    <x:t xml:space="preserve">Squared state error</x:t>
  </x:si>
  <x:si>
    <x:t xml:space="preserve">B07-0126</x:t>
  </x:si>
  <x:si>
    <x:t xml:space="preserve">loss.component_prior</x:t>
  </x:si>
  <x:si>
    <x:t xml:space="preserve">Prior residuals on reconstructed and true states</x:t>
  </x:si>
  <x:si>
    <x:t xml:space="preserve">B07-0127</x:t>
  </x:si>
  <x:si>
    <x:t xml:space="preserve">loss.component_derivative</x:t>
  </x:si>
  <x:si>
    <x:t xml:space="preserve">Squared temporal-increment error</x:t>
  </x:si>
  <x:si>
    <x:t xml:space="preserve">B07-0128</x:t>
  </x:si>
  <x:si>
    <x:t xml:space="preserve">datasets.simulations</x:t>
  </x:si>
  <x:si>
    <x:t xml:space="preserve">B07-0129</x:t>
  </x:si>
  <x:si>
    <x:t xml:space="preserve">B07-0130</x:t>
  </x:si>
  <x:si>
    <x:t xml:space="preserve">datasets.numerical_integrator</x:t>
  </x:si>
  <x:si>
    <x:t xml:space="preserve">scipy.odeint</x:t>
  </x:si>
  <x:si>
    <x:t xml:space="preserve">B07-0131</x:t>
  </x:si>
  <x:si>
    <x:t xml:space="preserve">datasets.training_series_before_validation</x:t>
  </x:si>
  <x:si>
    <x:t xml:space="preserve">B07-0132</x:t>
  </x:si>
  <x:si>
    <x:t xml:space="preserve">datasets.validation_fraction</x:t>
  </x:si>
  <x:si>
    <x:t xml:space="preserve">B07-0133</x:t>
  </x:si>
  <x:si>
    <x:t xml:space="preserve">datasets.test_series</x:t>
  </x:si>
  <x:si>
    <x:t xml:space="preserve">B07-0134</x:t>
  </x:si>
  <x:si>
    <x:t xml:space="preserve">datasets.series_duration</x:t>
  </x:si>
  <x:si>
    <x:t xml:space="preserve">B07-0135</x:t>
  </x:si>
  <x:si>
    <x:t xml:space="preserve">preprocessing.initial_state</x:t>
  </x:si>
  <x:si>
    <x:t xml:space="preserve">Linear observation interpolation</x:t>
  </x:si>
  <x:si>
    <x:t xml:space="preserve">B07-0136</x:t>
  </x:si>
  <x:si>
    <x:t xml:space="preserve">PyTorch</x:t>
  </x:si>
  <x:si>
    <x:t xml:space="preserve">B07-0137</x:t>
  </x:si>
  <x:si>
    <x:t xml:space="preserve">https://doi.org/10.5281/zenodo.14750068</x:t>
  </x:si>
  <x:si>
    <x:t xml:space="preserve">B08-0001</x:t>
  </x:si>
  <x:si>
    <x:t xml:space="preserve">OAI-0095</x:t>
  </x:si>
  <x:si>
    <x:t xml:space="preserve">OAI-0095:ALL_VARIANTS</x:t>
  </x:si>
  <x:si>
    <x:t xml:space="preserve">Data-driven emulation of global ocean and sea-ice state for subseasonal-to-seasonal (S2S) forecasting up to 60 days</x:t>
  </x:si>
  <x:si>
    <x:t xml:space="preserve">https://arxiv.org/pdf/2609.08606v1</x:t>
  </x:si>
  <x:si>
    <x:t xml:space="preserve">10.48550/arXiv.2609.08606</x:t>
  </x:si>
  <x:si>
    <x:t xml:space="preserve">ARXIV_V1_2026-09-08 (39 p.); published version NOT compared</x:t>
  </x:si>
  <x:si>
    <x:t xml:space="preserve">B08</x:t>
  </x:si>
  <x:si>
    <x:t xml:space="preserve">B08-0002</x:t>
  </x:si>
  <x:si>
    <x:t xml:space="preserve">Global ocean + sea ice; forced by prescribed daily atmospheric fields</x:t>
  </x:si>
  <x:si>
    <x:t xml:space="preserve">Abstract; Sec. 1</x:t>
  </x:si>
  <x:si>
    <x:t xml:space="preserve">B08-0003</x:t>
  </x:si>
  <x:si>
    <x:t xml:space="preserve">datasets.ocean</x:t>
  </x:si>
  <x:si>
    <x:t xml:space="preserve">ORAS5 retrieved from Copernicus Marine GLOBAL_MULTIYEAR_PHY_ENS_001_031; daily; native 0.25°</x:t>
  </x:si>
  <x:si>
    <x:t xml:space="preserve">2.1.1</x:t>
  </x:si>
  <x:si>
    <x:t xml:space="preserve">B08-0004</x:t>
  </x:si>
  <x:si>
    <x:t xml:space="preserve">datasets.period_used</x:t>
  </x:si>
  <x:si>
    <x:t xml:space="preserve">1993-2021</x:t>
  </x:si>
  <x:si>
    <x:t xml:space="preserve">2.1.1; 2.1.2</x:t>
  </x:si>
  <x:si>
    <x:t xml:space="preserve">B08-0005</x:t>
  </x:si>
  <x:si>
    <x:t xml:space="preserve">datasets.atmosphere</x:t>
  </x:si>
  <x:si>
    <x:t xml:space="preserve">ERA5 daily forcing obtained from WeatherBench2</x:t>
  </x:si>
  <x:si>
    <x:t xml:space="preserve">2.1.2</x:t>
  </x:si>
  <x:si>
    <x:t xml:space="preserve">B08-0006</x:t>
  </x:si>
  <x:si>
    <x:t xml:space="preserve">inputs.atmospheric_forcing</x:t>
  </x:si>
  <x:si>
    <x:t xml:space="preserve">T2M, D2M, U10, V10, MSLP (surface, input-only)</x:t>
  </x:si>
  <x:si>
    <x:t xml:space="preserve">B08-0007</x:t>
  </x:si>
  <x:si>
    <x:t xml:space="preserve">outputs.prognostic_3d</x:t>
  </x:si>
  <x:si>
    <x:t xml:space="preserve">Temperature, salinity, eastward and northward velocity on 14 depth levels</x:t>
  </x:si>
  <x:si>
    <x:t xml:space="preserve">2.1.1; Table 1</x:t>
  </x:si>
  <x:si>
    <x:t xml:space="preserve">B08-0008</x:t>
  </x:si>
  <x:si>
    <x:t xml:space="preserve">outputs.prognostic_2d</x:t>
  </x:si>
  <x:si>
    <x:t xml:space="preserve">SSH, sea-ice thickness, sea-ice concentration, mixed layer depth</x:t>
  </x:si>
  <x:si>
    <x:t xml:space="preserve">B08-0009</x:t>
  </x:si>
  <x:si>
    <x:t xml:space="preserve">datasets.depth_levels</x:t>
  </x:si>
  <x:si>
    <x:t xml:space="preserve">14 of 75 ORAS5 levels: 0.5, 1.5, 2.7, 8.1, 26.5, 53.8, 108.0, 199.8, 300.9, 508.6, 1045.8, 1945.3, 2955.6, 5089.5</x:t>
  </x:si>
  <x:si>
    <x:t xml:space="preserve">B08-0010</x:t>
  </x:si>
  <x:si>
    <x:t xml:space="preserve">problem.formulation</x:t>
  </x:si>
  <x:si>
    <x:t xml:space="preserve">Autoregressive; input states at t-1 and t (ocean + atmosphere); predicts two consecutive residuals dX(t+1), dX(t+2)</x:t>
  </x:si>
  <x:si>
    <x:t xml:space="preserve">2.2, Eq. 2</x:t>
  </x:si>
  <x:si>
    <x:t xml:space="preserve">B08-0011</x:t>
  </x:si>
  <x:si>
    <x:t xml:space="preserve">Train 1993-2016; validation 2017-2018; test 2019-2021</x:t>
  </x:si>
  <x:si>
    <x:t xml:space="preserve">2.2.1</x:t>
  </x:si>
  <x:si>
    <x:t xml:space="preserve">B08-0012</x:t>
  </x:si>
  <x:si>
    <x:t xml:space="preserve">Global mean/std on training set computed with Welford algorithm; standardization</x:t>
  </x:si>
  <x:si>
    <x:t xml:space="preserve">B08-0013</x:t>
  </x:si>
  <x:si>
    <x:t xml:space="preserve">preprocessing.masks</x:t>
  </x:si>
  <x:si>
    <x:t xml:space="preserve">Land and Antarctic NaN replaced by zeros after scaling; missing ocean latitudes padded with NaN to atmospheric grid (1440x721)</x:t>
  </x:si>
  <x:si>
    <x:t xml:space="preserve">B08-0014</x:t>
  </x:si>
  <x:si>
    <x:t xml:space="preserve">OAI-0095:NEPTUNE-1_PRETRAIN_1DEG</x:t>
  </x:si>
  <x:si>
    <x:t xml:space="preserve">Bilinear interpolation to 1° grid (181x360) for pre-training</x:t>
  </x:si>
  <x:si>
    <x:t xml:space="preserve">B08-0015</x:t>
  </x:si>
  <x:si>
    <x:t xml:space="preserve">architecture.type</x:t>
  </x:si>
  <x:si>
    <x:t xml:space="preserve">U-shaped encoder–SFNO–decoder (CNN encoder/decoder + Spherical Fourier Neural Operator blocks)</x:t>
  </x:si>
  <x:si>
    <x:t xml:space="preserve">2.2.2; Fig. 1</x:t>
  </x:si>
  <x:si>
    <x:t xml:space="preserve">B08-0016</x:t>
  </x:si>
  <x:si>
    <x:t xml:space="preserve">architecture.latent_dim</x:t>
  </x:si>
  <x:si>
    <x:t xml:space="preserve">256 (per-variable conv projection, kernel 3, padding 1, stride 1)</x:t>
  </x:si>
  <x:si>
    <x:t xml:space="preserve">2.2.2</x:t>
  </x:si>
  <x:si>
    <x:t xml:space="preserve">B08-0017</x:t>
  </x:si>
  <x:si>
    <x:t xml:space="preserve">architecture.positional_encoding</x:t>
  </x:si>
  <x:si>
    <x:t xml:space="preserve">Fourier-based lat/lon/day-of-year encoding inspired by Aurora, plus encoded day-length map</x:t>
  </x:si>
  <x:si>
    <x:t xml:space="preserve">B08-0018</x:t>
  </x:si>
  <x:si>
    <x:t xml:space="preserve">2 encoder blocks, 2 SFNO blocks, 2 decoder blocks with skip connections</x:t>
  </x:si>
  <x:si>
    <x:t xml:space="preserve">B08-0019</x:t>
  </x:si>
  <x:si>
    <x:t xml:space="preserve">SFNO spectral truncation at 2x2 modes</x:t>
  </x:si>
  <x:si>
    <x:t xml:space="preserve">B08-0020</x:t>
  </x:si>
  <x:si>
    <x:t xml:space="preserve">architecture.encoder_decoder_block</x:t>
  </x:si>
  <x:si>
    <x:t xml:space="preserve">Two sequential layers of convolution + Conditional LayerNorm + SiLU + Dropout</x:t>
  </x:si>
  <x:si>
    <x:t xml:space="preserve">2.2.2 Encoder-Decoder Block</x:t>
  </x:si>
  <x:si>
    <x:t xml:space="preserve">B08-0021</x:t>
  </x:si>
  <x:si>
    <x:t xml:space="preserve">architecture.sfno_block</x:t>
  </x:si>
  <x:si>
    <x:t xml:space="preserve">Spectral convolution via SHT, CLN, dense skip, GeLU, MLP with soft-gating skip, CLN, GeLU</x:t>
  </x:si>
  <x:si>
    <x:t xml:space="preserve">2.2.2 SFNO Block</x:t>
  </x:si>
  <x:si>
    <x:t xml:space="preserve">B08-0022</x:t>
  </x:si>
  <x:si>
    <x:t xml:space="preserve">architecture.conditioning</x:t>
  </x:si>
  <x:si>
    <x:t xml:space="preserve">Day-of-year and Gaussian noise N(0,I) injected in Conditional LayerNorms</x:t>
  </x:si>
  <x:si>
    <x:t xml:space="preserve">B08-0023</x:t>
  </x:si>
  <x:si>
    <x:t xml:space="preserve">13M</x:t>
  </x:si>
  <x:si>
    <x:t xml:space="preserve">B08-0024</x:t>
  </x:si>
  <x:si>
    <x:t xml:space="preserve">OAI-0095:NEPTUNE-025_FINETUNE_025DEG</x:t>
  </x:si>
  <x:si>
    <x:t xml:space="preserve">architecture.resolution_adapter</x:t>
  </x:si>
  <x:si>
    <x:t xml:space="preserve">Two S2 bilinear resampling ops (0.25°↔1°) after first/before last convolution</x:t>
  </x:si>
  <x:si>
    <x:t xml:space="preserve">Adapter keeps latent at pre-training resolution.</x:t>
  </x:si>
  <x:si>
    <x:t xml:space="preserve">B08-0025</x:t>
  </x:si>
  <x:si>
    <x:t xml:space="preserve">AdamW, weight decay 0.01, beta1=0.9, beta2=0.95</x:t>
  </x:si>
  <x:si>
    <x:t xml:space="preserve">2.2.2 Pre-training and Fine-tuning</x:t>
  </x:si>
  <x:si>
    <x:t xml:space="preserve">B08-0026</x:t>
  </x:si>
  <x:si>
    <x:t xml:space="preserve">Warm-up to 5e-4 over 10 epochs, cosine annealing down to 5e-8</x:t>
  </x:si>
  <x:si>
    <x:t xml:space="preserve">B08-0027</x:t>
  </x:si>
  <x:si>
    <x:t xml:space="preserve">8 (global)</x:t>
  </x:si>
  <x:si>
    <x:t xml:space="preserve">B08-0028</x:t>
  </x:si>
  <x:si>
    <x:t xml:space="preserve">150</x:t>
  </x:si>
  <x:si>
    <x:t xml:space="preserve">B08-0029</x:t>
  </x:si>
  <x:si>
    <x:t xml:space="preserve">50; same configuration as pre-training</x:t>
  </x:si>
  <x:si>
    <x:t xml:space="preserve">B08-0030</x:t>
  </x:si>
  <x:si>
    <x:t xml:space="preserve">MAE on residuals dX(t+1), dX(t+2)</x:t>
  </x:si>
  <x:si>
    <x:t xml:space="preserve">B08-0031</x:t>
  </x:si>
  <x:si>
    <x:t xml:space="preserve">8 NVIDIA A100 40GB GPUs, CMCC Juno HPC</x:t>
  </x:si>
  <x:si>
    <x:t xml:space="preserve">Text writes "Volta A100"; kept as reported.</x:t>
  </x:si>
  <x:si>
    <x:t xml:space="preserve">B08-0032</x:t>
  </x:si>
  <x:si>
    <x:t xml:space="preserve">48</x:t>
  </x:si>
  <x:si>
    <x:t xml:space="preserve">B08-0033</x:t>
  </x:si>
  <x:si>
    <x:t xml:space="preserve">~100</x:t>
  </x:si>
  <x:si>
    <x:t xml:space="preserve">B08-0034</x:t>
  </x:si>
  <x:si>
    <x:t xml:space="preserve">inference.ensemble</x:t>
  </x:si>
  <x:si>
    <x:t xml:space="preserve">8 members by sampling different latent noise; each test day used as initial condition of 60-day forecast</x:t>
  </x:si>
  <x:si>
    <x:t xml:space="preserve">2.2.2 Inference on Test set</x:t>
  </x:si>
  <x:si>
    <x:t xml:space="preserve">B08-0035</x:t>
  </x:si>
  <x:si>
    <x:t xml:space="preserve">No ensemble for Neptune-025 due to computational limitations</x:t>
  </x:si>
  <x:si>
    <x:t xml:space="preserve">B08-0036</x:t>
  </x:si>
  <x:si>
    <x:t xml:space="preserve">RMSE, CRPS, ACC; OHC (0-300 m), EKE, Ice Brier Score (15% SIC threshold); ENSO, Z20, IOD</x:t>
  </x:si>
  <x:si>
    <x:t xml:space="preserve">2.2.3</x:t>
  </x:si>
  <x:si>
    <x:t xml:space="preserve">B08-0037</x:t>
  </x:si>
  <x:si>
    <x:t xml:space="preserve">baselines</x:t>
  </x:si>
  <x:si>
    <x:t xml:space="preserve">Daily climatology from training period 1993-2016</x:t>
  </x:si>
  <x:si>
    <x:t xml:space="preserve">Sec. 3 intro</x:t>
  </x:si>
  <x:si>
    <x:t xml:space="preserve">No other ML or OGCM forecast compared in inspected results sections.</x:t>
  </x:si>
  <x:si>
    <x:t xml:space="preserve">B08-0038</x:t>
  </x:si>
  <x:si>
    <x:t xml:space="preserve">results.ohc_correlation</x:t>
  </x:si>
  <x:si>
    <x:t xml:space="preserve">OHC Pearson correlation lowest value 0.988 at 60-day lead</x:t>
  </x:si>
  <x:si>
    <x:t xml:space="preserve">B08-0039</x:t>
  </x:si>
  <x:si>
    <x:t xml:space="preserve">results.iod_spatial_correlation</x:t>
  </x:si>
  <x:si>
    <x:t xml:space="preserve">0.99 at t+10 decreasing to 0.89 at t+60</x:t>
  </x:si>
  <x:si>
    <x:t xml:space="preserve">B08-0040</x:t>
  </x:si>
  <x:si>
    <x:t xml:space="preserve">limitations.ohc_bias</x:t>
  </x:si>
  <x:si>
    <x:t xml:space="preserve">Cool bias in Pacific and Indian equatorial regions; slight decreasing OHC trend</x:t>
  </x:si>
  <x:si>
    <x:t xml:space="preserve">Sec. 3.4 / Discussion</x:t>
  </x:si>
  <x:si>
    <x:t xml:space="preserve">B08-0041</x:t>
  </x:si>
  <x:si>
    <x:t xml:space="preserve">limitations.mesoscale</x:t>
  </x:si>
  <x:si>
    <x:t xml:space="preserve">Loss of fine-scale EKE / high-frequency mesoscale variability; attributed to input resolution and deterministic loss</x:t>
  </x:si>
  <x:si>
    <x:t xml:space="preserve">5 Conclusion</x:t>
  </x:si>
  <x:si>
    <x:t xml:space="preserve">B08-0042</x:t>
  </x:si>
  <x:si>
    <x:t xml:space="preserve">limitations.grid</x:t>
  </x:si>
  <x:si>
    <x:t xml:space="preserve">Encoder/decoder still on rectangular grid while SFNO is spherical</x:t>
  </x:si>
  <x:si>
    <x:t xml:space="preserve">B08-0043</x:t>
  </x:si>
  <x:si>
    <x:t xml:space="preserve">future_work</x:t>
  </x:si>
  <x:si>
    <x:t xml:space="preserve">Spherical local convolutions; larger model; stochastic/generative losses (flow matching, diffusion); more reanalyses; coupled atmosphere-ocean emulator</x:t>
  </x:si>
  <x:si>
    <x:t xml:space="preserve">B08-0044</x:t>
  </x:si>
  <x:si>
    <x:t xml:space="preserve">Full arXiv v1 text (39 p.) searched: availab*, github, zenodo, acknowledg*</x:t>
  </x:si>
  <x:si>
    <x:t xml:space="preserve">Absence only in arXiv v1 text layer; not checked in any later version. | B10: Requalified B10: keyword search only, insufficient for NOT_REPORTED.</x:t>
  </x:si>
  <x:si>
    <x:t xml:space="preserve">B08-0045</x:t>
  </x:si>
  <x:si>
    <x:t xml:space="preserve">research_gap</x:t>
  </x:si>
  <x:si>
    <x:t xml:space="preserve">Compare Neptune-style residual SFNO with GLONET/OceanBench protocol on a common test period</x:t>
  </x:si>
  <x:si>
    <x:t xml:space="preserve">Sec. 1; 3</x:t>
  </x:si>
  <x:si>
    <x:t xml:space="preserve">AI hypothesis, not established novelty.</x:t>
  </x:si>
  <x:si>
    <x:t xml:space="preserve">B08-0046</x:t>
  </x:si>
  <x:si>
    <x:t xml:space="preserve">OAI-0093</x:t>
  </x:si>
  <x:si>
    <x:t xml:space="preserve">OAI-0093:MAIN</x:t>
  </x:si>
  <x:si>
    <x:t xml:space="preserve">Characterise deep-sea substrate classes and megafauna distribution from seafloor images with AI workflows</x:t>
  </x:si>
  <x:si>
    <x:t xml:space="preserve">https://www.nature.com/articles/s41598-025-12723-y</x:t>
  </x:si>
  <x:si>
    <x:t xml:space="preserve">10.1038/s41598-025-12723-y</x:t>
  </x:si>
  <x:si>
    <x:t xml:space="preserve">PUBLISHED_HTML (Sci. Rep. 2025); supplementary not read</x:t>
  </x:si>
  <x:si>
    <x:t xml:space="preserve">Abstract; Discussion</x:t>
  </x:si>
  <x:si>
    <x:t xml:space="preserve">B08-0047</x:t>
  </x:si>
  <x:si>
    <x:t xml:space="preserve">problem.region</x:t>
  </x:si>
  <x:si>
    <x:t xml:space="preserve">Tropical North Atlantic offshore Mauritania / north of Cape Verde; RV Meteor cruise M182 (May-July 2022); 7 dives</x:t>
  </x:si>
  <x:si>
    <x:t xml:space="preserve">Methods: Study Area; Image dataset</x:t>
  </x:si>
  <x:si>
    <x:t xml:space="preserve">B08-0048</x:t>
  </x:si>
  <x:si>
    <x:t xml:space="preserve">datasets.depth_range</x:t>
  </x:si>
  <x:si>
    <x:t xml:space="preserve">Eastern region -2470 to -2970; Western region -3128 to -3693</x:t>
  </x:si>
  <x:si>
    <x:t xml:space="preserve">Methods: Study Area</x:t>
  </x:si>
  <x:si>
    <x:t xml:space="preserve">B08-0049</x:t>
  </x:si>
  <x:si>
    <x:t xml:space="preserve">datasets.images</x:t>
  </x:si>
  <x:si>
    <x:t xml:space="preserve">9000 XOFOS still images; 162 excluded; 8838 used; 22.7 km track; ~73,616 m² footprint</x:t>
  </x:si>
  <x:si>
    <x:t xml:space="preserve">Methods: Image dataset</x:t>
  </x:si>
  <x:si>
    <x:t xml:space="preserve">B08-0050</x:t>
  </x:si>
  <x:si>
    <x:t xml:space="preserve">preprocessing.color_correction</x:t>
  </x:si>
  <x:si>
    <x:t xml:space="preserve">Batch z-score normalisation (32 images), local adaptive histogram equalisation, histogram matching to manual reference image</x:t>
  </x:si>
  <x:si>
    <x:t xml:space="preserve">Methods: Image visibility improvement</x:t>
  </x:si>
  <x:si>
    <x:t xml:space="preserve">B08-0051</x:t>
  </x:si>
  <x:si>
    <x:t xml:space="preserve">OAI-0093:SUBSTRATE_CLUSTERING</x:t>
  </x:si>
  <x:si>
    <x:t xml:space="preserve">architecture.feature_extractor</x:t>
  </x:si>
  <x:si>
    <x:t xml:space="preserve">Pre-trained InceptionV3; 2048-dim feature vector per image</x:t>
  </x:si>
  <x:si>
    <x:t xml:space="preserve">Methods: Semi-automated classification</x:t>
  </x:si>
  <x:si>
    <x:t xml:space="preserve">B08-0052</x:t>
  </x:si>
  <x:si>
    <x:t xml:space="preserve">architecture.clustering</x:t>
  </x:si>
  <x:si>
    <x:t xml:space="preserve">K-means, 12 clusters chosen after testing 2-20</x:t>
  </x:si>
  <x:si>
    <x:t xml:space="preserve">B08-0053</x:t>
  </x:si>
  <x:si>
    <x:t xml:space="preserve">OAI-0093:MEGAFAUNA_DETECTION</x:t>
  </x:si>
  <x:si>
    <x:t xml:space="preserve">architecture.detector</x:t>
  </x:si>
  <x:si>
    <x:t xml:space="preserve">FaunD-Fast: Faster R-CNN (TensorFlow Object Detection API), initially trained on Clarion-Clipperton Zone boxes, retrained on Atlantic annotations</x:t>
  </x:si>
  <x:si>
    <x:t xml:space="preserve">Methods: Semi-automated annotation</x:t>
  </x:si>
  <x:si>
    <x:t xml:space="preserve">B08-0054</x:t>
  </x:si>
  <x:si>
    <x:t xml:space="preserve">GeForce RTX 2080 11 GB; Ubuntu 18.04</x:t>
  </x:si>
  <x:si>
    <x:t xml:space="preserve">B08-0055</x:t>
  </x:si>
  <x:si>
    <x:t xml:space="preserve">Methods (all subsections) and Discussion read; supplementary not read</x:t>
  </x:si>
  <x:si>
    <x:t xml:space="preserve">Refers to Mbani et al. prior paper for details; not checked there. | B10: Requalified B10: supplementary and cited method paper not read.</x:t>
  </x:si>
  <x:si>
    <x:t xml:space="preserve">B08-0056</x:t>
  </x:si>
  <x:si>
    <x:t xml:space="preserve">metrics.detection</x:t>
  </x:si>
  <x:si>
    <x:t xml:space="preserve">Standard COCO metrics (values not located in main text)</x:t>
  </x:si>
  <x:si>
    <x:t xml:space="preserve">B08-0057</x:t>
  </x:si>
  <x:si>
    <x:t xml:space="preserve">results.detection_accuracy</x:t>
  </x:si>
  <x:si>
    <x:t xml:space="preserve">78.1% correct detection of megafauna instances; taxa labels sometimes wrong</x:t>
  </x:si>
  <x:si>
    <x:t xml:space="preserve">%</x:t>
  </x:si>
  <x:si>
    <x:t xml:space="preserve">B08-0058</x:t>
  </x:si>
  <x:si>
    <x:t xml:space="preserve">results.detections</x:t>
  </x:si>
  <x:si>
    <x:t xml:space="preserve">10,189 organisms, 13 taxa groups</x:t>
  </x:si>
  <x:si>
    <x:t xml:space="preserve">Results: Megafaunal abundance and diversity</x:t>
  </x:si>
  <x:si>
    <x:t xml:space="preserve">B08-0059</x:t>
  </x:si>
  <x:si>
    <x:t xml:space="preserve">results.anosim</x:t>
  </x:si>
  <x:si>
    <x:t xml:space="preserve">R = 0.37; p &lt; 0.001 (East vs West communities)</x:t>
  </x:si>
  <x:si>
    <x:t xml:space="preserve">B08-0060</x:t>
  </x:si>
  <x:si>
    <x:t xml:space="preserve">preprocessing.sampling_units</x:t>
  </x:si>
  <x:si>
    <x:t xml:space="preserve">232 segments of 100 m; abundances = counts / observed area</x:t>
  </x:si>
  <x:si>
    <x:t xml:space="preserve">Methods: Converting counts; Results</x:t>
  </x:si>
  <x:si>
    <x:t xml:space="preserve">B08-0061</x:t>
  </x:si>
  <x:si>
    <x:t xml:space="preserve">limitations.misclassification</x:t>
  </x:si>
  <x:si>
    <x:t xml:space="preserve">Misclassification of taxa present in both Pacific and Atlantic; overfitting / poor generalisation suggested</x:t>
  </x:si>
  <x:si>
    <x:t xml:space="preserve">B08-0062</x:t>
  </x:si>
  <x:si>
    <x:t xml:space="preserve">limitations.dive145</x:t>
  </x:si>
  <x:si>
    <x:t xml:space="preserve">Camera malfunction after 1 h 13 min; seamount possibly undersampled</x:t>
  </x:si>
  <x:si>
    <x:t xml:space="preserve">Methods: Study Area; Results</x:t>
  </x:si>
  <x:si>
    <x:t xml:space="preserve">B08-0063</x:t>
  </x:si>
  <x:si>
    <x:t xml:space="preserve">Images and annotations on GEOMAR BIIGLE portal (annotate.geomar.de/projects/65); intermediate data in supplementary Excel; request to J. Greinert</x:t>
  </x:si>
  <x:si>
    <x:t xml:space="preserve">B08-0064</x:t>
  </x:si>
  <x:si>
    <x:t xml:space="preserve">Data availability section and full HTML body searched (no code statement located)</x:t>
  </x:si>
  <x:si>
    <x:t xml:space="preserve">B08-0065</x:t>
  </x:si>
  <x:si>
    <x:t xml:space="preserve">OAI-0021</x:t>
  </x:si>
  <x:si>
    <x:t xml:space="preserve">OAI-0021:EDITORIAL</x:t>
  </x:si>
  <x:si>
    <x:t xml:space="preserve">review.scope</x:t>
  </x:si>
  <x:si>
    <x:t xml:space="preserve">Research Topic "Deep Learning for Marine Science": 39 papers, 236 authors</x:t>
  </x:si>
  <x:si>
    <x:t xml:space="preserve">REVIEW_SCOPE</x:t>
  </x:si>
  <x:si>
    <x:t xml:space="preserve">https://www.frontiersin.org/journals/marine-science/articles/10.3389/fmars.2024.1407053/full</x:t>
  </x:si>
  <x:si>
    <x:t xml:space="preserve">10.3389/fmars.2024.1407053</x:t>
  </x:si>
  <x:si>
    <x:t xml:space="preserve">Editorial: contributions describe other papers; no experiment attributed to editorial authors.</x:t>
  </x:si>
  <x:si>
    <x:t xml:space="preserve">B08-0066</x:t>
  </x:si>
  <x:si>
    <x:t xml:space="preserve">review.themes</x:t>
  </x:si>
  <x:si>
    <x:t xml:space="preserve">Survey; image enhancement/restoration/compression; visual recognition/detection; datasets/labeling; process prediction; physical/BGC variable prediction; optics/acoustics</x:t>
  </x:si>
  <x:si>
    <x:t xml:space="preserve">Introduction; Sections 1-7</x:t>
  </x:si>
  <x:si>
    <x:t xml:space="preserve">B08-0067</x:t>
  </x:si>
  <x:si>
    <x:t xml:space="preserve">methods.own_experiments</x:t>
  </x:si>
  <x:si>
    <x:t xml:space="preserve">Full HTML sections 1-7 listed</x:t>
  </x:si>
  <x:si>
    <x:t xml:space="preserve">Editorial summarising Research Topic; experiments belong to cited articles. | B10: Requalified B10: sections listed, not all read in full.</x:t>
  </x:si>
  <x:si>
    <x:t xml:space="preserve">B08-0068</x:t>
  </x:si>
  <x:si>
    <x:t xml:space="preserve">OAI-0022</x:t>
  </x:si>
  <x:si>
    <x:t xml:space="preserve">OAI-0022:EDITORIAL</x:t>
  </x:si>
  <x:si>
    <x:t xml:space="preserve">Research Topic "Remote Sensing Applications in Oceanography with Deep Learning": 17 contributions</x:t>
  </x:si>
  <x:si>
    <x:t xml:space="preserve">https://www.frontiersin.org/journals/marine-science/articles/10.3389/fmars.2025.1701125/full</x:t>
  </x:si>
  <x:si>
    <x:t xml:space="preserve">10.3389/fmars.2025.1701125</x:t>
  </x:si>
  <x:si>
    <x:t xml:space="preserve">Editorial body (1st section)</x:t>
  </x:si>
  <x:si>
    <x:t xml:space="preserve">B08-0069</x:t>
  </x:si>
  <x:si>
    <x:t xml:space="preserve">Five themes: multi-scale architectures; physics-aware features; edge deployment; data efficiency (augmentation, self-supervision); benchmarking and openness</x:t>
  </x:si>
  <x:si>
    <x:t xml:space="preserve">Editorial body</x:t>
  </x:si>
  <x:si>
    <x:t xml:space="preserve">B08-0070</x:t>
  </x:si>
  <x:si>
    <x:t xml:space="preserve">Embed physical priors; generative/self-supervised methods for sparse data; scalability, efficiency, usability</x:t>
  </x:si>
  <x:si>
    <x:t xml:space="preserve">Editorial body (closing)</x:t>
  </x:si>
  <x:si>
    <x:t xml:space="preserve">B08-0071</x:t>
  </x:si>
  <x:si>
    <x:t xml:space="preserve">Full editorial text read</x:t>
  </x:si>
  <x:si>
    <x:t xml:space="preserve">B08-0072</x:t>
  </x:si>
  <x:si>
    <x:t xml:space="preserve">OAI-0058</x:t>
  </x:si>
  <x:si>
    <x:t xml:space="preserve">OAI-0058:MAIN</x:t>
  </x:si>
  <x:si>
    <x:t xml:space="preserve">Multi-month to 1-year predictions of marine heatwaves and ocean acidification extremes ([H+], aragonite saturation)</x:t>
  </x:si>
  <x:si>
    <x:t xml:space="preserve">https://www.nature.com/articles/s41561-024-01593-0</x:t>
  </x:si>
  <x:si>
    <x:t xml:space="preserve">10.1038/s41561-024-01593-0</x:t>
  </x:si>
  <x:si>
    <x:t xml:space="preserve">PUBLISHED_HTML_PUBLIC_PARTS</x:t>
  </x:si>
  <x:si>
    <x:t xml:space="preserve">ABSTRACT_AND_PUBLIC_SECTIONS_READ</x:t>
  </x:si>
  <x:si>
    <x:t xml:space="preserve">Body behind paywall; only abstract, availability statements and Extended Data captions accessible.</x:t>
  </x:si>
  <x:si>
    <x:t xml:space="preserve">B08-0073</x:t>
  </x:si>
  <x:si>
    <x:t xml:space="preserve">CESM Seasonal-to-Multiyear Large Ensemble (SMYLE); dynamical Earth system model, not an ML model</x:t>
  </x:si>
  <x:si>
    <x:t xml:space="preserve">Abstract; Data availability</x:t>
  </x:si>
  <x:si>
    <x:t xml:space="preserve">Scope flag: not a machine-learning paper per accessible text.</x:t>
  </x:si>
  <x:si>
    <x:t xml:space="preserve">B08-0074</x:t>
  </x:si>
  <x:si>
    <x:t xml:space="preserve">OceanSODA-ETHZ; SMYLE FOSI used as reference</x:t>
  </x:si>
  <x:si>
    <x:t xml:space="preserve">Data availability; Ext. Data Fig. 3-4</x:t>
  </x:si>
  <x:si>
    <x:t xml:space="preserve">B08-0075</x:t>
  </x:si>
  <x:si>
    <x:t xml:space="preserve">SEDI, Forecast Accuracy, Brier Skill Score</x:t>
  </x:si>
  <x:si>
    <x:t xml:space="preserve">Extended Data Fig. 1 caption</x:t>
  </x:si>
  <x:si>
    <x:t xml:space="preserve">B08-0076</x:t>
  </x:si>
  <x:si>
    <x:t xml:space="preserve">results.skill_horizon</x:t>
  </x:si>
  <x:si>
    <x:t xml:space="preserve">Skilful for MHW and aragonite-based OA extremes up to 1 year; lower skill for [H+]; highest in eastern Pacific</x:t>
  </x:si>
  <x:si>
    <x:t xml:space="preserve">B08-0077</x:t>
  </x:si>
  <x:si>
    <x:t xml:space="preserve">Zenodo 10.5281/zenodo.12103992 (processing/analysis code)</x:t>
  </x:si>
  <x:si>
    <x:t xml:space="preserve">B08-0078</x:t>
  </x:si>
  <x:si>
    <x:t xml:space="preserve">SMYLE doi 10.26024/pwma-re41; OceanSODA-ETHZ doi 10.25921/m5wx-ja34</x:t>
  </x:si>
  <x:si>
    <x:t xml:space="preserve">B08-0079</x:t>
  </x:si>
  <x:si>
    <x:t xml:space="preserve">methods.body</x:t>
  </x:si>
  <x:si>
    <x:t xml:space="preserve">Main text (Methods/Results) not accessible</x:t>
  </x:si>
  <x:si>
    <x:t xml:space="preserve">B08-0080</x:t>
  </x:si>
  <x:si>
    <x:t xml:space="preserve">OAI-0112</x:t>
  </x:si>
  <x:si>
    <x:t xml:space="preserve">OAI-0112:EGU26_ABSTRACT</x:t>
  </x:si>
  <x:si>
    <x:t xml:space="preserve">Extensions of OceanBench benchmark for data-driven global short-range ocean forecasting</x:t>
  </x:si>
  <x:si>
    <x:t xml:space="preserve">BENCHMARK</x:t>
  </x:si>
  <x:si>
    <x:t xml:space="preserve">https://meetingorganizer.copernicus.org/EGU26/EGU26-20905.html</x:t>
  </x:si>
  <x:si>
    <x:t xml:space="preserve">10.5194/egusphere-egu26-20905</x:t>
  </x:si>
  <x:si>
    <x:t xml:space="preserve">EGU26_CONFERENCE_ABSTRACT</x:t>
  </x:si>
  <x:si>
    <x:t xml:space="preserve">Conference abstract only; presentation restricted to registered users.</x:t>
  </x:si>
  <x:si>
    <x:t xml:space="preserve">B08-0081</x:t>
  </x:si>
  <x:si>
    <x:t xml:space="preserve">benchmark.extensions</x:t>
  </x:si>
  <x:si>
    <x:t xml:space="preserve">Coarser (~1°) global models, regional evaluation, new physics-based and ML candidate models</x:t>
  </x:si>
  <x:si>
    <x:t xml:space="preserve">B08-0082</x:t>
  </x:si>
  <x:si>
    <x:t xml:space="preserve">methods.details</x:t>
  </x:si>
  <x:si>
    <x:t xml:space="preserve">No full paper for this EGU abstract; details may exist in OceanBench main paper (another record).</x:t>
  </x:si>
  <x:si>
    <x:t xml:space="preserve">B09-0001</x:t>
  </x:si>
  <x:si>
    <x:t xml:space="preserve">OAI-0013</x:t>
  </x:si>
  <x:si>
    <x:t xml:space="preserve">OAI-0013:ALL</x:t>
  </x:si>
  <x:si>
    <x:t xml:space="preserve">Two-step MHW forecasting: 15-day SST prediction then MHW detection on forecast SST</x:t>
  </x:si>
  <x:si>
    <x:t xml:space="preserve">https://castjournals.cast.org.cn/joweb/aos/EN/PDF/1189620625892192379</x:t>
  </x:si>
  <x:si>
    <x:t xml:space="preserve">10.1007/s13131-024-2424-6</x:t>
  </x:si>
  <x:si>
    <x:t xml:space="preserve">PUBLISHED_PDF_14_PAGES (Acta Oceanol. Sin. 44(1):36-49)</x:t>
  </x:si>
  <x:si>
    <x:t xml:space="preserve">Abstract; 3.2</x:t>
  </x:si>
  <x:si>
    <x:t xml:space="preserve">PUBLISHED_PDF_TEXT_READ</x:t>
  </x:si>
  <x:si>
    <x:t xml:space="preserve">B09</x:t>
  </x:si>
  <x:si>
    <x:t xml:space="preserve">B09-0002</x:t>
  </x:si>
  <x:si>
    <x:t xml:space="preserve">OAI-0013:ECS_MAIN</x:t>
  </x:si>
  <x:si>
    <x:t xml:space="preserve">East China Sea, 23-35°N, 117-132°E</x:t>
  </x:si>
  <x:si>
    <x:t xml:space="preserve">B09-0003</x:t>
  </x:si>
  <x:si>
    <x:t xml:space="preserve">OAI-0013:NWA_TRANSFER</x:t>
  </x:si>
  <x:si>
    <x:t xml:space="preserve">Northwest Atlantic shelf, 35-52°N, 77-51°W</x:t>
  </x:si>
  <x:si>
    <x:t xml:space="preserve">B09-0004</x:t>
  </x:si>
  <x:si>
    <x:t xml:space="preserve">datasets.sst</x:t>
  </x:si>
  <x:si>
    <x:t xml:space="preserve">NOAA OISST, daily, 0.25°</x:t>
  </x:si>
  <x:si>
    <x:t xml:space="preserve">2 Data used</x:t>
  </x:si>
  <x:si>
    <x:t xml:space="preserve">B09-0005</x:t>
  </x:si>
  <x:si>
    <x:t xml:space="preserve">preprocessing.mhw_definition</x:t>
  </x:si>
  <x:si>
    <x:t xml:space="preserve">Seasonal 90th percentile threshold (1981-2010 climatology), ≥5 consecutive days (Hobday et al. 2016)</x:t>
  </x:si>
  <x:si>
    <x:t xml:space="preserve">B09-0006</x:t>
  </x:si>
  <x:si>
    <x:t xml:space="preserve">inputs.window</x:t>
  </x:si>
  <x:si>
    <x:t xml:space="preserve">60 days of past SST</x:t>
  </x:si>
  <x:si>
    <x:t xml:space="preserve">B09-0007</x:t>
  </x:si>
  <x:si>
    <x:t xml:space="preserve">15 days of SST + MHW labels</x:t>
  </x:si>
  <x:si>
    <x:t xml:space="preserve">B09-0008</x:t>
  </x:si>
  <x:si>
    <x:t xml:space="preserve">30 days of past SST</x:t>
  </x:si>
  <x:si>
    <x:t xml:space="preserve">B09-0009</x:t>
  </x:si>
  <x:si>
    <x:t xml:space="preserve">ConvLSTM with CBAM (channel + spatial attention); 6 layers: input, CBAM, 3 ConvLSTM, output, heatwave-detection layer</x:t>
  </x:si>
  <x:si>
    <x:t xml:space="preserve">3.2; Fig. 3</x:t>
  </x:si>
  <x:si>
    <x:t xml:space="preserve">B09-0010</x:t>
  </x:si>
  <x:si>
    <x:t xml:space="preserve">CBAM placed only at the first position before ConvLSTM stack</x:t>
  </x:si>
  <x:si>
    <x:t xml:space="preserve">B09-0011</x:t>
  </x:si>
  <x:si>
    <x:t xml:space="preserve">architecture.convolution</x:t>
  </x:si>
  <x:si>
    <x:t xml:space="preserve">ConvLSTM kernel 3x3 (Fig. 3 label ConvLstm(3x3,15))</x:t>
  </x:si>
  <x:si>
    <x:t xml:space="preserve">Fig. 3</x:t>
  </x:si>
  <x:si>
    <x:t xml:space="preserve">Read from figure label in PDF text layer; meaning of "15" not stated in text.</x:t>
  </x:si>
  <x:si>
    <x:t xml:space="preserve">B09-0012</x:t>
  </x:si>
  <x:si>
    <x:t xml:space="preserve">architecture.detector_choice</x:t>
  </x:si>
  <x:si>
    <x:t xml:space="preserve">Threshold-based detection kept; U-Net and SegNet segmentation detectors reported to perform worse</x:t>
  </x:si>
  <x:si>
    <x:t xml:space="preserve">B09-0013</x:t>
  </x:si>
  <x:si>
    <x:t xml:space="preserve">Train 10,000 + validation 2,540 samples from 1981-2015; test 2,117 samples from 2016-2021</x:t>
  </x:si>
  <x:si>
    <x:t xml:space="preserve">B09-0014</x:t>
  </x:si>
  <x:si>
    <x:t xml:space="preserve">Full 14-page PDF text layer searched (Adam, learning rate, epoch, batch, GPU, loss)</x:t>
  </x:si>
  <x:si>
    <x:t xml:space="preserve">Covers optimizer, learning rate, batch size, epochs, hardware, loss. Two-column text extraction imperfect. | B10: Requalified B10: keyword search on imperfect two-column text layer.</x:t>
  </x:si>
  <x:si>
    <x:t xml:space="preserve">B09-0015</x:t>
  </x:si>
  <x:si>
    <x:t xml:space="preserve">RMSE, MAPE, R² (SST); Accuracy, Precision, Recall (MHW)</x:t>
  </x:si>
  <x:si>
    <x:t xml:space="preserve">B09-0016</x:t>
  </x:si>
  <x:si>
    <x:t xml:space="preserve">ConvLSTM, U-Net, Multi-Attention ConvLSTM; also ST-DL, MGCN, OTCFM, PANN from literature</x:t>
  </x:si>
  <x:si>
    <x:t xml:space="preserve">4.1; Table 1; Fig. 6</x:t>
  </x:si>
  <x:si>
    <x:t xml:space="preserve">B09-0017</x:t>
  </x:si>
  <x:si>
    <x:t xml:space="preserve">results.table1</x:t>
  </x:si>
  <x:si>
    <x:t xml:space="preserve">RMSE/MAPE/R²: SST-MHW-DL 0.64/2.05/0.854; ConvLSTM 0.67/2.13/0.846; U-Net 0.73/2.35/0.823; Multi-Att ConvLSTM 0.66/2.14/0.850</x:t>
  </x:si>
  <x:si>
    <x:t xml:space="preserve">°C / % / -</x:t>
  </x:si>
  <x:si>
    <x:t xml:space="preserve">B09-0018</x:t>
  </x:si>
  <x:si>
    <x:t xml:space="preserve">results.mhw_detection</x:t>
  </x:si>
  <x:si>
    <x:t xml:space="preserve">Accuracy 0.77, precision 0.73, recall 0.43</x:t>
  </x:si>
  <x:si>
    <x:t xml:space="preserve">B09-0019</x:t>
  </x:si>
  <x:si>
    <x:t xml:space="preserve">results.confusion_matrix</x:t>
  </x:si>
  <x:si>
    <x:t xml:space="preserve">TP 614,912; FN 811,248; FP 224,133; TN 2,837,509</x:t>
  </x:si>
  <x:si>
    <x:t xml:space="preserve">B09-0020</x:t>
  </x:si>
  <x:si>
    <x:t xml:space="preserve">results.transfer</x:t>
  </x:si>
  <x:si>
    <x:t xml:space="preserve">SST RMSE 1.02°C, R² 0.94; MHW accuracy 0.79, precision 0.78, recall 0.62</x:t>
  </x:si>
  <x:si>
    <x:t xml:space="preserve">B09-0021</x:t>
  </x:si>
  <x:si>
    <x:t xml:space="preserve">limitations.nrt_data</x:t>
  </x:si>
  <x:si>
    <x:t xml:space="preserve">Near-real-time satellite SST (clouds, atmospheric correction) may cut effective horizon from 15 to ~7 days</x:t>
  </x:si>
  <x:si>
    <x:t xml:space="preserve">Discussion (p.9)</x:t>
  </x:si>
  <x:si>
    <x:t xml:space="preserve">B09-0022</x:t>
  </x:si>
  <x:si>
    <x:t xml:space="preserve">data.conflict_training_period</x:t>
  </x:si>
  <x:si>
    <x:t xml:space="preserve">CONFLICT: training data 1981-2015 (Sec. 3.3) vs 1980-2015 (Sec. 5)</x:t>
  </x:si>
  <x:si>
    <x:t xml:space="preserve">3.3 p5; 5 Conclusion p11</x:t>
  </x:si>
  <x:si>
    <x:t xml:space="preserve">Both values kept; not resolved.</x:t>
  </x:si>
  <x:si>
    <x:t xml:space="preserve">B09-0023</x:t>
  </x:si>
  <x:si>
    <x:t xml:space="preserve">Full PDF text layer searched (code, github, available)</x:t>
  </x:si>
  <x:si>
    <x:t xml:space="preserve">B10: Requalified B10: keyword search only.</x:t>
  </x:si>
  <x:si>
    <x:t xml:space="preserve">B09-0024</x:t>
  </x:si>
  <x:si>
    <x:t xml:space="preserve">OAI-0100</x:t>
  </x:si>
  <x:si>
    <x:t xml:space="preserve">OAI-0100:ALL</x:t>
  </x:si>
  <x:si>
    <x:t xml:space="preserve">Generalizable NN parameterization of mesoscale eddy momentum fluxes via dimensional-scaling physics constraints</x:t>
  </x:si>
  <x:si>
    <x:t xml:space="preserve">https://arxiv.org/pdf/2505.08900v6</x:t>
  </x:si>
  <x:si>
    <x:t xml:space="preserve">10.1029/2025GL117046</x:t>
  </x:si>
  <x:si>
    <x:t xml:space="preserve">ARXIV_V6 (41 p., main+SI); published GRL 52(19) version NOT compared</x:t>
  </x:si>
  <x:si>
    <x:t xml:space="preserve">Abstract; 3</x:t>
  </x:si>
  <x:si>
    <x:t xml:space="preserve">B09-0025</x:t>
  </x:si>
  <x:si>
    <x:t xml:space="preserve">GFDL CM2.6 (0.1°) filtered (Gaussian, filter/grid ratio 3) and coarse-grained to 0.4°, 0.9°, 1.2°, 1.5°; 10 depths 5-4500 m; whole globe</x:t>
  </x:si>
  <x:si>
    <x:t xml:space="preserve">4.1; Table S1</x:t>
  </x:si>
  <x:si>
    <x:t xml:space="preserve">B09-0026</x:t>
  </x:si>
  <x:si>
    <x:t xml:space="preserve">Train years 181-188 / validation 194 / test 199-200 (model years)</x:t>
  </x:si>
  <x:si>
    <x:t xml:space="preserve">Table S1</x:t>
  </x:si>
  <x:si>
    <x:t xml:space="preserve">B09-0027</x:t>
  </x:si>
  <x:si>
    <x:t xml:space="preserve">inputs</x:t>
  </x:si>
  <x:si>
    <x:t xml:space="preserve">Velocity gradients σS, σT, ω on 3x3 stencil (27 features)</x:t>
  </x:si>
  <x:si>
    <x:t xml:space="preserve">3.2; Table S1</x:t>
  </x:si>
  <x:si>
    <x:t xml:space="preserve">B09-0028</x:t>
  </x:si>
  <x:si>
    <x:t xml:space="preserve">outputs</x:t>
  </x:si>
  <x:si>
    <x:t xml:space="preserve">Subfilter momentum flux tensor T; loss on its divergence</x:t>
  </x:si>
  <x:si>
    <x:t xml:space="preserve">B09-0029</x:t>
  </x:si>
  <x:si>
    <x:t xml:space="preserve">physics.constraints</x:t>
  </x:si>
  <x:si>
    <x:t xml:space="preserve">Local dimensional scaling (Buckingham Pi) with grid spacing Δ; Galilean invariance; rotational/reflectional invariance via augmentation</x:t>
  </x:si>
  <x:si>
    <x:t xml:space="preserve">B09-0030</x:t>
  </x:si>
  <x:si>
    <x:t xml:space="preserve">OAI-0100:OFFLINE_ANN</x:t>
  </x:si>
  <x:si>
    <x:t xml:space="preserve">MLP, 2 hidden layers × 32 neurons, 2051 parameters, ReLU</x:t>
  </x:si>
  <x:si>
    <x:t xml:space="preserve">4.2; Table S1</x:t>
  </x:si>
  <x:si>
    <x:t xml:space="preserve">B09-0031</x:t>
  </x:si>
  <x:si>
    <x:t xml:space="preserve">OAI-0100:ONLINE_ANN_MOM6</x:t>
  </x:si>
  <x:si>
    <x:t xml:space="preserve">MLP, 1 hidden layer × 20 neurons, 623 parameters, ReLU</x:t>
  </x:si>
  <x:si>
    <x:t xml:space="preserve">4.3; Table S1</x:t>
  </x:si>
  <x:si>
    <x:t xml:space="preserve">B09-0032</x:t>
  </x:si>
  <x:si>
    <x:t xml:space="preserve">Normalized MSE on divergence of subfilter flux with wet-point mask</x:t>
  </x:si>
  <x:si>
    <x:t xml:space="preserve">3.1 Eq.6; Text S3 Eq.24</x:t>
  </x:si>
  <x:si>
    <x:t xml:space="preserve">B09-0033</x:t>
  </x:si>
  <x:si>
    <x:t xml:space="preserve">boundary_conditions</x:t>
  </x:si>
  <x:si>
    <x:t xml:space="preserve">Inputs/outputs zeroed on land: zero Neumann and free-slip; coastline-adjacent points kept in loss for stability</x:t>
  </x:si>
  <x:si>
    <x:t xml:space="preserve">Text S3</x:t>
  </x:si>
  <x:si>
    <x:t xml:space="preserve">B09-0034</x:t>
  </x:si>
  <x:si>
    <x:t xml:space="preserve">16,000 iterations, each on one random 2D snapshot; 3,840 training snapshots</x:t>
  </x:si>
  <x:si>
    <x:t xml:space="preserve">Table S1; Text S3</x:t>
  </x:si>
  <x:si>
    <x:t xml:space="preserve">B09-0035</x:t>
  </x:si>
  <x:si>
    <x:t xml:space="preserve">regularization</x:t>
  </x:si>
  <x:si>
    <x:t xml:space="preserve">None (no weight decay)</x:t>
  </x:si>
  <x:si>
    <x:t xml:space="preserve">Text S3; Table S1</x:t>
  </x:si>
  <x:si>
    <x:t xml:space="preserve">B09-0036</x:t>
  </x:si>
  <x:si>
    <x:t xml:space="preserve">arXiv v6 main text + SI (Text S3, Table S1) searched</x:t>
  </x:si>
  <x:si>
    <x:t xml:space="preserve">Also learning rate, batch size, hardware not located.</x:t>
  </x:si>
  <x:si>
    <x:t xml:space="preserve">B09-0037</x:t>
  </x:si>
  <x:si>
    <x:t xml:space="preserve">GFDL MOM6 at 1/4°: NeverWorld2 (15 layers, 30000 days from rest) and OM4 ocean-sea-ice (CORE-II IAF, 1948-2007)</x:t>
  </x:si>
  <x:si>
    <x:t xml:space="preserve">B09-0038</x:t>
  </x:si>
  <x:si>
    <x:t xml:space="preserve">inference.cost</x:t>
  </x:si>
  <x:si>
    <x:t xml:space="preserve">ANN inference ≈10% of ocean model runtime (Fortran module)</x:t>
  </x:si>
  <x:si>
    <x:t xml:space="preserve">4.3; Text S4</x:t>
  </x:si>
  <x:si>
    <x:t xml:space="preserve">B09-0039</x:t>
  </x:si>
  <x:si>
    <x:t xml:space="preserve">ANN with fixed normalization coefficients</x:t>
  </x:si>
  <x:si>
    <x:t xml:space="preserve">5.1</x:t>
  </x:si>
  <x:si>
    <x:t xml:space="preserve">B09-0040</x:t>
  </x:si>
  <x:si>
    <x:t xml:space="preserve">Control, Yankovsky24, ZB20-Reynolds, Jansen/Chang backscatter</x:t>
  </x:si>
  <x:si>
    <x:t xml:space="preserve">6; Table S2</x:t>
  </x:si>
  <x:si>
    <x:t xml:space="preserve">B09-0041</x:t>
  </x:si>
  <x:si>
    <x:t xml:space="preserve">results.table_s2_example</x:t>
  </x:si>
  <x:si>
    <x:t xml:space="preserve">NW2 1/4° RMSE at 0°E: Control 52.1, Yankovsky24 27.8, ZB20-Reynolds 26.9, ANN 29.2</x:t>
  </x:si>
  <x:si>
    <x:t xml:space="preserve">Table S2</x:t>
  </x:si>
  <x:si>
    <x:t xml:space="preserve">One column shown; units not re-checked in table header.</x:t>
  </x:si>
  <x:si>
    <x:t xml:space="preserve">B09-0042</x:t>
  </x:si>
  <x:si>
    <x:t xml:space="preserve">limitations.coarse_res</x:t>
  </x:si>
  <x:si>
    <x:t xml:space="preserve">No clear improvement at 1/2°; subfilter fluxes vanish near 1° as Rossby radius unresolved</x:t>
  </x:si>
  <x:si>
    <x:t xml:space="preserve">6 Discussion</x:t>
  </x:si>
  <x:si>
    <x:t xml:space="preserve">B09-0043</x:t>
  </x:si>
  <x:si>
    <x:t xml:space="preserve">limitations.biases</x:t>
  </x:si>
  <x:si>
    <x:t xml:space="preserve">Data-driven and traditional schemes both depart substantially from observations in realistic global configs</x:t>
  </x:si>
  <x:si>
    <x:t xml:space="preserve">B09-0044</x:t>
  </x:si>
  <x:si>
    <x:t xml:space="preserve">Training algorithm, weights, MOM6 setups: Perezhogin (2025) Zenodo; data: Perezhogin et al. (2025) Zenodo</x:t>
  </x:si>
  <x:si>
    <x:t xml:space="preserve">Open Research</x:t>
  </x:si>
  <x:si>
    <x:t xml:space="preserve">B09-0045</x:t>
  </x:si>
  <x:si>
    <x:t xml:space="preserve">reproducibility.seed</x:t>
  </x:si>
  <x:si>
    <x:t xml:space="preserve">Offline R² almost insensitive to seed; online mean-flow response magnitude can vary ~50% in DG</x:t>
  </x:si>
  <x:si>
    <x:t xml:space="preserve">B09-0046</x:t>
  </x:si>
  <x:si>
    <x:t xml:space="preserve">OAI-0099</x:t>
  </x:si>
  <x:si>
    <x:t xml:space="preserve">OAI-0099:ALL</x:t>
  </x:si>
  <x:si>
    <x:t xml:space="preserve">Calibrate NN mesoscale eddy parameterization online with Ensemble Kalman Inversion to reduce mean-state and variability biases</x:t>
  </x:si>
  <x:si>
    <x:t xml:space="preserve">https://arxiv.org/pdf/2604.06398v2</x:t>
  </x:si>
  <x:si>
    <x:t xml:space="preserve">10.1029/2026GL123513</x:t>
  </x:si>
  <x:si>
    <x:t xml:space="preserve">ARXIV_V2_2026-05-17 (43 p.); published GRL version NOT compared</x:t>
  </x:si>
  <x:si>
    <x:t xml:space="preserve">Abstract; 2</x:t>
  </x:si>
  <x:si>
    <x:t xml:space="preserve">B09-0047</x:t>
  </x:si>
  <x:si>
    <x:t xml:space="preserve">GFDL MOM6 stacked shallow water at 1/2°; target = filtered/coarse-grained 1/32° run</x:t>
  </x:si>
  <x:si>
    <x:t xml:space="preserve">B09-0048</x:t>
  </x:si>
  <x:si>
    <x:t xml:space="preserve">eANN: equivariant ANN (hard rotational/reflectional invariance) on Perezhogin et al. (2025) parameterization; inputs 27 velocity-gradient features</x:t>
  </x:si>
  <x:si>
    <x:t xml:space="preserve">B09-0049</x:t>
  </x:si>
  <x:si>
    <x:t xml:space="preserve">Ensemble Transform Kalman Inversion (EnsembleKalmanProcesses.jl), gradient-free</x:t>
  </x:si>
  <x:si>
    <x:t xml:space="preserve">B09-0050</x:t>
  </x:si>
  <x:si>
    <x:t xml:space="preserve">L2 misfit of normalized time-mean interfaces and their std; equal weights; R = I</x:t>
  </x:si>
  <x:si>
    <x:t xml:space="preserve">2.4 Eq.8-9</x:t>
  </x:si>
  <x:si>
    <x:t xml:space="preserve">B09-0051</x:t>
  </x:si>
  <x:si>
    <x:t xml:space="preserve">parameters.calibrated</x:t>
  </x:si>
  <x:si>
    <x:t xml:space="preserve">14: last-layer weights/biases + scaling coefficient γ; initial ensemble ±25% perturbation</x:t>
  </x:si>
  <x:si>
    <x:t xml:space="preserve">B09-0052</x:t>
  </x:si>
  <x:si>
    <x:t xml:space="preserve">OAI-0099:DOUBLE_GYRE</x:t>
  </x:si>
  <x:si>
    <x:t xml:space="preserve">100; scheduler step δt=2</x:t>
  </x:si>
  <x:si>
    <x:t xml:space="preserve">B09-0053</x:t>
  </x:si>
  <x:si>
    <x:t xml:space="preserve">OAI-0099:NEVERWORLD2</x:t>
  </x:si>
  <x:si>
    <x:t xml:space="preserve">200 (doubled due to blow-ups); δt=0.025</x:t>
  </x:si>
  <x:si>
    <x:t xml:space="preserve">B09-0054</x:t>
  </x:si>
  <x:si>
    <x:t xml:space="preserve">training.run_length</x:t>
  </x:si>
  <x:si>
    <x:t xml:space="preserve">20 years per calibration run; 100 years for evaluation</x:t>
  </x:si>
  <x:si>
    <x:t xml:space="preserve">B09-0055</x:t>
  </x:si>
  <x:si>
    <x:t xml:space="preserve">5 years per calibration run; 30000 days for evaluation; last 800 days analyzed</x:t>
  </x:si>
  <x:si>
    <x:t xml:space="preserve">B09-0056</x:t>
  </x:si>
  <x:si>
    <x:t xml:space="preserve">training.compute</x:t>
  </x:si>
  <x:si>
    <x:t xml:space="preserve">≈1,000 CPU-core hours (1,000 simulations × 1 core-hour)</x:t>
  </x:si>
  <x:si>
    <x:t xml:space="preserve">B09-0057</x:t>
  </x:si>
  <x:si>
    <x:t xml:space="preserve">≈50,000 CPU-core hours</x:t>
  </x:si>
  <x:si>
    <x:t xml:space="preserve">B09-0058</x:t>
  </x:si>
  <x:si>
    <x:t xml:space="preserve">results.improvement</x:t>
  </x:si>
  <x:si>
    <x:t xml:space="preserve">Errors reduced ×2.2-3.3 (DG) and ×1.7 (NW2) vs unparameterized; ×1.3-2.3 (DG) and ×1.5-1.7 (NW2) vs offline-tuned</x:t>
  </x:si>
  <x:si>
    <x:t xml:space="preserve">B09-0059</x:t>
  </x:si>
  <x:si>
    <x:t xml:space="preserve">limitations.constraint</x:t>
  </x:si>
  <x:si>
    <x:t xml:space="preserve">Single-regime calibration underconstrained (overfitting risk); multi-regime overconstrained (gains concentrated in energetic region)</x:t>
  </x:si>
  <x:si>
    <x:t xml:space="preserve">B09-0060</x:t>
  </x:si>
  <x:si>
    <x:t xml:space="preserve">Calibration script, eANN weights: Perezhogin (2026a); data: Perezhogin (2026b)</x:t>
  </x:si>
  <x:si>
    <x:t xml:space="preserve">B09-0061</x:t>
  </x:si>
  <x:si>
    <x:t xml:space="preserve">Test EKI-calibrated eANN in realistic global OM4 configuration</x:t>
  </x:si>
  <x:si>
    <x:t xml:space="preserve">AI hypothesis.</x:t>
  </x:si>
  <x:si>
    <x:t xml:space="preserve">B09-0062</x:t>
  </x:si>
  <x:si>
    <x:t xml:space="preserve">OAI-0077</x:t>
  </x:si>
  <x:si>
    <x:t xml:space="preserve">OAI-0077:ALL</x:t>
  </x:si>
  <x:si>
    <x:t xml:space="preserve">Gap-filled monthly global O2 maps (0-1000 m) and deoxygenation trends from shipboard + BGC-Argo with ML</x:t>
  </x:si>
  <x:si>
    <x:t xml:space="preserve">https://archimer.ifremer.fr/doc/00942/105394/118066.pdf</x:t>
  </x:si>
  <x:si>
    <x:t xml:space="preserve">10.1029/2024JH000272</x:t>
  </x:si>
  <x:si>
    <x:t xml:space="preserve">PUBLISHED_PDF_20_PAGES (Archimer copy of JGR-MLC 1:e2024JH000272)</x:t>
  </x:si>
  <x:si>
    <x:t xml:space="preserve">B09-0063</x:t>
  </x:si>
  <x:si>
    <x:t xml:space="preserve">WOD18 bottle, CTD-O2 (1965-2020) + 1,366 BGC-Argo floats (delayed mode); 963,412 profiles (69% bottle, 17% CTD, 14% Argo)</x:t>
  </x:si>
  <x:si>
    <x:t xml:space="preserve">B09-0064</x:t>
  </x:si>
  <x:si>
    <x:t xml:space="preserve">preprocessing.qc</x:t>
  </x:si>
  <x:si>
    <x:t xml:space="preserve">WOD18 QC flag 0 only; Argo QC flags 1, 2, 8</x:t>
  </x:si>
  <x:si>
    <x:t xml:space="preserve">B09-0065</x:t>
  </x:si>
  <x:si>
    <x:t xml:space="preserve">preprocessing.gridding</x:t>
  </x:si>
  <x:si>
    <x:t xml:space="preserve">1°×1° monthly bins; upper 47 standard levels (0-1000 m)</x:t>
  </x:si>
  <x:si>
    <x:t xml:space="preserve">B09-0066</x:t>
  </x:si>
  <x:si>
    <x:t xml:space="preserve">EN4 T/S → Θ, Sa (TEOS-10), pressure, lon, lat, time, sin/cos month; optionally σθ and N² (Exp 1-6)</x:t>
  </x:si>
  <x:si>
    <x:t xml:space="preserve">2.2; 2.3; Table 1</x:t>
  </x:si>
  <x:si>
    <x:t xml:space="preserve">B09-0067</x:t>
  </x:si>
  <x:si>
    <x:t xml:space="preserve">Scikit-learn 1.3 MLP regressor and Random Forest; trained per basin (5 basins)</x:t>
  </x:si>
  <x:si>
    <x:t xml:space="preserve">2.2; 2.3</x:t>
  </x:si>
  <x:si>
    <x:t xml:space="preserve">B09-0068</x:t>
  </x:si>
  <x:si>
    <x:t xml:space="preserve">architecture.nn_grid</x:t>
  </x:si>
  <x:si>
    <x:t xml:space="preserve">Hidden layers 10x4, 20x4, 40x4, 60x4, 60-40-20-10, 20x6-10-5; L2 alpha 0.001/0.01/0.1 (18 configs)</x:t>
  </x:si>
  <x:si>
    <x:t xml:space="preserve">B09-0069</x:t>
  </x:si>
  <x:si>
    <x:t xml:space="preserve">architecture.rf_grid</x:t>
  </x:si>
  <x:si>
    <x:t xml:space="preserve">500 trees; min_samples_split 2-64; max_features 2-5 (18 configs)</x:t>
  </x:si>
  <x:si>
    <x:t xml:space="preserve">B09-0070</x:t>
  </x:si>
  <x:si>
    <x:t xml:space="preserve">Squared error (NN) + L2 penalty on weights</x:t>
  </x:si>
  <x:si>
    <x:t xml:space="preserve">B09-0071</x:t>
  </x:si>
  <x:si>
    <x:t xml:space="preserve">~80% train / ~20% test (11 of 55 years, random per basin); 5-fold decadal group CV for tuning</x:t>
  </x:si>
  <x:si>
    <x:t xml:space="preserve">2.2.1; 2.2.2; 3.2</x:t>
  </x:si>
  <x:si>
    <x:t xml:space="preserve">B09-0072</x:t>
  </x:si>
  <x:si>
    <x:t xml:space="preserve">NCAR Derecho supercomputer; 1,080 algorithms × 5 folds = 5,400 trainings</x:t>
  </x:si>
  <x:si>
    <x:t xml:space="preserve">B09-0073</x:t>
  </x:si>
  <x:si>
    <x:t xml:space="preserve">results.test</x:t>
  </x:si>
  <x:si>
    <x:t xml:space="preserve">RMSE 13-18 μmol/kg; R² ≥0.9 except Arctic 0.6-0.8; mean bias &lt;2.1 μmol/kg; RF slightly better than NN</x:t>
  </x:si>
  <x:si>
    <x:t xml:space="preserve">B09-0074</x:t>
  </x:si>
  <x:si>
    <x:t xml:space="preserve">results.trend</x:t>
  </x:si>
  <x:si>
    <x:t xml:space="preserve">Ship-only −229 ± 33 Tmol/decade; ship+Argo −358 ± 93 Tmol/decade (1970-2010)</x:t>
  </x:si>
  <x:si>
    <x:t xml:space="preserve">B09-0075</x:t>
  </x:si>
  <x:si>
    <x:t xml:space="preserve">results.argo_effect</x:t>
  </x:si>
  <x:si>
    <x:t xml:space="preserve">Trend increased by 56% with Argo; ensemble spread 0.77 → 0.47 Pmol (~40% less)</x:t>
  </x:si>
  <x:si>
    <x:t xml:space="preserve">Sec. 4 p15 also says "approximately 57% stronger"; both kept (see conflict line).</x:t>
  </x:si>
  <x:si>
    <x:t xml:space="preserve">B09-0076</x:t>
  </x:si>
  <x:si>
    <x:t xml:space="preserve">data.conflict_trend_increase</x:t>
  </x:si>
  <x:si>
    <x:t xml:space="preserve">CONFLICT: 56% (Key Points; p16) vs ~57% (p15) for same comparison</x:t>
  </x:si>
  <x:si>
    <x:t xml:space="preserve">Key Points p1; 4 p15-16</x:t>
  </x:si>
  <x:si>
    <x:t xml:space="preserve">Rounding difference; not resolved.</x:t>
  </x:si>
  <x:si>
    <x:t xml:space="preserve">B09-0077</x:t>
  </x:si>
  <x:si>
    <x:t xml:space="preserve">results.uncertainty</x:t>
  </x:si>
  <x:si>
    <x:t xml:space="preserve">Combined median uncertainty ≈13.5 μmol/kg, dominated by interpolation error</x:t>
  </x:si>
  <x:si>
    <x:t xml:space="preserve">B09-0078</x:t>
  </x:si>
  <x:si>
    <x:t xml:space="preserve">limitations.resolution</x:t>
  </x:si>
  <x:si>
    <x:t xml:space="preserve">1°×1° too coarse for coastal studies</x:t>
  </x:si>
  <x:si>
    <x:t xml:space="preserve">6 Conclusion</x:t>
  </x:si>
  <x:si>
    <x:t xml:space="preserve">B09-0079</x:t>
  </x:si>
  <x:si>
    <x:t xml:space="preserve">limitations.arctic</x:t>
  </x:si>
  <x:si>
    <x:t xml:space="preserve">Lower Arctic skill linked to skewed pre-1990 Atlantic-sector sampling and sea ice</x:t>
  </x:si>
  <x:si>
    <x:t xml:space="preserve">B09-0080</x:t>
  </x:si>
  <x:si>
    <x:t xml:space="preserve">github.com/takaito1/ML4O2 (MIT)</x:t>
  </x:si>
  <x:si>
    <x:t xml:space="preserve">B09-0081</x:t>
  </x:si>
  <x:si>
    <x:t xml:space="preserve">Zenodo 10.5281/zenodo.11129715 (CC-BY 4.0)</x:t>
  </x:si>
  <x:si>
    <x:t xml:space="preserve">B10-0001</x:t>
  </x:si>
  <x:si>
    <x:t xml:space="preserve">OAI-0089:MAIN</x:t>
  </x:si>
  <x:si>
    <x:t xml:space="preserve">data.conflict_review</x:t>
  </x:si>
  <x:si>
    <x:t xml:space="preserve">Reported counts 2667/667/660 of 3994 correspond to 66.8%/16.7%/16.5% (≈67:17:17), not 60:20:20; counts sum to 3994</x:t>
  </x:si>
  <x:si>
    <x:t xml:space="preserve">CONFLICT_REVIEW</x:t>
  </x:si>
  <x:si>
    <x:t xml:space="preserve">WORKBOOK_ROWS_B04-0310..0315</x:t>
  </x:si>
  <x:si>
    <x:t xml:space="preserve">Rows B04-0310..B04-0315</x:t>
  </x:si>
  <x:si>
    <x:t xml:space="preserve">CONFLICT_REVIEW_FROM_EXISTING_ROWS</x:t>
  </x:si>
  <x:si>
    <x:t xml:space="preserve">Arithmetic on extracted values only; source not re-read in B10; conflict remains OPEN.</x:t>
  </x:si>
  <x:si>
    <x:t xml:space="preserve">B10</x:t>
  </x:si>
  <x:si>
    <x:t xml:space="preserve">B10-0002</x:t>
  </x:si>
  <x:si>
    <x:t xml:space="preserve">Authors state OISST starts 1 Sep 1981 (Sec. 2) and training data 1981-2015 (Sec. 3.3); "1980" appears only in Conclusion. Consistent with a typo but not confirmed by authors</x:t>
  </x:si>
  <x:si>
    <x:t xml:space="preserve">PUBLISHED_PDF_14_PAGES</x:t>
  </x:si>
  <x:si>
    <x:t xml:space="preserve">2 Data used p3; 3.3 p5; 5 p11</x:t>
  </x:si>
  <x:si>
    <x:t xml:space="preserve">Conflict kept OPEN; no value overwritten.</x:t>
  </x:si>
  <x:si>
    <x:t xml:space="preserve">B10-0003</x:t>
  </x:si>
  <x:si>
    <x:t xml:space="preserve">−358/−229 = 1.563 (+56.3%) using reported ensemble means; both "56%" and "approximately 57%" are roundings of reported values</x:t>
  </x:si>
  <x:si>
    <x:t xml:space="preserve">PUBLISHED_PDF_20_PAGES</x:t>
  </x:si>
  <x:si>
    <x:t xml:space="preserve">4 p15-16</x:t>
  </x:si>
  <x:si>
    <x:t xml:space="preserve">Likely rounding difference; kept as OPEN_MINOR.</x:t>
  </x:si>
  <x:si>
    <x:t xml:space="preserve">B10-0004</x:t>
  </x:si>
  <x:si>
    <x:t xml:space="preserve">OAI-0017</x:t>
  </x:si>
  <x:si>
    <x:t xml:space="preserve">OAI-0017:REVIEW</x:t>
  </x:si>
  <x:si>
    <x:t xml:space="preserve">Review of AI/DL for atmosphere–ocean sciences: detection, reconstruction/DA, prediction at multiple timescales, post-processing, XAI, hybrid physics–AI, AI-MIP, societal use, AI agents</x:t>
  </x:si>
  <x:si>
    <x:t xml:space="preserve">https://www.ebi.ac.uk/europepmc/webservices/rest/PMC12976684/fullTextXML</x:t>
  </x:si>
  <x:si>
    <x:t xml:space="preserve">10.1093/nsr/nwag063</x:t>
  </x:si>
  <x:si>
    <x:t xml:space="preserve">PUBLISHED_VERSION_PMC12976684_FULLTEXT_XML</x:t>
  </x:si>
  <x:si>
    <x:t xml:space="preserve">Abstract; section list</x:t>
  </x:si>
  <x:si>
    <x:t xml:space="preserve">PUBLISHED_FULLTEXT_SECTIONS_READ</x:t>
  </x:si>
  <x:si>
    <x:t xml:space="preserve">Review: experiments belong to cited works, not attributed to review authors.</x:t>
  </x:si>
  <x:si>
    <x:t xml:space="preserve">B10-0005</x:t>
  </x:si>
  <x:si>
    <x:t xml:space="preserve">review.position</x:t>
  </x:si>
  <x:si>
    <x:t xml:space="preserve">Hybrid physics–AI modelling presented as most promising path for generalizability and causal consistency</x:t>
  </x:si>
  <x:si>
    <x:t xml:space="preserve">B10-0006</x:t>
  </x:si>
  <x:si>
    <x:t xml:space="preserve">review.ocean_benchmark_need</x:t>
  </x:si>
  <x:si>
    <x:t xml:space="preserve">Authors call for an AI-ocean-model benchmark with unified metrics and standardized datasets</x:t>
  </x:si>
  <x:si>
    <x:t xml:space="preserve">AI-MIP: AI-OMIP</x:t>
  </x:si>
  <x:si>
    <x:t xml:space="preserve">B10-0007</x:t>
  </x:si>
  <x:si>
    <x:t xml:space="preserve">review.evaluation_principles</x:t>
  </x:si>
  <x:si>
    <x:t xml:space="preserve">Evaluation should combine statistical skill, spatial sharpness/smoothness and physical-consistency/process tests beyond standard benchmarks</x:t>
  </x:si>
  <x:si>
    <x:t xml:space="preserve">AI-MIP: Guiding principles</x:t>
  </x:si>
  <x:si>
    <x:t xml:space="preserve">B10-0008</x:t>
  </x:si>
  <x:si>
    <x:t xml:space="preserve">review.limitations_field</x:t>
  </x:si>
  <x:si>
    <x:t xml:space="preserve">Ocean and climate AI models remain heterogeneous, complicating unified benchmarking; skill, physical consistency and explainability need rigorous assessment</x:t>
  </x:si>
  <x:si>
    <x:t xml:space="preserve">AI-MIP: Perspective</x:t>
  </x:si>
  <x:si>
    <x:t xml:space="preserve">B10-0009</x:t>
  </x:si>
  <x:si>
    <x:t xml:space="preserve">AI agents for Earth science (e.g., EarthLink copilot) as a way forward</x:t>
  </x:si>
  <x:si>
    <x:t xml:space="preserve">AI AGENTS FOR CLIMATE SCIENCE</x:t>
  </x:si>
  <x:si>
    <x:t xml:space="preserve">B10-0010</x:t>
  </x:si>
  <x:si>
    <x:t xml:space="preserve">NOT_APPLICABLE: narrative review; no own training experiment described in section list</x:t>
  </x:si>
  <x:si>
    <x:t xml:space="preserve">Section list (ABSTRACT…AI AGENTS)</x:t>
  </x:si>
  <x:si>
    <x:t xml:space="preserve">Field not applicable to a review; justification = document type.</x:t>
  </x:si>
  <x:si>
    <x:t xml:space="preserve">B10-0011</x:t>
  </x:si>
  <x:si>
    <x:t xml:space="preserve">Link OceanBench-type protocols to the AI-OMIP benchmark need stated by authors</x:t>
  </x:si>
  <x:si>
    <x:t xml:space="preserve">AI-OMIP</x:t>
  </x:si>
  <x:si>
    <x:t xml:space="preserve">B11-0001</x:t>
  </x:si>
  <x:si>
    <x:t xml:space="preserve">OAI-0045:CNN_SST_7DAY</x:t>
  </x:si>
  <x:si>
    <x:t xml:space="preserve">CNN point-by-point 7-day SST forecast for the North Indian Ocean, after EOF/correlation analysis of SST variability</x:t>
  </x:si>
  <x:si>
    <x:t xml:space="preserve">4.1; 5.2</x:t>
  </x:si>
  <x:si>
    <x:t xml:space="preserve">B11</x:t>
  </x:si>
  <x:si>
    <x:t xml:space="preserve">B11-0002</x:t>
  </x:si>
  <x:si>
    <x:t xml:space="preserve">Six day-by-day meteorological elements for the next 7 days + SST of previous day</x:t>
  </x:si>
  <x:si>
    <x:t xml:space="preserve">Authors use future-day meteorological fields as inputs (as stated).</x:t>
  </x:si>
  <x:si>
    <x:t xml:space="preserve">B11-0003</x:t>
  </x:si>
  <x:si>
    <x:t xml:space="preserve">SST for following 7 days</x:t>
  </x:si>
  <x:si>
    <x:t xml:space="preserve">B11-0004</x:t>
  </x:si>
  <x:si>
    <x:t xml:space="preserve">CNN: convolution → pooling (downsampling) → flatten → fully connected; trained point by point over NIO</x:t>
  </x:si>
  <x:si>
    <x:t xml:space="preserve">4.1; Fig. 10</x:t>
  </x:si>
  <x:si>
    <x:t xml:space="preserve">B11-0005</x:t>
  </x:si>
  <x:si>
    <x:t xml:space="preserve">B11-0006</x:t>
  </x:si>
  <x:si>
    <x:t xml:space="preserve">Mean squared error cost function</x:t>
  </x:si>
  <x:si>
    <x:t xml:space="preserve">2.2 Eq. 3</x:t>
  </x:si>
  <x:si>
    <x:t xml:space="preserve">B11-0007</x:t>
  </x:si>
  <x:si>
    <x:t xml:space="preserve">Train 2001-2020; validation 2021; test January 2022</x:t>
  </x:si>
  <x:si>
    <x:t xml:space="preserve">B11-0008</x:t>
  </x:si>
  <x:si>
    <x:t xml:space="preserve">Three error criteria incl. RMSE (Eq. 11) and MAPE (Eq. 12)</x:t>
  </x:si>
  <x:si>
    <x:t xml:space="preserve">Third criterion not captured in extracted HTML text.</x:t>
  </x:si>
  <x:si>
    <x:t xml:space="preserve">B11-0009</x:t>
  </x:si>
  <x:si>
    <x:t xml:space="preserve">results.error</x:t>
  </x:si>
  <x:si>
    <x:t xml:space="preserve">Absolute error generally within 1°C, not exceeding 0.5°C in most regions (2nd week of 2022); error grows with lead day</x:t>
  </x:si>
  <x:si>
    <x:t xml:space="preserve">4.2; 5.2</x:t>
  </x:si>
  <x:si>
    <x:t xml:space="preserve">°C</x:t>
  </x:si>
  <x:si>
    <x:t xml:space="preserve">B11-0010</x:t>
  </x:si>
  <x:si>
    <x:t xml:space="preserve">results.eof</x:t>
  </x:si>
  <x:si>
    <x:t xml:space="preserve">EOF1 28.4%, EOF2 10.1% (IOD), EOF3 7.7% (tripole); cumulative 46.2%</x:t>
  </x:si>
  <x:si>
    <x:t xml:space="preserve">5.2</x:t>
  </x:si>
  <x:si>
    <x:t xml:space="preserve">Descriptive analysis, not model result.</x:t>
  </x:si>
  <x:si>
    <x:t xml:space="preserve">B11-0011</x:t>
  </x:si>
  <x:si>
    <x:t xml:space="preserve">Main text Sections 2.2, 4.1, 4.2, 5 read in full (publisher HTML); supplementary not checked</x:t>
  </x:si>
  <x:si>
    <x:t xml:space="preserve">Also learning rate, batch size, epochs, hardware, number of layers/filters absent from main text.</x:t>
  </x:si>
  <x:si>
    <x:t xml:space="preserve">B11-0012</x:t>
  </x:si>
  <x:si>
    <x:t xml:space="preserve">Sections 4.1-4.2 and 5 read in full</x:t>
  </x:si>
  <x:si>
    <x:t xml:space="preserve">No comparison model presented in results.</x:t>
  </x:si>
  <x:si>
    <x:t xml:space="preserve">B11-0013</x:t>
  </x:si>
  <x:si>
    <x:t xml:space="preserve">limitations.data</x:t>
  </x:si>
  <x:si>
    <x:t xml:space="preserve">Model constrained by amount of data; input factors need further analysis</x:t>
  </x:si>
  <x:si>
    <x:t xml:space="preserve">B11-0014</x:t>
  </x:si>
  <x:si>
    <x:t xml:space="preserve">limitations.architecture</x:t>
  </x:si>
  <x:si>
    <x:t xml:space="preserve">CNN can be further optimized</x:t>
  </x:si>
  <x:si>
    <x:t xml:space="preserve">B11-0015</x:t>
  </x:si>
  <x:si>
    <x:t xml:space="preserve">claim_check</x:t>
  </x:si>
  <x:si>
    <x:t xml:space="preserve">Authors state the model combines numerical ocean model and data-driven model; no numerical model component is described in Sections 2.2/4</x:t>
  </x:si>
  <x:si>
    <x:t xml:space="preserve">5.1 vs 4.1</x:t>
  </x:si>
  <x:si>
    <x:t xml:space="preserve">Flag for independent audit; not a correction.</x:t>
  </x:si>
  <x:si>
    <x:t xml:space="preserve">B11-0016</x:t>
  </x:si>
  <x:si>
    <x:t xml:space="preserve">Data availability statement read; no code statement</x:t>
  </x:si>
  <x:si>
    <x:t xml:space="preserve">B11-0017</x:t>
  </x:si>
  <x:si>
    <x:t xml:space="preserve">OAI-0028:ALL</x:t>
  </x:si>
  <x:si>
    <x:t xml:space="preserve">Analog forecasting with ensemble of k nearest neighbours (kNN); not a neural network ("NN" = nearest neighbour)</x:t>
  </x:si>
  <x:si>
    <x:t xml:space="preserve">3 Method</x:t>
  </x:si>
  <x:si>
    <x:t xml:space="preserve">B11-0018</x:t>
  </x:si>
  <x:si>
    <x:t xml:space="preserve">RADS along-track altimetry (6 missions in 2023), 1 Hz (~7 km along-track)</x:t>
  </x:si>
  <x:si>
    <x:t xml:space="preserve">B11-0019</x:t>
  </x:si>
  <x:si>
    <x:t xml:space="preserve">datasets.archive_models</x:t>
  </x:si>
  <x:si>
    <x:t xml:space="preserve">OFAM3/4, LICOM3, ACCESS-OM2-01, OFES (MOM-based), 0.1° (C100 at 0.25°), daily SLA</x:t>
  </x:si>
  <x:si>
    <x:t xml:space="preserve">2.2; Table 1</x:t>
  </x:si>
  <x:si>
    <x:t xml:space="preserve">B11-0020</x:t>
  </x:si>
  <x:si>
    <x:t xml:space="preserve">OAI-0028:EXP1_FREE_RUN_ARCHIVE</x:t>
  </x:si>
  <x:si>
    <x:t xml:space="preserve">datasets.archive_size</x:t>
  </x:si>
  <x:si>
    <x:t xml:space="preserve">902 years of daily SLA from free-running runs (EISP, JRSP, Y79R, C100, AOM*, OFS*)</x:t>
  </x:si>
  <x:si>
    <x:t xml:space="preserve">Different scope from total archive (&gt;1000 years, row B05).</x:t>
  </x:si>
  <x:si>
    <x:t xml:space="preserve">B11-0021</x:t>
  </x:si>
  <x:si>
    <x:t xml:space="preserve">preprocessing.matching</x:t>
  </x:si>
  <x:si>
    <x:t xml:space="preserve">10-day sequence of along-track SLA compared to archived 10-day sequences after bilinear interpolation to obs locations</x:t>
  </x:si>
  <x:si>
    <x:t xml:space="preserve">3 Method; Fig. 3</x:t>
  </x:si>
  <x:si>
    <x:t xml:space="preserve">B11-0022</x:t>
  </x:si>
  <x:si>
    <x:t xml:space="preserve">metrics.similarity</x:t>
  </x:si>
  <x:si>
    <x:t xml:space="preserve">Anomaly cross-correlation (default) or mean absolute difference</x:t>
  </x:si>
  <x:si>
    <x:t xml:space="preserve">B11-0023</x:t>
  </x:si>
  <x:si>
    <x:t xml:space="preserve">15-day SLA forecast</x:t>
  </x:si>
  <x:si>
    <x:t xml:space="preserve">Fig. 3; 4.1</x:t>
  </x:si>
  <x:si>
    <x:t xml:space="preserve">B11-0024</x:t>
  </x:si>
  <x:si>
    <x:t xml:space="preserve">evaluation.design</x:t>
  </x:si>
  <x:si>
    <x:t xml:space="preserve">25 independent 15-day forecasts every 15 days in 2023, 12 domains of 5°×5°</x:t>
  </x:si>
  <x:si>
    <x:t xml:space="preserve">B11-0025</x:t>
  </x:si>
  <x:si>
    <x:t xml:space="preserve">OceanMAPS v4.0i (hybrid-EnKF, OFAM); verifying analysis IMOS OceanCurrent 0.2°</x:t>
  </x:si>
  <x:si>
    <x:t xml:space="preserve">2.4; 2.5</x:t>
  </x:si>
  <x:si>
    <x:t xml:space="preserve">B11-0026</x:t>
  </x:si>
  <x:si>
    <x:t xml:space="preserve">results.significance</x:t>
  </x:si>
  <x:si>
    <x:t xml:space="preserve">kNN (EqW mean or NN1) significantly smaller MAD in 5/12 domains; OMv4.0i best in 3/12</x:t>
  </x:si>
  <x:si>
    <x:t xml:space="preserve">B11-0027</x:t>
  </x:si>
  <x:si>
    <x:t xml:space="preserve">Only events with archive analogs can be forecast; relevant under climate change</x:t>
  </x:si>
  <x:si>
    <x:t xml:space="preserve">B11-0028</x:t>
  </x:si>
  <x:si>
    <x:t xml:space="preserve">limitations.scale</x:t>
  </x:si>
  <x:si>
    <x:t xml:space="preserve">Suited to regional domains; global/basin scale impractical (high dimensionality)</x:t>
  </x:si>
  <x:si>
    <x:t xml:space="preserve">B11-0029</x:t>
  </x:si>
  <x:si>
    <x:t xml:space="preserve">ablations.domain_size</x:t>
  </x:si>
  <x:si>
    <x:t xml:space="preserve">Domain sizes 3°×3° to 10°×10° tested; smaller generally more accurate; 5°×5° chosen</x:t>
  </x:si>
  <x:si>
    <x:t xml:space="preserve">B11-0030</x:t>
  </x:si>
  <x:si>
    <x:t xml:space="preserve">Data sources with URLs (RADS, ACCESS-OM2-01, OFAM, LICOM3, OFES, OceanMAPS, IMOS)</x:t>
  </x:si>
  <x:si>
    <x:t xml:space="preserve">Data availability statement</x:t>
  </x:si>
  <x:si>
    <x:t xml:space="preserve">B11-0031</x:t>
  </x:si>
  <x:si>
    <x:t xml:space="preserve">Pseudo-code given in Section 6; no code repository located in Data availability statement</x:t>
  </x:si>
  <x:si>
    <x:t xml:space="preserve">6; Data availability statement</x:t>
  </x:si>
  <x:si>
    <x:t xml:space="preserve">B11-0032</x:t>
  </x:si>
  <x:si>
    <x:t xml:space="preserve">NOT_APPLICABLE: non-parametric analog/kNN method, no gradient training</x:t>
  </x:si>
  <x:si>
    <x:t xml:space="preserve">Justification = method type.</x:t>
  </x:si>
  <x:si>
    <x:t xml:space="preserve">B11-0033</x:t>
  </x:si>
  <x:si>
    <x:t xml:space="preserve">Source re-read B11: Data Records paragraph states both "60:20:20 split" and counts 2,667/667/660 of 3,994; conflict is in the source itself</x:t>
  </x:si>
  <x:si>
    <x:t xml:space="preserve">Conflict confirmed in source; status OPEN_IN_SOURCE; values unchanged.</x:t>
  </x:si>
  <x:si>
    <x:t xml:space="preserve">B12-0001</x:t>
  </x:si>
  <x:si>
    <x:t xml:space="preserve">results.argo_effect_p15</x:t>
  </x:si>
  <x:si>
    <x:t xml:space="preserve">Ensemble-mean trend −358 ± 93 vs −229 ± 33 Tmol/decade described as "approximately 57% stronger"</x:t>
  </x:si>
  <x:si>
    <x:t xml:space="preserve">PUBLISHED_PDF_20_PAGES (Archimer copy)</x:t>
  </x:si>
  <x:si>
    <x:t xml:space="preserve">4 Assessment of Deoxygenation Trends</x:t>
  </x:si>
  <x:si>
    <x:t xml:space="preserve">B12</x:t>
  </x:si>
  <x:si>
    <x:t xml:space="preserve">B12-0002</x:t>
  </x:si>
  <x:si>
    <x:t xml:space="preserve">results.argo_effect_p18</x:t>
  </x:si>
  <x:si>
    <x:t xml:space="preserve">Same comparison (−229 ± 33 vs −358 ± 93 Tmol/decade, 1970-2010, 0-1000 m) described as "approximately 56% stronger"</x:t>
  </x:si>
  <x:si>
    <x:t xml:space="preserve">B12-0003</x:t>
  </x:si>
  <x:si>
    <x:t xml:space="preserve">results.table_s5_global</x:t>
  </x:si>
  <x:si>
    <x:t xml:space="preserve">Global O2 trend −229.30 (first row) and −358.00 (second row) Tmol/decade; AOU fraction 76.70% and 85.08%</x:t>
  </x:si>
  <x:si>
    <x:t xml:space="preserve">https://archimer.ifremer.fr/doc/00942/105394/118067.docx</x:t>
  </x:si>
  <x:si>
    <x:t xml:space="preserve">SUPPORTING_INFORMATION_DOCX (Archimer 118067.docx; published SI)</x:t>
  </x:si>
  <x:si>
    <x:t xml:space="preserve">SI docx table 5 (identified as Table S5 by order and content)</x:t>
  </x:si>
  <x:si>
    <x:t xml:space="preserve">SI_DOCX_TABLES_READ</x:t>
  </x:si>
  <x:si>
    <x:t xml:space="preserve">Row labels ship-only / ship+Argo are not printed in the table; assignment inferred from match with main-text −229/−358.</x:t>
  </x:si>
  <x:si>
    <x:t xml:space="preserve">Tmol/decade</x:t>
  </x:si>
  <x:si>
    <x:t xml:space="preserve">B12-0004</x:t>
  </x:si>
  <x:si>
    <x:t xml:space="preserve">results.table_s5_regional</x:t>
  </x:si>
  <x:si>
    <x:t xml:space="preserve">Eq. Pacific −37.53→−72.67; Eq. Indian −23.73→−41.06; South Indian −9.66→−16.02 Tmol/decade</x:t>
  </x:si>
  <x:si>
    <x:t xml:space="preserve">SI docx table 5</x:t>
  </x:si>
  <x:si>
    <x:t xml:space="preserve">B12-0005</x:t>
  </x:si>
  <x:si>
    <x:t xml:space="preserve">Using SI Table S5 unrounded values: 358.00/229.30 = 1.5613 → +56.1%. Consistent with "56%" (Key Points p1, Sec.4 p16, Sec.6 p18); "approximately 57%" (Sec.4 p15) is not consistent with these values. With integer-rounded text values alone the admissible range is 55.8–56.9%, so text values could not settle it. Regional checks: 72.67/37.53=+93.6% (reported +94%), 41.06/23.73=+73.0% (+73%), 16.02/9.66=+65.8% (+66%)</x:t>
  </x:si>
  <x:si>
    <x:t xml:space="preserve">Key Points p1; 4 p15-16; 6 p18; SI Table S5</x:t>
  </x:si>
  <x:si>
    <x:t xml:space="preserve">Supersedes B10-0003 "rounding" conclusion (kept). Status: INTERNAL_INCONSISTENCY_IN_SOURCE (p15); no author value overwritten.</x:t>
  </x:si>
  <x:si>
    <x:t xml:space="preserve">B12-0006</x:t>
  </x:si>
  <x:si>
    <x:t xml:space="preserve">architecture.nn_selected</x:t>
  </x:si>
  <x:si>
    <x:t xml:space="preserve">Selected NN per basin/Exp (hidden layers; alpha), e.g. Atlantic Exp4 60-60-60-60 α=0.1; Pacific Exp4 40x4 α=0.001; Indian Exp4 60-40-20-10 α=0.01; Southern Exp4 20x4 α=0.01; Arctic Exp4 20x4 α=0.01</x:t>
  </x:si>
  <x:si>
    <x:t xml:space="preserve">SI Table S3 (docx table 3)</x:t>
  </x:si>
  <x:si>
    <x:t xml:space="preserve">Full 30-row table in SI; only Exp4 quoted here.</x:t>
  </x:si>
  <x:si>
    <x:t xml:space="preserve">B12-0007</x:t>
  </x:si>
  <x:si>
    <x:t xml:space="preserve">architecture.rf_selected</x:t>
  </x:si>
  <x:si>
    <x:t xml:space="preserve">Selected RF (min_samples_split; max_features) Exp4: Atlantic 64;3, Pacific 32;5, Indian 2;3, Southern 2;3, Arctic 64;2</x:t>
  </x:si>
  <x:si>
    <x:t xml:space="preserve">SI Table S4 (docx table 4)</x:t>
  </x:si>
  <x:si>
    <x:t xml:space="preserve">B12-0008</x:t>
  </x:si>
  <x:si>
    <x:t xml:space="preserve">results.test_range_si</x:t>
  </x:si>
  <x:si>
    <x:t xml:space="preserve">Test RMSE in SI tables spans 10.5–18.2 μmol/kg (RF Arctic Exp6 10.5; NN Atlantic Exp4 18.2); NN bias up to +3.3 (Southern Exp1)</x:t>
  </x:si>
  <x:si>
    <x:t xml:space="preserve">SI Tables S3-S4</x:t>
  </x:si>
  <x:si>
    <x:t xml:space="preserve">μmol/kg</x:t>
  </x:si>
  <x:si>
    <x:t xml:space="preserve">B12-0009</x:t>
  </x:si>
  <x:si>
    <x:t xml:space="preserve">data.conflict_si_vs_text</x:t>
  </x:si>
  <x:si>
    <x:t xml:space="preserve">Main text 3.2 reports RMSE 13–18 μmol/kg and mean bias &lt;2.1 μmol/kg; SI tables contain RMSE 10.5–12.7 (Arctic) and bias 3.3 (NN Southern Exp1). Possibly different scope (text may exclude Arctic) — not stated</x:t>
  </x:si>
  <x:si>
    <x:t xml:space="preserve">3.2 p9 vs SI Tables S3-S4</x:t>
  </x:si>
  <x:si>
    <x:t xml:space="preserve">OPEN; no arbitration.</x:t>
  </x:si>
  <x:si>
    <x:t xml:space="preserve">B12-0010</x:t>
  </x:si>
  <x:si>
    <x:t xml:space="preserve">OAI-0015</x:t>
  </x:si>
  <x:si>
    <x:t xml:space="preserve">OAI-0015:ABSTRACT</x:t>
  </x:si>
  <x:si>
    <x:t xml:space="preserve">Review of deep-learning-based ocean forecasting (DLOF): architectures, spatiotemporal multiscales, interpretability, hybrid theory/data-driven models, datasets, benchmarks, cloud computing</x:t>
  </x:si>
  <x:si>
    <x:t xml:space="preserve">https://api.semanticscholar.org/graph/v1/paper/DOI:10.1109/TCYB.2025.3539990</x:t>
  </x:si>
  <x:si>
    <x:t xml:space="preserve">10.1109/TCYB.2025.3539990</x:t>
  </x:si>
  <x:si>
    <x:t xml:space="preserve">PUBLISHED_ABSTRACT_VIA_SEMANTIC_SCHOLAR</x:t>
  </x:si>
  <x:si>
    <x:t xml:space="preserve">Abstract only; full text not accessible after documented search (see BATCH_LOG).</x:t>
  </x:si>
  <x:si>
    <x:t xml:space="preserve">B12-0011</x:t>
  </x:si>
  <x:si>
    <x:t xml:space="preserve">DLOF anticipated as complement to numerical ocean prediction</x:t>
  </x:si>
  <x:si>
    <x:t xml:space="preserve">B12-0012</x:t>
  </x:si>
  <x:si>
    <x:t xml:space="preserve">OAI-0041</x:t>
  </x:si>
  <x:si>
    <x:t xml:space="preserve">OAI-0041:ABSTRACT</x:t>
  </x:si>
  <x:si>
    <x:t xml:space="preserve">Multiscale extended 3D-Var DA system coupled to primitive-equation model</x:t>
  </x:si>
  <x:si>
    <x:t xml:space="preserve">https://api.crossref.org/works/10.1029/2021JC017362</x:t>
  </x:si>
  <x:si>
    <x:t xml:space="preserve">10.1029/2021JC017362</x:t>
  </x:si>
  <x:si>
    <x:t xml:space="preserve">PUBLISHED_ABSTRACT_VIA_CROSSREF</x:t>
  </x:si>
  <x:si>
    <x:t xml:space="preserve">B12-0013</x:t>
  </x:si>
  <x:si>
    <x:t xml:space="preserve">2019 SWOT pre-launch in-situ field campaign ~300 km off Monterey Bay, California (independent validation)</x:t>
  </x:si>
  <x:si>
    <x:t xml:space="preserve">B12-0014</x:t>
  </x:si>
  <x:si>
    <x:t xml:space="preserve">results.steric_height</x:t>
  </x:si>
  <x:si>
    <x:t xml:space="preserve">Upper-500 m steric height reconstructed with O(1 cm) error at hourly resolution; sub-cm for periods &gt;2 days</x:t>
  </x:si>
  <x:si>
    <x:t xml:space="preserve">B12-0015</x:t>
  </x:si>
  <x:si>
    <x:t xml:space="preserve">OAI-0047</x:t>
  </x:si>
  <x:si>
    <x:t xml:space="preserve">OAI-0047:ABSTRACT</x:t>
  </x:si>
  <x:si>
    <x:t xml:space="preserve">CNN for seasonal SST prediction</x:t>
  </x:si>
  <x:si>
    <x:t xml:space="preserve">https://api.crossref.org/works/10.1002/joc.8384</x:t>
  </x:si>
  <x:si>
    <x:t xml:space="preserve">10.1002/joc.8384</x:t>
  </x:si>
  <x:si>
    <x:t xml:space="preserve">B12-0016</x:t>
  </x:si>
  <x:si>
    <x:t xml:space="preserve">Subsurface ocean temperature and salinity at 5.02, 15.08, 25.16, 35.28, 45.45, 76.55 m</x:t>
  </x:si>
  <x:si>
    <x:t xml:space="preserve">B12-0017</x:t>
  </x:si>
  <x:si>
    <x:t xml:space="preserve">results.skill</x:t>
  </x:si>
  <x:si>
    <x:t xml:space="preserve">SST predicted ~6 months ahead in most cases; global mean bias ~0–0.8 K (&lt;0.5 K open ocean); RMSE &lt;1.0 K for IPO, NAO, AMO indices; &lt;0.5 K for El Niño</x:t>
  </x:si>
  <x:si>
    <x:t xml:space="preserve">B12-0018</x:t>
  </x:si>
  <x:si>
    <x:t xml:space="preserve">OAI-0054</x:t>
  </x:si>
  <x:si>
    <x:t xml:space="preserve">OAI-0054:ABSTRACT</x:t>
  </x:si>
  <x:si>
    <x:t xml:space="preserve">MHWCorrNet: interpretable DL post-processing of ECMWF IFS S2S MHW forecasts</x:t>
  </x:si>
  <x:si>
    <x:t xml:space="preserve">https://api.crossref.org/works/10.1029/2026JH001380</x:t>
  </x:si>
  <x:si>
    <x:t xml:space="preserve">10.1029/2026JH001380</x:t>
  </x:si>
  <x:si>
    <x:t xml:space="preserve">B12-0019</x:t>
  </x:si>
  <x:si>
    <x:t xml:space="preserve">Global MHW skill +~9% at 1–6-week leads; ~15% (NH extratropics) and ~22% (SH extratropics)</x:t>
  </x:si>
  <x:si>
    <x:t xml:space="preserve">B12-0020</x:t>
  </x:si>
  <x:si>
    <x:t xml:space="preserve">OAI-0111</x:t>
  </x:si>
  <x:si>
    <x:t xml:space="preserve">OAI-0111:ABSTRACT</x:t>
  </x:si>
  <x:si>
    <x:t xml:space="preserve">SWOT-derived (geostrophic) velocity and drifter data</x:t>
  </x:si>
  <x:si>
    <x:t xml:space="preserve">https://api.crossref.org/works/10.1029/2024GL110731</x:t>
  </x:si>
  <x:si>
    <x:t xml:space="preserve">10.1029/2024GL110731</x:t>
  </x:si>
  <x:si>
    <x:t xml:space="preserve">B12-0021</x:t>
  </x:si>
  <x:si>
    <x:t xml:space="preserve">results.error_reduction</x:t>
  </x:si>
  <x:si>
    <x:t xml:space="preserve">Error between SWOT geostrophic velocity and drifter total velocity reduced by about 50% (Key Points: up to 60% at low latitudes)</x:t>
  </x:si>
  <x:si>
    <x:t xml:space="preserve">B12-0022</x:t>
  </x:si>
  <x:si>
    <x:t xml:space="preserve">OAI-0024</x:t>
  </x:si>
  <x:si>
    <x:t xml:space="preserve">OAI-0024:ABSTRACT</x:t>
  </x:si>
  <x:si>
    <x:t xml:space="preserve">50-year review of ocean colour remote sensing: spectral/spatial/temporal capabilities and core algorithms</x:t>
  </x:si>
  <x:si>
    <x:t xml:space="preserve">https://api.openalex.org/works/doi:10.1016/j.isprsjprs.2026.04.044</x:t>
  </x:si>
  <x:si>
    <x:t xml:space="preserve">10.1016/j.isprsjprs.2026.04.044</x:t>
  </x:si>
  <x:si>
    <x:t xml:space="preserve">PUBLISHED_ABSTRACT_VIA_OPENALEX</x:t>
  </x:si>
  <x:si>
    <x:t xml:space="preserve">B12-0023</x:t>
  </x:si>
  <x:si>
    <x:t xml:space="preserve">Frontiers: spaceborne lidar 3D profiling; polarization; AI for multi-source data fusion</x:t>
  </x:si>
  <x:si>
    <x:t xml:space="preserve">B12-0024</x:t>
  </x:si>
  <x:si>
    <x:t xml:space="preserve">OAI-0055</x:t>
  </x:si>
  <x:si>
    <x:t xml:space="preserve">OAI-0055:ABSTRACT</x:t>
  </x:si>
  <x:si>
    <x:t xml:space="preserve">ConvLSTM upper-ocean temperature model fused with LICOM Forecast System (LFS) using Wasserstein-distance optimization (Fusion model)</x:t>
  </x:si>
  <x:si>
    <x:t xml:space="preserve">https://api.openalex.org/works/doi:10.1016/j.aosl.2025.100690</x:t>
  </x:si>
  <x:si>
    <x:t xml:space="preserve">10.1016/j.aosl.2025.100690</x:t>
  </x:si>
  <x:si>
    <x:t xml:space="preserve">B12-0025</x:t>
  </x:si>
  <x:si>
    <x:t xml:space="preserve">Northern South China Sea; evaluation summer 2022, 10-day lead</x:t>
  </x:si>
  <x:si>
    <x:t xml:space="preserve">B12-0026</x:t>
  </x:si>
  <x:si>
    <x:t xml:space="preserve">limitations.intensity</x:t>
  </x:si>
  <x:si>
    <x:t xml:space="preserve">All models limited in forecasting MHW intensity in part of the SCS; LFS overestimates and ConvLSTM underestimates duration</x:t>
  </x:si>
  <x:si>
    <x:t xml:space="preserve">B12-0027</x:t>
  </x:si>
  <x:si>
    <x:t xml:space="preserve">OAI-0113</x:t>
  </x:si>
  <x:si>
    <x:t xml:space="preserve">OAI-0113:ABSTRACT</x:t>
  </x:si>
  <x:si>
    <x:t xml:space="preserve">Benchmark for ML downscaling of 3D coastal fields (velocity, salinity, temperature) from low-resolution surface inputs</x:t>
  </x:si>
  <x:si>
    <x:t xml:space="preserve">https://api.openalex.org/works/doi:10.1016/j.oceaneng.2026.125851</x:t>
  </x:si>
  <x:si>
    <x:t xml:space="preserve">10.1016/j.oceaneng.2026.125851</x:t>
  </x:si>
  <x:si>
    <x:t xml:space="preserve">Abstract only for the article; article body not accessible (Elsevier CC-BY but scripted access blocked).</x:t>
  </x:si>
  <x:si>
    <x:t xml:space="preserve">B12-0028</x:t>
  </x:si>
  <x:si>
    <x:t xml:space="preserve">results.summary</x:t>
  </x:si>
  <x:si>
    <x:t xml:space="preserve">DNNs with land-excluding losses outperform traditional models in moving-boundary regions; simpler models suffice for smooth temperature fields</x:t>
  </x:si>
  <x:si>
    <x:t xml:space="preserve">B12-0029</x:t>
  </x:si>
  <x:si>
    <x:t xml:space="preserve">OAI-0113:CODE_README</x:t>
  </x:si>
  <x:si>
    <x:t xml:space="preserve">German Bight 8°E–9°E, 53.75°N–54.25°N; hourly data 2020</x:t>
  </x:si>
  <x:si>
    <x:t xml:space="preserve">CODE_REPOSITORY</x:t>
  </x:si>
  <x:si>
    <x:t xml:space="preserve">https://zenodo.org/records/21470531</x:t>
  </x:si>
  <x:si>
    <x:t xml:space="preserve">10.5281/zenodo.21470531</x:t>
  </x:si>
  <x:si>
    <x:t xml:space="preserve">CODE_ZENODO_RECORD_21470531 (published 2026-06-15; zip md5 56dbc3a48c61f0a0846ab9a8a349adbe; no git commit)</x:t>
  </x:si>
  <x:si>
    <x:t xml:space="preserve">README.md</x:t>
  </x:si>
  <x:si>
    <x:t xml:space="preserve">CODE_FILES_READ_NOT_EXECUTED</x:t>
  </x:si>
  <x:si>
    <x:t xml:space="preserve">B12-0030</x:t>
  </x:si>
  <x:si>
    <x:t xml:space="preserve">75% train / 25% test</x:t>
  </x:si>
  <x:si>
    <x:t xml:space="preserve">B12-0031</x:t>
  </x:si>
  <x:si>
    <x:t xml:space="preserve">Input 8×8 (1/8°×1/16°) surface; target 128×128 (1/128°×1/256°) 3D in 3 layers; factor 16</x:t>
  </x:si>
  <x:si>
    <x:t xml:space="preserve">B12-0032</x:t>
  </x:si>
  <x:si>
    <x:t xml:space="preserve">architecture.models</x:t>
  </x:si>
  <x:si>
    <x:t xml:space="preserve">Linear regression, random forest, MLP, SRCNN, SRResNet, SRUNet, SwinIR</x:t>
  </x:si>
  <x:si>
    <x:t xml:space="preserve">B12-0033</x:t>
  </x:si>
  <x:si>
    <x:t xml:space="preserve">NN models: average of checkpoints from last 20 epochs</x:t>
  </x:si>
  <x:si>
    <x:t xml:space="preserve">B12-0034</x:t>
  </x:si>
  <x:si>
    <x:t xml:space="preserve">loss.mask</x:t>
  </x:si>
  <x:si>
    <x:t xml:space="preserve">Optional land-exclusion in loss via loss_pxl_mask=True (e.g., res_lossmk.py)</x:t>
  </x:si>
  <x:si>
    <x:t xml:space="preserve">B12-0035</x:t>
  </x:si>
  <x:si>
    <x:t xml:space="preserve">OAI-0113:CODE_CONFIG_SRResNet_res.py</x:t>
  </x:si>
  <x:si>
    <x:t xml:space="preserve">training.config_res_py</x:t>
  </x:si>
  <x:si>
    <x:t xml:space="preserve">Adam lr=1e-4, b1=0.9, b2=0.999; N_epochs=100; batch_size=12; kloss=2 (MSE); residual_blocks=4; kernel 3; 64 channels; 3 repeated runs</x:t>
  </x:si>
  <x:si>
    <x:t xml:space="preserve">CODE_CONFIG_NOT_LINKED_TO_PAPER_RESULT</x:t>
  </x:si>
  <x:si>
    <x:t xml:space="preserve">SRResNet/scripts/parafiles/res.py</x:t>
  </x:si>
  <x:si>
    <x:t xml:space="preserve">Several variant configs exist (res1, resL, resLL, res_exp, res_lossmk); which produced reported results not established without the article.</x:t>
  </x:si>
  <x:si>
    <x:t xml:space="preserve">B12-0036</x:t>
  </x:si>
  <x:si>
    <x:t xml:space="preserve">Code on Zenodo 10.5281/zenodo.21470531 (CC-BY-4.0); data Zenodo 10.5281/zenodo.17006043 (CC-BY-4.0)</x:t>
  </x:si>
  <x:si>
    <x:t xml:space="preserve">Zenodo metadata</x:t>
  </x:si>
  <x:si>
    <x:t xml:space="preserve">B13-0001</x:t>
  </x:si>
  <x:si>
    <x:t xml:space="preserve">OAI-0100:CODE_DEFAULTS</x:t>
  </x:si>
  <x:si>
    <x:t xml:space="preserve">https://zenodo.org/records/16056926</x:t>
  </x:si>
  <x:si>
    <x:t xml:space="preserve">10.5281/zenodo.16056926</x:t>
  </x:si>
  <x:si>
    <x:t xml:space="preserve">CODE_ZENODO_v1.5 (2025-07-17; GitHub m2lines/ANN-momentum-mesoscale tag v1.5, archive folder commit 1a2de96; zip md5 32d66377199647f72a210e4ccf724e13; Apache-2.0)</x:t>
  </x:si>
  <x:si>
    <x:t xml:space="preserve">src/training-on-CM2.6/helpers/train_ann_fluxes.py L117; train_ann.py L117</x:t>
  </x:si>
  <x:si>
    <x:t xml:space="preserve">Code default/launcher value; not stated in paper; link to the configuration behind reported results not established.</x:t>
  </x:si>
  <x:si>
    <x:t xml:space="preserve">B13</x:t>
  </x:si>
  <x:si>
    <x:t xml:space="preserve">B13-0002</x:t>
  </x:si>
  <x:si>
    <x:t xml:space="preserve">1e-3 (default of train_ANN_fluxes and --learning_rate argument)</x:t>
  </x:si>
  <x:si>
    <x:t xml:space="preserve">helpers/train_ann_fluxes.py L43; scripts/train_script_fluxes.py L31</x:t>
  </x:si>
  <x:si>
    <x:t xml:space="preserve">B13-0003</x:t>
  </x:si>
  <x:si>
    <x:t xml:space="preserve">MultiStepLR, milestones at 1/2, 3/4, 7/8 of time_iters, gamma=0.1</x:t>
  </x:si>
  <x:si>
    <x:t xml:space="preserve">helpers/train_ann_fluxes.py L118-119</x:t>
  </x:si>
  <x:si>
    <x:t xml:space="preserve">B13-0004</x:t>
  </x:si>
  <x:si>
    <x:t xml:space="preserve">training.time_iters</x:t>
  </x:si>
  <x:si>
    <x:t xml:space="preserve">--time_iters default 400; each time iteration loops over all (factor, depth) pairs (random permutation) and augmentation transforms</x:t>
  </x:si>
  <x:si>
    <x:t xml:space="preserve">scripts/train_script_fluxes.py L29; helpers/train_ann_fluxes.py L98-130</x:t>
  </x:si>
  <x:si>
    <x:t xml:space="preserve">Code default/launcher value; not stated in paper; link to the configuration behind reported results not established. Relation to "16000 iterations" (Table S1) not asserted.</x:t>
  </x:si>
  <x:si>
    <x:t xml:space="preserve">B13-0005</x:t>
  </x:si>
  <x:si>
    <x:t xml:space="preserve">datasets.code_defaults</x:t>
  </x:si>
  <x:si>
    <x:t xml:space="preserve">Defaults factors [4,9,12,15], depth_idx 0-9, FGR 3, features sh_xy, sh_xx, rel_vort, stencil 3, symmetries All</x:t>
  </x:si>
  <x:si>
    <x:t xml:space="preserve">scripts/train_script_fluxes.py L19-28</x:t>
  </x:si>
  <x:si>
    <x:t xml:space="preserve">B13-0006</x:t>
  </x:si>
  <x:si>
    <x:t xml:space="preserve">Launcher uses singularity CUDA 11.6 container with --nv (GPU)</x:t>
  </x:si>
  <x:si>
    <x:t xml:space="preserve">src/training-on-CM2.6/scripts/launcher.sh</x:t>
  </x:si>
  <x:si>
    <x:t xml:space="preserve">Launcher environment only; GPU model not stated.</x:t>
  </x:si>
  <x:si>
    <x:t xml:space="preserve">B13-0007</x:t>
  </x:si>
  <x:si>
    <x:t xml:space="preserve">Paper arXiv v6 Table S1/Text S3 do not state optimizer; B09-0036 NOT_REPORTED remains valid for the paper text; optimizer is now documented from code only</x:t>
  </x:si>
  <x:si>
    <x:t xml:space="preserve">B09-0036 vs code</x:t>
  </x:si>
  <x:si>
    <x:t xml:space="preserve">Different source types kept separate; no fusion.</x:t>
  </x:si>
  <x:si>
    <x:t xml:space="preserve">B14-0001</x:t>
  </x:si>
  <x:si>
    <x:t xml:space="preserve">data.si_table_captions</x:t>
  </x:si>
  <x:si>
    <x:t xml:space="preserve">SI captions: Table S3/S4 = results of re-trained NN/RF with optimal hyperparameters per basin and Exp (bias, RMSE, R²); Table S5 light-blue rows = ship-only ensemble mean, light-red rows = ship+Argo</x:t>
  </x:si>
  <x:si>
    <x:t xml:space="preserve">SUPPORTING_INFORMATION_DOCX (Archimer 118067.docx)</x:t>
  </x:si>
  <x:si>
    <x:t xml:space="preserve">SI captions (Supplementary Tables 3-5)</x:t>
  </x:si>
  <x:si>
    <x:t xml:space="preserve">B14</x:t>
  </x:si>
  <x:si>
    <x:t xml:space="preserve">B14-0002</x:t>
  </x:si>
  <x:si>
    <x:t xml:space="preserve">data.si_region_definition</x:t>
  </x:si>
  <x:si>
    <x:t xml:space="preserve">Table S5 caption: Arctic north of 60°N; Southern Ocean "southward of 50°N" (as printed)</x:t>
  </x:si>
  <x:si>
    <x:t xml:space="preserve">SI Table 5 caption</x:t>
  </x:si>
  <x:si>
    <x:t xml:space="preserve">"50°N" as printed; possibly a typo for 50°S — not corrected.</x:t>
  </x:si>
  <x:si>
    <x:t xml:space="preserve">B14-0003</x:t>
  </x:si>
  <x:si>
    <x:t xml:space="preserve">Scope check: Sec. 3.2 (p9) states test-data metrics "are listed in Table S3 and S4"; captions confirm same objects (re-trained optimal algorithms, 5 basins × Exp1–6 × NN/RF = 60 rows). Against text: |bias| max 3.3 (NN Southern Exp1) &gt; "less than 2.1 for all algorithms"; −2.1 (NN Atlantic Exp1) equals the bound; RMSE outside 13–18 in 8/60 rows: 7 Arctic (10.5–12.7) + NN Atlantic Exp4 18.2; Arctic R² up to 0.81 vs "0.6–0.8". Text sentence on 13–18 does not exclude Arctic explicitly</x:t>
  </x:si>
  <x:si>
    <x:t xml:space="preserve">3.2 p9; SI Tables S3–S4</x:t>
  </x:si>
  <x:si>
    <x:t xml:space="preserve">Same scope confirmed → bias statement contradicted by one SI value (3.3); RMSE range contradicted mainly by Arctic rows (possibly an unstated exclusion) and one marginal 18.2. Status OPEN (text vs SI), not resolved by rounding. Supersedes nothing; complements B12-0010.</x:t>
  </x:si>
  <x:si>
    <x:t xml:space="preserve">B14-0004</x:t>
  </x:si>
  <x:si>
    <x:t xml:space="preserve">results.table_s5_assignment</x:t>
  </x:si>
  <x:si>
    <x:t xml:space="preserve">Row assignment ship-only (first) / ship+Argo (second) confirmed by SI caption colour legend</x:t>
  </x:si>
  <x:si>
    <x:t xml:space="preserve">Replaces the inference flagged in B12-0004 note (kept).</x:t>
  </x:si>
  <x:si>
    <x:t xml:space="preserve">B14-0005</x:t>
  </x:si>
  <x:si>
    <x:t xml:space="preserve">reproducibility.supplementary</x:t>
  </x:si>
  <x:si>
    <x:t xml:space="preserve">NOT_EXTRACTED: Supplementary Figures S1–S8/Tables S1–S2 cited in text, but no ESM/supplement link found in fetched article HTML nor in Crossref links</x:t>
  </x:si>
  <x:si>
    <x:t xml:space="preserve">Article HTML; Crossref /works links</x:t>
  </x:si>
  <x:si>
    <x:t xml:space="preserve">B14 attempt; ask for SI file if needed.</x:t>
  </x:si>
  <x:si>
    <x:t xml:space="preserve">B14-0006</x:t>
  </x:si>
  <x:si>
    <x:t xml:space="preserve">architecture.eann</x:t>
  </x:si>
  <x:si>
    <x:t xml:space="preserve">eANN: 27 inputs, 3 outputs, 1 hidden layer, 64 neurons; first/last layer 1792/195 parameters; equivariant free parameters 76/13</x:t>
  </x:si>
  <x:si>
    <x:t xml:space="preserve">ARXIV_V2_2026-05-17 (SI pages 20–41 of PDF); published GRL SI NOT compared</x:t>
  </x:si>
  <x:si>
    <x:t xml:space="preserve">PREPRINT_SI_READ</x:t>
  </x:si>
  <x:si>
    <x:t xml:space="preserve">B14-0007</x:t>
  </x:si>
  <x:si>
    <x:t xml:space="preserve">architecture.baseline_ann</x:t>
  </x:si>
  <x:si>
    <x:t xml:space="preserve">Perezhogin et al. (2025) online ANN: 1 hidden layer, 20 neurons; first/last layer 560/63 parameters</x:t>
  </x:si>
  <x:si>
    <x:t xml:space="preserve">B14-0008</x:t>
  </x:si>
  <x:si>
    <x:t xml:space="preserve">architecture.equivariance</x:t>
  </x:si>
  <x:si>
    <x:t xml:space="preserve">Equivariant steerable CNN (escnn 1.0.11), group D8 (rotations by 45° multiples + reflections); converted to regular ANN for MOM6 (weights file only)</x:t>
  </x:si>
  <x:si>
    <x:t xml:space="preserve">Text S1; Text S3</x:t>
  </x:si>
  <x:si>
    <x:t xml:space="preserve">B14-0009</x:t>
  </x:si>
  <x:si>
    <x:t xml:space="preserve">preprocessing.interface_normalization</x:t>
  </x:si>
  <x:si>
    <x:t xml:space="preserve">Interface anomalies scaled by reduced-gravity ratio g′/g (and 1/(nz−1) for multi-layer); free surface not normalized</x:t>
  </x:si>
  <x:si>
    <x:t xml:space="preserve">Text S4</x:t>
  </x:si>
  <x:si>
    <x:t xml:space="preserve">B14-0010</x:t>
  </x:si>
  <x:si>
    <x:t xml:space="preserve">parameters.calibrated_values</x:t>
  </x:si>
  <x:si>
    <x:t xml:space="preserve">Calibrated γ: offline 1.00; DG 1.08; NW2 0.88 (plus 12 weights and 1 bias listed)</x:t>
  </x:si>
  <x:si>
    <x:t xml:space="preserve">B14-0011</x:t>
  </x:si>
  <x:si>
    <x:t xml:space="preserve">parameters.prior</x:t>
  </x:si>
  <x:si>
    <x:t xml:space="preserve">Initial ensemble ~ Normal(offline values, STD): weights 25% of std over parameters (0.18); bias and γ 25% of |value| (0.04, 0.25)</x:t>
  </x:si>
  <x:si>
    <x:t xml:space="preserve">Table S2 caption</x:t>
  </x:si>
  <x:si>
    <x:t xml:space="preserve">B14-0012</x:t>
  </x:si>
  <x:si>
    <x:t xml:space="preserve">results.rmse_t60_fig2b</x:t>
  </x:si>
  <x:si>
    <x:t xml:space="preserve">RMSE at t+60 (panel titles): temperature 0.593, salinity 0.279, eastward velocity 0.095, northward velocity 0.089, SSH 0.066, MLD 26.655</x:t>
  </x:si>
  <x:si>
    <x:t xml:space="preserve">ARXIV_V1_2026-09-08</x:t>
  </x:si>
  <x:si>
    <x:t xml:space="preserve">Figure 2b panel titles</x:t>
  </x:si>
  <x:si>
    <x:t xml:space="preserve">PDF_FIGURE_READ_VISUALLY</x:t>
  </x:si>
  <x:si>
    <x:t xml:space="preserve">Read visually from rasterized figure (220 dpi). Units per colorbar: °C, (salinity scale label ambiguous), m/s, m/s, m, m. Spatial/depth aggregation of these scalars not stated in caption. Test set 2019–2021; variant assumed Neptune-1 because Sec. 3 intro evaluates Neptune-1 (not stated in caption).</x:t>
  </x:si>
  <x:si>
    <x:t xml:space="preserve">B14-0013</x:t>
  </x:si>
  <x:si>
    <x:t xml:space="preserve">results.rmse_vs_climatology_fig2a</x:t>
  </x:si>
  <x:si>
    <x:t xml:space="preserve">Scorecard: RMSE difference vs daily climatology negative (Neptune better) for most variables/depths over t+10…t+60; positive values appear for velocities and MLD at longer leads</x:t>
  </x:si>
  <x:si>
    <x:t xml:space="preserve">Figure 2a; Sec. 3.1.1</x:t>
  </x:si>
  <x:si>
    <x:t xml:space="preserve">Qualitative reading of colour scorecard; no cell values printed.</x:t>
  </x:si>
  <x:si>
    <x:t xml:space="preserve">B14-0014</x:t>
  </x:si>
  <x:si>
    <x:t xml:space="preserve">OAI-0064:MAIN</x:t>
  </x:si>
  <x:si>
    <x:t xml:space="preserve">applicability.rl</x:t>
  </x:si>
  <x:si>
    <x:t xml:space="preserve">NOT_APPLICABLE_SOURCE_CHECKED: "SAC" = Soft Attention + Context vector with ConvLSTM encoder–decoder (supervised forecasting), not Soft Actor-Critic; no RL component in Methods</x:t>
  </x:si>
  <x:si>
    <x:t xml:space="preserve">APPLICABILITY_REVIEW</x:t>
  </x:si>
  <x:si>
    <x:t xml:space="preserve">10.3389/fmars.2024.1424714</x:t>
  </x:si>
  <x:si>
    <x:t xml:space="preserve">3.1 Soft attention; 3.2 Context vector; 3.4 SAC-ConvLSTM</x:t>
  </x:si>
  <x:si>
    <x:t xml:space="preserve">Keyword hits were substrings (e.g., "factor").</x:t>
  </x:si>
  <x:si>
    <x:t xml:space="preserve">B14-0015</x:t>
  </x:si>
  <x:si>
    <x:t xml:space="preserve">NOT_APPLICABLE_SOURCE_CHECKED for own experiments (narrative review, none). "Agents" refers to AI agent systems (EarthLink copilot: plans, writes code, synthesizes reports), not RL agents; RL itself appears only as a DL family mention (reward maximization, ref. 37)</x:t>
  </x:si>
  <x:si>
    <x:t xml:space="preserve">AI AGENTS FOR CLIMATE SCIENCE; AI DL VERSUS PHYSICS-BASED… (DL)</x:t>
  </x:si>
  <x:si>
    <x:t xml:space="preserve">RL coverage in cited literature not assessed.</x:t>
  </x:si>
  <x:si>
    <x:t xml:space="preserve">B15-0001</x:t>
  </x:si>
  <x:si>
    <x:t xml:space="preserve">OAI-0005:ALL</x:t>
  </x:si>
  <x:si>
    <x:t xml:space="preserve">FourCastNet (AFNO + ViT, one-step x_i→x_{i+1}) and Latent DeepONet (one-shot mapping x_1→{x_1…x_N})</x:t>
  </x:si>
  <x:si>
    <x:t xml:space="preserve">https://arxiv.org/pdf/2308.11814v1</x:t>
  </x:si>
  <x:si>
    <x:t xml:space="preserve">10.48550/arXiv.2308.11814</x:t>
  </x:si>
  <x:si>
    <x:t xml:space="preserve">ARXIV_V1_2023-08-22 (9 p.); published OCEANS 2023 IEEE version NOT compared</x:t>
  </x:si>
  <x:si>
    <x:t xml:space="preserve">II; II-A (p2–3)</x:t>
  </x:si>
  <x:si>
    <x:t xml:space="preserve">B15</x:t>
  </x:si>
  <x:si>
    <x:t xml:space="preserve">B15-0002</x:t>
  </x:si>
  <x:si>
    <x:t xml:space="preserve">OAI-0005:FPC_FCN</x:t>
  </x:si>
  <x:si>
    <x:t xml:space="preserve">datasets.fpc</x:t>
  </x:si>
  <x:si>
    <x:t xml:space="preserve">2D flow past cylinder (MIT-MSEAS 2.29 FV solver); 500 s simulated, snapshots every 0.01 s from t=50 s: 45,000 snapshots 50×100×2 (u,v in m/s)</x:t>
  </x:si>
  <x:si>
    <x:t xml:space="preserve">III</x:t>
  </x:si>
  <x:si>
    <x:t xml:space="preserve">B15-0003</x:t>
  </x:si>
  <x:si>
    <x:t xml:space="preserve">25,000 train / 10,000 validation / 10,000 prediction snapshots</x:t>
  </x:si>
  <x:si>
    <x:t xml:space="preserve">II-B</x:t>
  </x:si>
  <x:si>
    <x:t xml:space="preserve">B15-0004</x:t>
  </x:si>
  <x:si>
    <x:t xml:space="preserve">Global batch 2</x:t>
  </x:si>
  <x:si>
    <x:t xml:space="preserve">B15-0005</x:t>
  </x:si>
  <x:si>
    <x:t xml:space="preserve">patch 2×2</x:t>
  </x:si>
  <x:si>
    <x:t xml:space="preserve">B15-0006</x:t>
  </x:si>
  <x:si>
    <x:t xml:space="preserve">architecture.afno_depth</x:t>
  </x:si>
  <x:si>
    <x:t xml:space="preserve">AFNO depth 3</x:t>
  </x:si>
  <x:si>
    <x:t xml:space="preserve">B15-0007</x:t>
  </x:si>
  <x:si>
    <x:t xml:space="preserve">architecture.embedding_dim</x:t>
  </x:si>
  <x:si>
    <x:t xml:space="preserve">embedding 96</x:t>
  </x:si>
  <x:si>
    <x:t xml:space="preserve">B15-0008</x:t>
  </x:si>
  <x:si>
    <x:t xml:space="preserve">L2-norm loss</x:t>
  </x:si>
  <x:si>
    <x:t xml:space="preserve">B15-0009</x:t>
  </x:si>
  <x:si>
    <x:t xml:space="preserve">150–200 epochs</x:t>
  </x:si>
  <x:si>
    <x:t xml:space="preserve">B15-0010</x:t>
  </x:si>
  <x:si>
    <x:t xml:space="preserve">OAI-0005:FPC_LDON</x:t>
  </x:si>
  <x:si>
    <x:t xml:space="preserve">Latent dim 16</x:t>
  </x:si>
  <x:si>
    <x:t xml:space="preserve">B15-0011</x:t>
  </x:si>
  <x:si>
    <x:t xml:space="preserve">batch 2</x:t>
  </x:si>
  <x:si>
    <x:t xml:space="preserve">B15-0012</x:t>
  </x:si>
  <x:si>
    <x:t xml:space="preserve">architecture.final_hidden_p</x:t>
  </x:si>
  <x:si>
    <x:t xml:space="preserve">final hidden layer p=4</x:t>
  </x:si>
  <x:si>
    <x:t xml:space="preserve">B15-0013</x:t>
  </x:si>
  <x:si>
    <x:t xml:space="preserve">B15-0014</x:t>
  </x:si>
  <x:si>
    <x:t xml:space="preserve">1000 epochs</x:t>
  </x:si>
  <x:si>
    <x:t xml:space="preserve">B15-0015</x:t>
  </x:si>
  <x:si>
    <x:t xml:space="preserve">training.other_hyperparameters</x:t>
  </x:si>
  <x:si>
    <x:t xml:space="preserve">other hyperparameters as Kontolati et al. [4]</x:t>
  </x:si>
  <x:si>
    <x:t xml:space="preserve">B15-0016</x:t>
  </x:si>
  <x:si>
    <x:t xml:space="preserve">OAI-0005:MAB_FCN_RUN246</x:t>
  </x:si>
  <x:si>
    <x:t xml:space="preserve">datasets.mab</x:t>
  </x:si>
  <x:si>
    <x:t xml:space="preserve">MSEAS-PE data-assimilative reanalysis (SW06/AWACS 2006), 3 km regional domain; hourly Aug 14–Sep 24 2006; 959 usable snapshots 2×150×174 (u,v cm/s)</x:t>
  </x:si>
  <x:si>
    <x:t xml:space="preserve">IV-A1</x:t>
  </x:si>
  <x:si>
    <x:t xml:space="preserve">B15-0017</x:t>
  </x:si>
  <x:si>
    <x:t xml:space="preserve">600 train / 200 validation / 159 prediction snapshots</x:t>
  </x:si>
  <x:si>
    <x:t xml:space="preserve">B15-0018</x:t>
  </x:si>
  <x:si>
    <x:t xml:space="preserve">Global batch 1</x:t>
  </x:si>
  <x:si>
    <x:t xml:space="preserve">B15-0019</x:t>
  </x:si>
  <x:si>
    <x:t xml:space="preserve">patch 3×3</x:t>
  </x:si>
  <x:si>
    <x:t xml:space="preserve">B15-0020</x:t>
  </x:si>
  <x:si>
    <x:t xml:space="preserve">AFNO depth 10</x:t>
  </x:si>
  <x:si>
    <x:t xml:space="preserve">B15-0021</x:t>
  </x:si>
  <x:si>
    <x:t xml:space="preserve">embedding 640</x:t>
  </x:si>
  <x:si>
    <x:t xml:space="preserve">B15-0022</x:t>
  </x:si>
  <x:si>
    <x:t xml:space="preserve">B15-0023</x:t>
  </x:si>
  <x:si>
    <x:t xml:space="preserve">~150–200 epochs</x:t>
  </x:si>
  <x:si>
    <x:t xml:space="preserve">B15-0024</x:t>
  </x:si>
  <x:si>
    <x:t xml:space="preserve">lr, sparsity threshold, MLP ratio as original FCN</x:t>
  </x:si>
  <x:si>
    <x:t xml:space="preserve">B15-0025</x:t>
  </x:si>
  <x:si>
    <x:t xml:space="preserve">ablations.sensitivity</x:t>
  </x:si>
  <x:si>
    <x:t xml:space="preserve">Sensitivity over batch 1–12, patch 2×2–6×6, depth 10–25, embedding 384–768, loss, epochs; tuning patch size and larger embedding gave best results</x:t>
  </x:si>
  <x:si>
    <x:t xml:space="preserve">B15-0026</x:t>
  </x:si>
  <x:si>
    <x:t xml:space="preserve">results.rmse</x:t>
  </x:si>
  <x:si>
    <x:t xml:space="preserve">RMSE of ten better FCN forecasts over 0–29 h; local errors ~5–50% of variability after 29 h</x:t>
  </x:si>
  <x:si>
    <x:t xml:space="preserve">IV-A2; Fig. 2</x:t>
  </x:si>
  <x:si>
    <x:t xml:space="preserve">B15-0027</x:t>
  </x:si>
  <x:si>
    <x:t xml:space="preserve">OAI-0005:MB_FCN_RUN264</x:t>
  </x:si>
  <x:si>
    <x:t xml:space="preserve">datasets.mb</x:t>
  </x:si>
  <x:si>
    <x:t xml:space="preserve">MSEAS-PE 333 m (266×451) Massachusetts Bay reanalysis Aug 11–Sep 13 2019 hourly; 733 usable snapshots 2×450×264</x:t>
  </x:si>
  <x:si>
    <x:t xml:space="preserve">IV-B1</x:t>
  </x:si>
  <x:si>
    <x:t xml:space="preserve">B15-0028</x:t>
  </x:si>
  <x:si>
    <x:t xml:space="preserve">400 train / 100 validation / 233 prediction snapshots</x:t>
  </x:si>
  <x:si>
    <x:t xml:space="preserve">B15-0029</x:t>
  </x:si>
  <x:si>
    <x:t xml:space="preserve">Global batch 6</x:t>
  </x:si>
  <x:si>
    <x:t xml:space="preserve">B15-0030</x:t>
  </x:si>
  <x:si>
    <x:t xml:space="preserve">B15-0031</x:t>
  </x:si>
  <x:si>
    <x:t xml:space="preserve">B15-0032</x:t>
  </x:si>
  <x:si>
    <x:t xml:space="preserve">embedding 384</x:t>
  </x:si>
  <x:si>
    <x:t xml:space="preserve">B15-0033</x:t>
  </x:si>
  <x:si>
    <x:t xml:space="preserve">Most local errors within 1–50% of variability after 29 h; intensification over Stellwagen Bank underestimated</x:t>
  </x:si>
  <x:si>
    <x:t xml:space="preserve">IV-B2; Fig. 4</x:t>
  </x:si>
  <x:si>
    <x:t xml:space="preserve">B15-0034</x:t>
  </x:si>
  <x:si>
    <x:t xml:space="preserve">limitations.inputs</x:t>
  </x:si>
  <x:si>
    <x:t xml:space="preserve">Winds not included in FCN inputs; effects learned only indirectly</x:t>
  </x:si>
  <x:si>
    <x:t xml:space="preserve">IV-B2</x:t>
  </x:si>
  <x:si>
    <x:t xml:space="preserve">B15-0035</x:t>
  </x:si>
  <x:si>
    <x:t xml:space="preserve">data.caption_check</x:t>
  </x:si>
  <x:si>
    <x:t xml:space="preserve">Fig. 4 caption (MB) states "ten MAB training-runs" — possibly a typo for MB</x:t>
  </x:si>
  <x:si>
    <x:t xml:space="preserve">Fig. 4 caption</x:t>
  </x:si>
  <x:si>
    <x:t xml:space="preserve">Not corrected.</x:t>
  </x:si>
  <x:si>
    <x:t xml:space="preserve">B15-0036</x:t>
  </x:si>
  <x:si>
    <x:t xml:space="preserve">Full arXiv v1 text read (Sections I–V)</x:t>
  </x:si>
  <x:si>
    <x:t xml:space="preserve">Only "stochastic gradient descents" (generic) and "as original FCN" stated.</x:t>
  </x:si>
  <x:si>
    <x:t xml:space="preserve">B15-0037</x:t>
  </x:si>
  <x:si>
    <x:t xml:space="preserve">Full arXiv v1 text read incl. Acknowledgments</x:t>
  </x:si>
  <x:si>
    <x:t xml:space="preserve">B15-0038</x:t>
  </x:si>
  <x:si>
    <x:t xml:space="preserve">OAI-0026:XIHE</x:t>
  </x:si>
  <x:si>
    <x:t xml:space="preserve">SST, SSH; T, S, U, V on 23 levels (0.49–643.57 m); U10, V10</x:t>
  </x:si>
  <x:si>
    <x:t xml:space="preserve">https://arxiv.org/pdf/2402.02995v4</x:t>
  </x:si>
  <x:si>
    <x:t xml:space="preserve">10.48550/arXiv.2402.02995</x:t>
  </x:si>
  <x:si>
    <x:t xml:space="preserve">ARXIV_V4_2024-10-22 (18 p.); published version NOT compared</x:t>
  </x:si>
  <x:si>
    <x:t xml:space="preserve">B15-0039</x:t>
  </x:si>
  <x:si>
    <x:t xml:space="preserve">T, S, U, V on 23 levels + SSH (94 channels), 1/12° grid 4320×2041</x:t>
  </x:si>
  <x:si>
    <x:t xml:space="preserve">B15-0040</x:t>
  </x:si>
  <x:si>
    <x:t xml:space="preserve">architecture.structure</x:t>
  </x:si>
  <x:si>
    <x:t xml:space="preserve">Hierarchical transformer: patch partition, ocean-specific blocks (local window + global SIE modules), patch restoration; land-ocean masks M1 (blocks 1,5) and M2 (blocks 2–4)</x:t>
  </x:si>
  <x:si>
    <x:t xml:space="preserve">B15-0041</x:t>
  </x:si>
  <x:si>
    <x:t xml:space="preserve">Non-autoregressive: separate prediction per lead τ directly from X_t</x:t>
  </x:si>
  <x:si>
    <x:t xml:space="preserve">4.4 Optimization Details</x:t>
  </x:si>
  <x:si>
    <x:t xml:space="preserve">B15-0042</x:t>
  </x:si>
  <x:si>
    <x:t xml:space="preserve">MSE over grid points and output variables (Eq. 9)</x:t>
  </x:si>
  <x:si>
    <x:t xml:space="preserve">B15-0043</x:t>
  </x:si>
  <x:si>
    <x:t xml:space="preserve">50 epochs</x:t>
  </x:si>
  <x:si>
    <x:t xml:space="preserve">B15-0044</x:t>
  </x:si>
  <x:si>
    <x:t xml:space="preserve">batch size 1 per GPU</x:t>
  </x:si>
  <x:si>
    <x:t xml:space="preserve">B15-0045</x:t>
  </x:si>
  <x:si>
    <x:t xml:space="preserve">AdamW β1=0.9, β2=0.95</x:t>
  </x:si>
  <x:si>
    <x:t xml:space="preserve">B15-0046</x:t>
  </x:si>
  <x:si>
    <x:t xml:space="preserve">lr 5e-5</x:t>
  </x:si>
  <x:si>
    <x:t xml:space="preserve">B15-0047</x:t>
  </x:si>
  <x:si>
    <x:t xml:space="preserve">regularization.droppath</x:t>
  </x:si>
  <x:si>
    <x:t xml:space="preserve">scheduled DropPath 0.2</x:t>
  </x:si>
  <x:si>
    <x:t xml:space="preserve">B15-0048</x:t>
  </x:si>
  <x:si>
    <x:t xml:space="preserve">datasets.training_span</x:t>
  </x:si>
  <x:si>
    <x:t xml:space="preserve">Trained on 25-year reanalysis (GLORYS12 available 1993–2020)</x:t>
  </x:si>
  <x:si>
    <x:t xml:space="preserve">3.1; 6 Conclusion</x:t>
  </x:si>
  <x:si>
    <x:t xml:space="preserve">Exact training years not located in read sections.</x:t>
  </x:si>
  <x:si>
    <x:t xml:space="preserve">B15-0049</x:t>
  </x:si>
  <x:si>
    <x:t xml:space="preserve">IV-TT Class 4: Bias, RMSE, ACC (interpolated to observations)</x:t>
  </x:si>
  <x:si>
    <x:t xml:space="preserve">B15-0050</x:t>
  </x:si>
  <x:si>
    <x:t xml:space="preserve">PSY4, GIOPS, BLUElink OceanMAPS, FOAM (IV-TT, Jan 2019–Dec 2020); PSY4 only baseline for currents</x:t>
  </x:si>
  <x:si>
    <x:t xml:space="preserve">B15-0051</x:t>
  </x:si>
  <x:si>
    <x:t xml:space="preserve">results.speed</x:t>
  </x:si>
  <x:si>
    <x:t xml:space="preserve">10-day forecast in 0.35 s on one GPU (authors: ~1000× faster than numerical GOFSs)</x:t>
  </x:si>
  <x:si>
    <x:t xml:space="preserve">Abstract; 1</x:t>
  </x:si>
  <x:si>
    <x:t xml:space="preserve">B15-0052</x:t>
  </x:si>
  <x:si>
    <x:t xml:space="preserve">results.currents</x:t>
  </x:si>
  <x:si>
    <x:t xml:space="preserve">Current forecast skill out to 60 days better than PSY4 at 10 days (IV-TT)</x:t>
  </x:si>
  <x:si>
    <x:t xml:space="preserve">Abstract; 5</x:t>
  </x:si>
  <x:si>
    <x:t xml:space="preserve">B15-0053</x:t>
  </x:si>
  <x:si>
    <x:t xml:space="preserve">GPU model/count not located in sections searched</x:t>
  </x:si>
  <x:si>
    <x:t xml:space="preserve">title</x:t>
  </x:si>
  <x:si>
    <x:t xml:space="preserve">domain</x:t>
  </x:si>
  <x:si>
    <x:t xml:space="preserve">claim_count</x:t>
  </x:si>
  <x:si>
    <x:t xml:space="preserve">coverage_level</x:t>
  </x:si>
  <x:si>
    <x:t xml:space="preserve">audit_state</x:t>
  </x:si>
  <x:si>
    <x:t xml:space="preserve">unresolved_fields_B03</x:t>
  </x:si>
  <x:si>
    <x:t xml:space="preserve">last_batch</x:t>
  </x:si>
  <x:si>
    <x:t xml:space="preserve">follow_up</x:t>
  </x:si>
  <x:si>
    <x:t xml:space="preserve">n_facts</x:t>
  </x:si>
  <x:si>
    <x:t xml:space="preserve">n_limitations</x:t>
  </x:si>
  <x:si>
    <x:t xml:space="preserve">n_future_work</x:t>
  </x:si>
  <x:si>
    <x:t xml:space="preserve">n_ai_interpretation</x:t>
  </x:si>
  <x:si>
    <x:t xml:space="preserve">n_not_reported</x:t>
  </x:si>
  <x:si>
    <x:t xml:space="preserve">n_not_extracted</x:t>
  </x:si>
  <x:si>
    <x:t xml:space="preserve">n_categories_extracted</x:t>
  </x:si>
  <x:si>
    <x:t xml:space="preserve">review_scope_documented</x:t>
  </x:si>
  <x:si>
    <x:t xml:space="preserve">evidence_basis</x:t>
  </x:si>
  <x:si>
    <x:t xml:space="preserve">4DVarNet-SSH: end-to-end learning of variational interpolation schemes for nadir and wide-swath satellite altimetry</x:t>
  </x:si>
  <x:si>
    <x:t xml:space="preserve">ssh-altimetry</x:t>
  </x:si>
  <x:si>
    <x:t xml:space="preserve">FULLTEXT</x:t>
  </x:si>
  <x:si>
    <x:t xml:space="preserve">OceanNet: a principled neural operator-based digital twin for regional oceans</x:t>
  </x:si>
  <x:si>
    <x:t xml:space="preserve">forecasting</x:t>
  </x:si>
  <x:si>
    <x:t xml:space="preserve">PDF_AUDIT_PENDING</x:t>
  </x:si>
  <x:si>
    <x:t xml:space="preserve">LEGACY_BATCH_ONLY</x:t>
  </x:si>
  <x:si>
    <x:t xml:space="preserve">GLONET: Mercator's End-to-End Neural Global Ocean Forecasting System</x:t>
  </x:si>
  <x:si>
    <x:t xml:space="preserve">DINCAE 2.0: multivariate convolutional neural network with error estimates to reconstruct sea surface temperature satellite and altimetry observations</x:t>
  </x:si>
  <x:si>
    <x:t xml:space="preserve">sst</x:t>
  </x:si>
  <x:si>
    <x:t xml:space="preserve">Evaluation of Deep Neural Operator Models toward Ocean Forecasting</x:t>
  </x:si>
  <x:si>
    <x:t xml:space="preserve">YES</x:t>
  </x:si>
  <x:si>
    <x:t xml:space="preserve">Applications of the Fourier neural operator in a regional ocean modeling and prediction</x:t>
  </x:si>
  <x:si>
    <x:t xml:space="preserve">Streamlining Ocean Dynamics Modeling with Fourier Neural Operators: A Multiobjective Hyperparameter and Architecture Optimization Approach</x:t>
  </x:si>
  <x:si>
    <x:t xml:space="preserve">Extract selected configuration; code and data access pending.</x:t>
  </x:si>
  <x:si>
    <x:t xml:space="preserve">Machine learning in ocean data assimilation: Advances, gaps and the road to operations</x:t>
  </x:si>
  <x:si>
    <x:t xml:space="preserve">reviews</x:t>
  </x:si>
  <x:si>
    <x:t xml:space="preserve">Review synthesis; cited experiments require their original sources.</x:t>
  </x:si>
  <x:si>
    <x:t xml:space="preserve">Deep Learning to Infer Ocean Dynamics</x:t>
  </x:si>
  <x:si>
    <x:t xml:space="preserve">ClimaX: A foundation model for weather and climate</x:t>
  </x:si>
  <x:si>
    <x:t xml:space="preserve">adjacent-earth-ai</x:t>
  </x:si>
  <x:si>
    <x:t xml:space="preserve">Code/config audit pending; atmospheric results only.</x:t>
  </x:si>
  <x:si>
    <x:t xml:space="preserve">Coupled Ocean-Atmosphere Dynamics in a Machine Learning Earth System Model</x:t>
  </x:si>
  <x:si>
    <x:t xml:space="preserve">Resolve vertical-level conflict; extract exact training configuration.</x:t>
  </x:si>
  <x:si>
    <x:t xml:space="preserve">OAI-0012</x:t>
  </x:si>
  <x:si>
    <x:t xml:space="preserve">An Informer-based prediction model for extensive spatiotemporal prediction of sea surface temperature and marine heatwave in Bohai Sea</x:t>
  </x:si>
  <x:si>
    <x:t xml:space="preserve">marine-heatwaves</x:t>
  </x:si>
  <x:si>
    <x:t xml:space="preserve">NONE</x:t>
  </x:si>
  <x:si>
    <x:t xml:space="preserve">Attention-enhanced deep learning approach for marine heatwave forecasting</x:t>
  </x:si>
  <x:si>
    <x:t xml:space="preserve">Check hyperparameters in any SI.</x:t>
  </x:si>
  <x:si>
    <x:t xml:space="preserve">FULLTEXT+WORKBOOK_DERIVED</x:t>
  </x:si>
  <x:si>
    <x:t xml:space="preserve">Applications of deep learning in physical oceanography: a comprehensive review</x:t>
  </x:si>
  <x:si>
    <x:t xml:space="preserve">Extraction partielle de sections originales. Voir FIELD_COVERAGE pour les champs non extraits.</x:t>
  </x:si>
  <x:si>
    <x:t xml:space="preserve">Deep Learning for Ocean Forecasting: A Comprehensive Review of Methods, Applications, and Datasets</x:t>
  </x:si>
  <x:si>
    <x:t xml:space="preserve">Full text needed (PDF request).</x:t>
  </x:si>
  <x:si>
    <x:t xml:space="preserve">ABSTRACT</x:t>
  </x:si>
  <x:si>
    <x:t xml:space="preserve">Machine learning techniques for marine heatwave prediction: a comprehensive review</x:t>
  </x:si>
  <x:si>
    <x:t xml:space="preserve">AI for atmosphere–ocean sciences: advancements, challenges and ways forward</x:t>
  </x:si>
  <x:si>
    <x:t xml:space="preserve">Ocean-specific sections could be mined further (reconstruction/DA).</x:t>
  </x:si>
  <x:si>
    <x:t xml:space="preserve">The convergence of machine learning and data assimilation in Earth system science</x:t>
  </x:si>
  <x:si>
    <x:t xml:space="preserve">Data assimilation schemes for ocean forecasting: state of the art</x:t>
  </x:si>
  <x:si>
    <x:t xml:space="preserve">Synthesis of Ocean Observations Using Data Assimilation for Operational, Real-Time and Reanalysis Systems: A More Complete Picture of the State of the Ocean</x:t>
  </x:si>
  <x:si>
    <x:t xml:space="preserve">Editorial: Deep learning for marine science</x:t>
  </x:si>
  <x:si>
    <x:t xml:space="preserve">Optional: section 5-6 summaries relevant to ocean prediction.</x:t>
  </x:si>
  <x:si>
    <x:t xml:space="preserve">Editorial: Remote sensing applications in oceanography with deep learning</x:t>
  </x:si>
  <x:si>
    <x:t xml:space="preserve">From Numerical Models to AI: Evolution of Surface Drifter Trajectory Prediction</x:t>
  </x:si>
  <x:si>
    <x:t xml:space="preserve">Ocean color remote sensing: From 2D legacy to the 3D, AI-driven future</x:t>
  </x:si>
  <x:si>
    <x:t xml:space="preserve">Forecasting the eddying ocean with a deep neural network</x:t>
  </x:si>
  <x:si>
    <x:t xml:space="preserve">XiHe: A Data-Driven Model for Global Ocean Eddy-Resolving Forecasting</x:t>
  </x:si>
  <x:si>
    <x:t xml:space="preserve">Hardware, exact training years, ablations section.</x:t>
  </x:si>
  <x:si>
    <x:t xml:space="preserve">Accurate Mediterranean Sea forecasting via graph-based deep learning</x:t>
  </x:si>
  <x:si>
    <x:t xml:space="preserve">A data-driven approach to mesoscale ocean forecasting</x:t>
  </x:si>
  <x:si>
    <x:t xml:space="preserve">Table 1 run details; Section 4.4 sensitivity values.</x:t>
  </x:si>
  <x:si>
    <x:t xml:space="preserve">Optimizing data-driven arctic marine forecasting: a comparative analysis of MariNet, FourCastNet, and PhyDNet</x:t>
  </x:si>
  <x:si>
    <x:t xml:space="preserve">High-resolution modeling of local-scale currents using machine learning and artificial intelligence: application to Santander Bay</x:t>
  </x:si>
  <x:si>
    <x:t xml:space="preserve">currents</x:t>
  </x:si>
  <x:si>
    <x:t xml:space="preserve">Using a deep-learning approach to infer and forecast the Indonesian Throughflow transport from sea surface height</x:t>
  </x:si>
  <x:si>
    <x:t xml:space="preserve">Bridging large-scale and coastal variability to improve seasonal sea level predictions along the U.S. and Canadian West Coast</x:t>
  </x:si>
  <x:si>
    <x:t xml:space="preserve">From monochromatic waves to realistic tides: deep learning for short-term forecasting of coastal ocean</x:t>
  </x:si>
  <x:si>
    <x:t xml:space="preserve">coastal</x:t>
  </x:si>
  <x:si>
    <x:t xml:space="preserve">Inversion of Sea Surface Currents From Satellite-Derived SST-SSH Synergies With 4DVarNets</x:t>
  </x:si>
  <x:si>
    <x:t xml:space="preserve">data-assimilation</x:t>
  </x:si>
  <x:si>
    <x:t xml:space="preserve">Partial-convolution-implemented generative adversarial network for global oceanic data assimilation</x:t>
  </x:si>
  <x:si>
    <x:t xml:space="preserve">Multiscale neural assimilation scheme for high-resolution sea surface temperature reconstruction from satellite observations</x:t>
  </x:si>
  <x:si>
    <x:t xml:space="preserve">CLOINet: ocean state reconstructions through remote-sensing, in-situ sparse observations and deep learning</x:t>
  </x:si>
  <x:si>
    <x:t xml:space="preserve">Rapid reconstruction of temperature and salinity fields based on machine learning and the assimilation application</x:t>
  </x:si>
  <x:si>
    <x:t xml:space="preserve">Scalable interpolation of satellite altimetry data with probabilistic machine learning</x:t>
  </x:si>
  <x:si>
    <x:t xml:space="preserve">Physics-informed neural networks to reconstruct surface velocity field from drifter data</x:t>
  </x:si>
  <x:si>
    <x:t xml:space="preserve">Reconstructing Fine-Scale Ocean Variability via Data Assimilation of the SWOT Pre-Launch In Situ Observing System</x:t>
  </x:si>
  <x:si>
    <x:t xml:space="preserve">SWOT Observations Constrain a 4D-Var State Estimate of the California Current System</x:t>
  </x:si>
  <x:si>
    <x:t xml:space="preserve">Comparison of 4-dimensional variational and ensemble optimal interpolation data assimilation systems using a Regional Ocean Modeling System (v3.4) configuration of the eddy-dominated East Australian Current system</x:t>
  </x:si>
  <x:si>
    <x:t xml:space="preserve">High precision lightweight prediction of short term sea surface temperature in the East China Sea: TFLinear model</x:t>
  </x:si>
  <x:si>
    <x:t xml:space="preserve">Spatiotemporal variation characteristics and forecasting of the sea surface temperature in the North Indian Ocean</x:t>
  </x:si>
  <x:si>
    <x:t xml:space="preserve">Reconstruction of the Subsurface Temperature and Salinity in the South China Sea Using Deep-Learning Techniques with a Physical Guidance</x:t>
  </x:si>
  <x:si>
    <x:t xml:space="preserve">subsurface</x:t>
  </x:si>
  <x:si>
    <x:t xml:space="preserve">Prediction of seasonal sea surface temperature based on temperature and salinity of subsurface ocean using machine learning</x:t>
  </x:si>
  <x:si>
    <x:t xml:space="preserve">Incorporating heat budget dynamics in a Transformer-based deep learning model for skillful ENSO prediction</x:t>
  </x:si>
  <x:si>
    <x:t xml:space="preserve">enso</x:t>
  </x:si>
  <x:si>
    <x:t xml:space="preserve">Explainable El Niño predictability from climate mode interactions</x:t>
  </x:si>
  <x:si>
    <x:t xml:space="preserve">Combined dynamical-deep learning ENSO forecasts</x:t>
  </x:si>
  <x:si>
    <x:t xml:space="preserve">Projection of ENSO using observation-informed deep learning</x:t>
  </x:si>
  <x:si>
    <x:t xml:space="preserve">A lightweight physics-aware framework for multi-scale marine heatwaves forecasting</x:t>
  </x:si>
  <x:si>
    <x:t xml:space="preserve">OAI-0053</x:t>
  </x:si>
  <x:si>
    <x:t xml:space="preserve">Forecasting summer marine heatwaves in the South China Sea using explainable machine learning models</x:t>
  </x:si>
  <x:si>
    <x:t xml:space="preserve">Global Subseasonal-to-Seasonal Marine Heatwave Forecasts Boosted by Explainable Deep Learning</x:t>
  </x:si>
  <x:si>
    <x:t xml:space="preserve">Combined LFS and ConvLSTM to forecast marine heatwaves: a case study</x:t>
  </x:si>
  <x:si>
    <x:t xml:space="preserve">An interpretable machine learning for marine heatwave prediction for the south China sea</x:t>
  </x:si>
  <x:si>
    <x:t xml:space="preserve">Global seasonal forecasts of marine heatwaves</x:t>
  </x:si>
  <x:si>
    <x:t xml:space="preserve">Multi-month forecasts of marine heatwaves and ocean acidification extremes</x:t>
  </x:si>
  <x:si>
    <x:t xml:space="preserve">Obtain full text (institutional access) for Methods. | B15: coverage_level corrected to ABSTRACT_ONLY (Body paywalled; only abstract, availability statements and Extended Data captions read (B08))</x:t>
  </x:si>
  <x:si>
    <x:t xml:space="preserve">SICFormer: A 3D-Swin Transformer for Sea Ice Concentration Prediction</x:t>
  </x:si>
  <x:si>
    <x:t xml:space="preserve">sea-ice</x:t>
  </x:si>
  <x:si>
    <x:t xml:space="preserve">Developing a deep learning forecasting system for short-term and high-resolution prediction of sea ice concentration</x:t>
  </x:si>
  <x:si>
    <x:t xml:space="preserve">Machine Learning for Online Sea Ice Bias Correction Within Global Ice-Ocean Simulations</x:t>
  </x:si>
  <x:si>
    <x:t xml:space="preserve">Deep Learning of Systematic Sea Ice Model Errors From Data Assimilation Increments</x:t>
  </x:si>
  <x:si>
    <x:t xml:space="preserve">Reinforcement learning-based multi-model ensemble for ocean waves forecasting</x:t>
  </x:si>
  <x:si>
    <x:t xml:space="preserve">waves</x:t>
  </x:si>
  <x:si>
    <x:t xml:space="preserve">Predicting significant wave height in the South China Sea using the SAC-ConvLSTM model</x:t>
  </x:si>
  <x:si>
    <x:t xml:space="preserve">Ocean wave conditions forecasting using convolutional neural networks in the Yantai Fishing Zone, China</x:t>
  </x:si>
  <x:si>
    <x:t xml:space="preserve">A transformer-based method for correcting significant wave height numerical forecasting errors</x:t>
  </x:si>
  <x:si>
    <x:t xml:space="preserve">A significant wave height prediction method based on deep learning combining the correlation between wind and wind waves</x:t>
  </x:si>
  <x:si>
    <x:t xml:space="preserve">A foundation model for the Earth system</x:t>
  </x:si>
  <x:si>
    <x:t xml:space="preserve">foundation-models</x:t>
  </x:si>
  <x:si>
    <x:t xml:space="preserve">OAI-0069</x:t>
  </x:si>
  <x:si>
    <x:t xml:space="preserve">Underwater glider persistent coverage using deep reinforcement learning for ocean observation</x:t>
  </x:si>
  <x:si>
    <x:t xml:space="preserve">rl-observing</x:t>
  </x:si>
  <x:si>
    <x:t xml:space="preserve">OAI-0070</x:t>
  </x:si>
  <x:si>
    <x:t xml:space="preserve">Reinforcement learning-based path planning for underwater gliders using ocean current forecasts</x:t>
  </x:si>
  <x:si>
    <x:t xml:space="preserve">OAI-0071</x:t>
  </x:si>
  <x:si>
    <x:t xml:space="preserve">Based on Deep Reinforcement Learning to path planning in uncertain ocean currents for Underwater Gliders</x:t>
  </x:si>
  <x:si>
    <x:t xml:space="preserve">OAI-0072</x:t>
  </x:si>
  <x:si>
    <x:t xml:space="preserve">Adaptive meta-reinforcement learning for AUVs 3D guidance and control under unknown ocean currents</x:t>
  </x:si>
  <x:si>
    <x:t xml:space="preserve">OAI-0073</x:t>
  </x:si>
  <x:si>
    <x:t xml:space="preserve">Reference-based current estimation using reinforcement learning and dynamic modeling of underwater gliders</x:t>
  </x:si>
  <x:si>
    <x:t xml:space="preserve">Machine learning-based modeling of chl-a concentration in Northern marine regions using oceanic and atmospheric data</x:t>
  </x:si>
  <x:si>
    <x:t xml:space="preserve">biogeochemistry</x:t>
  </x:si>
  <x:si>
    <x:t xml:space="preserve">Evolution of 3-D chlorophyll in the northwestern Pacific Ocean using a Gaussian-activation deep neural network model</x:t>
  </x:si>
  <x:si>
    <x:t xml:space="preserve">AI-powered spatiotemporal imputation and prediction of chlorophyll-a concentration in coastal ecosystems</x:t>
  </x:si>
  <x:si>
    <x:t xml:space="preserve">Mapping Dissolved Oxygen Concentrations by Combining Shipboard and Argo Observations Using Machine Learning Algorithms</x:t>
  </x:si>
  <x:si>
    <x:t xml:space="preserve">Clarify scope of 13–18 μmol/kg vs SI.</x:t>
  </x:si>
  <x:si>
    <x:t xml:space="preserve">Machine learning reveals regime shifts in future ocean carbon dioxide fluxes inter-annual variability</x:t>
  </x:si>
  <x:si>
    <x:t xml:space="preserve">Antarctic phytoplankton communities restructure under shifting sea-ice regimes</x:t>
  </x:si>
  <x:si>
    <x:t xml:space="preserve">marine-ecology</x:t>
  </x:si>
  <x:si>
    <x:t xml:space="preserve">High-resolution ocean color reconstruction and analysis focusing on Kd490 via machine learning model integration of MODIS and Sentinel-2 (MSI)</x:t>
  </x:si>
  <x:si>
    <x:t xml:space="preserve">ocean-color</x:t>
  </x:si>
  <x:si>
    <x:t xml:space="preserve">Automatic eddy detection in Antarctic marginal ice zone using Sentinel-1 SAR data</x:t>
  </x:si>
  <x:si>
    <x:t xml:space="preserve">eddies-fronts</x:t>
  </x:si>
  <x:si>
    <x:t xml:space="preserve">Identification of mesoscale eddies based on improved YOLOv8 model: a case study in the South China Sea</x:t>
  </x:si>
  <x:si>
    <x:t xml:space="preserve">Global surface eddy mixing ellipses: spatio-temporal variability and machine learning prediction</x:t>
  </x:si>
  <x:si>
    <x:t xml:space="preserve">Oriented ice eddy detection network based on the Sentinel-1 dual-polarization data</x:t>
  </x:si>
  <x:si>
    <x:t xml:space="preserve">Stochastic-deep learning parameterization of ocean momentum forcing</x:t>
  </x:si>
  <x:si>
    <x:t xml:space="preserve">parameterization</x:t>
  </x:si>
  <x:si>
    <x:t xml:space="preserve">Benchmarking of machine learning ocean subgrid parameterizations in an idealized model</x:t>
  </x:si>
  <x:si>
    <x:t xml:space="preserve">BenthicNet: A global compilation of seafloor images for deep learning applications</x:t>
  </x:si>
  <x:si>
    <x:t xml:space="preserve">Seatizen Atlas: a collaborative dataset of underwater and aerial marine imagery</x:t>
  </x:si>
  <x:si>
    <x:t xml:space="preserve">Deepdive: Leveraging Pre-trained Deep Learning for Deep-Sea ROV Biota Identification in the Great Barrier Reef</x:t>
  </x:si>
  <x:si>
    <x:t xml:space="preserve">Physics-guided deep neural networks for bathymetric mapping using Sentinel-2 multi-spectral imagery</x:t>
  </x:si>
  <x:si>
    <x:t xml:space="preserve">bathymetry</x:t>
  </x:si>
  <x:si>
    <x:t xml:space="preserve">Detecting small seamounts in multibeam data using convolutional neural networks</x:t>
  </x:si>
  <x:si>
    <x:t xml:space="preserve">Enhancing Water depth inversion accuracy in turbid coastal environments using random forest and coordinate attention mechanisms</x:t>
  </x:si>
  <x:si>
    <x:t xml:space="preserve">Automated underwater image analysis reveals sediment patterns and megafauna distribution in the tropical Atlantic</x:t>
  </x:si>
  <x:si>
    <x:t xml:space="preserve">Obtain SI file (not linked in HTML).</x:t>
  </x:si>
  <x:si>
    <x:t xml:space="preserve">Neural general circulation models for weather and climate</x:t>
  </x:si>
  <x:si>
    <x:t xml:space="preserve">Neptune: An AI model for Global Ocean Subseasonal Prediction</x:t>
  </x:si>
  <x:si>
    <x:t xml:space="preserve">Other figures (CRPS, ACC scorecards) values not printed.</x:t>
  </x:si>
  <x:si>
    <x:t xml:space="preserve">Deep Learning of Systematic Ocean Model Errors in a Coupled GCM From Data Assimilation Increments</x:t>
  </x:si>
  <x:si>
    <x:t xml:space="preserve">Reducing Model Biases With Machine Learning Corrections Derived From Ocean Data Assimilation Increments</x:t>
  </x:si>
  <x:si>
    <x:t xml:space="preserve">Neural Data Assimilation for Regime Shift Monitoring of an Idealized AMOC Chaotic Model</x:t>
  </x:si>
  <x:si>
    <x:t xml:space="preserve">Calibration of a Neural Network Ocean Closure for Improved Mean State and Variability</x:t>
  </x:si>
  <x:si>
    <x:t xml:space="preserve">Read SI Text S1-S4.</x:t>
  </x:si>
  <x:si>
    <x:t xml:space="preserve">Generalizable Neural-Network Parameterization of Mesoscale Eddies in Idealized and Global Ocean Models</x:t>
  </x:si>
  <x:si>
    <x:t xml:space="preserve">Identify exact launcher/config behind reported ANN (paper vs code).</x:t>
  </x:si>
  <x:si>
    <x:t xml:space="preserve">CODE+FULLTEXT</x:t>
  </x:si>
  <x:si>
    <x:t xml:space="preserve">NORi: An ML-Augmented Ocean Boundary Layer Parameterization</x:t>
  </x:si>
  <x:si>
    <x:t xml:space="preserve">Investigation of Physics-Informed Methods for Improving Sea Surface Height Prediction Based on Neural Networks in the South China Sea</x:t>
  </x:si>
  <x:si>
    <x:t xml:space="preserve">Bridging ocean wave physics and deep learning: Physics-informed neural operators for nonlinear wavefield reconstruction in real-time</x:t>
  </x:si>
  <x:si>
    <x:t xml:space="preserve">Physics-informed neural networks for phase-resolved data assimilation and prediction of nonlinear ocean waves</x:t>
  </x:si>
  <x:si>
    <x:t xml:space="preserve">OAI-0105</x:t>
  </x:si>
  <x:si>
    <x:t xml:space="preserve">Pre-trained physics-informed neural networks for one-dimensional wave propagation in coastal engineering</x:t>
  </x:si>
  <x:si>
    <x:t xml:space="preserve">OAI-0106</x:t>
  </x:si>
  <x:si>
    <x:t xml:space="preserve">Physics-informed temporal convolutional network with auto-regressive residual for significant wave height prediction</x:t>
  </x:si>
  <x:si>
    <x:t xml:space="preserve">Estimating the AMOC from Argo profiles with machine learning trained on ocean simulations</x:t>
  </x:si>
  <x:si>
    <x:t xml:space="preserve">Neural Synthetic Profiles from Remote Sensing and Observations (NeSPReSO) — Reconstructing temperature and salinity fields in the Gulf of Mexico</x:t>
  </x:si>
  <x:si>
    <x:t xml:space="preserve">On the global reconstruction of ocean interior variables: a feasibility data-driven study with simulated surface and water column observations</x:t>
  </x:si>
  <x:si>
    <x:t xml:space="preserve">Deep learning-based oceanic internal wave detection from SWOT satellite imagery observations</x:t>
  </x:si>
  <x:si>
    <x:t xml:space="preserve">A Machine Learning-Based Model Infers the Sea Surface Velocity of Surface Water and Ocean Topography (SWOT)</x:t>
  </x:si>
  <x:si>
    <x:t xml:space="preserve">OceanBench: A Benchmark for Data-Driven Global Ocean Forecasting Systems</x:t>
  </x:si>
  <x:si>
    <x:t xml:space="preserve">Link to OceanBench main paper record. | B15: coverage_level corrected to ABSTRACT_ONLY (EGU26 conference abstract; no full paper exists (not a blockage))</x:t>
  </x:si>
  <x:si>
    <x:t xml:space="preserve">CoastalBench-downscaling: a machine learning benchmark for reconstructing high-resolution three-dimensional coastal fields from surface data</x:t>
  </x:si>
  <x:si>
    <x:t xml:space="preserve">ABSTRACT+CODE</x:t>
  </x:si>
  <x:si>
    <x:t xml:space="preserve">A machine learning-based evidence map of ocean-related options for climate change mitigation and adaptation</x:t>
  </x:si>
  <x:si>
    <x:t xml:space="preserve">Path planning for underwater gliders in time-varying ocean current using deep reinforcement learning</x:t>
  </x:si>
  <x:si>
    <x:t xml:space="preserve">B15: coverage_level corrected to ABSTRACT_ONLY (Only ABSTRACT_SCREENED rows (legacy); label DETAILED not supported by evidence)</x:t>
  </x:si>
  <x:si>
    <x:t xml:space="preserve">year</x:t>
  </x:si>
  <x:si>
    <x:t xml:space="preserve">doi</x:t>
  </x:si>
  <x:si>
    <x:t xml:space="preserve">modalities</x:t>
  </x:si>
  <x:si>
    <x:t xml:space="preserve">abstract_fr</x:t>
  </x:si>
  <x:si>
    <x:t xml:space="preserve">source_url</x:t>
  </x:si>
  <x:si>
    <x:t xml:space="preserve">review_stage</x:t>
  </x:si>
  <x:si>
    <x:t xml:space="preserve">record_kind</x:t>
  </x:si>
  <x:si>
    <x:t xml:space="preserve">source_origin</x:t>
  </x:si>
  <x:si>
    <x:t xml:space="preserve">tags</x:t>
  </x:si>
  <x:si>
    <x:t xml:space="preserve">discovery_date</x:t>
  </x:si>
  <x:si>
    <x:t xml:space="preserve">ingestion_status</x:t>
  </x:si>
  <x:si>
    <x:t xml:space="preserve">scientific_extraction_status</x:t>
  </x:si>
  <x:si>
    <x:t xml:space="preserve">scientific_audit_status</x:t>
  </x:si>
  <x:si>
    <x:t xml:space="preserve">pdf_sha256</x:t>
  </x:si>
  <x:si>
    <x:t xml:space="preserve">pdf_edition_verified</x:t>
  </x:si>
  <x:si>
    <x:t xml:space="preserve">abstract_status</x:t>
  </x:si>
  <x:si>
    <x:t xml:space="preserve">2023</x:t>
  </x:si>
  <x:si>
    <x:t xml:space="preserve">4DVarNet;learned variational assimilation</x:t>
  </x:si>
  <x:si>
    <x:t xml:space="preserve">PRIOR_BATCH</x:t>
  </x:si>
  <x:si>
    <x:t xml:space="preserve">PUBLISHED_VERSION</x:t>
  </x:si>
  <x:si>
    <x:t xml:space="preserve">research_or_review</x:t>
  </x:si>
  <x:si>
    <x:t xml:space="preserve">batch001</x:t>
  </x:si>
  <x:si>
    <x:t xml:space="preserve">ssh-altimetry;data-assimilation</x:t>
  </x:si>
  <x:si>
    <x:t xml:space="preserve">2026-09-22</x:t>
  </x:si>
  <x:si>
    <x:t xml:space="preserve">DISCOVERED</x:t>
  </x:si>
  <x:si>
    <x:t xml:space="preserve">NOT_AUDITED</x:t>
  </x:si>
  <x:si>
    <x:t xml:space="preserve">False</x:t>
  </x:si>
  <x:si>
    <x:t xml:space="preserve">2024</x:t>
  </x:si>
  <x:si>
    <x:t xml:space="preserve">FNO;predictor-evaluate-corrector</x:t>
  </x:si>
  <x:si>
    <x:t xml:space="preserve">forecasting;neural-operators</x:t>
  </x:si>
  <x:si>
    <x:t xml:space="preserve">Not a verified PaperRecord; no page-level PDF audit.</x:t>
  </x:si>
  <x:si>
    <x:t xml:space="preserve">2025</x:t>
  </x:si>
  <x:si>
    <x:t xml:space="preserve">hierarchical transformer;neural network</x:t>
  </x:si>
  <x:si>
    <x:t xml:space="preserve">2022</x:t>
  </x:si>
  <x:si>
    <x:t xml:space="preserve">convolutional autoencoder;U-Net</x:t>
  </x:si>
  <x:si>
    <x:t xml:space="preserve">sst;ssh-altimetry;data-assimilation</x:t>
  </x:si>
  <x:si>
    <x:t xml:space="preserve">deep neural operator</x:t>
  </x:si>
  <x:si>
    <x:t xml:space="preserve">ARXIV_PREPRINT</x:t>
  </x:si>
  <x:si>
    <x:t xml:space="preserve">PARTIALLY_EXTRACTED</x:t>
  </x:si>
  <x:si>
    <x:t xml:space="preserve">Not a verified PaperRecord; no page-level PDF audit. | B15: B15 re-exam: arXiv v1 full text.</x:t>
  </x:si>
  <x:si>
    <x:t xml:space="preserve">DL;FNO</x:t>
  </x:si>
  <x:si>
    <x:t xml:space="preserve">Applique les opérateurs de Fourier à la simulation et à la prédiction d’une circulation océanique régionale.</x:t>
  </x:si>
  <x:si>
    <x:t xml:space="preserve">ABSTRACT_REVIEWED</x:t>
  </x:si>
  <x:si>
    <x:t xml:space="preserve">research</x:t>
  </x:si>
  <x:si>
    <x:t xml:space="preserve">web_primary_source_2026-09-22</x:t>
  </x:si>
  <x:si>
    <x:t xml:space="preserve">PARAPHRASED_FROM_ABSTRACT</x:t>
  </x:si>
  <x:si>
    <x:t xml:space="preserve">FNO;DeepHyper</x:t>
  </x:si>
  <x:si>
    <x:t xml:space="preserve">https://www.mdpi.com/2227-7390/12/10/1483</x:t>
  </x:si>
  <x:si>
    <x:t xml:space="preserve">a0a602a62f931a22453ddd281f81979a6db4a24b5452f7f694866f848dfc9230</x:t>
  </x:si>
  <x:si>
    <x:t xml:space="preserve">B03 2026-09-24: original full-text sections extracted; claims remain NOT_VERIFIED. See SCIENTIFIC_CLAIMS for source edition and locators.</x:t>
  </x:si>
  <x:si>
    <x:t xml:space="preserve">2026</x:t>
  </x:si>
  <x:si>
    <x:t xml:space="preserve">review</x:t>
  </x:si>
  <x:si>
    <x:t xml:space="preserve">https://www.sciencedirect.com/science/article/pii/S1463500326000028</x:t>
  </x:si>
  <x:si>
    <x:t xml:space="preserve">reviews;data-assimilation</x:t>
  </x:si>
  <x:si>
    <x:t xml:space="preserve">10.1146/annurev-marine-040324-023244</x:t>
  </x:si>
  <x:si>
    <x:t xml:space="preserve">https://www.annualreviews.org/content/journals/10.1146/annurev-marine-040324-023244</x:t>
  </x:si>
  <x:si>
    <x:t xml:space="preserve">reviews;forecasting;data-assimilation</x:t>
  </x:si>
  <x:si>
    <x:t xml:space="preserve">B03 2026-09-24: original full-text sections extracted; claims remain NOT_VERIFIED. Extraction uses linked EarthArXiv preprint copy; publisher edition not compared.</x:t>
  </x:si>
  <x:si>
    <x:t xml:space="preserve">10.48550/arXiv.2301.10343</x:t>
  </x:si>
  <x:si>
    <x:t xml:space="preserve">DL;foundation_model</x:t>
  </x:si>
  <x:si>
    <x:t xml:space="preserve">Modèle de fondation météorologique et climatique à transférer seulement avec justification océano.</x:t>
  </x:si>
  <x:si>
    <x:t xml:space="preserve">https://arxiv.org/abs/2301.10343</x:t>
  </x:si>
  <x:si>
    <x:t xml:space="preserve">REFERENCE_DISCOVERED</x:t>
  </x:si>
  <x:si>
    <x:t xml:space="preserve">adjacent_methods</x:t>
  </x:si>
  <x:si>
    <x:t xml:space="preserve">97c9241d466daa7a1de406072eb5221f4577486fdd30b38f804cd45f989f021f</x:t>
  </x:si>
  <x:si>
    <x:t xml:space="preserve">TOPIC_SUMMARY_NOT_ABSTRACT_AUDITED</x:t>
  </x:si>
  <x:si>
    <x:t xml:space="preserve">spherical FNO</x:t>
  </x:si>
  <x:si>
    <x:t xml:space="preserve">https://arxiv.org/abs/2406.08632</x:t>
  </x:si>
  <x:si>
    <x:t xml:space="preserve">forecasting;neural-operators;cross-domain</x:t>
  </x:si>
  <x:si>
    <x:t xml:space="preserve">B03 2026-09-24: original full-text sections extracted; claims remain NOT_VERIFIED. Unresolved conflict: 8 levels in section 4.2 versus 6 in Appendix A.</x:t>
  </x:si>
  <x:si>
    <x:t xml:space="preserve">10.1016/j.jmarsys.2024.104037</x:t>
  </x:si>
  <x:si>
    <x:t xml:space="preserve">EMD-Informer</x:t>
  </x:si>
  <x:si>
    <x:t xml:space="preserve">https://www.sciencedirect.com/science/article/pii/S0924796324000757</x:t>
  </x:si>
  <x:si>
    <x:t xml:space="preserve">marine-heatwaves;sst</x:t>
  </x:si>
  <x:si>
    <x:t xml:space="preserve">attention-based deep learning</x:t>
  </x:si>
  <x:si>
    <x:t xml:space="preserve">https://castjournals.cast.org.cn/joweb/aos/EN/1189620625892192379</x:t>
  </x:si>
  <x:si>
    <x:t xml:space="preserve">Not a verified PaperRecord; no page-level PDF audit. | B09: Published PDF (14 p.) read; HTML page contains unrelated table (contamination). | B10: B10 conflict review only.</x:t>
  </x:si>
  <x:si>
    <x:t xml:space="preserve">DL</x:t>
  </x:si>
  <x:si>
    <x:t xml:space="preserve">Revue des usages du DL pour circulation, dynamique, climat, télédétection et géophysique océaniques.</x:t>
  </x:si>
  <x:si>
    <x:t xml:space="preserve">PUBLISHER_VERSION</x:t>
  </x:si>
  <x:si>
    <x:t xml:space="preserve">B04–B07: sections originales extraites, NOT_VERIFIED. </x:t>
  </x:si>
  <x:si>
    <x:t xml:space="preserve">Revue des architectures de prévision océanique, des jeux de données, évaluations et approches hybrides.</x:t>
  </x:si>
  <x:si>
    <x:t xml:space="preserve">https://pubmed.ncbi.nlm.nih.gov/40168238/</x:t>
  </x:si>
  <x:si>
    <x:t xml:space="preserve">Not a verified PaperRecord; no page-level PDF audit. | B12: B12: abstract only after documented open-copy search.</x:t>
  </x:si>
  <x:si>
    <x:t xml:space="preserve">ML;DL</x:t>
  </x:si>
  <x:si>
    <x:t xml:space="preserve">Synthèse des méthodes, variables et métriques de détection et prévision des vagues de chaleur marines.</x:t>
  </x:si>
  <x:si>
    <x:t xml:space="preserve">ML;DL;DA</x:t>
  </x:si>
  <x:si>
    <x:t xml:space="preserve">Synthèse IA pour modélisation atmosphère–océan, reconstruction, assimilation et correction de biais.</x:t>
  </x:si>
  <x:si>
    <x:t xml:space="preserve">https://academic.oup.com/nsr/article/13/5/nwag063/8444589</x:t>
  </x:si>
  <x:si>
    <x:t xml:space="preserve">Not a verified PaperRecord; no page-level PDF audit. | B10: Published version via PMC full-text XML; review sections read (not all 278 refs). | B14: B14: RL/agents context checked.</x:t>
  </x:si>
  <x:si>
    <x:t xml:space="preserve">ML;DA</x:t>
  </x:si>
  <x:si>
    <x:t xml:space="preserve">Perspective sur les méthodes hybrides ML/DA et les difficultés de généralisation et de reproductibilité.</x:t>
  </x:si>
  <x:si>
    <x:t xml:space="preserve">perspective</x:t>
  </x:si>
  <x:si>
    <x:t xml:space="preserve">DA;ML_CONTEXT</x:t>
  </x:si>
  <x:si>
    <x:t xml:space="preserve">État de l’art des systèmes opérationnels d’assimilation océanique et des pistes ML.</x:t>
  </x:si>
  <x:si>
    <x:t xml:space="preserve">2019</x:t>
  </x:si>
  <x:si>
    <x:t xml:space="preserve">Revue des méthodes d’assimilation et usages opérationnels des observations marines.</x:t>
  </x:si>
  <x:si>
    <x:t xml:space="preserve">Présentation d’une collection multidomaine sur vision sous-marine, processus physiques, écologie et acoustique.</x:t>
  </x:si>
  <x:si>
    <x:t xml:space="preserve">editorial</x:t>
  </x:si>
  <x:si>
    <x:t xml:space="preserve">Not a verified PaperRecord; no page-level PDF audit. | B08: Editorial HTML read; no own experiments.</x:t>
  </x:si>
  <x:si>
    <x:t xml:space="preserve">DL;remote_sensing</x:t>
  </x:si>
  <x:si>
    <x:t xml:space="preserve">Présentation d’une collection télédétection océanique, bathymétrie, écosystèmes et cryosphère.</x:t>
  </x:si>
  <x:si>
    <x:t xml:space="preserve">Not a verified PaperRecord; no page-level PDF audit. | B08: Editorial HTML fully read; no own experiments.</x:t>
  </x:si>
  <x:si>
    <x:t xml:space="preserve">Revue historique des méthodes de prédiction des trajectoires de bouées dérivantes.</x:t>
  </x:si>
  <x:si>
    <x:t xml:space="preserve">Revue des observations de couleur de l’océan et du potentiel IA pour la fusion multi-source.</x:t>
  </x:si>
  <x:si>
    <x:t xml:space="preserve">https://www.sciencedirect.com/science/article/pii/S0924271626002170</x:t>
  </x:si>
  <x:si>
    <x:t xml:space="preserve">10.1038/s41467-025-57389-2</x:t>
  </x:si>
  <x:si>
    <x:t xml:space="preserve">DL;Swin-Transformer</x:t>
  </x:si>
  <x:si>
    <x:t xml:space="preserve">WenHai prévoit l’état global à résolution 1/12° en intégrant les échanges air-mer.</x:t>
  </x:si>
  <x:si>
    <x:t xml:space="preserve">DL;Transformer</x:t>
  </x:si>
  <x:si>
    <x:t xml:space="preserve">Modèle global de prévision océanique à 1/12° entraîné sur GLORYS12.</x:t>
  </x:si>
  <x:si>
    <x:t xml:space="preserve">PREPRINT</x:t>
  </x:si>
  <x:si>
    <x:t xml:space="preserve">Not a verified PaperRecord; no page-level PDF audit. | B15: B15 re-exam: arXiv v4 methods/eval.</x:t>
  </x:si>
  <x:si>
    <x:t xml:space="preserve">DL;GNN</x:t>
  </x:si>
  <x:si>
    <x:t xml:space="preserve">SeaCast propose une prévision régionale à haute résolution par réseau de graphes.</x:t>
  </x:si>
  <x:si>
    <x:t xml:space="preserve">Étude d’une approche de prévision des dynamiques océaniques à mésoéchelle.</x:t>
  </x:si>
  <x:si>
    <x:t xml:space="preserve">TITLE_ONLY</x:t>
  </x:si>
  <x:si>
    <x:t xml:space="preserve">B04–B07: sections originales extraites, NOT_VERIFIED.  | B11: B11: Sections 2-5,7 read (not Table 1 details).</x:t>
  </x:si>
  <x:si>
    <x:t xml:space="preserve">DL;benchmark</x:t>
  </x:si>
  <x:si>
    <x:t xml:space="preserve">Compare trois architectures sur variables de surface issues des produits Copernicus pour l’Arctique.</x:t>
  </x:si>
  <x:si>
    <x:t xml:space="preserve">ML;LSTM;AdaBoost;KNN</x:t>
  </x:si>
  <x:si>
    <x:t xml:space="preserve">Reconstruit SSH et courants côtiers avec plusieurs familles de ML.</x:t>
  </x:si>
  <x:si>
    <x:t xml:space="preserve">DL;CNN</x:t>
  </x:si>
  <x:si>
    <x:t xml:space="preserve">Estime puis prévoit le transport du passage indonésien depuis des cartes SSH.</x:t>
  </x:si>
  <x:si>
    <x:t xml:space="preserve">ML;SOM</x:t>
  </x:si>
  <x:si>
    <x:t xml:space="preserve">Exploite les cartes auto-organisatrices et les analogues pour relier niveau marin régional et côtier.</x:t>
  </x:si>
  <x:si>
    <x:t xml:space="preserve">DL;CNN;LSTM</x:t>
  </x:si>
  <x:si>
    <x:t xml:space="preserve">Prévoit les variations de niveau marin de la German Bight par architecture spatio-temporelle hybride.</x:t>
  </x:si>
  <x:si>
    <x:t xml:space="preserve">10.1029/2023MS003609</x:t>
  </x:si>
  <x:si>
    <x:t xml:space="preserve">DL;4DVarNet</x:t>
  </x:si>
  <x:si>
    <x:t xml:space="preserve">Reconstruction des courants de surface en exploitant les synergies SST/SSH.</x:t>
  </x:si>
  <x:si>
    <x:t xml:space="preserve">10.1038/s42256-024-00867-x</x:t>
  </x:si>
  <x:si>
    <x:t xml:space="preserve">DL;GAN;partial_CNN</x:t>
  </x:si>
  <x:si>
    <x:t xml:space="preserve">DeepDA combine convolution partielle et GAN pour l’assimilation globale de température.</x:t>
  </x:si>
  <x:si>
    <x:t xml:space="preserve">DL;neural_DA</x:t>
  </x:si>
  <x:si>
    <x:t xml:space="preserve">Schéma d’assimilation neurale multi-échelle pour reconstruire la SST avec observations satellitaires incomplètes.</x:t>
  </x:si>
  <x:si>
    <x:t xml:space="preserve">10.3389/fmars.2024.1151868</x:t>
  </x:si>
  <x:si>
    <x:t xml:space="preserve">DL;reconstruction</x:t>
  </x:si>
  <x:si>
    <x:t xml:space="preserve">Fusion d’observations satellite et in situ clairsemées pour la reconstruction d’état océanique.</x:t>
  </x:si>
  <x:si>
    <x:t xml:space="preserve">ML;GRNN;4DVar</x:t>
  </x:si>
  <x:si>
    <x:t xml:space="preserve">Reconstitue des profils T/S puis les assimile dans ROMS par méthode variationnelle.</x:t>
  </x:si>
  <x:si>
    <x:t xml:space="preserve">probabilistic_ML</x:t>
  </x:si>
  <x:si>
    <x:t xml:space="preserve">Étudie une interpolation probabiliste extensible de mesures altimétriques.</x:t>
  </x:si>
  <x:si>
    <x:t xml:space="preserve">PINN</x:t>
  </x:si>
  <x:si>
    <x:t xml:space="preserve">Reconstruction de champ de vitesse de surface à partir de trajectoires de bouées.</x:t>
  </x:si>
  <x:si>
    <x:t xml:space="preserve">classical_DA;baseline</x:t>
  </x:si>
  <x:si>
    <x:t xml:space="preserve">Référence non ML d’assimilation multiscalaire utilisée pour contextualiser les approches SWOT.</x:t>
  </x:si>
  <x:si>
    <x:t xml:space="preserve">https://agupubs.onlinelibrary.wiley.com/doi/full/10.1029/2021JC017362</x:t>
  </x:si>
  <x:si>
    <x:t xml:space="preserve">context_non_ml</x:t>
  </x:si>
  <x:si>
    <x:t xml:space="preserve">Référence non ML sur l’assimilation SWOT dans MITgcm.</x:t>
  </x:si>
  <x:si>
    <x:t xml:space="preserve">B04–B07: sections originales extraites, NOT_VERIFIED. Partial section extraction; independent audit and code execution pending.</x:t>
  </x:si>
  <x:si>
    <x:t xml:space="preserve">Comparaison de référence entre 4D-Var et EnOI, sans ML.</x:t>
  </x:si>
  <x:si>
    <x:t xml:space="preserve">DL;FFT;DLinear</x:t>
  </x:si>
  <x:si>
    <x:t xml:space="preserve">Prédiction SST à 1–10 jours avec décomposition temporelle fréquentielle et réseau léger.</x:t>
  </x:si>
  <x:si>
    <x:t xml:space="preserve">Prévision journalière SST avec variables hydrométéorologiques.</x:t>
  </x:si>
  <x:si>
    <x:t xml:space="preserve">DL;physics_guided</x:t>
  </x:si>
  <x:si>
    <x:t xml:space="preserve">Reconstruit température et salinité sous la surface avec apprentissage guidé par la physique.</x:t>
  </x:si>
  <x:si>
    <x:t xml:space="preserve">https://www.mdpi.com/2072-4292/17/17/2954</x:t>
  </x:si>
  <x:si>
    <x:t xml:space="preserve">B04–B07: sections originales extraites, NOT_VERIFIED. Original article text in ResearchGate full-text copy; publisher endpoint unavailable. No independent audit or code execution.</x:t>
  </x:si>
  <x:si>
    <x:t xml:space="preserve">ML</x:t>
  </x:si>
  <x:si>
    <x:t xml:space="preserve">Prédit la SST saisonnière à partir de variables thermohalines sous la surface.</x:t>
  </x:si>
  <x:si>
    <x:t xml:space="preserve">https://doi.org/10.1002/joc.8384</x:t>
  </x:si>
  <x:si>
    <x:t xml:space="preserve">DL;Transformer;physics_guided</x:t>
  </x:si>
  <x:si>
    <x:t xml:space="preserve">ENSO-PhyNet utilise le bilan thermique pour une prédiction interprétable du Niño 3.4.</x:t>
  </x:si>
  <x:si>
    <x:t xml:space="preserve">https://www.nature.com/articles/s41612-024-00741-y</x:t>
  </x:si>
  <x:si>
    <x:t xml:space="preserve">ML;interpretable</x:t>
  </x:si>
  <x:si>
    <x:t xml:space="preserve">Analyse les interactions entre modes climatiques et les sources de prévisibilité ENSO.</x:t>
  </x:si>
  <x:si>
    <x:t xml:space="preserve">DL;hybrid</x:t>
  </x:si>
  <x:si>
    <x:t xml:space="preserve">Combine prévision dynamique et DL pour ENSO avec observations océaniques et sorties de modèles.</x:t>
  </x:si>
  <x:si>
    <x:t xml:space="preserve">https://www.nature.com/articles/s41467-025-59173-8</x:t>
  </x:si>
  <x:si>
    <x:t xml:space="preserve">DL;ANN</x:t>
  </x:si>
  <x:si>
    <x:t xml:space="preserve">Utilise les observations pour contraindre les projections d’ENSO au moyen de réseaux de neurones.</x:t>
  </x:si>
  <x:si>
    <x:t xml:space="preserve">10.1038/s41612-026-01367-y</x:t>
  </x:si>
  <x:si>
    <x:t xml:space="preserve">ML;DL;RL;GP</x:t>
  </x:si>
  <x:si>
    <x:t xml:space="preserve">MARINA associe facteurs physiques découverts par RL/programmation génétique et prédiction MHW multi-échelle.</x:t>
  </x:si>
  <x:si>
    <x:t xml:space="preserve">https://www.nature.com/articles/s41612-026-01367-y</x:t>
  </x:si>
  <x:si>
    <x:t xml:space="preserve">B04–B07: sections originales extraites, NOT_VERIFIED. Research Square v1, 2025-09-23, hosted on ResearchGate; final journal edition not compared.</x:t>
  </x:si>
  <x:si>
    <x:t xml:space="preserve">10.1016/j.dsr.2025.104457</x:t>
  </x:si>
  <x:si>
    <x:t xml:space="preserve">ML;RandomForest;Ridge;SHAP</x:t>
  </x:si>
  <x:si>
    <x:t xml:space="preserve">Prévoit les épisodes estivaux en mer de Chine méridionale et interprète leurs facteurs associés.</x:t>
  </x:si>
  <x:si>
    <x:t xml:space="preserve">https://www.sciencedirect.com/science/article/pii/S0967063725000160</x:t>
  </x:si>
  <x:si>
    <x:t xml:space="preserve">DL;bias_correction</x:t>
  </x:si>
  <x:si>
    <x:t xml:space="preserve">MHWCorrNet corrige les prévisions dynamiques de vagues de chaleur marines selon les régions.</x:t>
  </x:si>
  <x:si>
    <x:t xml:space="preserve">https://agupubs.onlinelibrary.wiley.com/doi/10.1029/2026JH001380</x:t>
  </x:si>
  <x:si>
    <x:t xml:space="preserve">DL;ConvLSTM;hybrid</x:t>
  </x:si>
  <x:si>
    <x:t xml:space="preserve">Fusion de modèle physique et ConvLSTM pour anticiper des MHW en mer de Chine méridionale.</x:t>
  </x:si>
  <x:si>
    <x:t xml:space="preserve">https://www.sciencedirect.com/science/article/pii/S1674283425001102</x:t>
  </x:si>
  <x:si>
    <x:t xml:space="preserve">Préprint exploitant des ensembles CMIP6 pour entraîner et interpréter des prévisions MHW.</x:t>
  </x:si>
  <x:si>
    <x:t xml:space="preserve">B04–B07: sections originales extraites, NOT_VERIFIED. Author replies in open discussion; not an extraction of the complete preprint or a verified final edition.</x:t>
  </x:si>
  <x:si>
    <x:t xml:space="preserve">classical_climate_forecast;baseline</x:t>
  </x:si>
  <x:si>
    <x:t xml:space="preserve">Référence non ML sur les horizons saisonniers et probabilités de MHW.</x:t>
  </x:si>
  <x:si>
    <x:t xml:space="preserve">Référence non ML associant MHW et extrêmes d’acidification.</x:t>
  </x:si>
  <x:si>
    <x:t xml:space="preserve">Not a verified PaperRecord; no page-level PDF audit. | B08: Only abstract, availability and Extended Data captions accessible (paywall).</x:t>
  </x:si>
  <x:si>
    <x:t xml:space="preserve">10.3390/jmse12081424</x:t>
  </x:si>
  <x:si>
    <x:t xml:space="preserve">Prévision de concentration de glace de mer avec Transformer 3D.</x:t>
  </x:si>
  <x:si>
    <x:t xml:space="preserve">Système de prévision de la concentration de glace à court terme et haute résolution.</x:t>
  </x:si>
  <x:si>
    <x:t xml:space="preserve">ML;CNN;bias_correction</x:t>
  </x:si>
  <x:si>
    <x:t xml:space="preserve">Corrige en ligne les biais de glace dans un modèle global couplé glace-océan.</x:t>
  </x:si>
  <x:si>
    <x:t xml:space="preserve">https://agupubs.onlinelibrary.wiley.com/doi/10.1029/2023GL106776</x:t>
  </x:si>
  <x:si>
    <x:t xml:space="preserve">10.1029/2023MS003757</x:t>
  </x:si>
  <x:si>
    <x:t xml:space="preserve">DL;CNN;DA</x:t>
  </x:si>
  <x:si>
    <x:t xml:space="preserve">Apprend les corrections de biais de glace depuis les incréments d’assimilation.</x:t>
  </x:si>
  <x:si>
    <x:t xml:space="preserve">https://doi.org/10.1029/2023MS003757</x:t>
  </x:si>
  <x:si>
    <x:t xml:space="preserve">10.3389/fmars.2025.1534622</x:t>
  </x:si>
  <x:si>
    <x:t xml:space="preserve">RL;SAC;ensemble</x:t>
  </x:si>
  <x:si>
    <x:t xml:space="preserve">Apprend des poids dynamiques pour combiner plusieurs prévisions de vagues.</x:t>
  </x:si>
  <x:si>
    <x:t xml:space="preserve">DL;ConvLSTM;attention</x:t>
  </x:si>
  <x:si>
    <x:t xml:space="preserve">Prévision de hauteur significative des vagues sur 24 h avec attention.</x:t>
  </x:si>
  <x:si>
    <x:t xml:space="preserve">Not a verified PaperRecord; no page-level PDF audit. | B14: B14: RL applicability checked in Methods.</x:t>
  </x:si>
  <x:si>
    <x:t xml:space="preserve">Prévoit hauteur et période des vagues à partir de simulations SWAN.</x:t>
  </x:si>
  <x:si>
    <x:t xml:space="preserve">DL;Transformer;bias_correction</x:t>
  </x:si>
  <x:si>
    <x:t xml:space="preserve">Corrige les erreurs de hauteur significative d’un modèle numérique.</x:t>
  </x:si>
  <x:si>
    <x:t xml:space="preserve">DL;ConvLSTM</x:t>
  </x:si>
  <x:si>
    <x:t xml:space="preserve">Prédit les vagues en intégrant les corrélations avec le vent.</x:t>
  </x:si>
  <x:si>
    <x:t xml:space="preserve">Aurora inclut une tâche de prévision globale des vagues océaniques en plus des tâches atmosphériques.</x:t>
  </x:si>
  <x:si>
    <x:t xml:space="preserve">10.1016/j.oceaneng.2025.121804</x:t>
  </x:si>
  <x:si>
    <x:t xml:space="preserve">RL;PPO</x:t>
  </x:si>
  <x:si>
    <x:t xml:space="preserve">Planification de couverture persistante par glider prenant en compte les courants.</x:t>
  </x:si>
  <x:si>
    <x:t xml:space="preserve">https://www.sciencedirect.com/science/article/abs/pii/S0029801825015100</x:t>
  </x:si>
  <x:si>
    <x:t xml:space="preserve">10.1016/j.oceaneng.2026.124736</x:t>
  </x:si>
  <x:si>
    <x:t xml:space="preserve">RL;SAC</x:t>
  </x:si>
  <x:si>
    <x:t xml:space="preserve">Planification de trajectoire de gliders intégrant des prévisions de courant.</x:t>
  </x:si>
  <x:si>
    <x:t xml:space="preserve">https://www.sciencedirect.com/science/article/pii/S0029801826005706</x:t>
  </x:si>
  <x:si>
    <x:t xml:space="preserve">10.1016/j.oceaneng.2024.117501</x:t>
  </x:si>
  <x:si>
    <x:t xml:space="preserve">RL;DRL</x:t>
  </x:si>
  <x:si>
    <x:t xml:space="preserve">Planification d’une formation de gliders avec courants marins incertains.</x:t>
  </x:si>
  <x:si>
    <x:t xml:space="preserve">https://www.sciencedirect.com/science/article/abs/pii/S0029801824008382</x:t>
  </x:si>
  <x:si>
    <x:t xml:space="preserve">10.1016/j.oceaneng.2024.118498</x:t>
  </x:si>
  <x:si>
    <x:t xml:space="preserve">RL;meta-RL;SAC</x:t>
  </x:si>
  <x:si>
    <x:t xml:space="preserve">Contrôle tridimensionnel d’AUV sous courants inconnus par méta-apprentissage.</x:t>
  </x:si>
  <x:si>
    <x:t xml:space="preserve">https://www.sciencedirect.com/science/article/pii/S0029801824018365</x:t>
  </x:si>
  <x:si>
    <x:t xml:space="preserve">10.1016/j.oceaneng.2026.127056</x:t>
  </x:si>
  <x:si>
    <x:t xml:space="preserve">RL;UKF</x:t>
  </x:si>
  <x:si>
    <x:t xml:space="preserve">Estime les courants depuis des observations de glider en fusionnant RL et modèle dynamique.</x:t>
  </x:si>
  <x:si>
    <x:t xml:space="preserve">https://www.sciencedirect.com/science/article/pii/S0029801826028908</x:t>
  </x:si>
  <x:si>
    <x:t xml:space="preserve">ML;LightGBM;DL</x:t>
  </x:si>
  <x:si>
    <x:t xml:space="preserve">Prévoit chlorophylle-a en mer de Barents à partir de données satellite et modèles NEMO/WRF.</x:t>
  </x:si>
  <x:si>
    <x:t xml:space="preserve">DL;Gaussian-DNN</x:t>
  </x:si>
  <x:si>
    <x:t xml:space="preserve">Reconstruit la chlorophylle 3D depuis profils et observations de surface.</x:t>
  </x:si>
  <x:si>
    <x:t xml:space="preserve">DL;imputation</x:t>
  </x:si>
  <x:si>
    <x:t xml:space="preserve">STIMP reconstitue et prévoit la chlorophylle côtière avec observations lacunaires.</x:t>
  </x:si>
  <x:si>
    <x:t xml:space="preserve">ML;Argo</x:t>
  </x:si>
  <x:si>
    <x:t xml:space="preserve">Cartographie de l’oxygène dissous à partir de mesures navires et Argo.</x:t>
  </x:si>
  <x:si>
    <x:t xml:space="preserve">https://agupubs.onlinelibrary.wiley.com/doi/10.1029/2024JH000272</x:t>
  </x:si>
  <x:si>
    <x:t xml:space="preserve">Not a verified PaperRecord; no page-level PDF audit. | B09: Published PDF via Archimer read; SI not read. | B10: B10 conflict review only. | B12: B12: SI docx (Archimer) read; conflict re-opened. | B14: B14: SI captions; conflict scope checked.</x:t>
  </x:si>
  <x:si>
    <x:t xml:space="preserve">ML;kernel_ridge</x:t>
  </x:si>
  <x:si>
    <x:t xml:space="preserve">Régression à noyaux pour analyser variabilité du flux air-mer de CO2 simulé.</x:t>
  </x:si>
  <x:si>
    <x:t xml:space="preserve">Analyse par ML des assemblages phytoplanctoniques antarctiques et de leur relation avec la glace.</x:t>
  </x:si>
  <x:si>
    <x:t xml:space="preserve">ML;remote_sensing</x:t>
  </x:si>
  <x:si>
    <x:t xml:space="preserve">Fusion MODIS et Sentinel-2 pour reconstruire un produit optique Kd490.</x:t>
  </x:si>
  <x:si>
    <x:t xml:space="preserve">DL;YOLOv11</x:t>
  </x:si>
  <x:si>
    <x:t xml:space="preserve">Détection et classification d’eddies sur imagerie Sentinel-1 SAR.</x:t>
  </x:si>
  <x:si>
    <x:t xml:space="preserve">DL;YOLOv8</x:t>
  </x:si>
  <x:si>
    <x:t xml:space="preserve">Détection d’eddies mésoéchelle sur topographie dynamique absolue AVISO.</x:t>
  </x:si>
  <x:si>
    <x:t xml:space="preserve">Prédiction des propriétés géométriques du mélange induit par les tourbillons.</x:t>
  </x:si>
  <x:si>
    <x:t xml:space="preserve">DL;object_detection</x:t>
  </x:si>
  <x:si>
    <x:t xml:space="preserve">Détection orientée de tourbillons de glace sur radar Sentinel-1.</x:t>
  </x:si>
  <x:si>
    <x:t xml:space="preserve">2021</x:t>
  </x:si>
  <x:si>
    <x:t xml:space="preserve">DL;stochastic</x:t>
  </x:si>
  <x:si>
    <x:t xml:space="preserve">Paramétrisation stochastique par DL des forçages de quantité de mouvement non résolus.</x:t>
  </x:si>
  <x:si>
    <x:t xml:space="preserve">https://doi.org/10.1029/2021MS002534</x:t>
  </x:si>
  <x:si>
    <x:t xml:space="preserve">ML;benchmark</x:t>
  </x:si>
  <x:si>
    <x:t xml:space="preserve">Évalue des paramétrisations sous-maille ML dans un modèle océanique idéalisé.</x:t>
  </x:si>
  <x:si>
    <x:t xml:space="preserve">https://doi.org/10.1029/2022MS003258</x:t>
  </x:si>
  <x:si>
    <x:t xml:space="preserve">DL;dataset;CV</x:t>
  </x:si>
  <x:si>
    <x:t xml:space="preserve">Compile des images benthiques et annotations pour entraîner des modèles de reconnaissance.</x:t>
  </x:si>
  <x:si>
    <x:t xml:space="preserve">dataset</x:t>
  </x:si>
  <x:si>
    <x:t xml:space="preserve">Dataset collaboratif de photographies sous-marines et aériennes pour biodiversité côtière.</x:t>
  </x:si>
  <x:si>
    <x:t xml:space="preserve">DL;transfer_learning;CV</x:t>
  </x:si>
  <x:si>
    <x:t xml:space="preserve">Jeu d’images ROV annotées et comparaison de réseaux préentraînés pour identifier le biote.</x:t>
  </x:si>
  <x:si>
    <x:t xml:space="preserve">B04–B07: sections originales extraites, NOT_VERIFIED.  | B10: B10 conflict review only. | B11: B11: conflict confirmed in source.</x:t>
  </x:si>
  <x:si>
    <x:t xml:space="preserve">10.3389/fmars.2025.1636124</x:t>
  </x:si>
  <x:si>
    <x:t xml:space="preserve">Bathymétrie satellitaire depuis bandes multispectrales Sentinel-2.</x:t>
  </x:si>
  <x:si>
    <x:t xml:space="preserve">DL;CNN;U-Net</x:t>
  </x:si>
  <x:si>
    <x:t xml:space="preserve">Reconnaissance de petits monts sous-marins sur données multifaisceaux.</x:t>
  </x:si>
  <x:si>
    <x:t xml:space="preserve">ML;RandomForest;attention</x:t>
  </x:si>
  <x:si>
    <x:t xml:space="preserve">Inversion de profondeur côtière en eau turbide avec RF et attention.</x:t>
  </x:si>
  <x:si>
    <x:t xml:space="preserve">DL;CV</x:t>
  </x:si>
  <x:si>
    <x:t xml:space="preserve">Analyse automatisée de photos de fond marin pour sédiments et mégafaune.</x:t>
  </x:si>
  <x:si>
    <x:t xml:space="preserve">Not a verified PaperRecord; no page-level PDF audit. | B08: Publisher HTML body read; supplementary not read. | B14: B14: SI link not found.</x:t>
  </x:si>
  <x:si>
    <x:t xml:space="preserve">NeuralGCM associe cœur dynamique différentiable et composantes apprises (principalement atmosphère).</x:t>
  </x:si>
  <x:si>
    <x:t xml:space="preserve">DL;CNN;SFNO</x:t>
  </x:si>
  <x:si>
    <x:t xml:space="preserve">Prépublication Neptune: émulation océan et glace de mer mondiale jusqu’à 60 jours par CNN et opérateurs sphériques.</x:t>
  </x:si>
  <x:si>
    <x:t xml:space="preserve">https://arxiv.org/abs/2609.08606</x:t>
  </x:si>
  <x:si>
    <x:t xml:space="preserve">preprint</x:t>
  </x:si>
  <x:si>
    <x:t xml:space="preserve">Not a verified PaperRecord; no page-level PDF audit. | B08: arXiv v1 PDF read (sections 1-5, Table 1); published version not compared. | B14: B14: Fig. 2 read visually.</x:t>
  </x:si>
  <x:si>
    <x:t xml:space="preserve">DL;model_error;DA</x:t>
  </x:si>
  <x:si>
    <x:t xml:space="preserve">Apprend les corrections de tendance thermique océanique à partir des incréments d’assimilation.</x:t>
  </x:si>
  <x:si>
    <x:t xml:space="preserve">ML;online_correction;DA</x:t>
  </x:si>
  <x:si>
    <x:t xml:space="preserve">Corrige en ligne les biais de mélange vertical dans MOM6 à partir des incréments d’assimilation.</x:t>
  </x:si>
  <x:si>
    <x:t xml:space="preserve">https://agupubs.onlinelibrary.wiley.com/doi/10.1029/2026MS005736</x:t>
  </x:si>
  <x:si>
    <x:t xml:space="preserve">DL;neural_DA;AMOC</x:t>
  </x:si>
  <x:si>
    <x:t xml:space="preserve">Évalue l’assimilation neurale pour suivre des changements de régime dans un modèle chaotique d’AMOC idéalisé.</x:t>
  </x:si>
  <x:si>
    <x:t xml:space="preserve">https://agupubs.onlinelibrary.wiley.com/doi/10.1029/2024MS004462</x:t>
  </x:si>
  <x:si>
    <x:t xml:space="preserve">DL;EKI;closure</x:t>
  </x:si>
  <x:si>
    <x:t xml:space="preserve">Calibre les paramètres d’une fermeture neurale des tourbillons avec inversion Kalman ensembliste.</x:t>
  </x:si>
  <x:si>
    <x:t xml:space="preserve">https://agupubs.onlinelibrary.wiley.com/doi/10.1029/2026GL123513</x:t>
  </x:si>
  <x:si>
    <x:t xml:space="preserve">Not a verified PaperRecord; no page-level PDF audit. | B09: arXiv v2 read; GRL version not compared. | B14: B14: SI (Text S1–S4, Tables S1–S2) read.</x:t>
  </x:si>
  <x:si>
    <x:t xml:space="preserve">DL;physics_constraint</x:t>
  </x:si>
  <x:si>
    <x:t xml:space="preserve">Paramétrisation neurale contrainte par la physique et l’échelle de grille pour la généralisation des flux tourbillonnaires.</x:t>
  </x:si>
  <x:si>
    <x:t xml:space="preserve">https://agupubs.onlinelibrary.wiley.com/doi/10.1029/2025GL117046</x:t>
  </x:si>
  <x:si>
    <x:t xml:space="preserve">Not a verified PaperRecord; no page-level PDF audit. | B09: arXiv v6 incl. SI read; GRL version not compared. | B13: B13: official code v1.5 read (not executed).</x:t>
  </x:si>
  <x:si>
    <x:t xml:space="preserve">10.1029/2025MS005667</x:t>
  </x:si>
  <x:si>
    <x:t xml:space="preserve">ML;hybrid;boundary_layer</x:t>
  </x:si>
  <x:si>
    <x:t xml:space="preserve">Paramétrisation hybride de couche limite océanique entraînée sur simulations haute résolution.</x:t>
  </x:si>
  <x:si>
    <x:t xml:space="preserve">https://agupubs.onlinelibrary.wiley.com/doi/full/10.1029/2025MS005667</x:t>
  </x:si>
  <x:si>
    <x:t xml:space="preserve">B04–B07: sections originales extraites, NOT_VERIFIED. Preprint v1; journal edition not compared.</x:t>
  </x:si>
  <x:si>
    <x:t xml:space="preserve">DL;physics_informed</x:t>
  </x:si>
  <x:si>
    <x:t xml:space="preserve">Évalue l’ajout de contraintes physiques à une prédiction neurale de SSH en mer de Chine méridionale.</x:t>
  </x:si>
  <x:si>
    <x:t xml:space="preserve">https://www.mdpi.com/2072-4292/17/23/3838</x:t>
  </x:si>
  <x:si>
    <x:t xml:space="preserve">10.1063/5.0294655</x:t>
  </x:si>
  <x:si>
    <x:t xml:space="preserve">DL;neural_operator;PINN</x:t>
  </x:si>
  <x:si>
    <x:t xml:space="preserve">Reconstruction temps réel de champs de vagues non linéaires avec opérateurs neuronaux guidés par la physique.</x:t>
  </x:si>
  <x:si>
    <x:t xml:space="preserve">https://doi.org/10.1063/5.0294655</x:t>
  </x:si>
  <x:si>
    <x:t xml:space="preserve">B04–B07: sections originales extraites, NOT_VERIFIED. Preprint v1; journal edition not compared. Equation transcription should be checked against PDF before reuse.</x:t>
  </x:si>
  <x:si>
    <x:t xml:space="preserve">10.1103/ytyy-pvys</x:t>
  </x:si>
  <x:si>
    <x:t xml:space="preserve">PINN;DA</x:t>
  </x:si>
  <x:si>
    <x:t xml:space="preserve">Approche guidée par les équations pour assimiler des observations et prédire les vagues résolues en phase.</x:t>
  </x:si>
  <x:si>
    <x:t xml:space="preserve">https://doi.org/10.1103/ytyy-pvys</x:t>
  </x:si>
  <x:si>
    <x:t xml:space="preserve">10.1016/j.ocemod.2025.102601</x:t>
  </x:si>
  <x:si>
    <x:t xml:space="preserve">PINN;transfer_learning</x:t>
  </x:si>
  <x:si>
    <x:t xml:space="preserve">Étudie des PINN préentraînés pour la propagation de vagues unidimensionnelles en contexte côtier.</x:t>
  </x:si>
  <x:si>
    <x:t xml:space="preserve">https://doi.org/10.1016/j.ocemod.2025.102601</x:t>
  </x:si>
  <x:si>
    <x:t xml:space="preserve">10.1016/j.oceaneng.2025.121150</x:t>
  </x:si>
  <x:si>
    <x:t xml:space="preserve">DL;TCN;physics_informed</x:t>
  </x:si>
  <x:si>
    <x:t xml:space="preserve">Prédiction de hauteur significative avec convolution temporelle et résidu autorégressif physique.</x:t>
  </x:si>
  <x:si>
    <x:t xml:space="preserve">https://doi.org/10.1016/j.oceaneng.2025.121150</x:t>
  </x:si>
  <x:si>
    <x:t xml:space="preserve">10.5194/os-21-3541-2025</x:t>
  </x:si>
  <x:si>
    <x:t xml:space="preserve">ML;Argo;AMOC</x:t>
  </x:si>
  <x:si>
    <x:t xml:space="preserve">Estime le transport AMOC à partir de profils Argo et de relations apprises sur simulations.</x:t>
  </x:si>
  <x:si>
    <x:t xml:space="preserve">10.1016/j.ocemod.2025.102550</x:t>
  </x:si>
  <x:si>
    <x:t xml:space="preserve">Reconstruit température et salinité 3D à partir de télédétection et observations clairsemées.</x:t>
  </x:si>
  <x:si>
    <x:t xml:space="preserve">https://doi.org/10.1016/j.ocemod.2025.102550</x:t>
  </x:si>
  <x:si>
    <x:t xml:space="preserve">B04–B07: sections originales extraites, NOT_VERIFIED. Author manuscript hosted on ResearchGate, pp.13–14; publisher edition and corrigendum not compared.</x:t>
  </x:si>
  <x:si>
    <x:t xml:space="preserve">ML;reconstruction</x:t>
  </x:si>
  <x:si>
    <x:t xml:space="preserve">Étudie la faisabilité de reconstruire l’intérieur océanique depuis des observations de surface et en profondeur simulées.</x:t>
  </x:si>
  <x:si>
    <x:t xml:space="preserve">DL;SWOT;detection</x:t>
  </x:si>
  <x:si>
    <x:t xml:space="preserve">Détecte des ondes internes océaniques dans des observations d’imagerie SWOT.</x:t>
  </x:si>
  <x:si>
    <x:t xml:space="preserve">ML;SWOT</x:t>
  </x:si>
  <x:si>
    <x:t xml:space="preserve">Infère les vitesses de surface à partir de mesures altimétriques SWOT.</x:t>
  </x:si>
  <x:si>
    <x:t xml:space="preserve">https://doi.org/10.1029/2024GL110731</x:t>
  </x:si>
  <x:si>
    <x:t xml:space="preserve">Résumé de conférence présentant un benchmark pour modèles de prévision océanique pilotés par données.</x:t>
  </x:si>
  <x:si>
    <x:t xml:space="preserve">https://doi.org/10.5194/egusphere-egu26-20905</x:t>
  </x:si>
  <x:si>
    <x:t xml:space="preserve">conference_abstract</x:t>
  </x:si>
  <x:si>
    <x:t xml:space="preserve">Not a verified PaperRecord; no page-level PDF audit. | B08: EGU26 conference abstract only; no full paper.</x:t>
  </x:si>
  <x:si>
    <x:t xml:space="preserve">ML;benchmark;downscaling</x:t>
  </x:si>
  <x:si>
    <x:t xml:space="preserve">Benchmark de reconstruction côtière 3D haute résolution à partir de variables de surface.</x:t>
  </x:si>
  <x:si>
    <x:t xml:space="preserve">https://doi.org/10.1016/j.oceaneng.2026.125851</x:t>
  </x:si>
  <x:si>
    <x:t xml:space="preserve">Not a verified PaperRecord; no page-level PDF audit. | B12: B12: abstract + Zenodo code/README; article body not read.</x:t>
  </x:si>
  <x:si>
    <x:t xml:space="preserve">ML;evidence_mapping</x:t>
  </x:si>
  <x:si>
    <x:t xml:space="preserve">Cartographie de littérature avec ML sur options océaniques de mitigation et adaptation ; référence méthodologique.</x:t>
  </x:si>
  <x:si>
    <x:t xml:space="preserve">RL;DDPG</x:t>
  </x:si>
  <x:si>
    <x:t xml:space="preserve">Planification de trajectoire de planeurs sous courants variables au moyen de DDPG et comparaison a DQN, en simulation.</x:t>
  </x:si>
  <x:si>
    <x:t xml:space="preserve">deep_extension_v1</x:t>
  </x:si>
  <x:si>
    <x:t xml:space="preserve">rl-observing;gliders;currents</x:t>
  </x:si>
  <x:si>
    <x:t xml:space="preserve">Abstract-only; architecture, optimizer and reward formula await full text.</x:t>
  </x:si>
  <x:si>
    <x:t xml:space="preserve">claims_added</x:t>
  </x:si>
  <x:si>
    <x:t xml:space="preserve">candidate_topic</x:t>
  </x:si>
  <x:si>
    <x:t xml:space="preserve">testable_question</x:t>
  </x:si>
  <x:si>
    <x:t xml:space="preserve">basis_paper_ids</x:t>
  </x:si>
  <x:si>
    <x:t xml:space="preserve">qualification</x:t>
  </x:si>
  <x:si>
    <x:t xml:space="preserve">correction_note</x:t>
  </x:si>
  <x:si>
    <x:t xml:space="preserve">Cross-regime robustness</x:t>
  </x:si>
  <x:si>
    <x:t xml:space="preserve">Do trained operators transfer across basins, bathymetry and seasonal regimes?</x:t>
  </x:si>
  <x:si>
    <x:t xml:space="preserve">OAI-0002;OAI-0003</x:t>
  </x:si>
  <x:si>
    <x:t xml:space="preserve">TEAM_HYPOTHESIS_NOT_VALIDATED</x:t>
  </x:si>
  <x:si>
    <x:t xml:space="preserve">A possible experiment, not a documented global gap.</x:t>
  </x:si>
  <x:si>
    <x:t xml:space="preserve">Long-rollout physical stability</x:t>
  </x:si>
  <x:si>
    <x:t xml:space="preserve">Compare pointwise accuracy with energy spectra, eddy structure, transport and conservation on matching leads.</x:t>
  </x:si>
  <x:si>
    <x:t xml:space="preserve">Candidate synthesis, not a claim of novelty.</x:t>
  </x:si>
  <x:si>
    <x:t xml:space="preserve">Sparse observations plus physics</x:t>
  </x:si>
  <x:si>
    <x:t xml:space="preserve">Compare PINN-SR, variational DA and probabilistic gap filling with identical observation masks.</x:t>
  </x:si>
  <x:si>
    <x:t xml:space="preserve">OAI-0001;OAI-0004;OAI-0040</x:t>
  </x:si>
  <x:si>
    <x:t xml:space="preserve">Different tasks; harmonize before comparison.</x:t>
  </x:si>
  <x:si>
    <x:t xml:space="preserve">Uncertainty calibration</x:t>
  </x:si>
  <x:si>
    <x:t xml:space="preserve">Measure whether reported per-pixel variance is calibrated in rare extremes and distribution shifts.</x:t>
  </x:si>
  <x:si>
    <x:t xml:space="preserve">Suggested validation, not author-stated limitation.</x:t>
  </x:si>
  <x:si>
    <x:t xml:space="preserve">Boundary-aware neural operators</x:t>
  </x:si>
  <x:si>
    <x:t xml:space="preserve">Ablate explicit lateral boundary inputs in regional forecasts with held-out regimes.</x:t>
  </x:si>
  <x:si>
    <x:t xml:space="preserve">Inspired by explicit author-reported limitation.</x:t>
  </x:si>
  <x:si>
    <x:t xml:space="preserve">Learning from observation vs reanalysis</x:t>
  </x:si>
  <x:si>
    <x:t xml:space="preserve">Compare real-time observational conditioning with fixed reanalysis-only emulators.</x:t>
  </x:si>
  <x:si>
    <x:t xml:space="preserve">Proposed study, not published winner.</x:t>
  </x:si>
  <x:si>
    <x:t xml:space="preserve">Scale-aware loss tradeoffs</x:t>
  </x:si>
  <x:si>
    <x:t xml:space="preserve">Measure data-loss versus spectral-loss effects on both RMSE and high-wavenumber skill.</x:t>
  </x:si>
  <x:si>
    <x:t xml:space="preserve">OAI-0002;OAI-0006</x:t>
  </x:si>
  <x:si>
    <x:t xml:space="preserve">Different setups; standardize spectral computation.</x:t>
  </x:si>
  <x:si>
    <x:t xml:space="preserve">PDE residual discovery under sparse data</x:t>
  </x:si>
  <x:si>
    <x:t xml:space="preserve">Audit discovered PDE terms across drifter sampling density, noise and regimes.</x:t>
  </x:si>
  <x:si>
    <x:t xml:space="preserve">Suggested independent experiment.</x:t>
  </x:si>
  <x:si>
    <x:t xml:space="preserve">FNO loss transfer</x:t>
  </x:si>
  <x:si>
    <x:t xml:space="preserve">Candidate only; not independently audited. Basis: 5.5; 6</x:t>
  </x:si>
  <x:si>
    <x:t xml:space="preserve">Operational DA validation</x:t>
  </x:si>
  <x:si>
    <x:t xml:space="preserve">Candidate only; not independently audited. Basis: 3.3; 3.4</x:t>
  </x:si>
  <x:si>
    <x:t xml:space="preserve">Observation-aware generative DA</x:t>
  </x:si>
  <x:si>
    <x:t xml:space="preserve">Candidate only; not independently audited. Basis: 4.2.2; 7.2.2</x:t>
  </x:si>
  <x:si>
    <x:t xml:space="preserve">Atmosphere-to-ocean transfer</x:t>
  </x:si>
  <x:si>
    <x:t xml:space="preserve">Candidate only; not independently audited. Basis: 2.2; 4</x:t>
  </x:si>
  <x:si>
    <x:t xml:space="preserve">Coupled long-term stability</x:t>
  </x:si>
  <x:si>
    <x:t xml:space="preserve">Candidate only; not independently audited. Basis: 3; 4.3</x:t>
  </x:si>
  <x:si>
    <x:t xml:space="preserve">B04-G01</x:t>
  </x:si>
  <x:si>
    <x:t xml:space="preserve">AI_INTERPRETATION — NOT_VERIFIED</x:t>
  </x:si>
  <x:si>
    <x:t xml:space="preserve">https://www.frontiersin.org/journals/marine-science/articles/10.3389/fmars.2023.1079286/full | 3 Results, Figure 5</x:t>
  </x:si>
  <x:si>
    <x:t xml:space="preserve">B12: pre-correction values -&gt; A='B04-G01'; B='OAI-0031'; C='Test tail-sensitive losses with independent observational evaluation for ITF extremes.'; D='AI_INTERPRETATION — NOT_VERIFIED'; E='https://www.frontiersin.org/journals/marine-science/articles/10.3389/fmars.2023.1079286/full | 3 Results, Figure 5'. candidate_topic keeps the gap id (no topic label in source row).</x:t>
  </x:si>
  <x:si>
    <x:t xml:space="preserve">B04-G02</x:t>
  </x:si>
  <x:si>
    <x:t xml:space="preserve">https://www.nature.com/articles/s41598-025-23682-9 | Generalization and seasonal variation</x:t>
  </x:si>
  <x:si>
    <x:t xml:space="preserve">B12: pre-correction values -&gt; A='B04-G02'; B='OAI-0036'; C='Compare observation-density-aware training across winters and ocean basins.'; D='AI_INTERPRETATION — NOT_VERIFIED'; E='https://www.nature.com/articles/s41598-025-23682-9 | Generalization and seasonal variation'. candidate_topic keeps the gap id (no topic label in source row).</x:t>
  </x:si>
  <x:si>
    <x:t xml:space="preserve">B04-G03</x:t>
  </x:si>
  <x:si>
    <x:t xml:space="preserve">https://www.frontiersin.org/journals/marine-science/articles/10.3389/fmars.2025.1613061/full | 4.3.7 Balancing generalization</x:t>
  </x:si>
  <x:si>
    <x:t xml:space="preserve">B12: pre-correction values -&gt; A='B04-G03'; B='OAI-0091'; C='Benchmark bathymetry domain adaptation with geographically separated test cruises.'; D='AI_INTERPRETATION — NOT_VERIFIED'; E='https://www.frontiersin.org/journals/marine-science/articles/10.3389/fmars.2025.1613061/full | 4.3.7 Balancing generalization'. candidate_topic keeps the gap id (no topic label in source row).</x:t>
  </x:si>
  <x:si>
    <x:t xml:space="preserve">B04-G04</x:t>
  </x:si>
  <x:si>
    <x:t xml:space="preserve">https://arxiv.org/html/2512.04452v1 | 5, a posteriori calibration</x:t>
  </x:si>
  <x:si>
    <x:t xml:space="preserve">B12: pre-correction values -&gt; A='B04-G04'; B='OAI-0101'; C='Compare derivative regularization and long-rollout stability under unseen forcing.'; D='AI_INTERPRETATION — NOT_VERIFIED'; E='https://arxiv.org/html/2512.04452v1 | 5, a posteriori calibration'. candidate_topic keeps the gap id (no topic label in source row).</x:t>
  </x:si>
  <x:si>
    <x:t xml:space="preserve">https://arxiv.org/pdf/2609.08606v1 | Sec. 1; 3 | claim B08-0045</x:t>
  </x:si>
  <x:si>
    <x:t xml:space="preserve">B12: added from SCIENTIFIC_CLAIMS</x:t>
  </x:si>
  <x:si>
    <x:t xml:space="preserve">https://arxiv.org/pdf/2604.06398v2 | 4 Discussion | claim B09-0061</x:t>
  </x:si>
  <x:si>
    <x:t xml:space="preserve">https://www.ebi.ac.uk/europepmc/webservices/rest/PMC12976684/fullTextXML | AI-OMIP | claim B10-0011</x:t>
  </x:si>
  <x:si>
    <x:t xml:space="preserve">access_or_extraction_state</x:t>
  </x:si>
  <x:si>
    <x:t xml:space="preserve">claims_added_B04_B07</x:t>
  </x:si>
  <x:si>
    <x:t xml:space="preserve">initial_access_result</x:t>
  </x:si>
  <x:si>
    <x:t xml:space="preserve">downloaded_html_sha256</x:t>
  </x:si>
  <x:si>
    <x:t xml:space="preserve">edition_used</x:t>
  </x:si>
  <x:si>
    <x:t xml:space="preserve">checked_on</x:t>
  </x:si>
  <x:si>
    <x:t xml:space="preserve">remaining_action</x:t>
  </x:si>
  <x:si>
    <x:t xml:space="preserve">edition_warning</x:t>
  </x:si>
  <x:si>
    <x:t xml:space="preserve">ACCESS_FAILED</x:t>
  </x:si>
  <x:si>
    <x:t xml:space="preserve">HTTP content obtained; may be landing/block page.</x:t>
  </x:si>
  <x:si>
    <x:t xml:space="preserve">5b131ca14aa96311d3432b0062c7443d3b0e6346ec279bd376a75f0a76bcd5d7</x:t>
  </x:si>
  <x:si>
    <x:t xml:space="preserve">NOT_EXTRACTED; obtain publisher PDF or author manuscript. No claim of absent reporting.</x:t>
  </x:si>
  <x:si>
    <x:t xml:space="preserve">SECTIONS_EXTRACTED</x:t>
  </x:si>
  <x:si>
    <x:t xml:space="preserve">df0b9a89756c1d3d9daca85d3447fa5a75a605dd659bca3d4b436e4fefc13c96</x:t>
  </x:si>
  <x:si>
    <x:t xml:space="preserve">PUBLISHED_PDF</x:t>
  </x:si>
  <x:si>
    <x:t xml:space="preserve">HTML contaminated; PDF used.</x:t>
  </x:si>
  <x:si>
    <x:t xml:space="preserve">5f4cebc6f4d016d462f34240827363521ee95191207e1ff61b6de4dbc85fa1a1</x:t>
  </x:si>
  <x:si>
    <x:t xml:space="preserve">NOT_EXTRACTED for unresolved fields; read remaining text/supplements and verify code.</x:t>
  </x:si>
  <x:si>
    <x:t xml:space="preserve">4052de4a813c8491df17c754d5789679f64202951a8cc47e5a6ab80b023e306c</x:t>
  </x:si>
  <x:si>
    <x:t xml:space="preserve">ABSTRACT_VIA_API</x:t>
  </x:si>
  <x:si>
    <x:t xml:space="preserve">Full text not accessible; PDF requested.</x:t>
  </x:si>
  <x:si>
    <x:t xml:space="preserve">1a19947575a2684516fbb8235f67540c0c9defc0d63a7e3b391fac757e155353</x:t>
  </x:si>
  <x:si>
    <x:t xml:space="preserve">HTTP Error 403: Forbidden</x:t>
  </x:si>
  <x:si>
    <x:t xml:space="preserve">PUBLISHED_VERSION_PMC_XML</x:t>
  </x:si>
  <x:si>
    <x:t xml:space="preserve">OUP 403 earlier; PMC used.</x:t>
  </x:si>
  <x:si>
    <x:t xml:space="preserve">819ccca54aa05d662f429379a1828c9947ae5d32dfc48d6073d9cea6541c3a9f</x:t>
  </x:si>
  <x:si>
    <x:t xml:space="preserve">2f16d1502a99aacc267da485aed277554ee39a8a9ebed7c21efc2e5cb663a09a</x:t>
  </x:si>
  <x:si>
    <x:t xml:space="preserve">ef80c3dcc09816bb27eb3932528c8c98539d23c39af7003774215985aff7cce2</x:t>
  </x:si>
  <x:si>
    <x:t xml:space="preserve">cd1f205e15feac02bb539189d549fedd50dae5577ddf2c9c35dc3d8d9309eb19</x:t>
  </x:si>
  <x:si>
    <x:t xml:space="preserve">None critical.</x:t>
  </x:si>
  <x:si>
    <x:t xml:space="preserve">2282b39c9adb1a7990878b2371c1f58a3ec7a1b6b3e3b37601268c32cbfbbb76</x:t>
  </x:si>
  <x:si>
    <x:t xml:space="preserve">None.</x:t>
  </x:si>
  <x:si>
    <x:t xml:space="preserve">935010928590850edf42426674d2bec835e37f4725ed665824ac07c2d3e4a9d6</x:t>
  </x:si>
  <x:si>
    <x:t xml:space="preserve">d7fe8097882d53a488c8cf0ca8bd887bf90f97c2505f4140777854d6ed1bc7e4</x:t>
  </x:si>
  <x:si>
    <x:t xml:space="preserve">b1c408e281a82fa0d372e2aaf6b87a687d3ad1ed8f3ab8e99808145fd3b2eed2</x:t>
  </x:si>
  <x:si>
    <x:t xml:space="preserve">a399a9b3587eabdfb587370d554ffc200136e149150660b577c525297e74d6c2</x:t>
  </x:si>
  <x:si>
    <x:t xml:space="preserve">0c47b998a2e81035f140cc73bd97aebff5706f4d45b0e64a3bb4f6829636f89f</x:t>
  </x:si>
  <x:si>
    <x:t xml:space="preserve">84e221d109845ce1481c6c67fcd8d492ca0e09202a78cf897b5dd0a773d36e12</x:t>
  </x:si>
  <x:si>
    <x:t xml:space="preserve">&lt;urlopen error Tunnel connection failed: 403 Forbidden&gt;</x:t>
  </x:si>
  <x:si>
    <x:t xml:space="preserve">d692ff6c7eba56117e133c8311f8480299862efa0a8a7ff172f3d1b388659d7d</x:t>
  </x:si>
  <x:si>
    <x:t xml:space="preserve">b4c6fb01bec1558187033a062a223551f6b8af90f71bb1026b4b3b5023cfaf6b</x:t>
  </x:si>
  <x:si>
    <x:t xml:space="preserve">7590b43b2b2cb210561cc25c8cfccd3e1d7924ada9e1e8e70f333cfaf9c15f0d</x:t>
  </x:si>
  <x:si>
    <x:t xml:space="preserve">5b6684af302a8b2e2dcbaf7a984f8834c7541919f42047d2b17633682e42ff54</x:t>
  </x:si>
  <x:si>
    <x:t xml:space="preserve">PARTIAL_PUBLIC_SECTIONS_ONLY</x:t>
  </x:si>
  <x:si>
    <x:t xml:space="preserve">Body paywalled; obtain PDF.</x:t>
  </x:si>
  <x:si>
    <x:t xml:space="preserve">PUBLISHED_PDF_ARCHIMER_COPY</x:t>
  </x:si>
  <x:si>
    <x:t xml:space="preserve">SI not read.</x:t>
  </x:si>
  <x:si>
    <x:t xml:space="preserve">Supplementary not read.</x:t>
  </x:si>
  <x:si>
    <x:t xml:space="preserve">Figures/appendix values remain NOT_EXTRACTED.</x:t>
  </x:si>
  <x:si>
    <x:t xml:space="preserve">ARXIV_V2</x:t>
  </x:si>
  <x:si>
    <x:t xml:space="preserve">Compare with published GRL.</x:t>
  </x:si>
  <x:si>
    <x:t xml:space="preserve">ARXIV_V6</x:t>
  </x:si>
  <x:si>
    <x:t xml:space="preserve">Presentation restricted to registrants.</x:t>
  </x:si>
  <x:si>
    <x:t xml:space="preserve">scope</x:t>
  </x:si>
  <x:si>
    <x:t xml:space="preserve">problem</x:t>
  </x:si>
  <x:si>
    <x:t xml:space="preserve">datasets</x:t>
  </x:si>
  <x:si>
    <x:t xml:space="preserve">preprocessing</x:t>
  </x:si>
  <x:si>
    <x:t xml:space="preserve">architecture</x:t>
  </x:si>
  <x:si>
    <x:t xml:space="preserve">encoder</x:t>
  </x:si>
  <x:si>
    <x:t xml:space="preserve">decoder</x:t>
  </x:si>
  <x:si>
    <x:t xml:space="preserve">hidden_dimensions</x:t>
  </x:si>
  <x:si>
    <x:t xml:space="preserve">activations</x:t>
  </x:si>
  <x:si>
    <x:t xml:space="preserve">attention</x:t>
  </x:si>
  <x:si>
    <x:t xml:space="preserve">convolution</x:t>
  </x:si>
  <x:si>
    <x:t xml:space="preserve">fourier</x:t>
  </x:si>
  <x:si>
    <x:t xml:space="preserve">optimizer</x:t>
  </x:si>
  <x:si>
    <x:t xml:space="preserve">learning_rate</x:t>
  </x:si>
  <x:si>
    <x:t xml:space="preserve">scheduler</x:t>
  </x:si>
  <x:si>
    <x:t xml:space="preserve">batch_size</x:t>
  </x:si>
  <x:si>
    <x:t xml:space="preserve">hardware</x:t>
  </x:si>
  <x:si>
    <x:t xml:space="preserve">training_time</x:t>
  </x:si>
  <x:si>
    <x:t xml:space="preserve">loss_total</x:t>
  </x:si>
  <x:si>
    <x:t xml:space="preserve">loss_components</x:t>
  </x:si>
  <x:si>
    <x:t xml:space="preserve">loss_weights</x:t>
  </x:si>
  <x:si>
    <x:t xml:space="preserve">physics</x:t>
  </x:si>
  <x:si>
    <x:t xml:space="preserve">PDE</x:t>
  </x:si>
  <x:si>
    <x:t xml:space="preserve">initial_conditions</x:t>
  </x:si>
  <x:si>
    <x:t xml:space="preserve">assimilation</x:t>
  </x:si>
  <x:si>
    <x:t xml:space="preserve">RL_state</x:t>
  </x:si>
  <x:si>
    <x:t xml:space="preserve">RL_action</x:t>
  </x:si>
  <x:si>
    <x:t xml:space="preserve">RL_reward</x:t>
  </x:si>
  <x:si>
    <x:t xml:space="preserve">RL_environment</x:t>
  </x:si>
  <x:si>
    <x:t xml:space="preserve">metrics</x:t>
  </x:si>
  <x:si>
    <x:t xml:space="preserve">ablations</x:t>
  </x:si>
  <x:si>
    <x:t xml:space="preserve">quantitative_results</x:t>
  </x:si>
  <x:si>
    <x:t xml:space="preserve">limitations</x:t>
  </x:si>
  <x:si>
    <x:t xml:space="preserve">reproducibility</x:t>
  </x:si>
  <x:si>
    <x:t xml:space="preserve">code</x:t>
  </x:si>
  <x:si>
    <x:t xml:space="preserve">data_access</x:t>
  </x:si>
  <x:si>
    <x:t xml:space="preserve">research_gaps</x:t>
  </x:si>
  <x:si>
    <x:t xml:space="preserve">B04–B07 only; EXTRACTED_PARTIAL means at least one claim, not complete coverage.</x:t>
  </x:si>
  <x:si>
    <x:t xml:space="preserve">B04–B08; EXTRACTED_PARTIAL means at least one claim, not complete coverage.</x:t>
  </x:si>
  <x:si>
    <x:t xml:space="preserve">EXTRACTED_PARTIAL</x:t>
  </x:si>
  <x:si>
    <x:t xml:space="preserve">sheet</x:t>
  </x:si>
  <x:si>
    <x:t xml:space="preserve">column</x:t>
  </x:si>
  <x:si>
    <x:t xml:space="preserve">old_value</x:t>
  </x:si>
  <x:si>
    <x:t xml:space="preserve">new_value</x:t>
  </x:si>
  <x:si>
    <x:t xml:space="preserve">reason</x:t>
  </x:si>
  <x:si>
    <x:t xml:space="preserve">B08 extraction</x:t>
  </x:si>
  <x:si>
    <x:t xml:space="preserve">B08 scope label</x:t>
  </x:si>
  <x:si>
    <x:t xml:space="preserve">COVERAGE</x:t>
  </x:si>
  <x:si>
    <x:t xml:space="preserve">B08 claims added</x:t>
  </x:si>
  <x:si>
    <x:t xml:space="preserve">B08 first extraction</x:t>
  </x:si>
  <x:si>
    <x:t xml:space="preserve">Obtain full text (institutional access) for Methods.</x:t>
  </x:si>
  <x:si>
    <x:t xml:space="preserve">Read supplementary; Mbani et al. for training details.</x:t>
  </x:si>
  <x:si>
    <x:t xml:space="preserve">Read figures/appendix values; check for later version.</x:t>
  </x:si>
  <x:si>
    <x:t xml:space="preserve">Link to OceanBench main paper record.</x:t>
  </x:si>
  <x:si>
    <x:t xml:space="preserve">PAPER_INDEX</x:t>
  </x:si>
  <x:si>
    <x:t xml:space="preserve">B08 note appended</x:t>
  </x:si>
  <x:si>
    <x:t xml:space="preserve">Not a verified PaperRecord; no page-level PDF audit. | B08: Publisher HTML body read; supplementary not read.</x:t>
  </x:si>
  <x:si>
    <x:t xml:space="preserve">Not a verified PaperRecord; no page-level PDF audit. | B08: arXiv v1 PDF read (sections 1-5, Table 1); published version not compared.</x:t>
  </x:si>
  <x:si>
    <x:t xml:space="preserve">SOURCE_ACCESS</x:t>
  </x:si>
  <x:si>
    <x:t xml:space="preserve">B08 re-access</x:t>
  </x:si>
  <x:si>
    <x:t xml:space="preserve">START_HERE</x:t>
  </x:si>
  <x:si>
    <x:t xml:space="preserve">B5</x:t>
  </x:si>
  <x:si>
    <x:t xml:space="preserve">FORMULA: B6-B7</x:t>
  </x:si>
  <x:si>
    <x:t xml:space="preserve">B08: papers with extraction before this batch (formula)</x:t>
  </x:si>
  <x:si>
    <x:t xml:space="preserve">B7</x:t>
  </x:si>
  <x:si>
    <x:t xml:space="preserve">B08 papers added</x:t>
  </x:si>
  <x:si>
    <x:t xml:space="preserve">B8</x:t>
  </x:si>
  <x:si>
    <x:t xml:space="preserve">Rows preserved before B08</x:t>
  </x:si>
  <x:si>
    <x:t xml:space="preserve">B9</x:t>
  </x:si>
  <x:si>
    <x:t xml:space="preserve">B08 rows added</x:t>
  </x:si>
  <x:si>
    <x:t xml:space="preserve">C9</x:t>
  </x:si>
  <x:si>
    <x:t xml:space="preserve">134 faits; 3 limites; lot B07.</x:t>
  </x:si>
  <x:si>
    <x:t xml:space="preserve">66 faits; 6 limites; 2 future work; 8 AI (dont 5 NOT_REPORTED, 2 NOT_EXTRACTED); lot B08.</x:t>
  </x:si>
  <x:si>
    <x:t xml:space="preserve">C13</x:t>
  </x:si>
  <x:si>
    <x:t xml:space="preserve">B04–B07; audit scientifique indépendant non effectué.</x:t>
  </x:si>
  <x:si>
    <x:t xml:space="preserve">B04–B08; audit scientifique indépendant non effectué.</x:t>
  </x:si>
  <x:si>
    <x:t xml:space="preserve">B19</x:t>
  </x:si>
  <x:si>
    <x:t xml:space="preserve">90 papiers (B04–B08)</x:t>
  </x:si>
  <x:si>
    <x:t xml:space="preserve">C22</x:t>
  </x:si>
  <x:si>
    <x:t xml:space="preserve">Ratio 60:20:20 incompatible avec les effectifs annoncés; valeurs conservées.</x:t>
  </x:si>
  <x:si>
    <x:t xml:space="preserve">OAI-0089 ; nouveaux : voir CHANGE_LOG</x:t>
  </x:si>
  <x:si>
    <x:t xml:space="preserve">B09 extraction</x:t>
  </x:si>
  <x:si>
    <x:t xml:space="preserve">B09 scope label</x:t>
  </x:si>
  <x:si>
    <x:t xml:space="preserve">B09 claims added</x:t>
  </x:si>
  <x:si>
    <x:t xml:space="preserve">B09 first extraction</x:t>
  </x:si>
  <x:si>
    <x:t xml:space="preserve">Read SI Tables S1-S5.</x:t>
  </x:si>
  <x:si>
    <x:t xml:space="preserve">Check Zenodo code for optimizer/lr.</x:t>
  </x:si>
  <x:si>
    <x:t xml:space="preserve">Not a verified PaperRecord; no page-level PDF audit. | B09: Published PDF (14 p.) read; HTML page contains unrelated table (contamination).</x:t>
  </x:si>
  <x:si>
    <x:t xml:space="preserve">B09 note appended</x:t>
  </x:si>
  <x:si>
    <x:t xml:space="preserve">Not a verified PaperRecord; no page-level PDF audit. | B09: Published PDF via Archimer read; SI not read.</x:t>
  </x:si>
  <x:si>
    <x:t xml:space="preserve">Not a verified PaperRecord; no page-level PDF audit. | B09: arXiv v2 read; GRL version not compared.</x:t>
  </x:si>
  <x:si>
    <x:t xml:space="preserve">Not a verified PaperRecord; no page-level PDF audit. | B09: arXiv v6 incl. SI read; GRL version not compared.</x:t>
  </x:si>
  <x:si>
    <x:t xml:space="preserve">HTML_OBTAINED_NOT_EXTRACTED</x:t>
  </x:si>
  <x:si>
    <x:t xml:space="preserve">B09 re-access</x:t>
  </x:si>
  <x:si>
    <x:t xml:space="preserve">NOT_EXTRACTED; inspect article body and resolve markup/source contamination.</x:t>
  </x:si>
  <x:si>
    <x:t xml:space="preserve">B09 papers added</x:t>
  </x:si>
  <x:si>
    <x:t xml:space="preserve">Rows preserved before B09</x:t>
  </x:si>
  <x:si>
    <x:t xml:space="preserve">B09 rows added</x:t>
  </x:si>
  <x:si>
    <x:t xml:space="preserve">68 faits; 7 limites; 6 AI (dont 3 NOT_REPORTED); lot B09.</x:t>
  </x:si>
  <x:si>
    <x:t xml:space="preserve">B04–B09; audit scientifique indépendant non effectué.</x:t>
  </x:si>
  <x:si>
    <x:t xml:space="preserve">90 papiers (B04–B09)</x:t>
  </x:si>
  <x:si>
    <x:t xml:space="preserve">OAI-0089 ; OAI-0013 et OAI-0077 (B09) ; voir CHANGE_LOG</x:t>
  </x:si>
  <x:si>
    <x:t xml:space="preserve">Requalified B10: keyword search only, insufficient for NOT_REPORTED.</x:t>
  </x:si>
  <x:si>
    <x:t xml:space="preserve">Absence only in arXiv v1 text layer; not checked in any later version.</x:t>
  </x:si>
  <x:si>
    <x:t xml:space="preserve">Requalified B10: supplementary and cited method paper not read.</x:t>
  </x:si>
  <x:si>
    <x:t xml:space="preserve">Refers to Mbani et al. prior paper for details; not checked there.</x:t>
  </x:si>
  <x:si>
    <x:t xml:space="preserve">Requalified B10: sections listed, not all read in full.</x:t>
  </x:si>
  <x:si>
    <x:t xml:space="preserve">Editorial summarising Research Topic; experiments belong to cited articles.</x:t>
  </x:si>
  <x:si>
    <x:t xml:space="preserve">Requalified B10: keyword search on imperfect two-column text layer.</x:t>
  </x:si>
  <x:si>
    <x:t xml:space="preserve">Covers optimizer, learning rate, batch size, epochs, hardware, loss. Two-column text extraction imperfect.</x:t>
  </x:si>
  <x:si>
    <x:t xml:space="preserve">Requalified B10: keyword search only.</x:t>
  </x:si>
  <x:si>
    <x:t xml:space="preserve">B10 extraction</x:t>
  </x:si>
  <x:si>
    <x:t xml:space="preserve">B10 scope label</x:t>
  </x:si>
  <x:si>
    <x:t xml:space="preserve">B10 first extraction</x:t>
  </x:si>
  <x:si>
    <x:t xml:space="preserve">B10 note appended</x:t>
  </x:si>
  <x:si>
    <x:t xml:space="preserve">Not a verified PaperRecord; no page-level PDF audit. | B10: Published version via PMC full-text XML; review sections read (not all 278 refs).</x:t>
  </x:si>
  <x:si>
    <x:t xml:space="preserve">Not a verified PaperRecord; no page-level PDF audit. | B09: Published PDF via Archimer read; SI not read. | B10: B10 conflict review only.</x:t>
  </x:si>
  <x:si>
    <x:t xml:space="preserve">B04–B07: sections originales extraites, NOT_VERIFIED.  | B10: B10 conflict review only.</x:t>
  </x:si>
  <x:si>
    <x:t xml:space="preserve">B10 re-access</x:t>
  </x:si>
  <x:si>
    <x:t xml:space="preserve">B10 new paper out of INDEX_ONLY (OAI-0017)</x:t>
  </x:si>
  <x:si>
    <x:t xml:space="preserve">Rows preserved before B10</x:t>
  </x:si>
  <x:si>
    <x:t xml:space="preserve">B10 rows added</x:t>
  </x:si>
  <x:si>
    <x:t xml:space="preserve">B10 : 3 revues de conflit (AI), 8 lignes OAI-0017, 5 requalifications NOT_REPORTED→NOT_EXTRACTED.</x:t>
  </x:si>
  <x:si>
    <x:t xml:space="preserve">B10: restores label overwritten in B08/B09 (wrong cell)</x:t>
  </x:si>
  <x:si>
    <x:t xml:space="preserve">C19</x:t>
  </x:si>
  <x:si>
    <x:t xml:space="preserve">Aucun nouvel usage sans examen suffisant du document.</x:t>
  </x:si>
  <x:si>
    <x:t xml:space="preserve">B10: corrected definition</x:t>
  </x:si>
  <x:si>
    <x:t xml:space="preserve">B20</x:t>
  </x:si>
  <x:si>
    <x:t xml:space="preserve">90 papiers, lot courant</x:t>
  </x:si>
  <x:si>
    <x:t xml:space="preserve">C20</x:t>
  </x:si>
  <x:si>
    <x:t xml:space="preserve">EXTRACTED_PARTIAL signifie ≥1 information dans la catégorie, pas sa complétude.</x:t>
  </x:si>
  <x:si>
    <x:t xml:space="preserve">C10</x:t>
  </x:si>
  <x:si>
    <x:t xml:space="preserve">Exclut les 52 lignes de champs manquants du lot B03.</x:t>
  </x:si>
  <x:si>
    <x:t xml:space="preserve">Somme de COVERAGE!D(COVERAGE!D) = toutes les lignes (faits, limites, IA, absences) ; détail dans COVERAGE n_*.</x:t>
  </x:si>
  <x:si>
    <x:t xml:space="preserve">B10: claim_count formula redefined</x:t>
  </x:si>
  <x:si>
    <x:t xml:space="preserve">B04–B10; audit scientifique indépendant non effectué.</x:t>
  </x:si>
  <x:si>
    <x:t xml:space="preserve">B22</x:t>
  </x:si>
  <x:si>
    <x:t xml:space="preserve">OAI-0089 (ouvert), OAI-0013 (ouvert), OAI-0077 (mineur) : lignes data.conflict_review B10</x:t>
  </x:si>
  <x:si>
    <x:t xml:space="preserve">CHANGE_LOG</x:t>
  </x:si>
  <x:si>
    <x:t xml:space="preserve">row 1</x:t>
  </x:si>
  <x:si>
    <x:t xml:space="preserve">(empty row)</x:t>
  </x:si>
  <x:si>
    <x:t xml:space="preserve">deleted</x:t>
  </x:si>
  <x:si>
    <x:t xml:space="preserve">Structural fix: header moved to row 1 (empty first row created in B08)</x:t>
  </x:si>
  <x:si>
    <x:t xml:space="preserve">BATCH_LOG</x:t>
  </x:si>
  <x:si>
    <x:t xml:space="preserve">FORMULA: COUNTIF(SCIENTIFIC_CLAIMS!$B$2:$B$1672,A2)</x:t>
  </x:si>
  <x:si>
    <x:t xml:space="preserve">Formula fix: old ranges truncated (to row 552/1498) and counted only extraction_status=EXTRACTED; now all rows of the paper (breakdown in n_* columns)</x:t>
  </x:si>
  <x:si>
    <x:t xml:space="preserve">FORMULA: COUNTIF(SCIENTIFIC_CLAIMS!$B$2:$B$1672,A3)</x:t>
  </x:si>
  <x:si>
    <x:t xml:space="preserve">FORMULA: COUNTIF(SCIENTIFIC_CLAIMS!$B$2:$B$1672,A4)</x:t>
  </x:si>
  <x:si>
    <x:t xml:space="preserve">FORMULA: COUNTIF(SCIENTIFIC_CLAIMS!$B$2:$B$1672,A5)</x:t>
  </x:si>
  <x:si>
    <x:t xml:space="preserve">FORMULA: COUNTIF(SCIENTIFIC_CLAIMS!$B$2:$B$1672,A6)</x:t>
  </x:si>
  <x:si>
    <x:t xml:space="preserve">FORMULA: COUNTIF(SCIENTIFIC_CLAIMS!$B$2:$B$1672,A7)</x:t>
  </x:si>
  <x:si>
    <x:t xml:space="preserve">FORMULA: COUNTIFS(SCIENTIFIC_CLAIMS!$B$2:$B$552,A8,SCIENTIFIC_CLAIMS!$T$2:$T$552,"EXTRACTED")</x:t>
  </x:si>
  <x:si>
    <x:t xml:space="preserve">FORMULA: COUNTIF(SCIENTIFIC_CLAIMS!$B$2:$B$1672,A8)</x:t>
  </x:si>
  <x:si>
    <x:t xml:space="preserve">FORMULA: COUNTIFS(SCIENTIFIC_CLAIMS!$B$2:$B$552,A9,SCIENTIFIC_CLAIMS!$T$2:$T$552,"EXTRACTED")</x:t>
  </x:si>
  <x:si>
    <x:t xml:space="preserve">FORMULA: COUNTIF(SCIENTIFIC_CLAIMS!$B$2:$B$1672,A9)</x:t>
  </x:si>
  <x:si>
    <x:t xml:space="preserve">FORMULA: COUNTIFS(SCIENTIFIC_CLAIMS!$B$2:$B$552,A10,SCIENTIFIC_CLAIMS!$T$2:$T$552,"EXTRACTED")</x:t>
  </x:si>
  <x:si>
    <x:t xml:space="preserve">FORMULA: COUNTIF(SCIENTIFIC_CLAIMS!$B$2:$B$1672,A10)</x:t>
  </x:si>
  <x:si>
    <x:t xml:space="preserve">FORMULA: COUNTIFS(SCIENTIFIC_CLAIMS!$B$2:$B$552,A11,SCIENTIFIC_CLAIMS!$T$2:$T$552,"EXTRACTED")</x:t>
  </x:si>
  <x:si>
    <x:t xml:space="preserve">FORMULA: COUNTIF(SCIENTIFIC_CLAIMS!$B$2:$B$1672,A11)</x:t>
  </x:si>
  <x:si>
    <x:t xml:space="preserve">FORMULA: COUNTIFS(SCIENTIFIC_CLAIMS!$B$2:$B$552,A12,SCIENTIFIC_CLAIMS!$T$2:$T$552,"EXTRACTED")</x:t>
  </x:si>
  <x:si>
    <x:t xml:space="preserve">FORMULA: COUNTIF(SCIENTIFIC_CLAIMS!$B$2:$B$1672,A12)</x:t>
  </x:si>
  <x:si>
    <x:t xml:space="preserve">FORMULA: COUNTIF(SCIENTIFIC_CLAIMS!$B$2:$B$1672,A13)</x:t>
  </x:si>
  <x:si>
    <x:t xml:space="preserve">FORMULA: COUNTIF(SCIENTIFIC_CLAIMS!$B$2:$B$1672,A14)</x:t>
  </x:si>
  <x:si>
    <x:t xml:space="preserve">FORMULA: COUNTIFS(SCIENTIFIC_CLAIMS!$B$2:$B$1498,A15,SCIENTIFIC_CLAIMS!$T$2:$T$1498,"EXTRACTED")</x:t>
  </x:si>
  <x:si>
    <x:t xml:space="preserve">FORMULA: COUNTIF(SCIENTIFIC_CLAIMS!$B$2:$B$1672,A15)</x:t>
  </x:si>
  <x:si>
    <x:t xml:space="preserve">FORMULA: COUNTIF(SCIENTIFIC_CLAIMS!$B$2:$B$1672,A16)</x:t>
  </x:si>
  <x:si>
    <x:t xml:space="preserve">FORMULA: COUNTIFS(SCIENTIFIC_CLAIMS!$B$2:$B$1498,A17,SCIENTIFIC_CLAIMS!$T$2:$T$1498,"EXTRACTED")</x:t>
  </x:si>
  <x:si>
    <x:t xml:space="preserve">FORMULA: COUNTIF(SCIENTIFIC_CLAIMS!$B$2:$B$1672,A17)</x:t>
  </x:si>
  <x:si>
    <x:t xml:space="preserve">FORMULA: COUNTIF(SCIENTIFIC_CLAIMS!$B$2:$B$1672,A18)</x:t>
  </x:si>
  <x:si>
    <x:t xml:space="preserve">FORMULA: COUNTIFS(SCIENTIFIC_CLAIMS!$B$2:$B$1498,A19,SCIENTIFIC_CLAIMS!$T$2:$T$1498,"EXTRACTED")</x:t>
  </x:si>
  <x:si>
    <x:t xml:space="preserve">FORMULA: COUNTIF(SCIENTIFIC_CLAIMS!$B$2:$B$1672,A19)</x:t>
  </x:si>
  <x:si>
    <x:t xml:space="preserve">FORMULA: COUNTIFS(SCIENTIFIC_CLAIMS!$B$2:$B$1498,A20,SCIENTIFIC_CLAIMS!$T$2:$T$1498,"EXTRACTED")</x:t>
  </x:si>
  <x:si>
    <x:t xml:space="preserve">FORMULA: COUNTIF(SCIENTIFIC_CLAIMS!$B$2:$B$1672,A20)</x:t>
  </x:si>
  <x:si>
    <x:t xml:space="preserve">FORMULA: COUNTIFS(SCIENTIFIC_CLAIMS!$B$2:$B$1498,A21,SCIENTIFIC_CLAIMS!$T$2:$T$1498,"EXTRACTED")</x:t>
  </x:si>
  <x:si>
    <x:t xml:space="preserve">FORMULA: COUNTIF(SCIENTIFIC_CLAIMS!$B$2:$B$1672,A21)</x:t>
  </x:si>
  <x:si>
    <x:t xml:space="preserve">FORMULA: COUNTIF(SCIENTIFIC_CLAIMS!$B$2:$B$1672,A22)</x:t>
  </x:si>
  <x:si>
    <x:t xml:space="preserve">FORMULA: COUNTIF(SCIENTIFIC_CLAIMS!$B$2:$B$1672,A23)</x:t>
  </x:si>
  <x:si>
    <x:t xml:space="preserve">FORMULA: COUNTIFS(SCIENTIFIC_CLAIMS!$B$2:$B$1498,A24,SCIENTIFIC_CLAIMS!$T$2:$T$1498,"EXTRACTED")</x:t>
  </x:si>
  <x:si>
    <x:t xml:space="preserve">FORMULA: COUNTIF(SCIENTIFIC_CLAIMS!$B$2:$B$1672,A24)</x:t>
  </x:si>
  <x:si>
    <x:t xml:space="preserve">FORMULA: COUNTIF(SCIENTIFIC_CLAIMS!$B$2:$B$1672,A25)</x:t>
  </x:si>
  <x:si>
    <x:t xml:space="preserve">FORMULA: COUNTIF(SCIENTIFIC_CLAIMS!$B$2:$B$1672,A26)</x:t>
  </x:si>
  <x:si>
    <x:t xml:space="preserve">FORMULA: COUNTIF(SCIENTIFIC_CLAIMS!$B$2:$B$1672,A27)</x:t>
  </x:si>
  <x:si>
    <x:t xml:space="preserve">FORMULA: COUNTIFS(SCIENTIFIC_CLAIMS!$B$2:$B$1498,A28,SCIENTIFIC_CLAIMS!$T$2:$T$1498,"EXTRACTED")</x:t>
  </x:si>
  <x:si>
    <x:t xml:space="preserve">FORMULA: COUNTIF(SCIENTIFIC_CLAIMS!$B$2:$B$1672,A28)</x:t>
  </x:si>
  <x:si>
    <x:t xml:space="preserve">FORMULA: COUNTIFS(SCIENTIFIC_CLAIMS!$B$2:$B$1498,A29,SCIENTIFIC_CLAIMS!$T$2:$T$1498,"EXTRACTED")</x:t>
  </x:si>
  <x:si>
    <x:t xml:space="preserve">FORMULA: COUNTIF(SCIENTIFIC_CLAIMS!$B$2:$B$1672,A29)</x:t>
  </x:si>
  <x:si>
    <x:t xml:space="preserve">FORMULA: COUNTIFS(SCIENTIFIC_CLAIMS!$B$2:$B$1498,A30,SCIENTIFIC_CLAIMS!$T$2:$T$1498,"EXTRACTED")</x:t>
  </x:si>
  <x:si>
    <x:t xml:space="preserve">FORMULA: COUNTIF(SCIENTIFIC_CLAIMS!$B$2:$B$1672,A30)</x:t>
  </x:si>
  <x:si>
    <x:t xml:space="preserve">FORMULA: COUNTIFS(SCIENTIFIC_CLAIMS!$B$2:$B$1498,A31,SCIENTIFIC_CLAIMS!$T$2:$T$1498,"EXTRACTED")</x:t>
  </x:si>
  <x:si>
    <x:t xml:space="preserve">FORMULA: COUNTIF(SCIENTIFIC_CLAIMS!$B$2:$B$1672,A31)</x:t>
  </x:si>
  <x:si>
    <x:t xml:space="preserve">FORMULA: COUNTIFS(SCIENTIFIC_CLAIMS!$B$2:$B$1498,A32,SCIENTIFIC_CLAIMS!$T$2:$T$1498,"EXTRACTED")</x:t>
  </x:si>
  <x:si>
    <x:t xml:space="preserve">FORMULA: COUNTIF(SCIENTIFIC_CLAIMS!$B$2:$B$1672,A32)</x:t>
  </x:si>
  <x:si>
    <x:t xml:space="preserve">FORMULA: COUNTIFS(SCIENTIFIC_CLAIMS!$B$2:$B$1498,A33,SCIENTIFIC_CLAIMS!$T$2:$T$1498,"EXTRACTED")</x:t>
  </x:si>
  <x:si>
    <x:t xml:space="preserve">FORMULA: COUNTIF(SCIENTIFIC_CLAIMS!$B$2:$B$1672,A33)</x:t>
  </x:si>
  <x:si>
    <x:t xml:space="preserve">FORMULA: COUNTIFS(SCIENTIFIC_CLAIMS!$B$2:$B$1498,A34,SCIENTIFIC_CLAIMS!$T$2:$T$1498,"EXTRACTED")</x:t>
  </x:si>
  <x:si>
    <x:t xml:space="preserve">FORMULA: COUNTIF(SCIENTIFIC_CLAIMS!$B$2:$B$1672,A34)</x:t>
  </x:si>
  <x:si>
    <x:t xml:space="preserve">FORMULA: COUNTIF(SCIENTIFIC_CLAIMS!$B$2:$B$1672,A35)</x:t>
  </x:si>
  <x:si>
    <x:t xml:space="preserve">FORMULA: COUNTIF(SCIENTIFIC_CLAIMS!$B$2:$B$1672,A36)</x:t>
  </x:si>
  <x:si>
    <x:t xml:space="preserve">FORMULA: COUNTIFS(SCIENTIFIC_CLAIMS!$B$2:$B$1498,A37,SCIENTIFIC_CLAIMS!$T$2:$T$1498,"EXTRACTED")</x:t>
  </x:si>
  <x:si>
    <x:t xml:space="preserve">FORMULA: COUNTIF(SCIENTIFIC_CLAIMS!$B$2:$B$1672,A37)</x:t>
  </x:si>
  <x:si>
    <x:t xml:space="preserve">FORMULA: COUNTIF(SCIENTIFIC_CLAIMS!$B$2:$B$1672,A38)</x:t>
  </x:si>
  <x:si>
    <x:t xml:space="preserve">FORMULA: COUNTIFS(SCIENTIFIC_CLAIMS!$B$2:$B$1498,A39,SCIENTIFIC_CLAIMS!$T$2:$T$1498,"EXTRACTED")</x:t>
  </x:si>
  <x:si>
    <x:t xml:space="preserve">FORMULA: COUNTIF(SCIENTIFIC_CLAIMS!$B$2:$B$1672,A39)</x:t>
  </x:si>
  <x:si>
    <x:t xml:space="preserve">FORMULA: COUNTIFS(SCIENTIFIC_CLAIMS!$B$2:$B$1498,A40,SCIENTIFIC_CLAIMS!$T$2:$T$1498,"EXTRACTED")</x:t>
  </x:si>
  <x:si>
    <x:t xml:space="preserve">FORMULA: COUNTIF(SCIENTIFIC_CLAIMS!$B$2:$B$1672,A40)</x:t>
  </x:si>
  <x:si>
    <x:t xml:space="preserve">FORMULA: COUNTIF(SCIENTIFIC_CLAIMS!$B$2:$B$1672,A41)</x:t>
  </x:si>
  <x:si>
    <x:t xml:space="preserve">FORMULA: COUNTIF(SCIENTIFIC_CLAIMS!$B$2:$B$1672,A42)</x:t>
  </x:si>
  <x:si>
    <x:t xml:space="preserve">FORMULA: COUNTIFS(SCIENTIFIC_CLAIMS!$B$2:$B$1498,A43,SCIENTIFIC_CLAIMS!$T$2:$T$1498,"EXTRACTED")</x:t>
  </x:si>
  <x:si>
    <x:t xml:space="preserve">FORMULA: COUNTIF(SCIENTIFIC_CLAIMS!$B$2:$B$1672,A43)</x:t>
  </x:si>
  <x:si>
    <x:t xml:space="preserve">FORMULA: COUNTIFS(SCIENTIFIC_CLAIMS!$B$2:$B$1498,A44,SCIENTIFIC_CLAIMS!$T$2:$T$1498,"EXTRACTED")</x:t>
  </x:si>
  <x:si>
    <x:t xml:space="preserve">FORMULA: COUNTIF(SCIENTIFIC_CLAIMS!$B$2:$B$1672,A44)</x:t>
  </x:si>
  <x:si>
    <x:t xml:space="preserve">FORMULA: COUNTIFS(SCIENTIFIC_CLAIMS!$B$2:$B$1498,A45,SCIENTIFIC_CLAIMS!$T$2:$T$1498,"EXTRACTED")</x:t>
  </x:si>
  <x:si>
    <x:t xml:space="preserve">FORMULA: COUNTIF(SCIENTIFIC_CLAIMS!$B$2:$B$1672,A45)</x:t>
  </x:si>
  <x:si>
    <x:t xml:space="preserve">FORMULA: COUNTIFS(SCIENTIFIC_CLAIMS!$B$2:$B$1498,A46,SCIENTIFIC_CLAIMS!$T$2:$T$1498,"EXTRACTED")</x:t>
  </x:si>
  <x:si>
    <x:t xml:space="preserve">FORMULA: COUNTIF(SCIENTIFIC_CLAIMS!$B$2:$B$1672,A46)</x:t>
  </x:si>
  <x:si>
    <x:t xml:space="preserve">FORMULA: COUNTIFS(SCIENTIFIC_CLAIMS!$B$2:$B$1498,A47,SCIENTIFIC_CLAIMS!$T$2:$T$1498,"EXTRACTED")</x:t>
  </x:si>
  <x:si>
    <x:t xml:space="preserve">FORMULA: COUNTIF(SCIENTIFIC_CLAIMS!$B$2:$B$1672,A47)</x:t>
  </x:si>
  <x:si>
    <x:t xml:space="preserve">FORMULA: COUNTIF(SCIENTIFIC_CLAIMS!$B$2:$B$1672,A48)</x:t>
  </x:si>
  <x:si>
    <x:t xml:space="preserve">FORMULA: COUNTIFS(SCIENTIFIC_CLAIMS!$B$2:$B$1498,A49,SCIENTIFIC_CLAIMS!$T$2:$T$1498,"EXTRACTED")</x:t>
  </x:si>
  <x:si>
    <x:t xml:space="preserve">FORMULA: COUNTIF(SCIENTIFIC_CLAIMS!$B$2:$B$1672,A49)</x:t>
  </x:si>
  <x:si>
    <x:t xml:space="preserve">FORMULA: COUNTIFS(SCIENTIFIC_CLAIMS!$B$2:$B$1498,A50,SCIENTIFIC_CLAIMS!$T$2:$T$1498,"EXTRACTED")</x:t>
  </x:si>
  <x:si>
    <x:t xml:space="preserve">FORMULA: COUNTIF(SCIENTIFIC_CLAIMS!$B$2:$B$1672,A50)</x:t>
  </x:si>
  <x:si>
    <x:t xml:space="preserve">FORMULA: COUNTIFS(SCIENTIFIC_CLAIMS!$B$2:$B$1498,A51,SCIENTIFIC_CLAIMS!$T$2:$T$1498,"EXTRACTED")</x:t>
  </x:si>
  <x:si>
    <x:t xml:space="preserve">FORMULA: COUNTIF(SCIENTIFIC_CLAIMS!$B$2:$B$1672,A51)</x:t>
  </x:si>
  <x:si>
    <x:t xml:space="preserve">FORMULA: COUNTIFS(SCIENTIFIC_CLAIMS!$B$2:$B$1498,A52,SCIENTIFIC_CLAIMS!$T$2:$T$1498,"EXTRACTED")</x:t>
  </x:si>
  <x:si>
    <x:t xml:space="preserve">FORMULA: COUNTIF(SCIENTIFIC_CLAIMS!$B$2:$B$1672,A52)</x:t>
  </x:si>
  <x:si>
    <x:t xml:space="preserve">FORMULA: COUNTIFS(SCIENTIFIC_CLAIMS!$B$2:$B$1498,A53,SCIENTIFIC_CLAIMS!$T$2:$T$1498,"EXTRACTED")</x:t>
  </x:si>
  <x:si>
    <x:t xml:space="preserve">FORMULA: COUNTIF(SCIENTIFIC_CLAIMS!$B$2:$B$1672,A53)</x:t>
  </x:si>
  <x:si>
    <x:t xml:space="preserve">FORMULA: COUNTIF(SCIENTIFIC_CLAIMS!$B$2:$B$1672,A54)</x:t>
  </x:si>
  <x:si>
    <x:t xml:space="preserve">FORMULA: COUNTIF(SCIENTIFIC_CLAIMS!$B$2:$B$1672,A55)</x:t>
  </x:si>
  <x:si>
    <x:t xml:space="preserve">FORMULA: COUNTIF(SCIENTIFIC_CLAIMS!$B$2:$B$1672,A56)</x:t>
  </x:si>
  <x:si>
    <x:t xml:space="preserve">FORMULA: COUNTIFS(SCIENTIFIC_CLAIMS!$B$2:$B$1498,A57,SCIENTIFIC_CLAIMS!$T$2:$T$1498,"EXTRACTED")</x:t>
  </x:si>
  <x:si>
    <x:t xml:space="preserve">FORMULA: COUNTIF(SCIENTIFIC_CLAIMS!$B$2:$B$1672,A57)</x:t>
  </x:si>
  <x:si>
    <x:t xml:space="preserve">FORMULA: COUNTIFS(SCIENTIFIC_CLAIMS!$B$2:$B$1498,A58,SCIENTIFIC_CLAIMS!$T$2:$T$1498,"EXTRACTED")</x:t>
  </x:si>
  <x:si>
    <x:t xml:space="preserve">FORMULA: COUNTIF(SCIENTIFIC_CLAIMS!$B$2:$B$1672,A58)</x:t>
  </x:si>
  <x:si>
    <x:t xml:space="preserve">FORMULA: COUNTIF(SCIENTIFIC_CLAIMS!$B$2:$B$1672,A59)</x:t>
  </x:si>
  <x:si>
    <x:t xml:space="preserve">FORMULA: COUNTIF(SCIENTIFIC_CLAIMS!$B$2:$B$1672,A60)</x:t>
  </x:si>
  <x:si>
    <x:t xml:space="preserve">FORMULA: COUNTIFS(SCIENTIFIC_CLAIMS!$B$2:$B$1498,A61,SCIENTIFIC_CLAIMS!$T$2:$T$1498,"EXTRACTED")</x:t>
  </x:si>
  <x:si>
    <x:t xml:space="preserve">FORMULA: COUNTIF(SCIENTIFIC_CLAIMS!$B$2:$B$1672,A61)</x:t>
  </x:si>
  <x:si>
    <x:t xml:space="preserve">FORMULA: COUNTIFS(SCIENTIFIC_CLAIMS!$B$2:$B$1498,A62,SCIENTIFIC_CLAIMS!$T$2:$T$1498,"EXTRACTED")</x:t>
  </x:si>
  <x:si>
    <x:t xml:space="preserve">FORMULA: COUNTIF(SCIENTIFIC_CLAIMS!$B$2:$B$1672,A62)</x:t>
  </x:si>
  <x:si>
    <x:t xml:space="preserve">FORMULA: COUNTIF(SCIENTIFIC_CLAIMS!$B$2:$B$1672,A63)</x:t>
  </x:si>
  <x:si>
    <x:t xml:space="preserve">FORMULA: COUNTIF(SCIENTIFIC_CLAIMS!$B$2:$B$1672,A64)</x:t>
  </x:si>
  <x:si>
    <x:t xml:space="preserve">FORMULA: COUNTIF(SCIENTIFIC_CLAIMS!$B$2:$B$1672,A65)</x:t>
  </x:si>
  <x:si>
    <x:t xml:space="preserve">FORMULA: COUNTIFS(SCIENTIFIC_CLAIMS!$B$2:$B$1498,A66,SCIENTIFIC_CLAIMS!$T$2:$T$1498,"EXTRACTED")</x:t>
  </x:si>
  <x:si>
    <x:t xml:space="preserve">FORMULA: COUNTIF(SCIENTIFIC_CLAIMS!$B$2:$B$1672,A66)</x:t>
  </x:si>
  <x:si>
    <x:t xml:space="preserve">FORMULA: COUNTIFS(SCIENTIFIC_CLAIMS!$B$2:$B$1498,A67,SCIENTIFIC_CLAIMS!$T$2:$T$1498,"EXTRACTED")</x:t>
  </x:si>
  <x:si>
    <x:t xml:space="preserve">FORMULA: COUNTIF(SCIENTIFIC_CLAIMS!$B$2:$B$1672,A67)</x:t>
  </x:si>
  <x:si>
    <x:t xml:space="preserve">FORMULA: COUNTIFS(SCIENTIFIC_CLAIMS!$B$2:$B$1498,A68,SCIENTIFIC_CLAIMS!$T$2:$T$1498,"EXTRACTED")</x:t>
  </x:si>
  <x:si>
    <x:t xml:space="preserve">FORMULA: COUNTIF(SCIENTIFIC_CLAIMS!$B$2:$B$1672,A68)</x:t>
  </x:si>
  <x:si>
    <x:t xml:space="preserve">FORMULA: COUNTIFS(SCIENTIFIC_CLAIMS!$B$2:$B$1498,A69,SCIENTIFIC_CLAIMS!$T$2:$T$1498,"EXTRACTED")</x:t>
  </x:si>
  <x:si>
    <x:t xml:space="preserve">FORMULA: COUNTIF(SCIENTIFIC_CLAIMS!$B$2:$B$1672,A69)</x:t>
  </x:si>
  <x:si>
    <x:t xml:space="preserve">FORMULA: COUNTIF(SCIENTIFIC_CLAIMS!$B$2:$B$1672,A70)</x:t>
  </x:si>
  <x:si>
    <x:t xml:space="preserve">FORMULA: COUNTIF(SCIENTIFIC_CLAIMS!$B$2:$B$1672,A71)</x:t>
  </x:si>
  <x:si>
    <x:t xml:space="preserve">FORMULA: COUNTIF(SCIENTIFIC_CLAIMS!$B$2:$B$1672,A72)</x:t>
  </x:si>
  <x:si>
    <x:t xml:space="preserve">FORMULA: COUNTIF(SCIENTIFIC_CLAIMS!$B$2:$B$1672,A73)</x:t>
  </x:si>
  <x:si>
    <x:t xml:space="preserve">FORMULA: COUNTIF(SCIENTIFIC_CLAIMS!$B$2:$B$1672,A74)</x:t>
  </x:si>
  <x:si>
    <x:t xml:space="preserve">FORMULA: COUNTIFS(SCIENTIFIC_CLAIMS!$B$2:$B$1498,A75,SCIENTIFIC_CLAIMS!$T$2:$T$1498,"EXTRACTED")</x:t>
  </x:si>
  <x:si>
    <x:t xml:space="preserve">FORMULA: COUNTIF(SCIENTIFIC_CLAIMS!$B$2:$B$1672,A75)</x:t>
  </x:si>
  <x:si>
    <x:t xml:space="preserve">FORMULA: COUNTIFS(SCIENTIFIC_CLAIMS!$B$2:$B$1498,A76,SCIENTIFIC_CLAIMS!$T$2:$T$1498,"EXTRACTED")</x:t>
  </x:si>
  <x:si>
    <x:t xml:space="preserve">FORMULA: COUNTIF(SCIENTIFIC_CLAIMS!$B$2:$B$1672,A76)</x:t>
  </x:si>
  <x:si>
    <x:t xml:space="preserve">FORMULA: COUNTIFS(SCIENTIFIC_CLAIMS!$B$2:$B$1498,A77,SCIENTIFIC_CLAIMS!$T$2:$T$1498,"EXTRACTED")</x:t>
  </x:si>
  <x:si>
    <x:t xml:space="preserve">FORMULA: COUNTIF(SCIENTIFIC_CLAIMS!$B$2:$B$1672,A77)</x:t>
  </x:si>
  <x:si>
    <x:t xml:space="preserve">FORMULA: COUNTIF(SCIENTIFIC_CLAIMS!$B$2:$B$1672,A78)</x:t>
  </x:si>
  <x:si>
    <x:t xml:space="preserve">FORMULA: COUNTIFS(SCIENTIFIC_CLAIMS!$B$2:$B$1498,A79,SCIENTIFIC_CLAIMS!$T$2:$T$1498,"EXTRACTED")</x:t>
  </x:si>
  <x:si>
    <x:t xml:space="preserve">FORMULA: COUNTIF(SCIENTIFIC_CLAIMS!$B$2:$B$1672,A79)</x:t>
  </x:si>
  <x:si>
    <x:t xml:space="preserve">FORMULA: COUNTIFS(SCIENTIFIC_CLAIMS!$B$2:$B$1498,A80,SCIENTIFIC_CLAIMS!$T$2:$T$1498,"EXTRACTED")</x:t>
  </x:si>
  <x:si>
    <x:t xml:space="preserve">FORMULA: COUNTIF(SCIENTIFIC_CLAIMS!$B$2:$B$1672,A80)</x:t>
  </x:si>
  <x:si>
    <x:t xml:space="preserve">FORMULA: COUNTIFS(SCIENTIFIC_CLAIMS!$B$2:$B$1498,A81,SCIENTIFIC_CLAIMS!$T$2:$T$1498,"EXTRACTED")</x:t>
  </x:si>
  <x:si>
    <x:t xml:space="preserve">FORMULA: COUNTIF(SCIENTIFIC_CLAIMS!$B$2:$B$1672,A81)</x:t>
  </x:si>
  <x:si>
    <x:t xml:space="preserve">FORMULA: COUNTIFS(SCIENTIFIC_CLAIMS!$B$2:$B$1498,A82,SCIENTIFIC_CLAIMS!$T$2:$T$1498,"EXTRACTED")</x:t>
  </x:si>
  <x:si>
    <x:t xml:space="preserve">FORMULA: COUNTIF(SCIENTIFIC_CLAIMS!$B$2:$B$1672,A82)</x:t>
  </x:si>
  <x:si>
    <x:t xml:space="preserve">FORMULA: COUNTIFS(SCIENTIFIC_CLAIMS!$B$2:$B$1498,A83,SCIENTIFIC_CLAIMS!$T$2:$T$1498,"EXTRACTED")</x:t>
  </x:si>
  <x:si>
    <x:t xml:space="preserve">FORMULA: COUNTIF(SCIENTIFIC_CLAIMS!$B$2:$B$1672,A83)</x:t>
  </x:si>
  <x:si>
    <x:t xml:space="preserve">FORMULA: COUNTIFS(SCIENTIFIC_CLAIMS!$B$2:$B$1498,A84,SCIENTIFIC_CLAIMS!$T$2:$T$1498,"EXTRACTED")</x:t>
  </x:si>
  <x:si>
    <x:t xml:space="preserve">FORMULA: COUNTIF(SCIENTIFIC_CLAIMS!$B$2:$B$1672,A84)</x:t>
  </x:si>
  <x:si>
    <x:t xml:space="preserve">FORMULA: COUNTIFS(SCIENTIFIC_CLAIMS!$B$2:$B$1498,A85,SCIENTIFIC_CLAIMS!$T$2:$T$1498,"EXTRACTED")</x:t>
  </x:si>
  <x:si>
    <x:t xml:space="preserve">FORMULA: COUNTIF(SCIENTIFIC_CLAIMS!$B$2:$B$1672,A85)</x:t>
  </x:si>
  <x:si>
    <x:t xml:space="preserve">FORMULA: COUNTIFS(SCIENTIFIC_CLAIMS!$B$2:$B$1498,A86,SCIENTIFIC_CLAIMS!$T$2:$T$1498,"EXTRACTED")</x:t>
  </x:si>
  <x:si>
    <x:t xml:space="preserve">FORMULA: COUNTIF(SCIENTIFIC_CLAIMS!$B$2:$B$1672,A86)</x:t>
  </x:si>
  <x:si>
    <x:t xml:space="preserve">FORMULA: COUNTIFS(SCIENTIFIC_CLAIMS!$B$2:$B$1498,A87,SCIENTIFIC_CLAIMS!$T$2:$T$1498,"EXTRACTED")</x:t>
  </x:si>
  <x:si>
    <x:t xml:space="preserve">FORMULA: COUNTIF(SCIENTIFIC_CLAIMS!$B$2:$B$1672,A87)</x:t>
  </x:si>
  <x:si>
    <x:t xml:space="preserve">FORMULA: COUNTIFS(SCIENTIFIC_CLAIMS!$B$2:$B$1498,A88,SCIENTIFIC_CLAIMS!$T$2:$T$1498,"EXTRACTED")</x:t>
  </x:si>
  <x:si>
    <x:t xml:space="preserve">FORMULA: COUNTIF(SCIENTIFIC_CLAIMS!$B$2:$B$1672,A88)</x:t>
  </x:si>
  <x:si>
    <x:t xml:space="preserve">FORMULA: COUNTIFS(SCIENTIFIC_CLAIMS!$B$2:$B$1498,A89,SCIENTIFIC_CLAIMS!$T$2:$T$1498,"EXTRACTED")</x:t>
  </x:si>
  <x:si>
    <x:t xml:space="preserve">FORMULA: COUNTIF(SCIENTIFIC_CLAIMS!$B$2:$B$1672,A89)</x:t>
  </x:si>
  <x:si>
    <x:t xml:space="preserve">FORMULA: COUNTIFS(SCIENTIFIC_CLAIMS!$B$2:$B$1498,A90,SCIENTIFIC_CLAIMS!$T$2:$T$1498,"EXTRACTED")</x:t>
  </x:si>
  <x:si>
    <x:t xml:space="preserve">FORMULA: COUNTIF(SCIENTIFIC_CLAIMS!$B$2:$B$1672,A90)</x:t>
  </x:si>
  <x:si>
    <x:t xml:space="preserve">FORMULA: COUNTIF(SCIENTIFIC_CLAIMS!$B$2:$B$1672,A91)</x:t>
  </x:si>
  <x:si>
    <x:t xml:space="preserve">FORMULA: COUNTIFS(SCIENTIFIC_CLAIMS!$B$2:$B$1498,A92,SCIENTIFIC_CLAIMS!$T$2:$T$1498,"EXTRACTED")</x:t>
  </x:si>
  <x:si>
    <x:t xml:space="preserve">FORMULA: COUNTIF(SCIENTIFIC_CLAIMS!$B$2:$B$1672,A92)</x:t>
  </x:si>
  <x:si>
    <x:t xml:space="preserve">FORMULA: COUNTIFS(SCIENTIFIC_CLAIMS!$B$2:$B$1498,A93,SCIENTIFIC_CLAIMS!$T$2:$T$1498,"EXTRACTED")</x:t>
  </x:si>
  <x:si>
    <x:t xml:space="preserve">FORMULA: COUNTIF(SCIENTIFIC_CLAIMS!$B$2:$B$1672,A93)</x:t>
  </x:si>
  <x:si>
    <x:t xml:space="preserve">FORMULA: COUNTIF(SCIENTIFIC_CLAIMS!$B$2:$B$1672,A94)</x:t>
  </x:si>
  <x:si>
    <x:t xml:space="preserve">FORMULA: COUNTIFS(SCIENTIFIC_CLAIMS!$B$2:$B$1498,A95,SCIENTIFIC_CLAIMS!$T$2:$T$1498,"EXTRACTED")</x:t>
  </x:si>
  <x:si>
    <x:t xml:space="preserve">FORMULA: COUNTIF(SCIENTIFIC_CLAIMS!$B$2:$B$1672,A95)</x:t>
  </x:si>
  <x:si>
    <x:t xml:space="preserve">FORMULA: COUNTIF(SCIENTIFIC_CLAIMS!$B$2:$B$1672,A96)</x:t>
  </x:si>
  <x:si>
    <x:t xml:space="preserve">FORMULA: COUNTIFS(SCIENTIFIC_CLAIMS!$B$2:$B$1498,A97,SCIENTIFIC_CLAIMS!$T$2:$T$1498,"EXTRACTED")</x:t>
  </x:si>
  <x:si>
    <x:t xml:space="preserve">FORMULA: COUNTIF(SCIENTIFIC_CLAIMS!$B$2:$B$1672,A97)</x:t>
  </x:si>
  <x:si>
    <x:t xml:space="preserve">FORMULA: COUNTIFS(SCIENTIFIC_CLAIMS!$B$2:$B$1498,A98,SCIENTIFIC_CLAIMS!$T$2:$T$1498,"EXTRACTED")</x:t>
  </x:si>
  <x:si>
    <x:t xml:space="preserve">FORMULA: COUNTIF(SCIENTIFIC_CLAIMS!$B$2:$B$1672,A98)</x:t>
  </x:si>
  <x:si>
    <x:t xml:space="preserve">FORMULA: COUNTIFS(SCIENTIFIC_CLAIMS!$B$2:$B$1498,A99,SCIENTIFIC_CLAIMS!$T$2:$T$1498,"EXTRACTED")</x:t>
  </x:si>
  <x:si>
    <x:t xml:space="preserve">FORMULA: COUNTIF(SCIENTIFIC_CLAIMS!$B$2:$B$1672,A99)</x:t>
  </x:si>
  <x:si>
    <x:t xml:space="preserve">FORMULA: COUNTIF(SCIENTIFIC_CLAIMS!$B$2:$B$1672,A100)</x:t>
  </x:si>
  <x:si>
    <x:t xml:space="preserve">FORMULA: COUNTIF(SCIENTIFIC_CLAIMS!$B$2:$B$1672,A101)</x:t>
  </x:si>
  <x:si>
    <x:t xml:space="preserve">FORMULA: COUNTIFS(SCIENTIFIC_CLAIMS!$B$2:$B$1498,A102,SCIENTIFIC_CLAIMS!$T$2:$T$1498,"EXTRACTED")</x:t>
  </x:si>
  <x:si>
    <x:t xml:space="preserve">FORMULA: COUNTIF(SCIENTIFIC_CLAIMS!$B$2:$B$1672,A102)</x:t>
  </x:si>
  <x:si>
    <x:t xml:space="preserve">FORMULA: COUNTIFS(SCIENTIFIC_CLAIMS!$B$2:$B$1498,A103,SCIENTIFIC_CLAIMS!$T$2:$T$1498,"EXTRACTED")</x:t>
  </x:si>
  <x:si>
    <x:t xml:space="preserve">FORMULA: COUNTIF(SCIENTIFIC_CLAIMS!$B$2:$B$1672,A103)</x:t>
  </x:si>
  <x:si>
    <x:t xml:space="preserve">FORMULA: COUNTIFS(SCIENTIFIC_CLAIMS!$B$2:$B$1498,A104,SCIENTIFIC_CLAIMS!$T$2:$T$1498,"EXTRACTED")</x:t>
  </x:si>
  <x:si>
    <x:t xml:space="preserve">FORMULA: COUNTIF(SCIENTIFIC_CLAIMS!$B$2:$B$1672,A104)</x:t>
  </x:si>
  <x:si>
    <x:t xml:space="preserve">FORMULA: COUNTIF(SCIENTIFIC_CLAIMS!$B$2:$B$1672,A105)</x:t>
  </x:si>
  <x:si>
    <x:t xml:space="preserve">FORMULA: COUNTIF(SCIENTIFIC_CLAIMS!$B$2:$B$1672,A106)</x:t>
  </x:si>
  <x:si>
    <x:t xml:space="preserve">FORMULA: COUNTIF(SCIENTIFIC_CLAIMS!$B$2:$B$1672,A107)</x:t>
  </x:si>
  <x:si>
    <x:t xml:space="preserve">FORMULA: COUNTIF(SCIENTIFIC_CLAIMS!$B$2:$B$1672,A108)</x:t>
  </x:si>
  <x:si>
    <x:t xml:space="preserve">FORMULA: COUNTIFS(SCIENTIFIC_CLAIMS!$B$2:$B$1498,A109,SCIENTIFIC_CLAIMS!$T$2:$T$1498,"EXTRACTED")</x:t>
  </x:si>
  <x:si>
    <x:t xml:space="preserve">FORMULA: COUNTIF(SCIENTIFIC_CLAIMS!$B$2:$B$1672,A109)</x:t>
  </x:si>
  <x:si>
    <x:t xml:space="preserve">FORMULA: COUNTIFS(SCIENTIFIC_CLAIMS!$B$2:$B$1498,A110,SCIENTIFIC_CLAIMS!$T$2:$T$1498,"EXTRACTED")</x:t>
  </x:si>
  <x:si>
    <x:t xml:space="preserve">FORMULA: COUNTIF(SCIENTIFIC_CLAIMS!$B$2:$B$1672,A110)</x:t>
  </x:si>
  <x:si>
    <x:t xml:space="preserve">FORMULA: COUNTIFS(SCIENTIFIC_CLAIMS!$B$2:$B$1498,A111,SCIENTIFIC_CLAIMS!$T$2:$T$1498,"EXTRACTED")</x:t>
  </x:si>
  <x:si>
    <x:t xml:space="preserve">FORMULA: COUNTIF(SCIENTIFIC_CLAIMS!$B$2:$B$1672,A111)</x:t>
  </x:si>
  <x:si>
    <x:t xml:space="preserve">FORMULA: COUNTIF(SCIENTIFIC_CLAIMS!$B$2:$B$1672,A112)</x:t>
  </x:si>
  <x:si>
    <x:t xml:space="preserve">FORMULA: COUNTIF(SCIENTIFIC_CLAIMS!$B$2:$B$1672,A113)</x:t>
  </x:si>
  <x:si>
    <x:t xml:space="preserve">FORMULA: COUNTIF(SCIENTIFIC_CLAIMS!$B$2:$B$1672,A114)</x:t>
  </x:si>
  <x:si>
    <x:t xml:space="preserve">FORMULA: COUNTIFS(SCIENTIFIC_CLAIMS!$B$2:$B$1498,A115,SCIENTIFIC_CLAIMS!$T$2:$T$1498,"EXTRACTED")</x:t>
  </x:si>
  <x:si>
    <x:t xml:space="preserve">FORMULA: COUNTIF(SCIENTIFIC_CLAIMS!$B$2:$B$1672,A115)</x:t>
  </x:si>
  <x:si>
    <x:t xml:space="preserve">FORMULA: COUNTIF(SCIENTIFIC_CLAIMS!$B$2:$B$1672,A116)</x:t>
  </x:si>
  <x:si>
    <x:t xml:space="preserve">B11 extraction</x:t>
  </x:si>
  <x:si>
    <x:t xml:space="preserve">B11 scope label</x:t>
  </x:si>
  <x:si>
    <x:t xml:space="preserve">Check supplementary for hyperparameters.</x:t>
  </x:si>
  <x:si>
    <x:t xml:space="preserve">B11 note appended</x:t>
  </x:si>
  <x:si>
    <x:t xml:space="preserve">B04–B07: sections originales extraites, NOT_VERIFIED.  | B11: B11: Sections 2.2, 4, 5 read; supplementary not checked.</x:t>
  </x:si>
  <x:si>
    <x:t xml:space="preserve">B11: gap-filling on existing papers</x:t>
  </x:si>
  <x:si>
    <x:t xml:space="preserve">Rows preserved before B11</x:t>
  </x:si>
  <x:si>
    <x:t xml:space="preserve">B11 rows added</x:t>
  </x:si>
  <x:si>
    <x:t xml:space="preserve">B11 : 23 faits, 4 limites, 6 AI (dont 3 NOT_REPORTED) ; OAI-0045, 0028, 0089.</x:t>
  </x:si>
  <x:si>
    <x:t xml:space="preserve">B04–B11; audit scientifique indépendant non effectué.</x:t>
  </x:si>
  <x:si>
    <x:t xml:space="preserve">OAI-0089 conflit confirmé dans la source ; OAI-0013 ouvert ; OAI-0077 mineur</x:t>
  </x:si>
  <x:si>
    <x:t xml:space="preserve">FORMULA: COUNTIF(SCIENTIFIC_CLAIMS!$B$2:$B$1705,A2)</x:t>
  </x:si>
  <x:si>
    <x:t xml:space="preserve">FORMULA: COUNTIF(SCIENTIFIC_CLAIMS!$B$2:$B$1705,A3)</x:t>
  </x:si>
  <x:si>
    <x:t xml:space="preserve">FORMULA: COUNTIF(SCIENTIFIC_CLAIMS!$B$2:$B$1705,A4)</x:t>
  </x:si>
  <x:si>
    <x:t xml:space="preserve">FORMULA: COUNTIF(SCIENTIFIC_CLAIMS!$B$2:$B$1705,A5)</x:t>
  </x:si>
  <x:si>
    <x:t xml:space="preserve">FORMULA: COUNTIF(SCIENTIFIC_CLAIMS!$B$2:$B$1705,A6)</x:t>
  </x:si>
  <x:si>
    <x:t xml:space="preserve">FORMULA: COUNTIF(SCIENTIFIC_CLAIMS!$B$2:$B$1705,A7)</x:t>
  </x:si>
  <x:si>
    <x:t xml:space="preserve">FORMULA: COUNTIF(SCIENTIFIC_CLAIMS!$B$2:$B$1705,A8)</x:t>
  </x:si>
  <x:si>
    <x:t xml:space="preserve">FORMULA: COUNTIF(SCIENTIFIC_CLAIMS!$B$2:$B$1705,A9)</x:t>
  </x:si>
  <x:si>
    <x:t xml:space="preserve">FORMULA: COUNTIF(SCIENTIFIC_CLAIMS!$B$2:$B$1705,A10)</x:t>
  </x:si>
  <x:si>
    <x:t xml:space="preserve">FORMULA: COUNTIF(SCIENTIFIC_CLAIMS!$B$2:$B$1705,A11)</x:t>
  </x:si>
  <x:si>
    <x:t xml:space="preserve">FORMULA: COUNTIF(SCIENTIFIC_CLAIMS!$B$2:$B$1705,A12)</x:t>
  </x:si>
  <x:si>
    <x:t xml:space="preserve">FORMULA: COUNTIF(SCIENTIFIC_CLAIMS!$B$2:$B$1705,A13)</x:t>
  </x:si>
  <x:si>
    <x:t xml:space="preserve">FORMULA: COUNTIF(SCIENTIFIC_CLAIMS!$B$2:$B$1705,A14)</x:t>
  </x:si>
  <x:si>
    <x:t xml:space="preserve">FORMULA: COUNTIF(SCIENTIFIC_CLAIMS!$B$2:$B$1705,A15)</x:t>
  </x:si>
  <x:si>
    <x:t xml:space="preserve">FORMULA: COUNTIF(SCIENTIFIC_CLAIMS!$B$2:$B$1705,A16)</x:t>
  </x:si>
  <x:si>
    <x:t xml:space="preserve">FORMULA: COUNTIF(SCIENTIFIC_CLAIMS!$B$2:$B$1705,A17)</x:t>
  </x:si>
  <x:si>
    <x:t xml:space="preserve">FORMULA: COUNTIF(SCIENTIFIC_CLAIMS!$B$2:$B$1705,A18)</x:t>
  </x:si>
  <x:si>
    <x:t xml:space="preserve">FORMULA: COUNTIF(SCIENTIFIC_CLAIMS!$B$2:$B$1705,A19)</x:t>
  </x:si>
  <x:si>
    <x:t xml:space="preserve">FORMULA: COUNTIF(SCIENTIFIC_CLAIMS!$B$2:$B$1705,A20)</x:t>
  </x:si>
  <x:si>
    <x:t xml:space="preserve">FORMULA: COUNTIF(SCIENTIFIC_CLAIMS!$B$2:$B$1705,A21)</x:t>
  </x:si>
  <x:si>
    <x:t xml:space="preserve">FORMULA: COUNTIF(SCIENTIFIC_CLAIMS!$B$2:$B$1705,A22)</x:t>
  </x:si>
  <x:si>
    <x:t xml:space="preserve">FORMULA: COUNTIF(SCIENTIFIC_CLAIMS!$B$2:$B$1705,A23)</x:t>
  </x:si>
  <x:si>
    <x:t xml:space="preserve">FORMULA: COUNTIF(SCIENTIFIC_CLAIMS!$B$2:$B$1705,A24)</x:t>
  </x:si>
  <x:si>
    <x:t xml:space="preserve">FORMULA: COUNTIF(SCIENTIFIC_CLAIMS!$B$2:$B$1705,A25)</x:t>
  </x:si>
  <x:si>
    <x:t xml:space="preserve">FORMULA: COUNTIF(SCIENTIFIC_CLAIMS!$B$2:$B$1705,A26)</x:t>
  </x:si>
  <x:si>
    <x:t xml:space="preserve">FORMULA: COUNTIF(SCIENTIFIC_CLAIMS!$B$2:$B$1705,A27)</x:t>
  </x:si>
  <x:si>
    <x:t xml:space="preserve">FORMULA: COUNTIF(SCIENTIFIC_CLAIMS!$B$2:$B$1705,A28)</x:t>
  </x:si>
  <x:si>
    <x:t xml:space="preserve">FORMULA: COUNTIF(SCIENTIFIC_CLAIMS!$B$2:$B$1705,A29)</x:t>
  </x:si>
  <x:si>
    <x:t xml:space="preserve">FORMULA: COUNTIF(SCIENTIFIC_CLAIMS!$B$2:$B$1705,A30)</x:t>
  </x:si>
  <x:si>
    <x:t xml:space="preserve">FORMULA: COUNTIF(SCIENTIFIC_CLAIMS!$B$2:$B$1705,A31)</x:t>
  </x:si>
  <x:si>
    <x:t xml:space="preserve">FORMULA: COUNTIF(SCIENTIFIC_CLAIMS!$B$2:$B$1705,A32)</x:t>
  </x:si>
  <x:si>
    <x:t xml:space="preserve">FORMULA: COUNTIF(SCIENTIFIC_CLAIMS!$B$2:$B$1705,A33)</x:t>
  </x:si>
  <x:si>
    <x:t xml:space="preserve">FORMULA: COUNTIF(SCIENTIFIC_CLAIMS!$B$2:$B$1705,A34)</x:t>
  </x:si>
  <x:si>
    <x:t xml:space="preserve">FORMULA: COUNTIF(SCIENTIFIC_CLAIMS!$B$2:$B$1705,A35)</x:t>
  </x:si>
  <x:si>
    <x:t xml:space="preserve">FORMULA: COUNTIF(SCIENTIFIC_CLAIMS!$B$2:$B$1705,A36)</x:t>
  </x:si>
  <x:si>
    <x:t xml:space="preserve">FORMULA: COUNTIF(SCIENTIFIC_CLAIMS!$B$2:$B$1705,A37)</x:t>
  </x:si>
  <x:si>
    <x:t xml:space="preserve">FORMULA: COUNTIF(SCIENTIFIC_CLAIMS!$B$2:$B$1705,A38)</x:t>
  </x:si>
  <x:si>
    <x:t xml:space="preserve">FORMULA: COUNTIF(SCIENTIFIC_CLAIMS!$B$2:$B$1705,A39)</x:t>
  </x:si>
  <x:si>
    <x:t xml:space="preserve">FORMULA: COUNTIF(SCIENTIFIC_CLAIMS!$B$2:$B$1705,A40)</x:t>
  </x:si>
  <x:si>
    <x:t xml:space="preserve">FORMULA: COUNTIF(SCIENTIFIC_CLAIMS!$B$2:$B$1705,A41)</x:t>
  </x:si>
  <x:si>
    <x:t xml:space="preserve">FORMULA: COUNTIF(SCIENTIFIC_CLAIMS!$B$2:$B$1705,A42)</x:t>
  </x:si>
  <x:si>
    <x:t xml:space="preserve">FORMULA: COUNTIF(SCIENTIFIC_CLAIMS!$B$2:$B$1705,A43)</x:t>
  </x:si>
  <x:si>
    <x:t xml:space="preserve">FORMULA: COUNTIF(SCIENTIFIC_CLAIMS!$B$2:$B$1705,A44)</x:t>
  </x:si>
  <x:si>
    <x:t xml:space="preserve">FORMULA: COUNTIF(SCIENTIFIC_CLAIMS!$B$2:$B$1705,A45)</x:t>
  </x:si>
  <x:si>
    <x:t xml:space="preserve">FORMULA: COUNTIF(SCIENTIFIC_CLAIMS!$B$2:$B$1705,A46)</x:t>
  </x:si>
  <x:si>
    <x:t xml:space="preserve">FORMULA: COUNTIF(SCIENTIFIC_CLAIMS!$B$2:$B$1705,A47)</x:t>
  </x:si>
  <x:si>
    <x:t xml:space="preserve">FORMULA: COUNTIF(SCIENTIFIC_CLAIMS!$B$2:$B$1705,A48)</x:t>
  </x:si>
  <x:si>
    <x:t xml:space="preserve">FORMULA: COUNTIF(SCIENTIFIC_CLAIMS!$B$2:$B$1705,A49)</x:t>
  </x:si>
  <x:si>
    <x:t xml:space="preserve">FORMULA: COUNTIF(SCIENTIFIC_CLAIMS!$B$2:$B$1705,A50)</x:t>
  </x:si>
  <x:si>
    <x:t xml:space="preserve">FORMULA: COUNTIF(SCIENTIFIC_CLAIMS!$B$2:$B$1705,A51)</x:t>
  </x:si>
  <x:si>
    <x:t xml:space="preserve">FORMULA: COUNTIF(SCIENTIFIC_CLAIMS!$B$2:$B$1705,A52)</x:t>
  </x:si>
  <x:si>
    <x:t xml:space="preserve">FORMULA: COUNTIF(SCIENTIFIC_CLAIMS!$B$2:$B$1705,A53)</x:t>
  </x:si>
  <x:si>
    <x:t xml:space="preserve">FORMULA: COUNTIF(SCIENTIFIC_CLAIMS!$B$2:$B$1705,A54)</x:t>
  </x:si>
  <x:si>
    <x:t xml:space="preserve">FORMULA: COUNTIF(SCIENTIFIC_CLAIMS!$B$2:$B$1705,A55)</x:t>
  </x:si>
  <x:si>
    <x:t xml:space="preserve">FORMULA: COUNTIF(SCIENTIFIC_CLAIMS!$B$2:$B$1705,A56)</x:t>
  </x:si>
  <x:si>
    <x:t xml:space="preserve">FORMULA: COUNTIF(SCIENTIFIC_CLAIMS!$B$2:$B$1705,A57)</x:t>
  </x:si>
  <x:si>
    <x:t xml:space="preserve">FORMULA: COUNTIF(SCIENTIFIC_CLAIMS!$B$2:$B$1705,A58)</x:t>
  </x:si>
  <x:si>
    <x:t xml:space="preserve">FORMULA: COUNTIF(SCIENTIFIC_CLAIMS!$B$2:$B$1705,A59)</x:t>
  </x:si>
  <x:si>
    <x:t xml:space="preserve">FORMULA: COUNTIF(SCIENTIFIC_CLAIMS!$B$2:$B$1705,A60)</x:t>
  </x:si>
  <x:si>
    <x:t xml:space="preserve">FORMULA: COUNTIF(SCIENTIFIC_CLAIMS!$B$2:$B$1705,A61)</x:t>
  </x:si>
  <x:si>
    <x:t xml:space="preserve">FORMULA: COUNTIF(SCIENTIFIC_CLAIMS!$B$2:$B$1705,A62)</x:t>
  </x:si>
  <x:si>
    <x:t xml:space="preserve">FORMULA: COUNTIF(SCIENTIFIC_CLAIMS!$B$2:$B$1705,A63)</x:t>
  </x:si>
  <x:si>
    <x:t xml:space="preserve">FORMULA: COUNTIF(SCIENTIFIC_CLAIMS!$B$2:$B$1705,A64)</x:t>
  </x:si>
  <x:si>
    <x:t xml:space="preserve">FORMULA: COUNTIF(SCIENTIFIC_CLAIMS!$B$2:$B$1705,A65)</x:t>
  </x:si>
  <x:si>
    <x:t xml:space="preserve">FORMULA: COUNTIF(SCIENTIFIC_CLAIMS!$B$2:$B$1705,A66)</x:t>
  </x:si>
  <x:si>
    <x:t xml:space="preserve">FORMULA: COUNTIF(SCIENTIFIC_CLAIMS!$B$2:$B$1705,A67)</x:t>
  </x:si>
  <x:si>
    <x:t xml:space="preserve">FORMULA: COUNTIF(SCIENTIFIC_CLAIMS!$B$2:$B$1705,A68)</x:t>
  </x:si>
  <x:si>
    <x:t xml:space="preserve">FORMULA: COUNTIF(SCIENTIFIC_CLAIMS!$B$2:$B$1705,A69)</x:t>
  </x:si>
  <x:si>
    <x:t xml:space="preserve">FORMULA: COUNTIF(SCIENTIFIC_CLAIMS!$B$2:$B$1705,A70)</x:t>
  </x:si>
  <x:si>
    <x:t xml:space="preserve">FORMULA: COUNTIF(SCIENTIFIC_CLAIMS!$B$2:$B$1705,A71)</x:t>
  </x:si>
  <x:si>
    <x:t xml:space="preserve">FORMULA: COUNTIF(SCIENTIFIC_CLAIMS!$B$2:$B$1705,A72)</x:t>
  </x:si>
  <x:si>
    <x:t xml:space="preserve">FORMULA: COUNTIF(SCIENTIFIC_CLAIMS!$B$2:$B$1705,A73)</x:t>
  </x:si>
  <x:si>
    <x:t xml:space="preserve">FORMULA: COUNTIF(SCIENTIFIC_CLAIMS!$B$2:$B$1705,A74)</x:t>
  </x:si>
  <x:si>
    <x:t xml:space="preserve">FORMULA: COUNTIF(SCIENTIFIC_CLAIMS!$B$2:$B$1705,A75)</x:t>
  </x:si>
  <x:si>
    <x:t xml:space="preserve">FORMULA: COUNTIF(SCIENTIFIC_CLAIMS!$B$2:$B$1705,A76)</x:t>
  </x:si>
  <x:si>
    <x:t xml:space="preserve">FORMULA: COUNTIF(SCIENTIFIC_CLAIMS!$B$2:$B$1705,A77)</x:t>
  </x:si>
  <x:si>
    <x:t xml:space="preserve">FORMULA: COUNTIF(SCIENTIFIC_CLAIMS!$B$2:$B$1705,A78)</x:t>
  </x:si>
  <x:si>
    <x:t xml:space="preserve">FORMULA: COUNTIF(SCIENTIFIC_CLAIMS!$B$2:$B$1705,A79)</x:t>
  </x:si>
  <x:si>
    <x:t xml:space="preserve">FORMULA: COUNTIF(SCIENTIFIC_CLAIMS!$B$2:$B$1705,A80)</x:t>
  </x:si>
  <x:si>
    <x:t xml:space="preserve">FORMULA: COUNTIF(SCIENTIFIC_CLAIMS!$B$2:$B$1705,A81)</x:t>
  </x:si>
  <x:si>
    <x:t xml:space="preserve">FORMULA: COUNTIF(SCIENTIFIC_CLAIMS!$B$2:$B$1705,A82)</x:t>
  </x:si>
  <x:si>
    <x:t xml:space="preserve">FORMULA: COUNTIF(SCIENTIFIC_CLAIMS!$B$2:$B$1705,A83)</x:t>
  </x:si>
  <x:si>
    <x:t xml:space="preserve">FORMULA: COUNTIF(SCIENTIFIC_CLAIMS!$B$2:$B$1705,A84)</x:t>
  </x:si>
  <x:si>
    <x:t xml:space="preserve">FORMULA: COUNTIF(SCIENTIFIC_CLAIMS!$B$2:$B$1705,A85)</x:t>
  </x:si>
  <x:si>
    <x:t xml:space="preserve">FORMULA: COUNTIF(SCIENTIFIC_CLAIMS!$B$2:$B$1705,A86)</x:t>
  </x:si>
  <x:si>
    <x:t xml:space="preserve">FORMULA: COUNTIF(SCIENTIFIC_CLAIMS!$B$2:$B$1705,A87)</x:t>
  </x:si>
  <x:si>
    <x:t xml:space="preserve">FORMULA: COUNTIF(SCIENTIFIC_CLAIMS!$B$2:$B$1705,A88)</x:t>
  </x:si>
  <x:si>
    <x:t xml:space="preserve">FORMULA: COUNTIF(SCIENTIFIC_CLAIMS!$B$2:$B$1705,A89)</x:t>
  </x:si>
  <x:si>
    <x:t xml:space="preserve">FORMULA: COUNTIF(SCIENTIFIC_CLAIMS!$B$2:$B$1705,A90)</x:t>
  </x:si>
  <x:si>
    <x:t xml:space="preserve">FORMULA: COUNTIF(SCIENTIFIC_CLAIMS!$B$2:$B$1705,A91)</x:t>
  </x:si>
  <x:si>
    <x:t xml:space="preserve">FORMULA: COUNTIF(SCIENTIFIC_CLAIMS!$B$2:$B$1705,A92)</x:t>
  </x:si>
  <x:si>
    <x:t xml:space="preserve">FORMULA: COUNTIF(SCIENTIFIC_CLAIMS!$B$2:$B$1705,A93)</x:t>
  </x:si>
  <x:si>
    <x:t xml:space="preserve">FORMULA: COUNTIF(SCIENTIFIC_CLAIMS!$B$2:$B$1705,A94)</x:t>
  </x:si>
  <x:si>
    <x:t xml:space="preserve">FORMULA: COUNTIF(SCIENTIFIC_CLAIMS!$B$2:$B$1705,A95)</x:t>
  </x:si>
  <x:si>
    <x:t xml:space="preserve">FORMULA: COUNTIF(SCIENTIFIC_CLAIMS!$B$2:$B$1705,A96)</x:t>
  </x:si>
  <x:si>
    <x:t xml:space="preserve">FORMULA: COUNTIF(SCIENTIFIC_CLAIMS!$B$2:$B$1705,A97)</x:t>
  </x:si>
  <x:si>
    <x:t xml:space="preserve">FORMULA: COUNTIF(SCIENTIFIC_CLAIMS!$B$2:$B$1705,A98)</x:t>
  </x:si>
  <x:si>
    <x:t xml:space="preserve">FORMULA: COUNTIF(SCIENTIFIC_CLAIMS!$B$2:$B$1705,A99)</x:t>
  </x:si>
  <x:si>
    <x:t xml:space="preserve">FORMULA: COUNTIF(SCIENTIFIC_CLAIMS!$B$2:$B$1705,A100)</x:t>
  </x:si>
  <x:si>
    <x:t xml:space="preserve">FORMULA: COUNTIF(SCIENTIFIC_CLAIMS!$B$2:$B$1705,A101)</x:t>
  </x:si>
  <x:si>
    <x:t xml:space="preserve">FORMULA: COUNTIF(SCIENTIFIC_CLAIMS!$B$2:$B$1705,A102)</x:t>
  </x:si>
  <x:si>
    <x:t xml:space="preserve">FORMULA: COUNTIF(SCIENTIFIC_CLAIMS!$B$2:$B$1705,A103)</x:t>
  </x:si>
  <x:si>
    <x:t xml:space="preserve">FORMULA: COUNTIF(SCIENTIFIC_CLAIMS!$B$2:$B$1705,A104)</x:t>
  </x:si>
  <x:si>
    <x:t xml:space="preserve">FORMULA: COUNTIF(SCIENTIFIC_CLAIMS!$B$2:$B$1705,A105)</x:t>
  </x:si>
  <x:si>
    <x:t xml:space="preserve">FORMULA: COUNTIF(SCIENTIFIC_CLAIMS!$B$2:$B$1705,A106)</x:t>
  </x:si>
  <x:si>
    <x:t xml:space="preserve">FORMULA: COUNTIF(SCIENTIFIC_CLAIMS!$B$2:$B$1705,A107)</x:t>
  </x:si>
  <x:si>
    <x:t xml:space="preserve">FORMULA: COUNTIF(SCIENTIFIC_CLAIMS!$B$2:$B$1705,A108)</x:t>
  </x:si>
  <x:si>
    <x:t xml:space="preserve">FORMULA: COUNTIF(SCIENTIFIC_CLAIMS!$B$2:$B$1705,A109)</x:t>
  </x:si>
  <x:si>
    <x:t xml:space="preserve">FORMULA: COUNTIF(SCIENTIFIC_CLAIMS!$B$2:$B$1705,A110)</x:t>
  </x:si>
  <x:si>
    <x:t xml:space="preserve">FORMULA: COUNTIF(SCIENTIFIC_CLAIMS!$B$2:$B$1705,A111)</x:t>
  </x:si>
  <x:si>
    <x:t xml:space="preserve">FORMULA: COUNTIF(SCIENTIFIC_CLAIMS!$B$2:$B$1705,A112)</x:t>
  </x:si>
  <x:si>
    <x:t xml:space="preserve">FORMULA: COUNTIF(SCIENTIFIC_CLAIMS!$B$2:$B$1705,A113)</x:t>
  </x:si>
  <x:si>
    <x:t xml:space="preserve">FORMULA: COUNTIF(SCIENTIFIC_CLAIMS!$B$2:$B$1705,A114)</x:t>
  </x:si>
  <x:si>
    <x:t xml:space="preserve">FORMULA: COUNTIF(SCIENTIFIC_CLAIMS!$B$2:$B$1705,A115)</x:t>
  </x:si>
  <x:si>
    <x:t xml:space="preserve">FORMULA: COUNTIF(SCIENTIFIC_CLAIMS!$B$2:$B$1705,A116)</x:t>
  </x:si>
  <x:si>
    <x:t xml:space="preserve">Missing link filled for B10 conflict-review row (paper URL; arithmetic on workbook rows)</x:t>
  </x:si>
  <x:si>
    <x:t xml:space="preserve">PARTIEL</x:t>
  </x:si>
  <x:si>
    <x:t xml:space="preserve">Resume pointer</x:t>
  </x:si>
  <x:si>
    <x:t xml:space="preserve">B12: DOI was empty; found via Semantic Scholar and confirmed by Crossref exact title match (Ocean Engineering, 2024-06). PII in source_url not cross-checked.</x:t>
  </x:si>
  <x:si>
    <x:t xml:space="preserve">B12 extraction</x:t>
  </x:si>
  <x:si>
    <x:t xml:space="preserve">B12 scope label</x:t>
  </x:si>
  <x:si>
    <x:t xml:space="preserve">B12 first extraction</x:t>
  </x:si>
  <x:si>
    <x:t xml:space="preserve">B12 note appended</x:t>
  </x:si>
  <x:si>
    <x:t xml:space="preserve">Not a verified PaperRecord; no page-level PDF audit. | B09: Published PDF via Archimer read; SI not read. | B10: B10 conflict review only. | B12: B12: SI docx (Archimer) read; conflict re-opened.</x:t>
  </x:si>
  <x:si>
    <x:t xml:space="preserve">B12 re-access</x:t>
  </x:si>
  <x:si>
    <x:t xml:space="preserve">Rows preserved before B12</x:t>
  </x:si>
  <x:si>
    <x:t xml:space="preserve">B12 rows added</x:t>
  </x:si>
  <x:si>
    <x:t xml:space="preserve">B12 : 32 faits, 1 limites, 1 FW, 2 AI ; 0077 SI ; 8 résumés ; code 0113.</x:t>
  </x:si>
  <x:si>
    <x:t xml:space="preserve">B04–B12; audit scientifique indépendant non effectué.</x:t>
  </x:si>
  <x:si>
    <x:t xml:space="preserve">RESEARCH_GAPS</x:t>
  </x:si>
  <x:si>
    <x:t xml:space="preserve">row 15 testable_question</x:t>
  </x:si>
  <x:si>
    <x:t xml:space="preserve">Column shift corrected: row pattern (gap id | OAI id | question | status | url|locator) consistent across rows 15-18; mapping unambiguous</x:t>
  </x:si>
  <x:si>
    <x:t xml:space="preserve">row 15 basis_paper_ids</x:t>
  </x:si>
  <x:si>
    <x:t xml:space="preserve">row 16 testable_question</x:t>
  </x:si>
  <x:si>
    <x:t xml:space="preserve">row 16 basis_paper_ids</x:t>
  </x:si>
  <x:si>
    <x:t xml:space="preserve">row 17 testable_question</x:t>
  </x:si>
  <x:si>
    <x:t xml:space="preserve">row 17 basis_paper_ids</x:t>
  </x:si>
  <x:si>
    <x:t xml:space="preserve">row 18 testable_question</x:t>
  </x:si>
  <x:si>
    <x:t xml:space="preserve">row 18 basis_paper_ids</x:t>
  </x:si>
  <x:si>
    <x:t xml:space="preserve">new row</x:t>
  </x:si>
  <x:si>
    <x:t xml:space="preserve">Research-gap claim mirrored into RESEARCH_GAPS</x:t>
  </x:si>
  <x:si>
    <x:t xml:space="preserve">B13 extraction</x:t>
  </x:si>
  <x:si>
    <x:t xml:space="preserve">B13 note appended</x:t>
  </x:si>
  <x:si>
    <x:t xml:space="preserve">Rows preserved before B13</x:t>
  </x:si>
  <x:si>
    <x:t xml:space="preserve">B13 rows added</x:t>
  </x:si>
  <x:si>
    <x:t xml:space="preserve">B13 : 6 lignes issues du code (OAI-0100), 1 AI.</x:t>
  </x:si>
  <x:si>
    <x:t xml:space="preserve">B04–B13; audit scientifique indépendant non effectué.</x:t>
  </x:si>
  <x:si>
    <x:t xml:space="preserve">RESUME_POINT</x:t>
  </x:si>
  <x:si>
    <x:t xml:space="preserve">B11/B12 version</x:t>
  </x:si>
  <x:si>
    <x:t xml:space="preserve">B13 version</x:t>
  </x:si>
  <x:si>
    <x:t xml:space="preserve">Resume point refreshed (previous content superseded; items carried forward)</x:t>
  </x:si>
  <x:si>
    <x:t xml:space="preserve">B14 extraction</x:t>
  </x:si>
  <x:si>
    <x:t xml:space="preserve">B14 note appended</x:t>
  </x:si>
  <x:si>
    <x:t xml:space="preserve">Rows preserved before B14</x:t>
  </x:si>
  <x:si>
    <x:t xml:space="preserve">B14 rows added</x:t>
  </x:si>
  <x:si>
    <x:t xml:space="preserve">B14 : 11 faits (SI/figures), 4 AI (conflit 0077, applicabilité RL 0017/0064).</x:t>
  </x:si>
  <x:si>
    <x:t xml:space="preserve">B04–B14; audit scientifique indépendant non effectué.</x:t>
  </x:si>
  <x:si>
    <x:t xml:space="preserve">B15 note appended</x:t>
  </x:si>
  <x:si>
    <x:t xml:space="preserve">Rows preserved before B15</x:t>
  </x:si>
  <x:si>
    <x:t xml:space="preserve">B15 rows added</x:t>
  </x:si>
  <x:si>
    <x:t xml:space="preserve">B15 : réexamen hérités OAI-0005, OAI-0026 ; 48 faits, 1 limites, 4 AI.</x:t>
  </x:si>
  <x:si>
    <x:t xml:space="preserve">B04–B15; audit scientifique indépendant non effectué.</x:t>
  </x:si>
  <x:si>
    <x:t xml:space="preserve">Correction: Body paywalled; only abstract, availability statements and Extended Data captions read (B08)</x:t>
  </x:si>
  <x:si>
    <x:t xml:space="preserve">Note appended</x:t>
  </x:si>
  <x:si>
    <x:t xml:space="preserve">Correction: EGU26 conference abstract; no full paper exists (not a blockage)</x:t>
  </x:si>
  <x:si>
    <x:t xml:space="preserve">Correction: Only ABSTRACT_SCREENED rows (legacy); label DETAILED not supported by evidence</x:t>
  </x:si>
  <x:si>
    <x:t xml:space="preserve">B15 version</x:t>
  </x:si>
  <x:si>
    <x:t xml:space="preserve">Resume point refreshed</x:t>
  </x:si>
  <x:si>
    <x:t xml:space="preserve">date</x:t>
  </x:si>
  <x:si>
    <x:t xml:space="preserve">review_depth</x:t>
  </x:si>
  <x:si>
    <x:t xml:space="preserve">access_attempts</x:t>
  </x:si>
  <x:si>
    <x:t xml:space="preserve">blockers</x:t>
  </x:si>
  <x:si>
    <x:t xml:space="preserve">PARTIAL</x:t>
  </x:si>
  <x:si>
    <x:t xml:space="preserve">frontiersin.org HTML: 200</x:t>
  </x:si>
  <x:si>
    <x:t xml:space="preserve">EXHAUSTIVE_FOR_EDITORIAL_SCOPE</x:t>
  </x:si>
  <x:si>
    <x:t xml:space="preserve">nature.com HTML: 200 (preview only)</x:t>
  </x:si>
  <x:si>
    <x:t xml:space="preserve">Paywall</x:t>
  </x:si>
  <x:si>
    <x:t xml:space="preserve">EXTENSIVE_NOT_EXHAUSTIVE</x:t>
  </x:si>
  <x:si>
    <x:t xml:space="preserve">nature.com HTML: 200</x:t>
  </x:si>
  <x:si>
    <x:t xml:space="preserve">arxiv.org/abs + /pdf: HTTP 200</x:t>
  </x:si>
  <x:si>
    <x:t xml:space="preserve">EXHAUSTIVE_FOR_ABSTRACT_SCOPE</x:t>
  </x:si>
  <x:si>
    <x:t xml:space="preserve">meetingorganizer.copernicus.org: 200</x:t>
  </x:si>
  <x:si>
    <x:t xml:space="preserve">Presentation restricted</x:t>
  </x:si>
  <x:si>
    <x:t xml:space="preserve">agupubs.onlinelibrary.wiley.com/doi/full: HTTP 403</x:t>
  </x:si>
  <x:si>
    <x:t xml:space="preserve">Wiley blocks automated access</x:t>
  </x:si>
  <x:si>
    <x:t xml:space="preserve">castjournals HTML 200 + PDF 200</x:t>
  </x:si>
  <x:si>
    <x:t xml:space="preserve">Wiley 403 (B08); OpenAlex → Archimer PDF 200</x:t>
  </x:si>
  <x:si>
    <x:t xml:space="preserve">Wiley not tried directly; arXiv 2604.06398 v2 200</x:t>
  </x:si>
  <x:si>
    <x:t xml:space="preserve">Wiley 403 (B08); arXiv 2505.08900 v6 200</x:t>
  </x:si>
  <x:si>
    <x:t xml:space="preserve">Wiley pdfdirect 403; OpenAlex gold OA but only Wiley/DOAJ links; web search: no preprint</x:t>
  </x:si>
  <x:si>
    <x:t xml:space="preserve">Web search: no preprint found; Wiley 403 (B08)</x:t>
  </x:si>
  <x:si>
    <x:t xml:space="preserve">No open copy found</x:t>
  </x:si>
  <x:si>
    <x:t xml:space="preserve">doi.org → linkinghub.elsevier.com JS redirect; OpenAlex hybrid OA</x:t>
  </x:si>
  <x:si>
    <x:t xml:space="preserve">Elsevier redirect blocks scripted access</x:t>
  </x:si>
  <x:si>
    <x:t xml:space="preserve">OpenAlex: closed</x:t>
  </x:si>
  <x:si>
    <x:t xml:space="preserve">No open copy</x:t>
  </x:si>
  <x:si>
    <x:t xml:space="preserve">none</x:t>
  </x:si>
  <x:si>
    <x:t xml:space="preserve">PARTIAL_REVIEW_SECTIONS</x:t>
  </x:si>
  <x:si>
    <x:t xml:space="preserve">OpenAlex → Europe PMC PMC12976684 XML 200; PIK submitted PDF 200 (not used)</x:t>
  </x:si>
  <x:si>
    <x:t xml:space="preserve">none (workbook rows)</x:t>
  </x:si>
  <x:si>
    <x:t xml:space="preserve">B10 web_search: no preprint or open copy; Wiley 403</x:t>
  </x:si>
  <x:si>
    <x:t xml:space="preserve">Blocked</x:t>
  </x:si>
  <x:si>
    <x:t xml:space="preserve">OpenAlex closed (IEEE TCYB)</x:t>
  </x:si>
  <x:si>
    <x:t xml:space="preserve">OpenAlex closed</x:t>
  </x:si>
  <x:si>
    <x:t xml:space="preserve">OpenAlex gold (Elsevier AOSL) but only ScienceDirect link; scripted access redirected</x:t>
  </x:si>
  <x:si>
    <x:t xml:space="preserve">Elsevier redirect</x:t>
  </x:si>
  <x:si>
    <x:t xml:space="preserve">OpenAlex hybrid; ScienceDirect only</x:t>
  </x:si>
  <x:si>
    <x:t xml:space="preserve">No DOI in PAPER_INDEX; not resolved</x:t>
  </x:si>
  <x:si>
    <x:t xml:space="preserve">Missing DOI</x:t>
  </x:si>
  <x:si>
    <x:t xml:space="preserve">EXTENSIVE_MAIN_TEXT</x:t>
  </x:si>
  <x:si>
    <x:t xml:space="preserve">frontiersin HTML 200</x:t>
  </x:si>
  <x:si>
    <x:t xml:space="preserve">nature.com HTML 200</x:t>
  </x:si>
  <x:si>
    <x:t xml:space="preserve">mdpi.com HTML: HTTP 403 in B11</x:t>
  </x:si>
  <x:si>
    <x:t xml:space="preserve">MDPI blocks scripted access</x:t>
  </x:si>
  <x:si>
    <x:t xml:space="preserve">Unpaywall, OpenAlex, Semantic Scholar, HAL API (title), arXiv API (title), Europe PMC (DOI), Crossref; publisher site</x:t>
  </x:si>
  <x:si>
    <x:t xml:space="preserve">No legitimate open full text found</x:t>
  </x:si>
  <x:si>
    <x:t xml:space="preserve">SI_TABLES_READ</x:t>
  </x:si>
  <x:si>
    <x:t xml:space="preserve">Archimer record page lists SI 118067.docx: 200</x:t>
  </x:si>
  <x:si>
    <x:t xml:space="preserve">Unpaywall, OpenAlex, Semantic Scholar, HAL API (title), arXiv API (title), Europe PMC (DOI), Crossref; publisher site; Wiley via web_fetch: bot-detection block; ResearchGate listed (not fetchable)</x:t>
  </x:si>
  <x:si>
    <x:t xml:space="preserve">ABSTRACT_PLUS_CODE_FILES</x:t>
  </x:si>
  <x:si>
    <x:t xml:space="preserve">Unpaywall, OpenAlex, Semantic Scholar, HAL API (title), arXiv API (title), Europe PMC (DOI), Crossref; publisher site; ScienceDirect 403; Zenodo code 200</x:t>
  </x:si>
  <x:si>
    <x:t xml:space="preserve">Unpaywall, OpenAlex, Semantic Scholar, HAL API (title), arXiv API (title), Europe PMC (DOI), Crossref; publisher site; no abstract available via APIs</x:t>
  </x:si>
  <x:si>
    <x:t xml:space="preserve">No open copy, no abstract</x:t>
  </x:si>
  <x:si>
    <x:t xml:space="preserve">CODE_FILES_READ</x:t>
  </x:si>
  <x:si>
    <x:t xml:space="preserve">Zenodo 16056926 API + zip 200</x:t>
  </x:si>
  <x:si>
    <x:t xml:space="preserve">APPLICABILITY_CHECK</x:t>
  </x:si>
  <x:si>
    <x:t xml:space="preserve">PMC XML</x:t>
  </x:si>
  <x:si>
    <x:t xml:space="preserve">SUPPLEMENT_OR_FIGURE</x:t>
  </x:si>
  <x:si>
    <x:t xml:space="preserve">Archimer SI docx</x:t>
  </x:si>
  <x:si>
    <x:t xml:space="preserve">SI_ATTEMPT</x:t>
  </x:si>
  <x:si>
    <x:t xml:space="preserve">nature.com HTML (no ESM link); Crossref links</x:t>
  </x:si>
  <x:si>
    <x:t xml:space="preserve">SI not linked</x:t>
  </x:si>
  <x:si>
    <x:t xml:space="preserve">local arXiv v1 PDF rendered</x:t>
  </x:si>
  <x:si>
    <x:t xml:space="preserve">local arXiv v2 PDF</x:t>
  </x:si>
  <x:si>
    <x:t xml:space="preserve">EXHAUSTIVE_MAIN_TEXT_PREPRINT</x:t>
  </x:si>
  <x:si>
    <x:t xml:space="preserve">arXiv 2308.11814 v1 200</x:t>
  </x:si>
  <x:si>
    <x:t xml:space="preserve">arXiv 2402.02995 v4 200</x:t>
  </x:si>
  <x:si>
    <x:t xml:space="preserve">canonical_category</x:t>
  </x:si>
  <x:si>
    <x:t xml:space="preserve">n_rows</x:t>
  </x:si>
  <x:si>
    <x:t xml:space="preserve">mapping_basis</x:t>
  </x:si>
  <x:si>
    <x:t xml:space="preserve">AI_INTERPRETATION: rule-based mapping (keyword on field_path); original field_path unchanged</x:t>
  </x:si>
  <x:si>
    <x:t xml:space="preserve">other</x:t>
  </x:si>
  <x:si>
    <x:t xml:space="preserve">RL_algorithm</x:t>
  </x:si>
  <x:si>
    <x:t xml:space="preserve">training_other</x:t>
  </x:si>
  <x:si>
    <x:t xml:space="preserve">early_stopping</x:t>
  </x:si>
  <x:si>
    <x:t xml:space="preserve">rl_status</x:t>
  </x:si>
  <x:si>
    <x:t xml:space="preserve">justification</x:t>
  </x:si>
  <x:si>
    <x:t xml:space="preserve">method_evidence_claim_ids</x:t>
  </x:si>
  <x:si>
    <x:t xml:space="preserve">Review/editorial: RL coverage of cited works not examined; non-applicability not established</x:t>
  </x:si>
  <x:si>
    <x:t xml:space="preserve">NOT_APPLICABLE_WITH_METHOD_EVIDENCE</x:t>
  </x:si>
  <x:si>
    <x:t xml:space="preserve">Extracted method rows describe a non-RL method and no RL term found in title or extracted rows (AI_INTERPRETATION; limited to extracted rows)</x:t>
  </x:si>
  <x:si>
    <x:t xml:space="preserve">ORI-0099;ORI-0100;ORI-0101;ORI-0102</x:t>
  </x:si>
  <x:si>
    <x:t xml:space="preserve">B03-0164;B03-0165;B03-0166;B03-0167</x:t>
  </x:si>
  <x:si>
    <x:t xml:space="preserve">NOT_APPLICABLE_SOURCE_CHECKED</x:t>
  </x:si>
  <x:si>
    <x:t xml:space="preserve">Source-checked: NOT_APPLICABLE_SOURCE_CHECKED for own experiments (narrative review, none). "Agents" refers to AI agent systems (EarthLink copilot: plans, writes code, synthesizes reports), not RL agents; RL itself a</x:t>
  </x:si>
  <x:si>
    <x:t xml:space="preserve">WEB2-0015;WEB2-0016;WEB2-0017;WEB2-0018</x:t>
  </x:si>
  <x:si>
    <x:t xml:space="preserve">WEB2-0025;WEB2-0026;B15-0040</x:t>
  </x:si>
  <x:si>
    <x:t xml:space="preserve">B04-0001;B04-0004;B04-0005;B04-0006</x:t>
  </x:si>
  <x:si>
    <x:t xml:space="preserve">B04-0173;B04-0174;B04-0175;B04-0179</x:t>
  </x:si>
  <x:si>
    <x:t xml:space="preserve">B05-0049;B05-0050;B05-0051</x:t>
  </x:si>
  <x:si>
    <x:t xml:space="preserve">B04-0190;B04-0191;B04-0192;B04-0193</x:t>
  </x:si>
  <x:si>
    <x:t xml:space="preserve">B04-0059;B04-0060</x:t>
  </x:si>
  <x:si>
    <x:t xml:space="preserve">B04-0070;B04-0071;B04-0072;B04-0073</x:t>
  </x:si>
  <x:si>
    <x:t xml:space="preserve">WEB2-0041;WEB2-0042</x:t>
  </x:si>
  <x:si>
    <x:t xml:space="preserve">WEB2-0046;WEB2-0047;WEB2-0048</x:t>
  </x:si>
  <x:si>
    <x:t xml:space="preserve">B05-0006;B05-0011</x:t>
  </x:si>
  <x:si>
    <x:t xml:space="preserve">ORI-0121;ORI-0122;ORI-0123;ORI-0124</x:t>
  </x:si>
  <x:si>
    <x:t xml:space="preserve">B07-0010;B07-0019;B07-0023</x:t>
  </x:si>
  <x:si>
    <x:t xml:space="preserve">B04-0048;B04-0051;B04-0052;B04-0053</x:t>
  </x:si>
  <x:si>
    <x:t xml:space="preserve">B04-0112;B04-0113</x:t>
  </x:si>
  <x:si>
    <x:t xml:space="preserve">B11-0004;B11-0005</x:t>
  </x:si>
  <x:si>
    <x:t xml:space="preserve">B06-0168;B06-0169</x:t>
  </x:si>
  <x:si>
    <x:t xml:space="preserve">No extracted method description; absence of info does not establish non-applicability</x:t>
  </x:si>
  <x:si>
    <x:t xml:space="preserve">B06-0093;B06-0094</x:t>
  </x:si>
  <x:si>
    <x:t xml:space="preserve">B06-0010;B06-0011;B06-0012;B06-0013</x:t>
  </x:si>
  <x:si>
    <x:t xml:space="preserve">B06-0078;B06-0079;B06-0080;B06-0081</x:t>
  </x:si>
  <x:si>
    <x:t xml:space="preserve">RL_APPLICABLE</x:t>
  </x:si>
  <x:si>
    <x:t xml:space="preserve">RL domain or RL rows present; RL fields must be extracted from source</x:t>
  </x:si>
  <x:si>
    <x:t xml:space="preserve">B04-0121;B04-0129</x:t>
  </x:si>
  <x:si>
    <x:t xml:space="preserve">B06-0028;B06-0029;B06-0033</x:t>
  </x:si>
  <x:si>
    <x:t xml:space="preserve">Source-checked: NOT_APPLICABLE_SOURCE_CHECKED: "SAC" = Soft Attention + Context vector with ConvLSTM encoder–decoder (supervised forecasting), not Soft Actor-Critic; no RL component in Methods</x:t>
  </x:si>
  <x:si>
    <x:t xml:space="preserve">B04-0208;B04-0209;B04-0210;B04-0211</x:t>
  </x:si>
  <x:si>
    <x:t xml:space="preserve">B04-0225;B04-0226</x:t>
  </x:si>
  <x:si>
    <x:t xml:space="preserve">B04-0150;B04-0151;B04-0152</x:t>
  </x:si>
  <x:si>
    <x:t xml:space="preserve">B04-0240;B04-0241;B04-0242;B04-0243</x:t>
  </x:si>
  <x:si>
    <x:t xml:space="preserve">B04-0327;B04-0328;B04-0329;B04-0330</x:t>
  </x:si>
  <x:si>
    <x:t xml:space="preserve">B09-0067;B09-0068;B09-0069;B12-0006</x:t>
  </x:si>
  <x:si>
    <x:t xml:space="preserve">B05-0163;B05-0170</x:t>
  </x:si>
  <x:si>
    <x:t xml:space="preserve">B05-0199;B05-0200;B05-0201;B05-0202</x:t>
  </x:si>
  <x:si>
    <x:t xml:space="preserve">B07-0033;B07-0034;B07-0035;B07-0036</x:t>
  </x:si>
  <x:si>
    <x:t xml:space="preserve">B06-0050;B06-0051;B06-0052;B06-0053</x:t>
  </x:si>
  <x:si>
    <x:t xml:space="preserve">B04-0319;B04-0320</x:t>
  </x:si>
  <x:si>
    <x:t xml:space="preserve">B04-0273;B04-0274;B04-0275</x:t>
  </x:si>
  <x:si>
    <x:t xml:space="preserve">B05-0141;B05-0142</x:t>
  </x:si>
  <x:si>
    <x:t xml:space="preserve">B08-0051;B08-0052;B08-0053</x:t>
  </x:si>
  <x:si>
    <x:t xml:space="preserve">B04-0157;B04-0166</x:t>
  </x:si>
  <x:si>
    <x:t xml:space="preserve">B08-0015;B08-0016;B08-0017;B08-0018</x:t>
  </x:si>
  <x:si>
    <x:t xml:space="preserve">B07-0060;B07-0061;B07-0062;B07-0063</x:t>
  </x:si>
  <x:si>
    <x:t xml:space="preserve">B07-0091;B07-0092;B07-0093;B07-0094</x:t>
  </x:si>
  <x:si>
    <x:t xml:space="preserve">B07-0114;B07-0115;B07-0116;B07-0117</x:t>
  </x:si>
  <x:si>
    <x:t xml:space="preserve">B09-0048;B09-0049;B14-0006;B14-0007</x:t>
  </x:si>
  <x:si>
    <x:t xml:space="preserve">B09-0030;B09-0031</x:t>
  </x:si>
  <x:si>
    <x:t xml:space="preserve">B04-0339;B04-0340;B04-0341</x:t>
  </x:si>
  <x:si>
    <x:t xml:space="preserve">B06-0141;B06-0142;B06-0145;B06-0146</x:t>
  </x:si>
  <x:si>
    <x:t xml:space="preserve">B04-0391;B04-0392;B04-0393</x:t>
  </x:si>
  <x:si>
    <x:t xml:space="preserve">B04-0357;B04-0358;B04-0359;B04-0360</x:t>
  </x:si>
  <x:si>
    <x:t xml:space="preserve">B05-0056;B05-0057;B05-0058;B05-0059</x:t>
  </x:si>
  <x:si>
    <x:t xml:space="preserve">B05-0070;B05-0071;B05-0072;B05-0073</x:t>
  </x:si>
  <x:si>
    <x:t xml:space="preserve">EXTRACTED(1)</x:t>
  </x:si>
  <x:si>
    <x:t xml:space="preserve">EXTRACTED(7)</x:t>
  </x:si>
  <x:si>
    <x:t xml:space="preserve">EXTRACTED(2)</x:t>
  </x:si>
  <x:si>
    <x:t xml:space="preserve">EXTRACTED(3)</x:t>
  </x:si>
  <x:si>
    <x:t xml:space="preserve">EXTRACTED(4)</x:t>
  </x:si>
  <x:si>
    <x:t xml:space="preserve">EXTRACTED(5)</x:t>
  </x:si>
  <x:si>
    <x:t xml:space="preserve">EXTRACTED(15)</x:t>
  </x:si>
  <x:si>
    <x:t xml:space="preserve">EXTRACTED(16)</x:t>
  </x:si>
  <x:si>
    <x:t xml:space="preserve">EXTRACTED(6)</x:t>
  </x:si>
  <x:si>
    <x:t xml:space="preserve">EXTRACTED(12)</x:t>
  </x:si>
  <x:si>
    <x:t xml:space="preserve">EXTRACTED(11)</x:t>
  </x:si>
  <x:si>
    <x:t xml:space="preserve">EXTRACTED(17)</x:t>
  </x:si>
  <x:si>
    <x:t xml:space="preserve">EXTRACTED(8)</x:t>
  </x:si>
  <x:si>
    <x:t xml:space="preserve">EXTRACTED(10)</x:t>
  </x:si>
  <x:si>
    <x:t xml:space="preserve">LEGEND</x:t>
  </x:si>
  <x:si>
    <x:t xml:space="preserve">EXTRACTED(n)=n non-absence rows mapped to category (≥1 row, NOT completeness).</x:t>
  </x:si>
  <x:si>
    <x:t xml:space="preserve">NOT_REPORTED=absence documented in a stated scope in SCIENTIFIC_CLAIMS.</x:t>
  </x:si>
  <x:si>
    <x:t xml:space="preserve">NOT_EXTRACTED=no row yet (not read or not found).</x:t>
  </x:si>
  <x:si>
    <x:t xml:space="preserve">NOT_APPLICABLE_WITH_METHOD_EVIDENCE=RL fields; see RL_APPLICABILITY (method rows cited; AI_INTERPRETATION).</x:t>
  </x:si>
  <x:si>
    <x:t xml:space="preserve">Legacy rows with blank extraction_status counted as extracted (EXTRACTED_LEGACY_UNLABELED).</x:t>
  </x:si>
  <x:si>
    <x:t xml:space="preserve">batch</x:t>
  </x:si>
  <x:si>
    <x:t xml:space="preserve">claim_rows_reclassified(extraction_status)</x:t>
  </x:si>
  <x:si>
    <x:t xml:space="preserve">claim_value_changed</x:t>
  </x:si>
  <x:si>
    <x:t xml:space="preserve">claim_notes_appended</x:t>
  </x:si>
  <x:si>
    <x:t xml:space="preserve">claim_links_filled</x:t>
  </x:si>
  <x:si>
    <x:t xml:space="preserve">claims_pre_B08_modified</x:t>
  </x:si>
  <x:si>
    <x:t xml:space="preserve">other_sheet_cells_modified</x:t>
  </x:si>
  <x:si>
    <x:t xml:space="preserve">structural_fixes</x:t>
  </x:si>
  <x:si>
    <x:t xml:space="preserve">formula_fixes</x:t>
  </x:si>
  <x:si>
    <x:t xml:space="preserve">0 (see note)</x:t>
  </x:si>
  <x:si>
    <x:t xml:space="preserve">NOTE</x:t>
  </x:si>
  <x:si>
    <x:t xml:space="preserve">"Lignes d’origine" = 1,497 rows present before B08 (batches B03–B07 + unlabeled legacy): none modified. Rows created in B08–B09 were later reclassified (B10) or given a link (B11/B12): counted as modifications, not additions.</x:t>
  </x:si>
  <x:si>
    <x:t xml:space="preserve">fulltext_status</x:t>
  </x:si>
  <x:si>
    <x:t xml:space="preserve">what_was_used</x:t>
  </x:si>
  <x:si>
    <x:t xml:space="preserve">request</x:t>
  </x:si>
  <x:si>
    <x:t xml:space="preserve">FULL_TEXT_NOT_ACCESSED</x:t>
  </x:si>
  <x:si>
    <x:t xml:space="preserve">published abstract via API</x:t>
  </x:si>
  <x:si>
    <x:t xml:space="preserve">Provide publisher PDF or author manuscript (+SI)</x:t>
  </x:si>
  <x:si>
    <x:t xml:space="preserve">nothing</x:t>
  </x:si>
  <x:si>
    <x:t xml:space="preserve">abstract + official code/README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</x:si>
</x:sst>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0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5"/>
      <x:color rgb="FFFFFFFF"/>
      <x:name val="Calibri"/>
    </x:font>
    <x:font>
      <x:sz val="11"/>
      <x:name val="Calibri"/>
    </x:font>
    <x:font>
      <x:b/>
      <x:sz val="11"/>
      <x:name val="Calibri"/>
    </x:font>
    <x:font>
      <x:sz val="10"/>
      <x:name val="Arial"/>
    </x:font>
    <x:font>
      <x:b/>
      <x:sz val="11"/>
      <x:color rgb="FFFFFFFF"/>
      <x:name val="Calibri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64A"/>
      </x:patternFill>
    </x:fill>
    <x:fill>
      <x:patternFill patternType="solid">
        <x:fgColor rgb="FFDCEAF2"/>
      </x:patternFill>
    </x:fill>
    <x:fill>
      <x:patternFill patternType="solid">
        <x:fgColor rgb="FF143849"/>
      </x:patternFill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5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general" vertical="bottom" wrapText="1"/>
    </x:xf>
    <x:xf numFmtId="164" fontId="5" fillId="0" borderId="0" xfId="0" applyFont="1" applyBorder="0" applyAlignment="1">
      <x:alignment horizontal="general" vertical="bottom" wrapText="1"/>
    </x:xf>
    <x:xf numFmtId="164" fontId="6" fillId="3" borderId="0" xfId="0" applyFont="1" applyBorder="0" applyAlignment="1">
      <x:alignment horizontal="general" vertical="bottom" wrapText="1"/>
    </x:xf>
    <x:xf numFmtId="164" fontId="7" fillId="0" borderId="0" xfId="0" applyFont="1" applyBorder="0" applyAlignment="1">
      <x:alignment horizontal="general" vertical="center" wrapText="1"/>
    </x:xf>
    <x:xf numFmtId="164" fontId="8" fillId="2" borderId="0" xfId="0" applyFont="1" applyBorder="0" applyAlignment="1">
      <x:alignment horizontal="general" vertical="bottom" wrapText="1"/>
    </x:xf>
    <x:xf numFmtId="164" fontId="9" fillId="4" borderId="0" xfId="0" applyFont="1" applyBorder="0" applyAlignment="1">
      <x:alignment horizontal="general" vertical="bottom" wrapText="1"/>
    </x:xf>
    <x:xf numFmtId="164" fontId="7" fillId="0" borderId="0" xfId="0" applyFont="1" applyBorder="0" applyAlignment="1">
      <x:alignment horizontal="general" vertical="top" wrapText="1"/>
    </x:xf>
    <x:xf numFmtId="164" fontId="5" fillId="0" borderId="0" xfId="0" applyFont="1" applyBorder="0" applyAlignment="1">
      <x:alignment horizontal="general" vertical="top" wrapText="1"/>
    </x:xf>
    <x:xf numFmtId="164" fontId="5" fillId="0" borderId="0" xfId="0" applyFont="1" applyBorder="0" applyAlignment="1">
      <x:alignment horizontal="general" vertical="bottom" wrapText="0"/>
    </x:xf>
    <x:xf numFmtId="164" fontId="9" fillId="4" borderId="0" xfId="0" applyFont="1" applyBorder="0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3"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DCEAF2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7E6E6"/>
      <x:rgbColor rgb="FFE2F0D9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2364A"/>
      <x:rgbColor rgb="FF339966"/>
      <x:rgbColor rgb="FF003300"/>
      <x:rgbColor rgb="FF333300"/>
      <x:rgbColor rgb="FF993300"/>
      <x:rgbColor rgb="FF993366"/>
      <x:rgbColor rgb="FF333399"/>
      <x:rgbColor rgb="FF143849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fb04144104d31" /><Relationship Type="http://schemas.openxmlformats.org/officeDocument/2006/relationships/theme" Target="/xl/theme/theme1.xml" Id="Rb5e9c7837a3440bc" /><Relationship Type="http://schemas.openxmlformats.org/officeDocument/2006/relationships/sharedStrings" Target="/xl/sharedStrings.xml" Id="Rccdfc02f7da042dc" /><Relationship Type="http://schemas.openxmlformats.org/officeDocument/2006/relationships/worksheet" Target="/xl/worksheets/sheet1.xml" Id="Re49fc527e9b24d5b" /><Relationship Type="http://schemas.openxmlformats.org/officeDocument/2006/relationships/worksheet" Target="/xl/worksheets/sheet2.xml" Id="Rd3e0b30571c24897" /><Relationship Type="http://schemas.openxmlformats.org/officeDocument/2006/relationships/worksheet" Target="/xl/worksheets/sheet3.xml" Id="R87f26a87e5154fa3" /><Relationship Type="http://schemas.openxmlformats.org/officeDocument/2006/relationships/worksheet" Target="/xl/worksheets/sheet4.xml" Id="Re75d35e17cab4130" /><Relationship Type="http://schemas.openxmlformats.org/officeDocument/2006/relationships/worksheet" Target="/xl/worksheets/sheet5.xml" Id="Rafcc211f2a8d4094" /><Relationship Type="http://schemas.openxmlformats.org/officeDocument/2006/relationships/worksheet" Target="/xl/worksheets/sheet6.xml" Id="R8cca6d001e2f4b00" /><Relationship Type="http://schemas.openxmlformats.org/officeDocument/2006/relationships/worksheet" Target="/xl/worksheets/sheet7.xml" Id="R6b8259696061423c" /><Relationship Type="http://schemas.openxmlformats.org/officeDocument/2006/relationships/worksheet" Target="/xl/worksheets/sheet8.xml" Id="R7ffa3e1a37c346a4" /><Relationship Type="http://schemas.openxmlformats.org/officeDocument/2006/relationships/worksheet" Target="/xl/worksheets/sheet9.xml" Id="Rc3c782987abf45e3" /><Relationship Type="http://schemas.openxmlformats.org/officeDocument/2006/relationships/worksheet" Target="/xl/worksheets/sheet10.xml" Id="Rf754372afa2b4ce1" /><Relationship Type="http://schemas.openxmlformats.org/officeDocument/2006/relationships/worksheet" Target="/xl/worksheets/sheet11.xml" Id="Rd2af2d2e88854b42" /><Relationship Type="http://schemas.openxmlformats.org/officeDocument/2006/relationships/worksheet" Target="/xl/worksheets/sheet12.xml" Id="Re9e486288c0c4d6f" /><Relationship Type="http://schemas.openxmlformats.org/officeDocument/2006/relationships/worksheet" Target="/xl/worksheets/sheet13.xml" Id="Rb8badae541044061" /><Relationship Type="http://schemas.openxmlformats.org/officeDocument/2006/relationships/worksheet" Target="/xl/worksheets/sheet14.xml" Id="Rd12bad0bf1954b17" /><Relationship Type="http://schemas.openxmlformats.org/officeDocument/2006/relationships/worksheet" Target="/xl/worksheets/sheet15.xml" Id="Re373f01be4024de8" /><Relationship Type="http://schemas.openxmlformats.org/officeDocument/2006/relationships/worksheet" Target="/xl/worksheets/sheet16.xml" Id="Rc19c552648f84fb0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9" style="1" hidden="0" customWidth="1"/>
    <x:col min="2" max="2" width="30" style="1" hidden="0" customWidth="1"/>
    <x:col min="3" max="3" width="91" style="1" hidden="0" customWidth="1"/>
  </x:cols>
  <x:sheetData>
    <x:row r="1" ht="33.75" hidden="0" customHeight="1">
      <x:c r="A1" s="2" t="s">
        <x:v>0</x:v>
      </x:c>
      <x:c r="B1" s="2"/>
      <x:c r="C1" s="2"/>
    </x:row>
    <x:row r="2" ht="15" hidden="0" customHeight="1">
      <x:c r="A2" s="3"/>
      <x:c r="B2" s="3"/>
      <x:c r="C2" s="3"/>
    </x:row>
    <x:row r="3" ht="15" hidden="0" customHeight="1">
      <x:c r="A3" s="4" t="s">
        <x:v>1</x:v>
      </x:c>
      <x:c r="B3" s="4" t="s">
        <x:v>2</x:v>
      </x:c>
      <x:c r="C3" s="4" t="s">
        <x:v>3</x:v>
      </x:c>
    </x:row>
    <x:row r="4" ht="36" hidden="0" customHeight="1">
      <x:c r="A4" s="5" t="s">
        <x:v>4</x:v>
      </x:c>
      <x:c r="B4" s="5" t="n">
        <x:f aca="0">COUNTA(PAPER_INDEX!M2:M116)</x:f>
        <x:v>115</x:v>
      </x:c>
      <x:c r="C4" s="5" t="s">
        <x:v>5</x:v>
      </x:c>
    </x:row>
    <x:row r="5" ht="36" hidden="0" customHeight="1">
      <x:c r="A5" s="5" t="s">
        <x:v>6</x:v>
      </x:c>
      <x:c r="B5" s="5" t="n">
        <x:f aca="0">B6-B7</x:f>
        <x:v>95</x:v>
      </x:c>
      <x:c r="C5" s="5" t="str">
        <x:v>État B15 conservé avant B16.</x:v>
      </x:c>
    </x:row>
    <x:row r="6" ht="36" hidden="0" customHeight="1">
      <x:c r="A6" s="5" t="s">
        <x:v>7</x:v>
      </x:c>
      <x:c r="B6" s="5" t="n">
        <x:f aca="0">COUNTIF(COVERAGE!E2:E116,"DETAILED")+COUNTIF(COVERAGE!E2:E116,"DETAILED_PARTIAL")</x:f>
        <x:v>97</x:v>
      </x:c>
      <x:c r="C6" s="5" t="s">
        <x:v>8</x:v>
      </x:c>
    </x:row>
    <x:row r="7" ht="36" hidden="0" customHeight="1">
      <x:c r="A7" s="5" t="s">
        <x:v>9</x:v>
      </x:c>
      <x:c r="B7" s="5" t="n">
        <x:v>2</x:v>
      </x:c>
      <x:c r="C7" s="5" t="str">
        <x:v>OAI-0054 et OAI-0111 : premières extractions du texte intégral.</x:v>
      </x:c>
    </x:row>
    <x:row r="8" ht="36" hidden="0" customHeight="1">
      <x:c r="A8" s="5" t="s">
        <x:v>10</x:v>
      </x:c>
      <x:c r="B8" s="5" t="n">
        <x:v>1815</x:v>
      </x:c>
      <x:c r="C8" s="5" t="s">
        <x:v>11</x:v>
      </x:c>
    </x:row>
    <x:row r="9" ht="36" hidden="0" customHeight="1">
      <x:c r="A9" s="5" t="s">
        <x:v>12</x:v>
      </x:c>
      <x:c r="B9" s="5" t="n">
        <x:v>121</x:v>
      </x:c>
      <x:c r="C9" s="5" t="str">
        <x:v>B16 : 5 papiers enrichis, dont 2 précédemment limités au résumé.</x:v>
      </x:c>
    </x:row>
    <x:row r="10" ht="36" hidden="0" customHeight="1">
      <x:c r="A10" s="5" t="str">
        <x:v>Lignes totales / historiques</x:v>
      </x:c>
      <x:c r="B10" s="5" t="n">
        <x:f aca="0">SUM(COVERAGE!D2:D116)</x:f>
        <x:v>1936</x:v>
      </x:c>
      <x:c r="C10" s="5" t="str">
        <x:v>Toutes les lignes, y compris absences et interprétations.</x:v>
      </x:c>
    </x:row>
    <x:row r="11" ht="36" hidden="0" customHeight="1">
      <x:c r="A11" s="5" t="s">
        <x:v>13</x:v>
      </x:c>
      <x:c r="B11" s="5" t="s">
        <x:v>14</x:v>
      </x:c>
      <x:c r="C11" s="5" t="s">
        <x:v>15</x:v>
      </x:c>
    </x:row>
    <x:row r="12" ht="36" hidden="0" customHeight="1">
      <x:c r="A12" s="5" t="s">
        <x:v>16</x:v>
      </x:c>
      <x:c r="B12" s="5" t="s">
        <x:v>17</x:v>
      </x:c>
      <x:c r="C12" s="5" t="s">
        <x:v>18</x:v>
      </x:c>
    </x:row>
    <x:row r="13" ht="36" hidden="0" customHeight="1">
      <x:c r="A13" s="5" t="s">
        <x:v>19</x:v>
      </x:c>
      <x:c r="B13" s="5" t="s">
        <x:v>20</x:v>
      </x:c>
      <x:c r="C13" s="5" t="str">
        <x:v>B04–B16; audit scientifique indépendant non effectué.</x:v>
      </x:c>
    </x:row>
    <x:row r="14" ht="36" hidden="0" customHeight="1">
      <x:c r="A14" s="5" t="s">
        <x:v>21</x:v>
      </x:c>
      <x:c r="B14" s="5" t="n">
        <x:f aca="0">COUNTIF(COVERAGE!E2:E116,"INDEX_ONLY")</x:f>
        <x:v>9</x:v>
      </x:c>
      <x:c r="C14" s="5" t="s">
        <x:v>22</x:v>
      </x:c>
    </x:row>
    <x:row r="15" ht="36" hidden="0" customHeight="1">
      <x:c r="A15" s="5" t="s">
        <x:v>23</x:v>
      </x:c>
      <x:c r="B15" s="5" t="n">
        <x:v>52</x:v>
      </x:c>
      <x:c r="C15" s="5" t="s">
        <x:v>24</x:v>
      </x:c>
    </x:row>
    <x:row r="16" ht="36" hidden="0" customHeight="1">
      <x:c r="A16" s="5" t="s">
        <x:v>25</x:v>
      </x:c>
      <x:c r="B16" s="5" t="n">
        <x:f aca="0">COUNTA(SCIENTIFIC_CLAIMS!A2:A1937)</x:f>
        <x:v>1936</x:v>
      </x:c>
      <x:c r="C16" s="5" t="s">
        <x:v>26</x:v>
      </x:c>
    </x:row>
    <x:row r="17" ht="36" hidden="0" customHeight="1">
      <x:c r="A17" s="5" t="s">
        <x:v>27</x:v>
      </x:c>
      <x:c r="B17" s="5" t="s">
        <x:v>28</x:v>
      </x:c>
      <x:c r="C17" s="5" t="s">
        <x:v>29</x:v>
      </x:c>
    </x:row>
    <x:row r="18" ht="36" hidden="0" customHeight="1">
      <x:c r="A18" s="5" t="s">
        <x:v>30</x:v>
      </x:c>
      <x:c r="B18" s="5" t="s">
        <x:v>31</x:v>
      </x:c>
      <x:c r="C18" s="5" t="str">
        <x:v>FIELD_MATRIX_115 est la matrice courante; FIELD_COVERAGE est historique.</x:v>
      </x:c>
    </x:row>
    <x:row r="19" ht="36" hidden="0" customHeight="1">
      <x:c r="A19" s="5" t="s">
        <x:v>32</x:v>
      </x:c>
      <x:c r="B19" s="5" t="s">
        <x:v>33</x:v>
      </x:c>
      <x:c r="C19" s="5" t="s">
        <x:v>34</x:v>
      </x:c>
    </x:row>
    <x:row r="20" ht="36" hidden="0" customHeight="1">
      <x:c r="A20" s="5" t="s">
        <x:v>35</x:v>
      </x:c>
      <x:c r="B20" s="5" t="s">
        <x:v>36</x:v>
      </x:c>
      <x:c r="C20" s="5" t="s">
        <x:v>37</x:v>
      </x:c>
    </x:row>
    <x:row r="21" ht="36" hidden="0" customHeight="1">
      <x:c r="A21" s="5" t="s">
        <x:v>38</x:v>
      </x:c>
      <x:c r="B21" s="5" t="s">
        <x:v>39</x:v>
      </x:c>
      <x:c r="C21" s="5" t="s">
        <x:v>40</x:v>
      </x:c>
    </x:row>
    <x:row r="22" ht="36" hidden="0" customHeight="1">
      <x:c r="A22" s="5" t="s">
        <x:v>41</x:v>
      </x:c>
      <x:c r="B22" s="5" t="s">
        <x:v>42</x:v>
      </x:c>
      <x:c r="C22" s="5" t="s">
        <x:v>43</x:v>
      </x:c>
    </x:row>
    <x:row r="23" ht="36" hidden="0" customHeight="1">
      <x:c r="A23" s="5" t="s">
        <x:v>44</x:v>
      </x:c>
      <x:c r="B23" s="5" t="s">
        <x:v>45</x:v>
      </x:c>
      <x:c r="C23" s="5" t="s">
        <x:v>46</x:v>
      </x:c>
    </x:row>
    <x:row r="25" ht="15" hidden="0" customHeight="1">
      <x:c r="A25" s="1" t="s">
        <x:v>47</x:v>
      </x:c>
    </x:row>
    <x:row r="26" ht="15" hidden="0" customHeight="1">
      <x:c r="A26" s="1" t="s">
        <x:v>48</x:v>
      </x:c>
      <x:c r="B26" s="1" t="n">
        <x:f aca="0">COUNTIF(COVERAGE!E2:E116,"DETAILED")</x:f>
        <x:v>19</x:v>
      </x:c>
      <x:c r="C26" s="1" t="s">
        <x:v>49</x:v>
      </x:c>
    </x:row>
    <x:row r="27" ht="15" hidden="0" customHeight="1">
      <x:c r="A27" s="1" t="s">
        <x:v>50</x:v>
      </x:c>
      <x:c r="B27" s="1" t="n">
        <x:f aca="0">COUNTIF(COVERAGE!E2:E116,"DETAILED_PARTIAL")</x:f>
        <x:v>78</x:v>
      </x:c>
      <x:c r="C27" s="1" t="s">
        <x:v>51</x:v>
      </x:c>
    </x:row>
    <x:row r="28" ht="15" hidden="0" customHeight="1">
      <x:c r="A28" s="1" t="s">
        <x:v>52</x:v>
      </x:c>
      <x:c r="B28" s="1" t="n">
        <x:f aca="0">COUNTIF(COVERAGE!E2:E116,"ABSTRACT_ONLY")</x:f>
        <x:v>8</x:v>
      </x:c>
      <x:c r="C28" s="1" t="s">
        <x:v>53</x:v>
      </x:c>
    </x:row>
    <x:row r="29" ht="15" hidden="0" customHeight="1">
      <x:c r="A29" s="1" t="s">
        <x:v>54</x:v>
      </x:c>
      <x:c r="B29" s="1" t="n">
        <x:f aca="0">COUNTIF(COVERAGE!E2:E116,"ABSTRACT_PLUS_CODE")</x:f>
        <x:v>1</x:v>
      </x:c>
      <x:c r="C29" s="1" t="s">
        <x:v>55</x:v>
      </x:c>
    </x:row>
    <x:row r="30" ht="15" hidden="0" customHeight="1">
      <x:c r="A30" s="1" t="s">
        <x:v>56</x:v>
      </x:c>
      <x:c r="B30" s="1" t="n">
        <x:f aca="0">COUNTIF(COVERAGE!E2:E116,"INDEX_ONLY")</x:f>
        <x:v>9</x:v>
      </x:c>
      <x:c r="C30" s="1" t="s">
        <x:v>57</x:v>
      </x:c>
    </x:row>
    <x:row r="31" ht="15" hidden="0" customHeight="1">
      <x:c r="A31" s="1" t="s">
        <x:v>58</x:v>
      </x:c>
      <x:c r="B31" s="1" t="s">
        <x:v>59</x:v>
      </x:c>
      <x:c r="C31" s="1" t="s">
        <x:v>60</x:v>
      </x:c>
    </x:row>
    <x:row r="32" ht="15" hidden="0" customHeight="1">
      <x:c r="A32" s="1" t="s">
        <x:v>61</x:v>
      </x:c>
      <x:c r="B32" s="1" t="s">
        <x:v>62</x:v>
      </x:c>
      <x:c r="C32" s="1" t="s">
        <x:v>63</x:v>
      </x:c>
    </x:row>
    <x:row r="34" ht="15" hidden="0" customHeight="1">
      <x:c r="A34" s="1" t="s">
        <x:v>64</x:v>
      </x:c>
    </x:row>
    <x:row r="35" ht="15" hidden="0" customHeight="1">
      <x:c r="A35" s="1" t="s">
        <x:v>65</x:v>
      </x:c>
      <x:c r="B35" s="1" t="n">
        <x:v>97</x:v>
      </x:c>
      <x:c r="C35" s="1" t="s">
        <x:v>66</x:v>
      </x:c>
    </x:row>
    <x:row r="36" ht="15" hidden="0" customHeight="1">
      <x:c r="A36" s="1" t="s">
        <x:v>67</x:v>
      </x:c>
      <x:c r="B36" s="1" t="n">
        <x:v>10</x:v>
      </x:c>
      <x:c r="C36" s="1" t="s">
        <x:v>68</x:v>
      </x:c>
    </x:row>
    <x:row r="37" ht="15" hidden="0" customHeight="1">
      <x:c r="A37" s="1" t="s">
        <x:v>69</x:v>
      </x:c>
      <x:c r="B37" s="1" t="n">
        <x:v>1</x:v>
      </x:c>
      <x:c r="C37" s="1" t="s">
        <x:v>70</x:v>
      </x:c>
    </x:row>
    <x:row r="38" ht="15" hidden="0" customHeight="1">
      <x:c r="A38" s="1" t="s">
        <x:v>71</x:v>
      </x:c>
      <x:c r="B38" s="1" t="n">
        <x:v>1884</x:v>
      </x:c>
      <x:c r="C38" s="1" t="s">
        <x:v>72</x:v>
      </x:c>
    </x:row>
    <x:row r="39" ht="15" hidden="0" customHeight="1">
      <x:c r="A39" s="1" t="s">
        <x:v>73</x:v>
      </x:c>
      <x:c r="B39" s="1" t="n">
        <x:v>34</x:v>
      </x:c>
    </x:row>
    <x:row r="40" ht="15" hidden="0" customHeight="1">
      <x:c r="A40" s="1" t="s">
        <x:v>74</x:v>
      </x:c>
      <x:c r="B40" s="1" t="n">
        <x:v>15</x:v>
      </x:c>
    </x:row>
    <x:row r="41" ht="15" hidden="0" customHeight="1">
      <x:c r="A41" s="1" t="s">
        <x:v>75</x:v>
      </x:c>
      <x:c r="B41" s="1" t="str">
        <x:v>17 encore bloqués; 0054 et 0111 résolus en B16.</x:v>
      </x:c>
      <x:c r="C41" s="1" t="s">
        <x:v>76</x:v>
      </x:c>
    </x:row>
    <x:row r="42" ht="65" customHeight="1">
      <x:c r="A42" s="14" t="str">
        <x:v>Statuts hérités vides</x:v>
      </x:c>
      <x:c r="B42" s="14" t="n">
        <x:v>258</x:v>
      </x:c>
      <x:c r="C42" s="14" t="str">
        <x:v>Lignes conservées sans reclassement; comptées selon la convention historique.</x:v>
      </x:c>
    </x:row>
    <x:row r="43" ht="65" customHeight="1">
      <x:c r="A43" s="14" t="str">
        <x:v>Revues de conflit internes</x:v>
      </x:c>
      <x:c r="B43" s="14" t="n">
        <x:v>3</x:v>
      </x:c>
      <x:c r="C43" s="14" t="str">
        <x:v>CONFLICT_REVIEW_FROM_EXISTING_ROWS : 3 lignes, pas 4.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5" hidden="0">
      <x:c r="A1" t="s">
        <x:v>77</x:v>
      </x:c>
      <x:c r="B1" t="s">
        <x:v>78</x:v>
      </x:c>
      <x:c r="C1" t="s">
        <x:v>79</x:v>
      </x:c>
      <x:c r="D1" t="s">
        <x:v>80</x:v>
      </x:c>
    </x:row>
    <x:row r="2" ht="15" hidden="0">
      <x:c r="A2" t="str">
        <x:v>Dernier lot</x:v>
      </x:c>
      <x:c r="B2" t="str">
        <x:v>B16</x:v>
      </x:c>
      <x:c r="C2" t="str">
        <x:v>SAVED</x:v>
      </x:c>
      <x:c r="D2" t="str">
        <x:v>Reprendre B17 à partir de ce classeur.</x:v>
      </x:c>
    </x:row>
    <x:row r="3" ht="15" hidden="0">
      <x:c r="A3" t="str">
        <x:v>Accès résolus</x:v>
      </x:c>
      <x:c r="B3" t="str">
        <x:v>OAI-0054, OAI-0111</x:v>
      </x:c>
      <x:c r="C3" t="str">
        <x:v>PARTIAL_FULLTEXT</x:v>
      </x:c>
      <x:c r="D3" t="str">
        <x:v>Lire SI/code; extraction non exhaustive.</x:v>
      </x:c>
    </x:row>
    <x:row r="4" ht="15" hidden="0">
      <x:c r="A4" t="str">
        <x:v>Supplément 0045</x:v>
      </x:c>
      <x:c r="B4" t="str">
        <x:v>OAI-0045</x:v>
      </x:c>
      <x:c r="C4" t="str">
        <x:v>UNRESOLVED</x:v>
      </x:c>
      <x:c r="D4" t="str">
        <x:v>Page et recherche consultées; aucun lien de SI identifié; ne pas inférer absence.</x:v>
      </x:c>
    </x:row>
    <x:row r="5" ht="15" hidden="0">
      <x:c r="A5" t="str">
        <x:v>Autres suppléments</x:v>
      </x:c>
      <x:c r="B5" t="str">
        <x:v>OAI-0093; OAI-0054; OAI-0111</x:v>
      </x:c>
      <x:c r="C5" t="str">
        <x:v>OPEN</x:v>
      </x:c>
      <x:c r="D5" t="str">
        <x:v>0093 introuvable auparavant; 0054/0111 fichiers listés mais non lus.</x:v>
      </x:c>
    </x:row>
    <x:row r="6" ht="15" hidden="0">
      <x:c r="A6" t="str">
        <x:v>Hérités réexaminés B16</x:v>
      </x:c>
      <x:c r="B6" t="str">
        <x:v>OAI-0001; OAI-0003</x:v>
      </x:c>
      <x:c r="C6" t="str">
        <x:v>PARTIAL</x:v>
      </x:c>
      <x:c r="D6" t="str">
        <x:v>Nouveaux détails ajoutés, catégories restantes dans matrice.</x:v>
      </x:c>
    </x:row>
    <x:row r="7" ht="15" hidden="0">
      <x:c r="A7" t="str">
        <x:v>Conflits</x:v>
      </x:c>
      <x:c r="B7" t="str">
        <x:v>0077; 0089; 0013; 0111; architecture 0003</x:v>
      </x:c>
      <x:c r="C7" t="str">
        <x:v>OPEN</x:v>
      </x:c>
      <x:c r="D7" t="str">
        <x:v>Audit indépendant et rapprochement PDF/code requis.</x:v>
      </x:c>
    </x:row>
    <x:row r="8" ht="15" hidden="0">
      <x:c r="A8" t="str">
        <x:v>Statuts hérités</x:v>
      </x:c>
      <x:c r="B8" t="str">
        <x:v>258 lignes extraction_status vide</x:v>
      </x:c>
      <x:c r="C8" t="str">
        <x:v>PRESERVED</x:v>
      </x:c>
      <x:c r="D8" t="str">
        <x:v>Aucun reclassement automatique; revoir sources.</x:v>
      </x:c>
    </x:row>
    <x:row r="9" ht="15" hidden="0">
      <x:c r="A9" t="str">
        <x:v>Autres textes bloqués</x:v>
      </x:c>
      <x:c r="B9" t="str">
        <x:v>17 dans BLOCKED_FULLTEXT hors RESOLVED_B16</x:v>
      </x:c>
      <x:c r="C9" t="str">
        <x:v>OPEN</x:v>
      </x:c>
      <x:c r="D9" t="str">
        <x:v>Chercher textes originaux; 0112 résumé de conférence distinct.</x:v>
      </x:c>
    </x:row>
    <x:row r="10" ht="15" hidden="0">
      <x:c r="A10" t="str">
        <x:v>Audit scientifique</x:v>
      </x:c>
      <x:c r="B10" t="str">
        <x:v>Toutes les lignes NOT_VERIFIED</x:v>
      </x:c>
      <x:c r="C10" t="str">
        <x:v>PENDING</x:v>
      </x:c>
      <x:c r="D10" t="str">
        <x:v>Contrôle technique ≠ audit scientifique.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3" width="18" style="1" hidden="0" customWidth="1"/>
    <x:col min="4" max="4" width="26" style="1" hidden="0" customWidth="1"/>
    <x:col min="5" max="5" width="40" style="1" hidden="0" customWidth="1"/>
    <x:col min="6" max="7" width="18" style="1" hidden="0" customWidth="1"/>
    <x:col min="8" max="8" width="38" style="1" hidden="0" customWidth="1"/>
    <x:col min="9" max="10" width="18" style="1" hidden="0" customWidth="1"/>
    <x:col min="11" max="12" width="26" style="1" hidden="0" customWidth="1"/>
    <x:col min="13" max="13" width="40" style="1" hidden="0" customWidth="1"/>
    <x:col min="14" max="17" width="18" style="1" hidden="0" customWidth="1"/>
    <x:col min="18" max="18" width="40" style="1" hidden="0" customWidth="1"/>
    <x:col min="19" max="20" width="25" style="1" hidden="0" customWidth="1"/>
    <x:col min="21" max="21" width="14" style="1" hidden="0" customWidth="1"/>
    <x:col min="22" max="22" width="12" style="1" hidden="0" customWidth="1"/>
  </x:cols>
  <x:sheetData>
    <x:row r="1" ht="15" hidden="0" customHeight="1">
      <x:c r="A1" s="6" t="s">
        <x:v>81</x:v>
      </x:c>
      <x:c r="B1" s="6" t="s">
        <x:v>82</x:v>
      </x:c>
      <x:c r="C1" s="6" t="s">
        <x:v>83</x:v>
      </x:c>
      <x:c r="D1" s="6" t="s">
        <x:v>84</x:v>
      </x:c>
      <x:c r="E1" s="6" t="s">
        <x:v>85</x:v>
      </x:c>
      <x:c r="F1" s="6" t="s">
        <x:v>86</x:v>
      </x:c>
      <x:c r="G1" s="6" t="s">
        <x:v>87</x:v>
      </x:c>
      <x:c r="H1" s="6" t="s">
        <x:v>88</x:v>
      </x:c>
      <x:c r="I1" s="6" t="s">
        <x:v>89</x:v>
      </x:c>
      <x:c r="J1" s="6" t="s">
        <x:v>90</x:v>
      </x:c>
      <x:c r="K1" s="6" t="s">
        <x:v>91</x:v>
      </x:c>
      <x:c r="L1" s="6" t="s">
        <x:v>92</x:v>
      </x:c>
      <x:c r="M1" s="6" t="s">
        <x:v>93</x:v>
      </x:c>
      <x:c r="N1" s="6" t="s">
        <x:v>94</x:v>
      </x:c>
      <x:c r="O1" s="6" t="s">
        <x:v>95</x:v>
      </x:c>
      <x:c r="P1" s="6" t="s">
        <x:v>96</x:v>
      </x:c>
      <x:c r="Q1" s="6" t="s">
        <x:v>97</x:v>
      </x:c>
      <x:c r="R1" s="6" t="s">
        <x:v>98</x:v>
      </x:c>
      <x:c r="S1" s="7" t="s">
        <x:v>99</x:v>
      </x:c>
      <x:c r="T1" s="7" t="s">
        <x:v>100</x:v>
      </x:c>
      <x:c r="U1" s="7" t="s">
        <x:v>101</x:v>
      </x:c>
      <x:c r="V1" s="7" t="s">
        <x:v>102</x:v>
      </x:c>
    </x:row>
    <x:row r="2" ht="41.25" hidden="0" customHeight="1">
      <x:c r="A2" s="3" t="s">
        <x:v>103</x:v>
      </x:c>
      <x:c r="B2" s="3" t="s">
        <x:v>104</x:v>
      </x:c>
      <x:c r="C2" s="3" t="s">
        <x:v>105</x:v>
      </x:c>
      <x:c r="D2" s="3" t="s">
        <x:v>106</x:v>
      </x:c>
      <x:c r="E2" s="3" t="s">
        <x:v>107</x:v>
      </x:c>
      <x:c r="F2" s="3" t="s">
        <x:v>108</x:v>
      </x:c>
      <x:c r="G2" s="3" t="s">
        <x:v>109</x:v>
      </x:c>
      <x:c r="H2" s="3" t="s">
        <x:v>110</x:v>
      </x:c>
      <x:c r="I2" s="3" t="s">
        <x:v>111</x:v>
      </x:c>
      <x:c r="J2" s="3" t="s">
        <x:v>112</x:v>
      </x:c>
      <x:c r="K2" s="3" t="s">
        <x:v>113</x:v>
      </x:c>
      <x:c r="L2" s="3" t="s">
        <x:v>113</x:v>
      </x:c>
      <x:c r="M2" s="3"/>
      <x:c r="N2" s="3"/>
      <x:c r="O2" s="3" t="s">
        <x:v>114</x:v>
      </x:c>
      <x:c r="P2" s="3" t="s">
        <x:v>115</x:v>
      </x:c>
      <x:c r="Q2" s="3" t="s">
        <x:v>45</x:v>
      </x:c>
      <x:c r="R2" s="3"/>
      <x:c r="S2" s="8"/>
      <x:c r="T2" s="8"/>
      <x:c r="U2" s="8"/>
      <x:c r="V2" s="8"/>
    </x:row>
    <x:row r="3" ht="41.25" hidden="0" customHeight="1">
      <x:c r="A3" s="3" t="s">
        <x:v>116</x:v>
      </x:c>
      <x:c r="B3" s="3" t="s">
        <x:v>104</x:v>
      </x:c>
      <x:c r="C3" s="3" t="s">
        <x:v>105</x:v>
      </x:c>
      <x:c r="D3" s="3" t="s">
        <x:v>117</x:v>
      </x:c>
      <x:c r="E3" s="3" t="s">
        <x:v>118</x:v>
      </x:c>
      <x:c r="F3" s="3" t="s">
        <x:v>108</x:v>
      </x:c>
      <x:c r="G3" s="3" t="s">
        <x:v>109</x:v>
      </x:c>
      <x:c r="H3" s="3" t="s">
        <x:v>110</x:v>
      </x:c>
      <x:c r="I3" s="3" t="s">
        <x:v>111</x:v>
      </x:c>
      <x:c r="J3" s="3" t="s">
        <x:v>112</x:v>
      </x:c>
      <x:c r="K3" s="3" t="s">
        <x:v>113</x:v>
      </x:c>
      <x:c r="L3" s="3" t="s">
        <x:v>113</x:v>
      </x:c>
      <x:c r="M3" s="3"/>
      <x:c r="N3" s="3"/>
      <x:c r="O3" s="3" t="s">
        <x:v>114</x:v>
      </x:c>
      <x:c r="P3" s="3" t="s">
        <x:v>115</x:v>
      </x:c>
      <x:c r="Q3" s="3" t="s">
        <x:v>45</x:v>
      </x:c>
      <x:c r="R3" s="3"/>
      <x:c r="S3" s="8"/>
      <x:c r="T3" s="8"/>
      <x:c r="U3" s="8"/>
      <x:c r="V3" s="8"/>
    </x:row>
    <x:row r="4" ht="41.25" hidden="0" customHeight="1">
      <x:c r="A4" s="3" t="s">
        <x:v>119</x:v>
      </x:c>
      <x:c r="B4" s="3" t="s">
        <x:v>104</x:v>
      </x:c>
      <x:c r="C4" s="3" t="s">
        <x:v>105</x:v>
      </x:c>
      <x:c r="D4" s="3" t="s">
        <x:v>120</x:v>
      </x:c>
      <x:c r="E4" s="3" t="s">
        <x:v>121</x:v>
      </x:c>
      <x:c r="F4" s="3" t="s">
        <x:v>108</x:v>
      </x:c>
      <x:c r="G4" s="3" t="s">
        <x:v>109</x:v>
      </x:c>
      <x:c r="H4" s="3" t="s">
        <x:v>110</x:v>
      </x:c>
      <x:c r="I4" s="3" t="s">
        <x:v>111</x:v>
      </x:c>
      <x:c r="J4" s="3" t="s">
        <x:v>112</x:v>
      </x:c>
      <x:c r="K4" s="3" t="s">
        <x:v>113</x:v>
      </x:c>
      <x:c r="L4" s="3" t="s">
        <x:v>113</x:v>
      </x:c>
      <x:c r="M4" s="3"/>
      <x:c r="N4" s="3"/>
      <x:c r="O4" s="3" t="s">
        <x:v>114</x:v>
      </x:c>
      <x:c r="P4" s="3" t="s">
        <x:v>115</x:v>
      </x:c>
      <x:c r="Q4" s="3" t="s">
        <x:v>45</x:v>
      </x:c>
      <x:c r="R4" s="3"/>
      <x:c r="S4" s="8"/>
      <x:c r="T4" s="8"/>
      <x:c r="U4" s="8"/>
      <x:c r="V4" s="8"/>
    </x:row>
    <x:row r="5" ht="41.25" hidden="0" customHeight="1">
      <x:c r="A5" s="3" t="s">
        <x:v>122</x:v>
      </x:c>
      <x:c r="B5" s="3" t="s">
        <x:v>104</x:v>
      </x:c>
      <x:c r="C5" s="3" t="s">
        <x:v>105</x:v>
      </x:c>
      <x:c r="D5" s="3" t="s">
        <x:v>123</x:v>
      </x:c>
      <x:c r="E5" s="3" t="s">
        <x:v>124</x:v>
      </x:c>
      <x:c r="F5" s="3" t="s">
        <x:v>108</x:v>
      </x:c>
      <x:c r="G5" s="3" t="s">
        <x:v>109</x:v>
      </x:c>
      <x:c r="H5" s="3" t="s">
        <x:v>110</x:v>
      </x:c>
      <x:c r="I5" s="3" t="s">
        <x:v>111</x:v>
      </x:c>
      <x:c r="J5" s="3" t="s">
        <x:v>112</x:v>
      </x:c>
      <x:c r="K5" s="3" t="s">
        <x:v>125</x:v>
      </x:c>
      <x:c r="L5" s="3" t="s">
        <x:v>125</x:v>
      </x:c>
      <x:c r="M5" s="3"/>
      <x:c r="N5" s="3"/>
      <x:c r="O5" s="3" t="s">
        <x:v>114</x:v>
      </x:c>
      <x:c r="P5" s="3" t="s">
        <x:v>115</x:v>
      </x:c>
      <x:c r="Q5" s="3" t="s">
        <x:v>45</x:v>
      </x:c>
      <x:c r="R5" s="3"/>
      <x:c r="S5" s="8"/>
      <x:c r="T5" s="8"/>
      <x:c r="U5" s="8"/>
      <x:c r="V5" s="8"/>
    </x:row>
    <x:row r="6" ht="41.25" hidden="0" customHeight="1">
      <x:c r="A6" s="3" t="s">
        <x:v>126</x:v>
      </x:c>
      <x:c r="B6" s="3" t="s">
        <x:v>104</x:v>
      </x:c>
      <x:c r="C6" s="3" t="s">
        <x:v>105</x:v>
      </x:c>
      <x:c r="D6" s="3" t="s">
        <x:v>127</x:v>
      </x:c>
      <x:c r="E6" s="3" t="s">
        <x:v>128</x:v>
      </x:c>
      <x:c r="F6" s="3" t="s">
        <x:v>108</x:v>
      </x:c>
      <x:c r="G6" s="3" t="s">
        <x:v>109</x:v>
      </x:c>
      <x:c r="H6" s="3" t="s">
        <x:v>110</x:v>
      </x:c>
      <x:c r="I6" s="3" t="s">
        <x:v>111</x:v>
      </x:c>
      <x:c r="J6" s="3" t="s">
        <x:v>112</x:v>
      </x:c>
      <x:c r="K6" s="3" t="s">
        <x:v>129</x:v>
      </x:c>
      <x:c r="L6" s="3" t="s">
        <x:v>129</x:v>
      </x:c>
      <x:c r="M6" s="3"/>
      <x:c r="N6" s="3"/>
      <x:c r="O6" s="3" t="s">
        <x:v>114</x:v>
      </x:c>
      <x:c r="P6" s="3" t="s">
        <x:v>115</x:v>
      </x:c>
      <x:c r="Q6" s="3" t="s">
        <x:v>45</x:v>
      </x:c>
      <x:c r="R6" s="3"/>
      <x:c r="S6" s="8"/>
      <x:c r="T6" s="8"/>
      <x:c r="U6" s="8"/>
      <x:c r="V6" s="8"/>
    </x:row>
    <x:row r="7" ht="41.25" hidden="0" customHeight="1">
      <x:c r="A7" s="3" t="s">
        <x:v>130</x:v>
      </x:c>
      <x:c r="B7" s="3" t="s">
        <x:v>104</x:v>
      </x:c>
      <x:c r="C7" s="3" t="s">
        <x:v>105</x:v>
      </x:c>
      <x:c r="D7" s="3" t="s">
        <x:v>131</x:v>
      </x:c>
      <x:c r="E7" s="3" t="s">
        <x:v>132</x:v>
      </x:c>
      <x:c r="F7" s="3" t="s">
        <x:v>108</x:v>
      </x:c>
      <x:c r="G7" s="3" t="s">
        <x:v>109</x:v>
      </x:c>
      <x:c r="H7" s="3" t="s">
        <x:v>110</x:v>
      </x:c>
      <x:c r="I7" s="3" t="s">
        <x:v>111</x:v>
      </x:c>
      <x:c r="J7" s="3" t="s">
        <x:v>112</x:v>
      </x:c>
      <x:c r="K7" s="3" t="s">
        <x:v>133</x:v>
      </x:c>
      <x:c r="L7" s="3" t="s">
        <x:v>133</x:v>
      </x:c>
      <x:c r="M7" s="3"/>
      <x:c r="N7" s="3"/>
      <x:c r="O7" s="3" t="s">
        <x:v>114</x:v>
      </x:c>
      <x:c r="P7" s="3" t="s">
        <x:v>115</x:v>
      </x:c>
      <x:c r="Q7" s="3" t="s">
        <x:v>45</x:v>
      </x:c>
      <x:c r="R7" s="3"/>
      <x:c r="S7" s="8"/>
      <x:c r="T7" s="8"/>
      <x:c r="U7" s="8"/>
      <x:c r="V7" s="8"/>
    </x:row>
    <x:row r="8" ht="41.25" hidden="0" customHeight="1">
      <x:c r="A8" s="3" t="s">
        <x:v>134</x:v>
      </x:c>
      <x:c r="B8" s="3" t="s">
        <x:v>104</x:v>
      </x:c>
      <x:c r="C8" s="3" t="s">
        <x:v>105</x:v>
      </x:c>
      <x:c r="D8" s="3" t="s">
        <x:v>135</x:v>
      </x:c>
      <x:c r="E8" s="3" t="s">
        <x:v>136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133</x:v>
      </x:c>
      <x:c r="L8" s="3" t="s">
        <x:v>137</x:v>
      </x:c>
      <x:c r="M8" s="3"/>
      <x:c r="N8" s="3"/>
      <x:c r="O8" s="3" t="s">
        <x:v>114</x:v>
      </x:c>
      <x:c r="P8" s="3" t="s">
        <x:v>115</x:v>
      </x:c>
      <x:c r="Q8" s="3" t="s">
        <x:v>45</x:v>
      </x:c>
      <x:c r="R8" s="3"/>
      <x:c r="S8" s="8"/>
      <x:c r="T8" s="8"/>
      <x:c r="U8" s="8"/>
      <x:c r="V8" s="8"/>
    </x:row>
    <x:row r="9" ht="41.25" hidden="0" customHeight="1">
      <x:c r="A9" s="3" t="s">
        <x:v>138</x:v>
      </x:c>
      <x:c r="B9" s="3" t="s">
        <x:v>104</x:v>
      </x:c>
      <x:c r="C9" s="3" t="s">
        <x:v>105</x:v>
      </x:c>
      <x:c r="D9" s="3" t="s">
        <x:v>139</x:v>
      </x:c>
      <x:c r="E9" s="3" t="s">
        <x:v>140</x:v>
      </x:c>
      <x:c r="F9" s="3" t="s">
        <x:v>108</x:v>
      </x:c>
      <x:c r="G9" s="3" t="s">
        <x:v>109</x:v>
      </x:c>
      <x:c r="H9" s="3" t="s">
        <x:v>110</x:v>
      </x:c>
      <x:c r="I9" s="3" t="s">
        <x:v>111</x:v>
      </x:c>
      <x:c r="J9" s="3" t="s">
        <x:v>112</x:v>
      </x:c>
      <x:c r="K9" s="3" t="s">
        <x:v>133</x:v>
      </x:c>
      <x:c r="L9" s="3" t="s">
        <x:v>137</x:v>
      </x:c>
      <x:c r="M9" s="3"/>
      <x:c r="N9" s="3"/>
      <x:c r="O9" s="3" t="s">
        <x:v>114</x:v>
      </x:c>
      <x:c r="P9" s="3" t="s">
        <x:v>115</x:v>
      </x:c>
      <x:c r="Q9" s="3" t="s">
        <x:v>45</x:v>
      </x:c>
      <x:c r="R9" s="3"/>
      <x:c r="S9" s="8"/>
      <x:c r="T9" s="8"/>
      <x:c r="U9" s="8"/>
      <x:c r="V9" s="8"/>
    </x:row>
    <x:row r="10" ht="41.25" hidden="0" customHeight="1">
      <x:c r="A10" s="3" t="s">
        <x:v>141</x:v>
      </x:c>
      <x:c r="B10" s="3" t="s">
        <x:v>104</x:v>
      </x:c>
      <x:c r="C10" s="3" t="s">
        <x:v>105</x:v>
      </x:c>
      <x:c r="D10" s="3" t="s">
        <x:v>142</x:v>
      </x:c>
      <x:c r="E10" s="3" t="s">
        <x:v>143</x:v>
      </x:c>
      <x:c r="F10" s="3" t="s">
        <x:v>108</x:v>
      </x:c>
      <x:c r="G10" s="3" t="s">
        <x:v>109</x:v>
      </x:c>
      <x:c r="H10" s="3" t="s">
        <x:v>110</x:v>
      </x:c>
      <x:c r="I10" s="3" t="s">
        <x:v>111</x:v>
      </x:c>
      <x:c r="J10" s="3" t="s">
        <x:v>112</x:v>
      </x:c>
      <x:c r="K10" s="3" t="s">
        <x:v>133</x:v>
      </x:c>
      <x:c r="L10" s="3" t="s">
        <x:v>144</x:v>
      </x:c>
      <x:c r="M10" s="3"/>
      <x:c r="N10" s="3"/>
      <x:c r="O10" s="3" t="s">
        <x:v>114</x:v>
      </x:c>
      <x:c r="P10" s="3" t="s">
        <x:v>115</x:v>
      </x:c>
      <x:c r="Q10" s="3" t="s">
        <x:v>45</x:v>
      </x:c>
      <x:c r="R10" s="3"/>
      <x:c r="S10" s="8"/>
      <x:c r="T10" s="8"/>
      <x:c r="U10" s="8"/>
      <x:c r="V10" s="8"/>
    </x:row>
    <x:row r="11" ht="41.25" hidden="0" customHeight="1">
      <x:c r="A11" s="3" t="s">
        <x:v>145</x:v>
      </x:c>
      <x:c r="B11" s="3" t="s">
        <x:v>104</x:v>
      </x:c>
      <x:c r="C11" s="3" t="s">
        <x:v>105</x:v>
      </x:c>
      <x:c r="D11" s="3" t="s">
        <x:v>146</x:v>
      </x:c>
      <x:c r="E11" s="3" t="s">
        <x:v>147</x:v>
      </x:c>
      <x:c r="F11" s="3" t="s">
        <x:v>108</x:v>
      </x:c>
      <x:c r="G11" s="3" t="s">
        <x:v>109</x:v>
      </x:c>
      <x:c r="H11" s="3" t="s">
        <x:v>110</x:v>
      </x:c>
      <x:c r="I11" s="3" t="s">
        <x:v>111</x:v>
      </x:c>
      <x:c r="J11" s="3" t="s">
        <x:v>112</x:v>
      </x:c>
      <x:c r="K11" s="3" t="s">
        <x:v>148</x:v>
      </x:c>
      <x:c r="L11" s="3" t="s">
        <x:v>149</x:v>
      </x:c>
      <x:c r="M11" s="3"/>
      <x:c r="N11" s="3"/>
      <x:c r="O11" s="3" t="s">
        <x:v>114</x:v>
      </x:c>
      <x:c r="P11" s="3" t="s">
        <x:v>115</x:v>
      </x:c>
      <x:c r="Q11" s="3" t="s">
        <x:v>45</x:v>
      </x:c>
      <x:c r="R11" s="3"/>
      <x:c r="S11" s="8"/>
      <x:c r="T11" s="8"/>
      <x:c r="U11" s="8"/>
      <x:c r="V11" s="8"/>
    </x:row>
    <x:row r="12" ht="41.25" hidden="0" customHeight="1">
      <x:c r="A12" s="3" t="s">
        <x:v>150</x:v>
      </x:c>
      <x:c r="B12" s="3" t="s">
        <x:v>104</x:v>
      </x:c>
      <x:c r="C12" s="3" t="s">
        <x:v>105</x:v>
      </x:c>
      <x:c r="D12" s="3" t="s">
        <x:v>151</x:v>
      </x:c>
      <x:c r="E12" s="3" t="s">
        <x:v>152</x:v>
      </x:c>
      <x:c r="F12" s="3" t="s">
        <x:v>108</x:v>
      </x:c>
      <x:c r="G12" s="3" t="s">
        <x:v>109</x:v>
      </x:c>
      <x:c r="H12" s="3" t="s">
        <x:v>110</x:v>
      </x:c>
      <x:c r="I12" s="3" t="s">
        <x:v>111</x:v>
      </x:c>
      <x:c r="J12" s="3" t="s">
        <x:v>112</x:v>
      </x:c>
      <x:c r="K12" s="3" t="s">
        <x:v>148</x:v>
      </x:c>
      <x:c r="L12" s="3" t="s">
        <x:v>149</x:v>
      </x:c>
      <x:c r="M12" s="3"/>
      <x:c r="N12" s="3"/>
      <x:c r="O12" s="3" t="s">
        <x:v>114</x:v>
      </x:c>
      <x:c r="P12" s="3" t="s">
        <x:v>115</x:v>
      </x:c>
      <x:c r="Q12" s="3" t="s">
        <x:v>45</x:v>
      </x:c>
      <x:c r="R12" s="3"/>
      <x:c r="S12" s="8"/>
      <x:c r="T12" s="8"/>
      <x:c r="U12" s="8"/>
      <x:c r="V12" s="8"/>
    </x:row>
    <x:row r="13" ht="41.25" hidden="0" customHeight="1">
      <x:c r="A13" s="3" t="s">
        <x:v>153</x:v>
      </x:c>
      <x:c r="B13" s="3" t="s">
        <x:v>104</x:v>
      </x:c>
      <x:c r="C13" s="3" t="s">
        <x:v>105</x:v>
      </x:c>
      <x:c r="D13" s="3" t="s">
        <x:v>154</x:v>
      </x:c>
      <x:c r="E13" s="3" t="s">
        <x:v>155</x:v>
      </x:c>
      <x:c r="F13" s="3" t="s">
        <x:v>108</x:v>
      </x:c>
      <x:c r="G13" s="3" t="s">
        <x:v>109</x:v>
      </x:c>
      <x:c r="H13" s="3" t="s">
        <x:v>110</x:v>
      </x:c>
      <x:c r="I13" s="3" t="s">
        <x:v>111</x:v>
      </x:c>
      <x:c r="J13" s="3" t="s">
        <x:v>112</x:v>
      </x:c>
      <x:c r="K13" s="3" t="s">
        <x:v>148</x:v>
      </x:c>
      <x:c r="L13" s="3" t="s">
        <x:v>149</x:v>
      </x:c>
      <x:c r="M13" s="3"/>
      <x:c r="N13" s="3"/>
      <x:c r="O13" s="3" t="s">
        <x:v>114</x:v>
      </x:c>
      <x:c r="P13" s="3" t="s">
        <x:v>115</x:v>
      </x:c>
      <x:c r="Q13" s="3" t="s">
        <x:v>45</x:v>
      </x:c>
      <x:c r="R13" s="3"/>
      <x:c r="S13" s="8"/>
      <x:c r="T13" s="8"/>
      <x:c r="U13" s="8"/>
      <x:c r="V13" s="8"/>
    </x:row>
    <x:row r="14" ht="41.25" hidden="0" customHeight="1">
      <x:c r="A14" s="3" t="s">
        <x:v>156</x:v>
      </x:c>
      <x:c r="B14" s="3" t="s">
        <x:v>104</x:v>
      </x:c>
      <x:c r="C14" s="3" t="s">
        <x:v>105</x:v>
      </x:c>
      <x:c r="D14" s="3" t="s">
        <x:v>157</x:v>
      </x:c>
      <x:c r="E14" s="3" t="s">
        <x:v>158</x:v>
      </x:c>
      <x:c r="F14" s="3" t="s">
        <x:v>108</x:v>
      </x:c>
      <x:c r="G14" s="3" t="s">
        <x:v>109</x:v>
      </x:c>
      <x:c r="H14" s="3" t="s">
        <x:v>110</x:v>
      </x:c>
      <x:c r="I14" s="3" t="s">
        <x:v>111</x:v>
      </x:c>
      <x:c r="J14" s="3" t="s">
        <x:v>112</x:v>
      </x:c>
      <x:c r="K14" s="3" t="s">
        <x:v>148</x:v>
      </x:c>
      <x:c r="L14" s="3" t="s">
        <x:v>159</x:v>
      </x:c>
      <x:c r="M14" s="3"/>
      <x:c r="N14" s="3"/>
      <x:c r="O14" s="3" t="s">
        <x:v>114</x:v>
      </x:c>
      <x:c r="P14" s="3" t="s">
        <x:v>115</x:v>
      </x:c>
      <x:c r="Q14" s="3" t="s">
        <x:v>45</x:v>
      </x:c>
      <x:c r="R14" s="3"/>
      <x:c r="S14" s="8"/>
      <x:c r="T14" s="8"/>
      <x:c r="U14" s="8"/>
      <x:c r="V14" s="8"/>
    </x:row>
    <x:row r="15" ht="41.25" hidden="0" customHeight="1">
      <x:c r="A15" s="3" t="s">
        <x:v>160</x:v>
      </x:c>
      <x:c r="B15" s="3" t="s">
        <x:v>104</x:v>
      </x:c>
      <x:c r="C15" s="3" t="s">
        <x:v>105</x:v>
      </x:c>
      <x:c r="D15" s="3" t="s">
        <x:v>161</x:v>
      </x:c>
      <x:c r="E15" s="3" t="s">
        <x:v>162</x:v>
      </x:c>
      <x:c r="F15" s="3" t="s">
        <x:v>108</x:v>
      </x:c>
      <x:c r="G15" s="3" t="s">
        <x:v>109</x:v>
      </x:c>
      <x:c r="H15" s="3" t="s">
        <x:v>110</x:v>
      </x:c>
      <x:c r="I15" s="3" t="s">
        <x:v>111</x:v>
      </x:c>
      <x:c r="J15" s="3" t="s">
        <x:v>112</x:v>
      </x:c>
      <x:c r="K15" s="3" t="s">
        <x:v>148</x:v>
      </x:c>
      <x:c r="L15" s="3" t="s">
        <x:v>148</x:v>
      </x:c>
      <x:c r="M15" s="3"/>
      <x:c r="N15" s="3"/>
      <x:c r="O15" s="3" t="s">
        <x:v>114</x:v>
      </x:c>
      <x:c r="P15" s="3" t="s">
        <x:v>115</x:v>
      </x:c>
      <x:c r="Q15" s="3" t="s">
        <x:v>45</x:v>
      </x:c>
      <x:c r="R15" s="3"/>
      <x:c r="S15" s="8"/>
      <x:c r="T15" s="8"/>
      <x:c r="U15" s="8"/>
      <x:c r="V15" s="8"/>
    </x:row>
    <x:row r="16" ht="41.25" hidden="0" customHeight="1">
      <x:c r="A16" s="3" t="s">
        <x:v>163</x:v>
      </x:c>
      <x:c r="B16" s="3" t="s">
        <x:v>104</x:v>
      </x:c>
      <x:c r="C16" s="3" t="s">
        <x:v>105</x:v>
      </x:c>
      <x:c r="D16" s="3" t="s">
        <x:v>164</x:v>
      </x:c>
      <x:c r="E16" s="3" t="s">
        <x:v>165</x:v>
      </x:c>
      <x:c r="F16" s="3" t="s">
        <x:v>108</x:v>
      </x:c>
      <x:c r="G16" s="3" t="s">
        <x:v>109</x:v>
      </x:c>
      <x:c r="H16" s="3" t="s">
        <x:v>110</x:v>
      </x:c>
      <x:c r="I16" s="3" t="s">
        <x:v>111</x:v>
      </x:c>
      <x:c r="J16" s="3" t="s">
        <x:v>112</x:v>
      </x:c>
      <x:c r="K16" s="3" t="s">
        <x:v>148</x:v>
      </x:c>
      <x:c r="L16" s="3" t="s">
        <x:v>148</x:v>
      </x:c>
      <x:c r="M16" s="3"/>
      <x:c r="N16" s="3"/>
      <x:c r="O16" s="3" t="s">
        <x:v>114</x:v>
      </x:c>
      <x:c r="P16" s="3" t="s">
        <x:v>115</x:v>
      </x:c>
      <x:c r="Q16" s="3" t="s">
        <x:v>45</x:v>
      </x:c>
      <x:c r="R16" s="3"/>
      <x:c r="S16" s="8"/>
      <x:c r="T16" s="8"/>
      <x:c r="U16" s="8"/>
      <x:c r="V16" s="8"/>
    </x:row>
    <x:row r="17" ht="41.25" hidden="0" customHeight="1">
      <x:c r="A17" s="3" t="s">
        <x:v>166</x:v>
      </x:c>
      <x:c r="B17" s="3" t="s">
        <x:v>104</x:v>
      </x:c>
      <x:c r="C17" s="3" t="s">
        <x:v>105</x:v>
      </x:c>
      <x:c r="D17" s="3" t="s">
        <x:v>167</x:v>
      </x:c>
      <x:c r="E17" s="3" t="s">
        <x:v>168</x:v>
      </x:c>
      <x:c r="F17" s="3" t="s">
        <x:v>108</x:v>
      </x:c>
      <x:c r="G17" s="3" t="s">
        <x:v>109</x:v>
      </x:c>
      <x:c r="H17" s="3" t="s">
        <x:v>110</x:v>
      </x:c>
      <x:c r="I17" s="3" t="s">
        <x:v>111</x:v>
      </x:c>
      <x:c r="J17" s="3" t="s">
        <x:v>112</x:v>
      </x:c>
      <x:c r="K17" s="3" t="s">
        <x:v>148</x:v>
      </x:c>
      <x:c r="L17" s="3" t="s">
        <x:v>148</x:v>
      </x:c>
      <x:c r="M17" s="3"/>
      <x:c r="N17" s="3"/>
      <x:c r="O17" s="3" t="s">
        <x:v>114</x:v>
      </x:c>
      <x:c r="P17" s="3" t="s">
        <x:v>115</x:v>
      </x:c>
      <x:c r="Q17" s="3" t="s">
        <x:v>45</x:v>
      </x:c>
      <x:c r="R17" s="3"/>
      <x:c r="S17" s="8"/>
      <x:c r="T17" s="8"/>
      <x:c r="U17" s="8"/>
      <x:c r="V17" s="8"/>
    </x:row>
    <x:row r="18" ht="41.25" hidden="0" customHeight="1">
      <x:c r="A18" s="3" t="s">
        <x:v>169</x:v>
      </x:c>
      <x:c r="B18" s="3" t="s">
        <x:v>104</x:v>
      </x:c>
      <x:c r="C18" s="3" t="s">
        <x:v>105</x:v>
      </x:c>
      <x:c r="D18" s="3" t="s">
        <x:v>170</x:v>
      </x:c>
      <x:c r="E18" s="3" t="s">
        <x:v>171</x:v>
      </x:c>
      <x:c r="F18" s="3" t="s">
        <x:v>108</x:v>
      </x:c>
      <x:c r="G18" s="3" t="s">
        <x:v>109</x:v>
      </x:c>
      <x:c r="H18" s="3" t="s">
        <x:v>110</x:v>
      </x:c>
      <x:c r="I18" s="3" t="s">
        <x:v>111</x:v>
      </x:c>
      <x:c r="J18" s="3" t="s">
        <x:v>112</x:v>
      </x:c>
      <x:c r="K18" s="3" t="s">
        <x:v>148</x:v>
      </x:c>
      <x:c r="L18" s="3" t="s">
        <x:v>148</x:v>
      </x:c>
      <x:c r="M18" s="3"/>
      <x:c r="N18" s="3"/>
      <x:c r="O18" s="3" t="s">
        <x:v>114</x:v>
      </x:c>
      <x:c r="P18" s="3" t="s">
        <x:v>115</x:v>
      </x:c>
      <x:c r="Q18" s="3" t="s">
        <x:v>45</x:v>
      </x:c>
      <x:c r="R18" s="3"/>
      <x:c r="S18" s="8"/>
      <x:c r="T18" s="8"/>
      <x:c r="U18" s="8"/>
      <x:c r="V18" s="8"/>
    </x:row>
    <x:row r="19" ht="41.25" hidden="0" customHeight="1">
      <x:c r="A19" s="3" t="s">
        <x:v>172</x:v>
      </x:c>
      <x:c r="B19" s="3" t="s">
        <x:v>104</x:v>
      </x:c>
      <x:c r="C19" s="3" t="s">
        <x:v>105</x:v>
      </x:c>
      <x:c r="D19" s="3" t="s">
        <x:v>173</x:v>
      </x:c>
      <x:c r="E19" s="3" t="s">
        <x:v>174</x:v>
      </x:c>
      <x:c r="F19" s="3" t="s">
        <x:v>108</x:v>
      </x:c>
      <x:c r="G19" s="3" t="s">
        <x:v>109</x:v>
      </x:c>
      <x:c r="H19" s="3" t="s">
        <x:v>110</x:v>
      </x:c>
      <x:c r="I19" s="3" t="s">
        <x:v>111</x:v>
      </x:c>
      <x:c r="J19" s="3" t="s">
        <x:v>112</x:v>
      </x:c>
      <x:c r="K19" s="3" t="s">
        <x:v>148</x:v>
      </x:c>
      <x:c r="L19" s="3" t="s">
        <x:v>148</x:v>
      </x:c>
      <x:c r="M19" s="3"/>
      <x:c r="N19" s="3"/>
      <x:c r="O19" s="3" t="s">
        <x:v>114</x:v>
      </x:c>
      <x:c r="P19" s="3" t="s">
        <x:v>115</x:v>
      </x:c>
      <x:c r="Q19" s="3" t="s">
        <x:v>45</x:v>
      </x:c>
      <x:c r="R19" s="3"/>
      <x:c r="S19" s="8"/>
      <x:c r="T19" s="8"/>
      <x:c r="U19" s="8"/>
      <x:c r="V19" s="8"/>
    </x:row>
    <x:row r="20" ht="41.25" hidden="0" customHeight="1">
      <x:c r="A20" s="3" t="s">
        <x:v>175</x:v>
      </x:c>
      <x:c r="B20" s="3" t="s">
        <x:v>104</x:v>
      </x:c>
      <x:c r="C20" s="3" t="s">
        <x:v>105</x:v>
      </x:c>
      <x:c r="D20" s="3" t="s">
        <x:v>176</x:v>
      </x:c>
      <x:c r="E20" s="3" t="s">
        <x:v>177</x:v>
      </x:c>
      <x:c r="F20" s="3" t="s">
        <x:v>108</x:v>
      </x:c>
      <x:c r="G20" s="3" t="s">
        <x:v>109</x:v>
      </x:c>
      <x:c r="H20" s="3" t="s">
        <x:v>110</x:v>
      </x:c>
      <x:c r="I20" s="3" t="s">
        <x:v>111</x:v>
      </x:c>
      <x:c r="J20" s="3" t="s">
        <x:v>112</x:v>
      </x:c>
      <x:c r="K20" s="3" t="s">
        <x:v>148</x:v>
      </x:c>
      <x:c r="L20" s="3" t="s">
        <x:v>148</x:v>
      </x:c>
      <x:c r="M20" s="3"/>
      <x:c r="N20" s="3"/>
      <x:c r="O20" s="3" t="s">
        <x:v>114</x:v>
      </x:c>
      <x:c r="P20" s="3" t="s">
        <x:v>115</x:v>
      </x:c>
      <x:c r="Q20" s="3" t="s">
        <x:v>45</x:v>
      </x:c>
      <x:c r="R20" s="3"/>
      <x:c r="S20" s="8"/>
      <x:c r="T20" s="8"/>
      <x:c r="U20" s="8"/>
      <x:c r="V20" s="8"/>
    </x:row>
    <x:row r="21" ht="41.25" hidden="0" customHeight="1">
      <x:c r="A21" s="3" t="s">
        <x:v>178</x:v>
      </x:c>
      <x:c r="B21" s="3" t="s">
        <x:v>104</x:v>
      </x:c>
      <x:c r="C21" s="3" t="s">
        <x:v>105</x:v>
      </x:c>
      <x:c r="D21" s="3" t="s">
        <x:v>179</x:v>
      </x:c>
      <x:c r="E21" s="3" t="s">
        <x:v>180</x:v>
      </x:c>
      <x:c r="F21" s="3" t="s">
        <x:v>108</x:v>
      </x:c>
      <x:c r="G21" s="3" t="s">
        <x:v>181</x:v>
      </x:c>
      <x:c r="H21" s="3" t="s">
        <x:v>110</x:v>
      </x:c>
      <x:c r="I21" s="3" t="s">
        <x:v>111</x:v>
      </x:c>
      <x:c r="J21" s="3" t="s">
        <x:v>112</x:v>
      </x:c>
      <x:c r="K21" s="3" t="s">
        <x:v>133</x:v>
      </x:c>
      <x:c r="L21" s="3" t="s">
        <x:v>144</x:v>
      </x:c>
      <x:c r="M21" s="3"/>
      <x:c r="N21" s="3"/>
      <x:c r="O21" s="3" t="s">
        <x:v>114</x:v>
      </x:c>
      <x:c r="P21" s="3" t="s">
        <x:v>115</x:v>
      </x:c>
      <x:c r="Q21" s="3" t="s">
        <x:v>45</x:v>
      </x:c>
      <x:c r="R21" s="3" t="s">
        <x:v>182</x:v>
      </x:c>
      <x:c r="S21" s="8"/>
      <x:c r="T21" s="8"/>
      <x:c r="U21" s="8"/>
      <x:c r="V21" s="8"/>
    </x:row>
    <x:row r="22" ht="41.25" hidden="0" customHeight="1">
      <x:c r="A22" s="3" t="s">
        <x:v>183</x:v>
      </x:c>
      <x:c r="B22" s="3" t="s">
        <x:v>104</x:v>
      </x:c>
      <x:c r="C22" s="3" t="s">
        <x:v>105</x:v>
      </x:c>
      <x:c r="D22" s="3" t="s">
        <x:v>184</x:v>
      </x:c>
      <x:c r="E22" s="3" t="s">
        <x:v>185</x:v>
      </x:c>
      <x:c r="F22" s="3" t="s">
        <x:v>186</x:v>
      </x:c>
      <x:c r="G22" s="3" t="s">
        <x:v>187</x:v>
      </x:c>
      <x:c r="H22" s="3" t="s">
        <x:v>110</x:v>
      </x:c>
      <x:c r="I22" s="3" t="s">
        <x:v>111</x:v>
      </x:c>
      <x:c r="J22" s="3" t="s">
        <x:v>112</x:v>
      </x:c>
      <x:c r="K22" s="3" t="s">
        <x:v>188</x:v>
      </x:c>
      <x:c r="L22" s="3" t="s">
        <x:v>188</x:v>
      </x:c>
      <x:c r="M22" s="3"/>
      <x:c r="N22" s="3"/>
      <x:c r="O22" s="3" t="s">
        <x:v>114</x:v>
      </x:c>
      <x:c r="P22" s="3" t="s">
        <x:v>115</x:v>
      </x:c>
      <x:c r="Q22" s="3" t="s">
        <x:v>45</x:v>
      </x:c>
      <x:c r="R22" s="3"/>
      <x:c r="S22" s="8"/>
      <x:c r="T22" s="8"/>
      <x:c r="U22" s="8"/>
      <x:c r="V22" s="8"/>
    </x:row>
    <x:row r="23" ht="41.25" hidden="0" customHeight="1">
      <x:c r="A23" s="3" t="s">
        <x:v>189</x:v>
      </x:c>
      <x:c r="B23" s="3" t="s">
        <x:v>104</x:v>
      </x:c>
      <x:c r="C23" s="3" t="s">
        <x:v>105</x:v>
      </x:c>
      <x:c r="D23" s="3" t="s">
        <x:v>190</x:v>
      </x:c>
      <x:c r="E23" s="3" t="s">
        <x:v>191</x:v>
      </x:c>
      <x:c r="F23" s="3" t="s">
        <x:v>108</x:v>
      </x:c>
      <x:c r="G23" s="3" t="s">
        <x:v>192</x:v>
      </x:c>
      <x:c r="H23" s="3" t="s">
        <x:v>110</x:v>
      </x:c>
      <x:c r="I23" s="3" t="s">
        <x:v>111</x:v>
      </x:c>
      <x:c r="J23" s="3" t="s">
        <x:v>112</x:v>
      </x:c>
      <x:c r="K23" s="3" t="s">
        <x:v>113</x:v>
      </x:c>
      <x:c r="L23" s="3" t="s">
        <x:v>113</x:v>
      </x:c>
      <x:c r="M23" s="3"/>
      <x:c r="N23" s="3"/>
      <x:c r="O23" s="3" t="s">
        <x:v>114</x:v>
      </x:c>
      <x:c r="P23" s="3" t="s">
        <x:v>115</x:v>
      </x:c>
      <x:c r="Q23" s="3" t="s">
        <x:v>45</x:v>
      </x:c>
      <x:c r="R23" s="3"/>
      <x:c r="S23" s="8"/>
      <x:c r="T23" s="8"/>
      <x:c r="U23" s="8"/>
      <x:c r="V23" s="8"/>
    </x:row>
    <x:row r="24" ht="41.25" hidden="0" customHeight="1">
      <x:c r="A24" s="3" t="s">
        <x:v>193</x:v>
      </x:c>
      <x:c r="B24" s="3" t="s">
        <x:v>194</x:v>
      </x:c>
      <x:c r="C24" s="3" t="s">
        <x:v>195</x:v>
      </x:c>
      <x:c r="D24" s="3" t="s">
        <x:v>106</x:v>
      </x:c>
      <x:c r="E24" s="3" t="s">
        <x:v>196</x:v>
      </x:c>
      <x:c r="F24" s="3" t="s">
        <x:v>108</x:v>
      </x:c>
      <x:c r="G24" s="3" t="s">
        <x:v>109</x:v>
      </x:c>
      <x:c r="H24" s="3" t="s">
        <x:v>197</x:v>
      </x:c>
      <x:c r="I24" s="3" t="s">
        <x:v>198</x:v>
      </x:c>
      <x:c r="J24" s="3" t="s">
        <x:v>112</x:v>
      </x:c>
      <x:c r="K24" s="3" t="s">
        <x:v>113</x:v>
      </x:c>
      <x:c r="L24" s="3" t="s">
        <x:v>113</x:v>
      </x:c>
      <x:c r="M24" s="3"/>
      <x:c r="N24" s="3"/>
      <x:c r="O24" s="3" t="s">
        <x:v>114</x:v>
      </x:c>
      <x:c r="P24" s="3" t="s">
        <x:v>115</x:v>
      </x:c>
      <x:c r="Q24" s="3" t="s">
        <x:v>45</x:v>
      </x:c>
      <x:c r="R24" s="3"/>
      <x:c r="S24" s="8"/>
      <x:c r="T24" s="8"/>
      <x:c r="U24" s="8"/>
      <x:c r="V24" s="8"/>
    </x:row>
    <x:row r="25" ht="41.25" hidden="0" customHeight="1">
      <x:c r="A25" s="3" t="s">
        <x:v>199</x:v>
      </x:c>
      <x:c r="B25" s="3" t="s">
        <x:v>194</x:v>
      </x:c>
      <x:c r="C25" s="3" t="s">
        <x:v>195</x:v>
      </x:c>
      <x:c r="D25" s="3" t="s">
        <x:v>123</x:v>
      </x:c>
      <x:c r="E25" s="3" t="s">
        <x:v>200</x:v>
      </x:c>
      <x:c r="F25" s="3" t="s">
        <x:v>108</x:v>
      </x:c>
      <x:c r="G25" s="3" t="s">
        <x:v>109</x:v>
      </x:c>
      <x:c r="H25" s="3" t="s">
        <x:v>197</x:v>
      </x:c>
      <x:c r="I25" s="3" t="s">
        <x:v>198</x:v>
      </x:c>
      <x:c r="J25" s="3" t="s">
        <x:v>112</x:v>
      </x:c>
      <x:c r="K25" s="3" t="s">
        <x:v>201</x:v>
      </x:c>
      <x:c r="L25" s="3" t="s">
        <x:v>201</x:v>
      </x:c>
      <x:c r="M25" s="3"/>
      <x:c r="N25" s="3"/>
      <x:c r="O25" s="3" t="s">
        <x:v>114</x:v>
      </x:c>
      <x:c r="P25" s="3" t="s">
        <x:v>115</x:v>
      </x:c>
      <x:c r="Q25" s="3" t="s">
        <x:v>45</x:v>
      </x:c>
      <x:c r="R25" s="3"/>
      <x:c r="S25" s="8"/>
      <x:c r="T25" s="8"/>
      <x:c r="U25" s="8"/>
      <x:c r="V25" s="8"/>
    </x:row>
    <x:row r="26" ht="41.25" hidden="0" customHeight="1">
      <x:c r="A26" s="3" t="s">
        <x:v>202</x:v>
      </x:c>
      <x:c r="B26" s="3" t="s">
        <x:v>194</x:v>
      </x:c>
      <x:c r="C26" s="3" t="s">
        <x:v>195</x:v>
      </x:c>
      <x:c r="D26" s="3" t="s">
        <x:v>117</x:v>
      </x:c>
      <x:c r="E26" s="3" t="s">
        <x:v>203</x:v>
      </x:c>
      <x:c r="F26" s="3" t="s">
        <x:v>108</x:v>
      </x:c>
      <x:c r="G26" s="3" t="s">
        <x:v>109</x:v>
      </x:c>
      <x:c r="H26" s="3" t="s">
        <x:v>197</x:v>
      </x:c>
      <x:c r="I26" s="3" t="s">
        <x:v>198</x:v>
      </x:c>
      <x:c r="J26" s="3" t="s">
        <x:v>112</x:v>
      </x:c>
      <x:c r="K26" s="3" t="s">
        <x:v>204</x:v>
      </x:c>
      <x:c r="L26" s="3" t="s">
        <x:v>204</x:v>
      </x:c>
      <x:c r="M26" s="3"/>
      <x:c r="N26" s="3"/>
      <x:c r="O26" s="3" t="s">
        <x:v>114</x:v>
      </x:c>
      <x:c r="P26" s="3" t="s">
        <x:v>115</x:v>
      </x:c>
      <x:c r="Q26" s="3" t="s">
        <x:v>45</x:v>
      </x:c>
      <x:c r="R26" s="3"/>
      <x:c r="S26" s="8"/>
      <x:c r="T26" s="8"/>
      <x:c r="U26" s="8"/>
      <x:c r="V26" s="8"/>
    </x:row>
    <x:row r="27" ht="41.25" hidden="0" customHeight="1">
      <x:c r="A27" s="3" t="s">
        <x:v>205</x:v>
      </x:c>
      <x:c r="B27" s="3" t="s">
        <x:v>194</x:v>
      </x:c>
      <x:c r="C27" s="3" t="s">
        <x:v>195</x:v>
      </x:c>
      <x:c r="D27" s="3" t="s">
        <x:v>120</x:v>
      </x:c>
      <x:c r="E27" s="3" t="s">
        <x:v>206</x:v>
      </x:c>
      <x:c r="F27" s="3" t="s">
        <x:v>108</x:v>
      </x:c>
      <x:c r="G27" s="3" t="s">
        <x:v>109</x:v>
      </x:c>
      <x:c r="H27" s="3" t="s">
        <x:v>197</x:v>
      </x:c>
      <x:c r="I27" s="3" t="s">
        <x:v>198</x:v>
      </x:c>
      <x:c r="J27" s="3" t="s">
        <x:v>112</x:v>
      </x:c>
      <x:c r="K27" s="3" t="s">
        <x:v>204</x:v>
      </x:c>
      <x:c r="L27" s="3" t="s">
        <x:v>204</x:v>
      </x:c>
      <x:c r="M27" s="3"/>
      <x:c r="N27" s="3"/>
      <x:c r="O27" s="3" t="s">
        <x:v>114</x:v>
      </x:c>
      <x:c r="P27" s="3" t="s">
        <x:v>115</x:v>
      </x:c>
      <x:c r="Q27" s="3" t="s">
        <x:v>45</x:v>
      </x:c>
      <x:c r="R27" s="3"/>
      <x:c r="S27" s="8"/>
      <x:c r="T27" s="8"/>
      <x:c r="U27" s="8"/>
      <x:c r="V27" s="8"/>
    </x:row>
    <x:row r="28" ht="41.25" hidden="0" customHeight="1">
      <x:c r="A28" s="3" t="s">
        <x:v>207</x:v>
      </x:c>
      <x:c r="B28" s="3" t="s">
        <x:v>194</x:v>
      </x:c>
      <x:c r="C28" s="3" t="s">
        <x:v>195</x:v>
      </x:c>
      <x:c r="D28" s="3" t="s">
        <x:v>208</x:v>
      </x:c>
      <x:c r="E28" s="3" t="s">
        <x:v>209</x:v>
      </x:c>
      <x:c r="F28" s="3" t="s">
        <x:v>108</x:v>
      </x:c>
      <x:c r="G28" s="3" t="s">
        <x:v>109</x:v>
      </x:c>
      <x:c r="H28" s="3" t="s">
        <x:v>197</x:v>
      </x:c>
      <x:c r="I28" s="3" t="s">
        <x:v>198</x:v>
      </x:c>
      <x:c r="J28" s="3" t="s">
        <x:v>112</x:v>
      </x:c>
      <x:c r="K28" s="3" t="s">
        <x:v>201</x:v>
      </x:c>
      <x:c r="L28" s="3" t="s">
        <x:v>201</x:v>
      </x:c>
      <x:c r="M28" s="3"/>
      <x:c r="N28" s="3"/>
      <x:c r="O28" s="3" t="s">
        <x:v>114</x:v>
      </x:c>
      <x:c r="P28" s="3" t="s">
        <x:v>115</x:v>
      </x:c>
      <x:c r="Q28" s="3" t="s">
        <x:v>45</x:v>
      </x:c>
      <x:c r="R28" s="3"/>
      <x:c r="S28" s="8"/>
      <x:c r="T28" s="8"/>
      <x:c r="U28" s="8"/>
      <x:c r="V28" s="8"/>
    </x:row>
    <x:row r="29" ht="41.25" hidden="0" customHeight="1">
      <x:c r="A29" s="3" t="s">
        <x:v>210</x:v>
      </x:c>
      <x:c r="B29" s="3" t="s">
        <x:v>194</x:v>
      </x:c>
      <x:c r="C29" s="3" t="s">
        <x:v>195</x:v>
      </x:c>
      <x:c r="D29" s="3" t="s">
        <x:v>211</x:v>
      </x:c>
      <x:c r="E29" s="3" t="s">
        <x:v>212</x:v>
      </x:c>
      <x:c r="F29" s="3" t="s">
        <x:v>108</x:v>
      </x:c>
      <x:c r="G29" s="3" t="s">
        <x:v>109</x:v>
      </x:c>
      <x:c r="H29" s="3" t="s">
        <x:v>197</x:v>
      </x:c>
      <x:c r="I29" s="3" t="s">
        <x:v>198</x:v>
      </x:c>
      <x:c r="J29" s="3" t="s">
        <x:v>112</x:v>
      </x:c>
      <x:c r="K29" s="3" t="s">
        <x:v>201</x:v>
      </x:c>
      <x:c r="L29" s="3" t="s">
        <x:v>201</x:v>
      </x:c>
      <x:c r="M29" s="3"/>
      <x:c r="N29" s="3"/>
      <x:c r="O29" s="3" t="s">
        <x:v>114</x:v>
      </x:c>
      <x:c r="P29" s="3" t="s">
        <x:v>115</x:v>
      </x:c>
      <x:c r="Q29" s="3" t="s">
        <x:v>45</x:v>
      </x:c>
      <x:c r="R29" s="3"/>
      <x:c r="S29" s="8"/>
      <x:c r="T29" s="8"/>
      <x:c r="U29" s="8"/>
      <x:c r="V29" s="8"/>
    </x:row>
    <x:row r="30" ht="41.25" hidden="0" customHeight="1">
      <x:c r="A30" s="3" t="s">
        <x:v>213</x:v>
      </x:c>
      <x:c r="B30" s="3" t="s">
        <x:v>194</x:v>
      </x:c>
      <x:c r="C30" s="3" t="s">
        <x:v>195</x:v>
      </x:c>
      <x:c r="D30" s="3" t="s">
        <x:v>214</x:v>
      </x:c>
      <x:c r="E30" s="3" t="s">
        <x:v>215</x:v>
      </x:c>
      <x:c r="F30" s="3" t="s">
        <x:v>108</x:v>
      </x:c>
      <x:c r="G30" s="3" t="s">
        <x:v>109</x:v>
      </x:c>
      <x:c r="H30" s="3" t="s">
        <x:v>197</x:v>
      </x:c>
      <x:c r="I30" s="3" t="s">
        <x:v>198</x:v>
      </x:c>
      <x:c r="J30" s="3" t="s">
        <x:v>112</x:v>
      </x:c>
      <x:c r="K30" s="3" t="s">
        <x:v>201</x:v>
      </x:c>
      <x:c r="L30" s="3" t="s">
        <x:v>201</x:v>
      </x:c>
      <x:c r="M30" s="3"/>
      <x:c r="N30" s="3"/>
      <x:c r="O30" s="3" t="s">
        <x:v>114</x:v>
      </x:c>
      <x:c r="P30" s="3" t="s">
        <x:v>115</x:v>
      </x:c>
      <x:c r="Q30" s="3" t="s">
        <x:v>45</x:v>
      </x:c>
      <x:c r="R30" s="3"/>
      <x:c r="S30" s="8"/>
      <x:c r="T30" s="8"/>
      <x:c r="U30" s="8"/>
      <x:c r="V30" s="8"/>
    </x:row>
    <x:row r="31" ht="41.25" hidden="0" customHeight="1">
      <x:c r="A31" s="3" t="s">
        <x:v>216</x:v>
      </x:c>
      <x:c r="B31" s="3" t="s">
        <x:v>194</x:v>
      </x:c>
      <x:c r="C31" s="3" t="s">
        <x:v>195</x:v>
      </x:c>
      <x:c r="D31" s="3" t="s">
        <x:v>127</x:v>
      </x:c>
      <x:c r="E31" s="3" t="s">
        <x:v>217</x:v>
      </x:c>
      <x:c r="F31" s="3" t="s">
        <x:v>108</x:v>
      </x:c>
      <x:c r="G31" s="3" t="s">
        <x:v>109</x:v>
      </x:c>
      <x:c r="H31" s="3" t="s">
        <x:v>197</x:v>
      </x:c>
      <x:c r="I31" s="3" t="s">
        <x:v>198</x:v>
      </x:c>
      <x:c r="J31" s="3" t="s">
        <x:v>112</x:v>
      </x:c>
      <x:c r="K31" s="3" t="s">
        <x:v>201</x:v>
      </x:c>
      <x:c r="L31" s="3" t="s">
        <x:v>201</x:v>
      </x:c>
      <x:c r="M31" s="3"/>
      <x:c r="N31" s="3"/>
      <x:c r="O31" s="3" t="s">
        <x:v>114</x:v>
      </x:c>
      <x:c r="P31" s="3" t="s">
        <x:v>115</x:v>
      </x:c>
      <x:c r="Q31" s="3" t="s">
        <x:v>45</x:v>
      </x:c>
      <x:c r="R31" s="3" t="s">
        <x:v>218</x:v>
      </x:c>
      <x:c r="S31" s="8"/>
      <x:c r="T31" s="8"/>
      <x:c r="U31" s="8"/>
      <x:c r="V31" s="8"/>
    </x:row>
    <x:row r="32" ht="41.25" hidden="0" customHeight="1">
      <x:c r="A32" s="3" t="s">
        <x:v>219</x:v>
      </x:c>
      <x:c r="B32" s="3" t="s">
        <x:v>194</x:v>
      </x:c>
      <x:c r="C32" s="3" t="s">
        <x:v>195</x:v>
      </x:c>
      <x:c r="D32" s="3" t="s">
        <x:v>131</x:v>
      </x:c>
      <x:c r="E32" s="3" t="s">
        <x:v>220</x:v>
      </x:c>
      <x:c r="F32" s="3" t="s">
        <x:v>108</x:v>
      </x:c>
      <x:c r="G32" s="3" t="s">
        <x:v>109</x:v>
      </x:c>
      <x:c r="H32" s="3" t="s">
        <x:v>197</x:v>
      </x:c>
      <x:c r="I32" s="3" t="s">
        <x:v>198</x:v>
      </x:c>
      <x:c r="J32" s="3" t="s">
        <x:v>112</x:v>
      </x:c>
      <x:c r="K32" s="3" t="s">
        <x:v>221</x:v>
      </x:c>
      <x:c r="L32" s="3" t="s">
        <x:v>221</x:v>
      </x:c>
      <x:c r="M32" s="3"/>
      <x:c r="N32" s="3"/>
      <x:c r="O32" s="3" t="s">
        <x:v>114</x:v>
      </x:c>
      <x:c r="P32" s="3" t="s">
        <x:v>115</x:v>
      </x:c>
      <x:c r="Q32" s="3" t="s">
        <x:v>45</x:v>
      </x:c>
      <x:c r="R32" s="3"/>
      <x:c r="S32" s="8"/>
      <x:c r="T32" s="8"/>
      <x:c r="U32" s="8"/>
      <x:c r="V32" s="8"/>
    </x:row>
    <x:row r="33" ht="41.25" hidden="0" customHeight="1">
      <x:c r="A33" s="3" t="s">
        <x:v>222</x:v>
      </x:c>
      <x:c r="B33" s="3" t="s">
        <x:v>194</x:v>
      </x:c>
      <x:c r="C33" s="3" t="s">
        <x:v>195</x:v>
      </x:c>
      <x:c r="D33" s="3" t="s">
        <x:v>223</x:v>
      </x:c>
      <x:c r="E33" s="3" t="s">
        <x:v>224</x:v>
      </x:c>
      <x:c r="F33" s="3" t="s">
        <x:v>108</x:v>
      </x:c>
      <x:c r="G33" s="3" t="s">
        <x:v>109</x:v>
      </x:c>
      <x:c r="H33" s="3" t="s">
        <x:v>197</x:v>
      </x:c>
      <x:c r="I33" s="3" t="s">
        <x:v>198</x:v>
      </x:c>
      <x:c r="J33" s="3" t="s">
        <x:v>112</x:v>
      </x:c>
      <x:c r="K33" s="3" t="s">
        <x:v>225</x:v>
      </x:c>
      <x:c r="L33" s="3" t="s">
        <x:v>144</x:v>
      </x:c>
      <x:c r="M33" s="3"/>
      <x:c r="N33" s="3"/>
      <x:c r="O33" s="3" t="s">
        <x:v>114</x:v>
      </x:c>
      <x:c r="P33" s="3" t="s">
        <x:v>115</x:v>
      </x:c>
      <x:c r="Q33" s="3" t="s">
        <x:v>45</x:v>
      </x:c>
      <x:c r="R33" s="3"/>
      <x:c r="S33" s="8"/>
      <x:c r="T33" s="8"/>
      <x:c r="U33" s="8"/>
      <x:c r="V33" s="8"/>
    </x:row>
    <x:row r="34" ht="41.25" hidden="0" customHeight="1">
      <x:c r="A34" s="3" t="s">
        <x:v>226</x:v>
      </x:c>
      <x:c r="B34" s="3" t="s">
        <x:v>194</x:v>
      </x:c>
      <x:c r="C34" s="3" t="s">
        <x:v>195</x:v>
      </x:c>
      <x:c r="D34" s="3" t="s">
        <x:v>227</x:v>
      </x:c>
      <x:c r="E34" s="3" t="s">
        <x:v>228</x:v>
      </x:c>
      <x:c r="F34" s="3" t="s">
        <x:v>108</x:v>
      </x:c>
      <x:c r="G34" s="3" t="s">
        <x:v>109</x:v>
      </x:c>
      <x:c r="H34" s="3" t="s">
        <x:v>197</x:v>
      </x:c>
      <x:c r="I34" s="3" t="s">
        <x:v>198</x:v>
      </x:c>
      <x:c r="J34" s="3" t="s">
        <x:v>112</x:v>
      </x:c>
      <x:c r="K34" s="3" t="s">
        <x:v>225</x:v>
      </x:c>
      <x:c r="L34" s="3" t="s">
        <x:v>144</x:v>
      </x:c>
      <x:c r="M34" s="3"/>
      <x:c r="N34" s="3"/>
      <x:c r="O34" s="3" t="s">
        <x:v>114</x:v>
      </x:c>
      <x:c r="P34" s="3" t="s">
        <x:v>115</x:v>
      </x:c>
      <x:c r="Q34" s="3" t="s">
        <x:v>45</x:v>
      </x:c>
      <x:c r="R34" s="3"/>
      <x:c r="S34" s="8"/>
      <x:c r="T34" s="8"/>
      <x:c r="U34" s="8"/>
      <x:c r="V34" s="8"/>
    </x:row>
    <x:row r="35" ht="41.25" hidden="0" customHeight="1">
      <x:c r="A35" s="3" t="s">
        <x:v>229</x:v>
      </x:c>
      <x:c r="B35" s="3" t="s">
        <x:v>194</x:v>
      </x:c>
      <x:c r="C35" s="3" t="s">
        <x:v>195</x:v>
      </x:c>
      <x:c r="D35" s="3" t="s">
        <x:v>230</x:v>
      </x:c>
      <x:c r="E35" s="3" t="s">
        <x:v>231</x:v>
      </x:c>
      <x:c r="F35" s="3" t="s">
        <x:v>108</x:v>
      </x:c>
      <x:c r="G35" s="3" t="s">
        <x:v>109</x:v>
      </x:c>
      <x:c r="H35" s="3" t="s">
        <x:v>197</x:v>
      </x:c>
      <x:c r="I35" s="3" t="s">
        <x:v>198</x:v>
      </x:c>
      <x:c r="J35" s="3" t="s">
        <x:v>112</x:v>
      </x:c>
      <x:c r="K35" s="3" t="s">
        <x:v>225</x:v>
      </x:c>
      <x:c r="L35" s="3" t="s">
        <x:v>225</x:v>
      </x:c>
      <x:c r="M35" s="3"/>
      <x:c r="N35" s="3"/>
      <x:c r="O35" s="3" t="s">
        <x:v>114</x:v>
      </x:c>
      <x:c r="P35" s="3" t="s">
        <x:v>115</x:v>
      </x:c>
      <x:c r="Q35" s="3" t="s">
        <x:v>45</x:v>
      </x:c>
      <x:c r="R35" s="3"/>
      <x:c r="S35" s="8"/>
      <x:c r="T35" s="8"/>
      <x:c r="U35" s="8"/>
      <x:c r="V35" s="8"/>
    </x:row>
    <x:row r="36" ht="41.25" hidden="0" customHeight="1">
      <x:c r="A36" s="3" t="s">
        <x:v>232</x:v>
      </x:c>
      <x:c r="B36" s="3" t="s">
        <x:v>194</x:v>
      </x:c>
      <x:c r="C36" s="3" t="s">
        <x:v>195</x:v>
      </x:c>
      <x:c r="D36" s="3" t="s">
        <x:v>233</x:v>
      </x:c>
      <x:c r="E36" s="3" t="s">
        <x:v>234</x:v>
      </x:c>
      <x:c r="F36" s="3" t="s">
        <x:v>108</x:v>
      </x:c>
      <x:c r="G36" s="3" t="s">
        <x:v>109</x:v>
      </x:c>
      <x:c r="H36" s="3" t="s">
        <x:v>197</x:v>
      </x:c>
      <x:c r="I36" s="3" t="s">
        <x:v>198</x:v>
      </x:c>
      <x:c r="J36" s="3" t="s">
        <x:v>112</x:v>
      </x:c>
      <x:c r="K36" s="3" t="s">
        <x:v>221</x:v>
      </x:c>
      <x:c r="L36" s="3" t="s">
        <x:v>235</x:v>
      </x:c>
      <x:c r="M36" s="3"/>
      <x:c r="N36" s="3"/>
      <x:c r="O36" s="3" t="s">
        <x:v>114</x:v>
      </x:c>
      <x:c r="P36" s="3" t="s">
        <x:v>115</x:v>
      </x:c>
      <x:c r="Q36" s="3" t="s">
        <x:v>45</x:v>
      </x:c>
      <x:c r="R36" s="3"/>
      <x:c r="S36" s="8"/>
      <x:c r="T36" s="8"/>
      <x:c r="U36" s="8"/>
      <x:c r="V36" s="8"/>
    </x:row>
    <x:row r="37" ht="41.25" hidden="0" customHeight="1">
      <x:c r="A37" s="3" t="s">
        <x:v>236</x:v>
      </x:c>
      <x:c r="B37" s="3" t="s">
        <x:v>194</x:v>
      </x:c>
      <x:c r="C37" s="3" t="s">
        <x:v>195</x:v>
      </x:c>
      <x:c r="D37" s="3" t="s">
        <x:v>237</x:v>
      </x:c>
      <x:c r="E37" s="3" t="s">
        <x:v>238</x:v>
      </x:c>
      <x:c r="F37" s="3" t="s">
        <x:v>108</x:v>
      </x:c>
      <x:c r="G37" s="3" t="s">
        <x:v>109</x:v>
      </x:c>
      <x:c r="H37" s="3" t="s">
        <x:v>197</x:v>
      </x:c>
      <x:c r="I37" s="3" t="s">
        <x:v>198</x:v>
      </x:c>
      <x:c r="J37" s="3" t="s">
        <x:v>112</x:v>
      </x:c>
      <x:c r="K37" s="3" t="s">
        <x:v>221</x:v>
      </x:c>
      <x:c r="L37" s="3" t="s">
        <x:v>235</x:v>
      </x:c>
      <x:c r="M37" s="3"/>
      <x:c r="N37" s="3"/>
      <x:c r="O37" s="3" t="s">
        <x:v>114</x:v>
      </x:c>
      <x:c r="P37" s="3" t="s">
        <x:v>115</x:v>
      </x:c>
      <x:c r="Q37" s="3" t="s">
        <x:v>45</x:v>
      </x:c>
      <x:c r="R37" s="3"/>
      <x:c r="S37" s="8"/>
      <x:c r="T37" s="8"/>
      <x:c r="U37" s="8"/>
      <x:c r="V37" s="8"/>
    </x:row>
    <x:row r="38" ht="41.25" hidden="0" customHeight="1">
      <x:c r="A38" s="3" t="s">
        <x:v>239</x:v>
      </x:c>
      <x:c r="B38" s="3" t="s">
        <x:v>194</x:v>
      </x:c>
      <x:c r="C38" s="3" t="s">
        <x:v>195</x:v>
      </x:c>
      <x:c r="D38" s="3" t="s">
        <x:v>139</x:v>
      </x:c>
      <x:c r="E38" s="3" t="s">
        <x:v>240</x:v>
      </x:c>
      <x:c r="F38" s="3" t="s">
        <x:v>108</x:v>
      </x:c>
      <x:c r="G38" s="3" t="s">
        <x:v>109</x:v>
      </x:c>
      <x:c r="H38" s="3" t="s">
        <x:v>197</x:v>
      </x:c>
      <x:c r="I38" s="3" t="s">
        <x:v>198</x:v>
      </x:c>
      <x:c r="J38" s="3" t="s">
        <x:v>112</x:v>
      </x:c>
      <x:c r="K38" s="3" t="s">
        <x:v>221</x:v>
      </x:c>
      <x:c r="L38" s="3" t="s">
        <x:v>241</x:v>
      </x:c>
      <x:c r="M38" s="3"/>
      <x:c r="N38" s="3"/>
      <x:c r="O38" s="3" t="s">
        <x:v>114</x:v>
      </x:c>
      <x:c r="P38" s="3" t="s">
        <x:v>115</x:v>
      </x:c>
      <x:c r="Q38" s="3" t="s">
        <x:v>45</x:v>
      </x:c>
      <x:c r="R38" s="3"/>
      <x:c r="S38" s="8"/>
      <x:c r="T38" s="8"/>
      <x:c r="U38" s="8"/>
      <x:c r="V38" s="8"/>
    </x:row>
    <x:row r="39" ht="41.25" hidden="0" customHeight="1">
      <x:c r="A39" s="3" t="s">
        <x:v>242</x:v>
      </x:c>
      <x:c r="B39" s="3" t="s">
        <x:v>194</x:v>
      </x:c>
      <x:c r="C39" s="3" t="s">
        <x:v>195</x:v>
      </x:c>
      <x:c r="D39" s="3" t="s">
        <x:v>243</x:v>
      </x:c>
      <x:c r="E39" s="3" t="s">
        <x:v>244</x:v>
      </x:c>
      <x:c r="F39" s="3" t="s">
        <x:v>108</x:v>
      </x:c>
      <x:c r="G39" s="3" t="s">
        <x:v>109</x:v>
      </x:c>
      <x:c r="H39" s="3" t="s">
        <x:v>197</x:v>
      </x:c>
      <x:c r="I39" s="3" t="s">
        <x:v>198</x:v>
      </x:c>
      <x:c r="J39" s="3" t="s">
        <x:v>112</x:v>
      </x:c>
      <x:c r="K39" s="3" t="s">
        <x:v>245</x:v>
      </x:c>
      <x:c r="L39" s="3" t="s">
        <x:v>246</x:v>
      </x:c>
      <x:c r="M39" s="3"/>
      <x:c r="N39" s="3"/>
      <x:c r="O39" s="3" t="s">
        <x:v>114</x:v>
      </x:c>
      <x:c r="P39" s="3" t="s">
        <x:v>115</x:v>
      </x:c>
      <x:c r="Q39" s="3" t="s">
        <x:v>45</x:v>
      </x:c>
      <x:c r="R39" s="3"/>
      <x:c r="S39" s="8"/>
      <x:c r="T39" s="8"/>
      <x:c r="U39" s="8"/>
      <x:c r="V39" s="8"/>
    </x:row>
    <x:row r="40" ht="41.25" hidden="0" customHeight="1">
      <x:c r="A40" s="3" t="s">
        <x:v>247</x:v>
      </x:c>
      <x:c r="B40" s="3" t="s">
        <x:v>194</x:v>
      </x:c>
      <x:c r="C40" s="3" t="s">
        <x:v>195</x:v>
      </x:c>
      <x:c r="D40" s="3" t="s">
        <x:v>248</x:v>
      </x:c>
      <x:c r="E40" s="3" t="s">
        <x:v>249</x:v>
      </x:c>
      <x:c r="F40" s="3" t="s">
        <x:v>108</x:v>
      </x:c>
      <x:c r="G40" s="3" t="s">
        <x:v>109</x:v>
      </x:c>
      <x:c r="H40" s="3" t="s">
        <x:v>197</x:v>
      </x:c>
      <x:c r="I40" s="3" t="s">
        <x:v>198</x:v>
      </x:c>
      <x:c r="J40" s="3" t="s">
        <x:v>112</x:v>
      </x:c>
      <x:c r="K40" s="3" t="s">
        <x:v>245</x:v>
      </x:c>
      <x:c r="L40" s="3" t="s">
        <x:v>250</x:v>
      </x:c>
      <x:c r="M40" s="3"/>
      <x:c r="N40" s="3"/>
      <x:c r="O40" s="3" t="s">
        <x:v>114</x:v>
      </x:c>
      <x:c r="P40" s="3" t="s">
        <x:v>115</x:v>
      </x:c>
      <x:c r="Q40" s="3" t="s">
        <x:v>45</x:v>
      </x:c>
      <x:c r="R40" s="3"/>
      <x:c r="S40" s="8"/>
      <x:c r="T40" s="8"/>
      <x:c r="U40" s="8"/>
      <x:c r="V40" s="8"/>
    </x:row>
    <x:row r="41" ht="41.25" hidden="0" customHeight="1">
      <x:c r="A41" s="3" t="s">
        <x:v>251</x:v>
      </x:c>
      <x:c r="B41" s="3" t="s">
        <x:v>194</x:v>
      </x:c>
      <x:c r="C41" s="3" t="s">
        <x:v>195</x:v>
      </x:c>
      <x:c r="D41" s="3" t="s">
        <x:v>157</x:v>
      </x:c>
      <x:c r="E41" s="3" t="s">
        <x:v>252</x:v>
      </x:c>
      <x:c r="F41" s="3" t="s">
        <x:v>108</x:v>
      </x:c>
      <x:c r="G41" s="3" t="s">
        <x:v>109</x:v>
      </x:c>
      <x:c r="H41" s="3" t="s">
        <x:v>197</x:v>
      </x:c>
      <x:c r="I41" s="3" t="s">
        <x:v>198</x:v>
      </x:c>
      <x:c r="J41" s="3" t="s">
        <x:v>112</x:v>
      </x:c>
      <x:c r="K41" s="3" t="s">
        <x:v>245</x:v>
      </x:c>
      <x:c r="L41" s="3" t="s">
        <x:v>246</x:v>
      </x:c>
      <x:c r="M41" s="3"/>
      <x:c r="N41" s="3"/>
      <x:c r="O41" s="3" t="s">
        <x:v>114</x:v>
      </x:c>
      <x:c r="P41" s="3" t="s">
        <x:v>115</x:v>
      </x:c>
      <x:c r="Q41" s="3" t="s">
        <x:v>45</x:v>
      </x:c>
      <x:c r="R41" s="3"/>
      <x:c r="S41" s="8"/>
      <x:c r="T41" s="8"/>
      <x:c r="U41" s="8"/>
      <x:c r="V41" s="8"/>
    </x:row>
    <x:row r="42" ht="41.25" hidden="0" customHeight="1">
      <x:c r="A42" s="3" t="s">
        <x:v>253</x:v>
      </x:c>
      <x:c r="B42" s="3" t="s">
        <x:v>194</x:v>
      </x:c>
      <x:c r="C42" s="3" t="s">
        <x:v>195</x:v>
      </x:c>
      <x:c r="D42" s="3" t="s">
        <x:v>142</x:v>
      </x:c>
      <x:c r="E42" s="3" t="s">
        <x:v>254</x:v>
      </x:c>
      <x:c r="F42" s="3" t="s">
        <x:v>108</x:v>
      </x:c>
      <x:c r="G42" s="3" t="s">
        <x:v>109</x:v>
      </x:c>
      <x:c r="H42" s="3" t="s">
        <x:v>197</x:v>
      </x:c>
      <x:c r="I42" s="3" t="s">
        <x:v>198</x:v>
      </x:c>
      <x:c r="J42" s="3" t="s">
        <x:v>112</x:v>
      </x:c>
      <x:c r="K42" s="3" t="s">
        <x:v>245</x:v>
      </x:c>
      <x:c r="L42" s="3" t="s">
        <x:v>255</x:v>
      </x:c>
      <x:c r="M42" s="3"/>
      <x:c r="N42" s="3"/>
      <x:c r="O42" s="3" t="s">
        <x:v>114</x:v>
      </x:c>
      <x:c r="P42" s="3" t="s">
        <x:v>115</x:v>
      </x:c>
      <x:c r="Q42" s="3" t="s">
        <x:v>45</x:v>
      </x:c>
      <x:c r="R42" s="3"/>
      <x:c r="S42" s="8"/>
      <x:c r="T42" s="8"/>
      <x:c r="U42" s="8"/>
      <x:c r="V42" s="8"/>
    </x:row>
    <x:row r="43" ht="41.25" hidden="0" customHeight="1">
      <x:c r="A43" s="3" t="s">
        <x:v>256</x:v>
      </x:c>
      <x:c r="B43" s="3" t="s">
        <x:v>194</x:v>
      </x:c>
      <x:c r="C43" s="3" t="s">
        <x:v>195</x:v>
      </x:c>
      <x:c r="D43" s="3" t="s">
        <x:v>154</x:v>
      </x:c>
      <x:c r="E43" s="3" t="s">
        <x:v>257</x:v>
      </x:c>
      <x:c r="F43" s="3" t="s">
        <x:v>108</x:v>
      </x:c>
      <x:c r="G43" s="3" t="s">
        <x:v>109</x:v>
      </x:c>
      <x:c r="H43" s="3" t="s">
        <x:v>197</x:v>
      </x:c>
      <x:c r="I43" s="3" t="s">
        <x:v>198</x:v>
      </x:c>
      <x:c r="J43" s="3" t="s">
        <x:v>112</x:v>
      </x:c>
      <x:c r="K43" s="3" t="s">
        <x:v>245</x:v>
      </x:c>
      <x:c r="L43" s="3" t="s">
        <x:v>250</x:v>
      </x:c>
      <x:c r="M43" s="3"/>
      <x:c r="N43" s="3"/>
      <x:c r="O43" s="3" t="s">
        <x:v>114</x:v>
      </x:c>
      <x:c r="P43" s="3" t="s">
        <x:v>115</x:v>
      </x:c>
      <x:c r="Q43" s="3" t="s">
        <x:v>45</x:v>
      </x:c>
      <x:c r="R43" s="3"/>
      <x:c r="S43" s="8"/>
      <x:c r="T43" s="8"/>
      <x:c r="U43" s="8"/>
      <x:c r="V43" s="8"/>
    </x:row>
    <x:row r="44" ht="41.25" hidden="0" customHeight="1">
      <x:c r="A44" s="3" t="s">
        <x:v>258</x:v>
      </x:c>
      <x:c r="B44" s="3" t="s">
        <x:v>194</x:v>
      </x:c>
      <x:c r="C44" s="3" t="s">
        <x:v>195</x:v>
      </x:c>
      <x:c r="D44" s="3" t="s">
        <x:v>259</x:v>
      </x:c>
      <x:c r="E44" s="3" t="s">
        <x:v>260</x:v>
      </x:c>
      <x:c r="F44" s="3" t="s">
        <x:v>108</x:v>
      </x:c>
      <x:c r="G44" s="3" t="s">
        <x:v>109</x:v>
      </x:c>
      <x:c r="H44" s="3" t="s">
        <x:v>197</x:v>
      </x:c>
      <x:c r="I44" s="3" t="s">
        <x:v>198</x:v>
      </x:c>
      <x:c r="J44" s="3" t="s">
        <x:v>112</x:v>
      </x:c>
      <x:c r="K44" s="3" t="s">
        <x:v>221</x:v>
      </x:c>
      <x:c r="L44" s="3" t="s">
        <x:v>261</x:v>
      </x:c>
      <x:c r="M44" s="3"/>
      <x:c r="N44" s="3"/>
      <x:c r="O44" s="3" t="s">
        <x:v>114</x:v>
      </x:c>
      <x:c r="P44" s="3" t="s">
        <x:v>115</x:v>
      </x:c>
      <x:c r="Q44" s="3" t="s">
        <x:v>45</x:v>
      </x:c>
      <x:c r="R44" s="3"/>
      <x:c r="S44" s="8"/>
      <x:c r="T44" s="8"/>
      <x:c r="U44" s="8"/>
      <x:c r="V44" s="8"/>
    </x:row>
    <x:row r="45" ht="41.25" hidden="0" customHeight="1">
      <x:c r="A45" s="3" t="s">
        <x:v>262</x:v>
      </x:c>
      <x:c r="B45" s="3" t="s">
        <x:v>194</x:v>
      </x:c>
      <x:c r="C45" s="3" t="s">
        <x:v>195</x:v>
      </x:c>
      <x:c r="D45" s="3" t="s">
        <x:v>179</x:v>
      </x:c>
      <x:c r="E45" s="3" t="s">
        <x:v>263</x:v>
      </x:c>
      <x:c r="F45" s="3" t="s">
        <x:v>108</x:v>
      </x:c>
      <x:c r="G45" s="3" t="s">
        <x:v>181</x:v>
      </x:c>
      <x:c r="H45" s="3" t="s">
        <x:v>197</x:v>
      </x:c>
      <x:c r="I45" s="3" t="s">
        <x:v>198</x:v>
      </x:c>
      <x:c r="J45" s="3" t="s">
        <x:v>112</x:v>
      </x:c>
      <x:c r="K45" s="3" t="s">
        <x:v>221</x:v>
      </x:c>
      <x:c r="L45" s="3" t="s">
        <x:v>264</x:v>
      </x:c>
      <x:c r="M45" s="3"/>
      <x:c r="N45" s="3"/>
      <x:c r="O45" s="3" t="s">
        <x:v>114</x:v>
      </x:c>
      <x:c r="P45" s="3" t="s">
        <x:v>115</x:v>
      </x:c>
      <x:c r="Q45" s="3" t="s">
        <x:v>45</x:v>
      </x:c>
      <x:c r="R45" s="3"/>
      <x:c r="S45" s="8"/>
      <x:c r="T45" s="8"/>
      <x:c r="U45" s="8"/>
      <x:c r="V45" s="8"/>
    </x:row>
    <x:row r="46" ht="41.25" hidden="0" customHeight="1">
      <x:c r="A46" s="3" t="s">
        <x:v>265</x:v>
      </x:c>
      <x:c r="B46" s="3" t="s">
        <x:v>194</x:v>
      </x:c>
      <x:c r="C46" s="3" t="s">
        <x:v>195</x:v>
      </x:c>
      <x:c r="D46" s="3" t="s">
        <x:v>266</x:v>
      </x:c>
      <x:c r="E46" s="3" t="s">
        <x:v>267</x:v>
      </x:c>
      <x:c r="F46" s="3" t="s">
        <x:v>108</x:v>
      </x:c>
      <x:c r="G46" s="3" t="s">
        <x:v>109</x:v>
      </x:c>
      <x:c r="H46" s="3" t="s">
        <x:v>197</x:v>
      </x:c>
      <x:c r="I46" s="3" t="s">
        <x:v>198</x:v>
      </x:c>
      <x:c r="J46" s="3" t="s">
        <x:v>112</x:v>
      </x:c>
      <x:c r="K46" s="3" t="s">
        <x:v>268</x:v>
      </x:c>
      <x:c r="L46" s="3" t="s">
        <x:v>268</x:v>
      </x:c>
      <x:c r="M46" s="3"/>
      <x:c r="N46" s="3"/>
      <x:c r="O46" s="3" t="s">
        <x:v>114</x:v>
      </x:c>
      <x:c r="P46" s="3" t="s">
        <x:v>115</x:v>
      </x:c>
      <x:c r="Q46" s="3" t="s">
        <x:v>45</x:v>
      </x:c>
      <x:c r="R46" s="3"/>
      <x:c r="S46" s="8"/>
      <x:c r="T46" s="8"/>
      <x:c r="U46" s="8"/>
      <x:c r="V46" s="8"/>
    </x:row>
    <x:row r="47" ht="41.25" hidden="0" customHeight="1">
      <x:c r="A47" s="3" t="s">
        <x:v>269</x:v>
      </x:c>
      <x:c r="B47" s="3" t="s">
        <x:v>194</x:v>
      </x:c>
      <x:c r="C47" s="3" t="s">
        <x:v>195</x:v>
      </x:c>
      <x:c r="D47" s="3" t="s">
        <x:v>270</x:v>
      </x:c>
      <x:c r="E47" s="3" t="s">
        <x:v>271</x:v>
      </x:c>
      <x:c r="F47" s="3" t="s">
        <x:v>108</x:v>
      </x:c>
      <x:c r="G47" s="3" t="s">
        <x:v>109</x:v>
      </x:c>
      <x:c r="H47" s="3" t="s">
        <x:v>197</x:v>
      </x:c>
      <x:c r="I47" s="3" t="s">
        <x:v>198</x:v>
      </x:c>
      <x:c r="J47" s="3" t="s">
        <x:v>112</x:v>
      </x:c>
      <x:c r="K47" s="3" t="s">
        <x:v>272</x:v>
      </x:c>
      <x:c r="L47" s="3" t="s">
        <x:v>272</x:v>
      </x:c>
      <x:c r="M47" s="3"/>
      <x:c r="N47" s="3"/>
      <x:c r="O47" s="3" t="s">
        <x:v>114</x:v>
      </x:c>
      <x:c r="P47" s="3" t="s">
        <x:v>115</x:v>
      </x:c>
      <x:c r="Q47" s="3" t="s">
        <x:v>45</x:v>
      </x:c>
      <x:c r="R47" s="3"/>
      <x:c r="S47" s="8"/>
      <x:c r="T47" s="8"/>
      <x:c r="U47" s="8"/>
      <x:c r="V47" s="8"/>
    </x:row>
    <x:row r="48" ht="41.25" hidden="0" customHeight="1">
      <x:c r="A48" s="3" t="s">
        <x:v>273</x:v>
      </x:c>
      <x:c r="B48" s="3" t="s">
        <x:v>194</x:v>
      </x:c>
      <x:c r="C48" s="3" t="s">
        <x:v>195</x:v>
      </x:c>
      <x:c r="D48" s="3" t="s">
        <x:v>184</x:v>
      </x:c>
      <x:c r="E48" s="3" t="s">
        <x:v>274</x:v>
      </x:c>
      <x:c r="F48" s="3" t="s">
        <x:v>108</x:v>
      </x:c>
      <x:c r="G48" s="3" t="s">
        <x:v>187</x:v>
      </x:c>
      <x:c r="H48" s="3" t="s">
        <x:v>197</x:v>
      </x:c>
      <x:c r="I48" s="3" t="s">
        <x:v>198</x:v>
      </x:c>
      <x:c r="J48" s="3" t="s">
        <x:v>112</x:v>
      </x:c>
      <x:c r="K48" s="3" t="s">
        <x:v>272</x:v>
      </x:c>
      <x:c r="L48" s="3" t="s">
        <x:v>272</x:v>
      </x:c>
      <x:c r="M48" s="3"/>
      <x:c r="N48" s="3"/>
      <x:c r="O48" s="3" t="s">
        <x:v>114</x:v>
      </x:c>
      <x:c r="P48" s="3" t="s">
        <x:v>115</x:v>
      </x:c>
      <x:c r="Q48" s="3" t="s">
        <x:v>45</x:v>
      </x:c>
      <x:c r="R48" s="3"/>
      <x:c r="S48" s="8"/>
      <x:c r="T48" s="8"/>
      <x:c r="U48" s="8"/>
      <x:c r="V48" s="8"/>
    </x:row>
    <x:row r="49" ht="41.25" hidden="0" customHeight="1">
      <x:c r="A49" s="3" t="s">
        <x:v>275</x:v>
      </x:c>
      <x:c r="B49" s="3" t="s">
        <x:v>194</x:v>
      </x:c>
      <x:c r="C49" s="3" t="s">
        <x:v>195</x:v>
      </x:c>
      <x:c r="D49" s="3" t="s">
        <x:v>190</x:v>
      </x:c>
      <x:c r="E49" s="3" t="s">
        <x:v>276</x:v>
      </x:c>
      <x:c r="F49" s="3" t="s">
        <x:v>108</x:v>
      </x:c>
      <x:c r="G49" s="3" t="s">
        <x:v>192</x:v>
      </x:c>
      <x:c r="H49" s="3" t="s">
        <x:v>197</x:v>
      </x:c>
      <x:c r="I49" s="3" t="s">
        <x:v>198</x:v>
      </x:c>
      <x:c r="J49" s="3" t="s">
        <x:v>112</x:v>
      </x:c>
      <x:c r="K49" s="3" t="s">
        <x:v>277</x:v>
      </x:c>
      <x:c r="L49" s="3" t="s">
        <x:v>277</x:v>
      </x:c>
      <x:c r="M49" s="3"/>
      <x:c r="N49" s="3"/>
      <x:c r="O49" s="3" t="s">
        <x:v>114</x:v>
      </x:c>
      <x:c r="P49" s="3" t="s">
        <x:v>115</x:v>
      </x:c>
      <x:c r="Q49" s="3" t="s">
        <x:v>45</x:v>
      </x:c>
      <x:c r="R49" s="3"/>
      <x:c r="S49" s="8"/>
      <x:c r="T49" s="8"/>
      <x:c r="U49" s="8"/>
      <x:c r="V49" s="8"/>
    </x:row>
    <x:row r="50" ht="41.25" hidden="0" customHeight="1">
      <x:c r="A50" s="3" t="s">
        <x:v>278</x:v>
      </x:c>
      <x:c r="B50" s="3" t="s">
        <x:v>279</x:v>
      </x:c>
      <x:c r="C50" s="3" t="s">
        <x:v>280</x:v>
      </x:c>
      <x:c r="D50" s="3" t="s">
        <x:v>106</x:v>
      </x:c>
      <x:c r="E50" s="3" t="s">
        <x:v>281</x:v>
      </x:c>
      <x:c r="F50" s="3" t="s">
        <x:v>108</x:v>
      </x:c>
      <x:c r="G50" s="3" t="s">
        <x:v>109</x:v>
      </x:c>
      <x:c r="H50" s="3" t="s">
        <x:v>282</x:v>
      </x:c>
      <x:c r="I50" s="3" t="s">
        <x:v>283</x:v>
      </x:c>
      <x:c r="J50" s="3" t="s">
        <x:v>112</x:v>
      </x:c>
      <x:c r="K50" s="3" t="s">
        <x:v>284</x:v>
      </x:c>
      <x:c r="L50" s="3" t="s">
        <x:v>284</x:v>
      </x:c>
      <x:c r="M50" s="3"/>
      <x:c r="N50" s="3"/>
      <x:c r="O50" s="3" t="s">
        <x:v>114</x:v>
      </x:c>
      <x:c r="P50" s="3" t="s">
        <x:v>115</x:v>
      </x:c>
      <x:c r="Q50" s="3" t="s">
        <x:v>45</x:v>
      </x:c>
      <x:c r="R50" s="3"/>
      <x:c r="S50" s="8"/>
      <x:c r="T50" s="8"/>
      <x:c r="U50" s="8"/>
      <x:c r="V50" s="8"/>
    </x:row>
    <x:row r="51" ht="41.25" hidden="0" customHeight="1">
      <x:c r="A51" s="3" t="s">
        <x:v>285</x:v>
      </x:c>
      <x:c r="B51" s="3" t="s">
        <x:v>279</x:v>
      </x:c>
      <x:c r="C51" s="3" t="s">
        <x:v>280</x:v>
      </x:c>
      <x:c r="D51" s="3" t="s">
        <x:v>123</x:v>
      </x:c>
      <x:c r="E51" s="3" t="s">
        <x:v>286</x:v>
      </x:c>
      <x:c r="F51" s="3" t="s">
        <x:v>108</x:v>
      </x:c>
      <x:c r="G51" s="3" t="s">
        <x:v>109</x:v>
      </x:c>
      <x:c r="H51" s="3" t="s">
        <x:v>282</x:v>
      </x:c>
      <x:c r="I51" s="3" t="s">
        <x:v>283</x:v>
      </x:c>
      <x:c r="J51" s="3" t="s">
        <x:v>112</x:v>
      </x:c>
      <x:c r="K51" s="3" t="s">
        <x:v>287</x:v>
      </x:c>
      <x:c r="L51" s="3" t="s">
        <x:v>287</x:v>
      </x:c>
      <x:c r="M51" s="3"/>
      <x:c r="N51" s="3"/>
      <x:c r="O51" s="3" t="s">
        <x:v>114</x:v>
      </x:c>
      <x:c r="P51" s="3" t="s">
        <x:v>115</x:v>
      </x:c>
      <x:c r="Q51" s="3" t="s">
        <x:v>45</x:v>
      </x:c>
      <x:c r="R51" s="3"/>
      <x:c r="S51" s="8"/>
      <x:c r="T51" s="8"/>
      <x:c r="U51" s="8"/>
      <x:c r="V51" s="8"/>
    </x:row>
    <x:row r="52" ht="41.25" hidden="0" customHeight="1">
      <x:c r="A52" s="3" t="s">
        <x:v>288</x:v>
      </x:c>
      <x:c r="B52" s="3" t="s">
        <x:v>279</x:v>
      </x:c>
      <x:c r="C52" s="3" t="s">
        <x:v>280</x:v>
      </x:c>
      <x:c r="D52" s="3" t="s">
        <x:v>289</x:v>
      </x:c>
      <x:c r="E52" s="3" t="s">
        <x:v>290</x:v>
      </x:c>
      <x:c r="F52" s="3" t="s">
        <x:v>108</x:v>
      </x:c>
      <x:c r="G52" s="3" t="s">
        <x:v>109</x:v>
      </x:c>
      <x:c r="H52" s="3" t="s">
        <x:v>282</x:v>
      </x:c>
      <x:c r="I52" s="3" t="s">
        <x:v>283</x:v>
      </x:c>
      <x:c r="J52" s="3" t="s">
        <x:v>112</x:v>
      </x:c>
      <x:c r="K52" s="3" t="s">
        <x:v>287</x:v>
      </x:c>
      <x:c r="L52" s="3" t="s">
        <x:v>287</x:v>
      </x:c>
      <x:c r="M52" s="3"/>
      <x:c r="N52" s="3"/>
      <x:c r="O52" s="3" t="s">
        <x:v>114</x:v>
      </x:c>
      <x:c r="P52" s="3" t="s">
        <x:v>115</x:v>
      </x:c>
      <x:c r="Q52" s="3" t="s">
        <x:v>45</x:v>
      </x:c>
      <x:c r="R52" s="3"/>
      <x:c r="S52" s="8"/>
      <x:c r="T52" s="8"/>
      <x:c r="U52" s="8"/>
      <x:c r="V52" s="8"/>
    </x:row>
    <x:row r="53" ht="41.25" hidden="0" customHeight="1">
      <x:c r="A53" s="3" t="s">
        <x:v>291</x:v>
      </x:c>
      <x:c r="B53" s="3" t="s">
        <x:v>279</x:v>
      </x:c>
      <x:c r="C53" s="3" t="s">
        <x:v>280</x:v>
      </x:c>
      <x:c r="D53" s="3" t="s">
        <x:v>127</x:v>
      </x:c>
      <x:c r="E53" s="3" t="s">
        <x:v>292</x:v>
      </x:c>
      <x:c r="F53" s="3" t="s">
        <x:v>108</x:v>
      </x:c>
      <x:c r="G53" s="3" t="s">
        <x:v>109</x:v>
      </x:c>
      <x:c r="H53" s="3" t="s">
        <x:v>282</x:v>
      </x:c>
      <x:c r="I53" s="3" t="s">
        <x:v>283</x:v>
      </x:c>
      <x:c r="J53" s="3" t="s">
        <x:v>112</x:v>
      </x:c>
      <x:c r="K53" s="3" t="s">
        <x:v>293</x:v>
      </x:c>
      <x:c r="L53" s="3" t="s">
        <x:v>293</x:v>
      </x:c>
      <x:c r="M53" s="3"/>
      <x:c r="N53" s="3"/>
      <x:c r="O53" s="3" t="s">
        <x:v>114</x:v>
      </x:c>
      <x:c r="P53" s="3" t="s">
        <x:v>115</x:v>
      </x:c>
      <x:c r="Q53" s="3" t="s">
        <x:v>45</x:v>
      </x:c>
      <x:c r="R53" s="3"/>
      <x:c r="S53" s="8"/>
      <x:c r="T53" s="8"/>
      <x:c r="U53" s="8"/>
      <x:c r="V53" s="8"/>
    </x:row>
    <x:row r="54" ht="41.25" hidden="0" customHeight="1">
      <x:c r="A54" s="3" t="s">
        <x:v>294</x:v>
      </x:c>
      <x:c r="B54" s="3" t="s">
        <x:v>279</x:v>
      </x:c>
      <x:c r="C54" s="3" t="s">
        <x:v>280</x:v>
      </x:c>
      <x:c r="D54" s="3" t="s">
        <x:v>208</x:v>
      </x:c>
      <x:c r="E54" s="3" t="s">
        <x:v>295</x:v>
      </x:c>
      <x:c r="F54" s="3" t="s">
        <x:v>108</x:v>
      </x:c>
      <x:c r="G54" s="3" t="s">
        <x:v>109</x:v>
      </x:c>
      <x:c r="H54" s="3" t="s">
        <x:v>282</x:v>
      </x:c>
      <x:c r="I54" s="3" t="s">
        <x:v>283</x:v>
      </x:c>
      <x:c r="J54" s="3" t="s">
        <x:v>112</x:v>
      </x:c>
      <x:c r="K54" s="3" t="s">
        <x:v>287</x:v>
      </x:c>
      <x:c r="L54" s="3" t="s">
        <x:v>287</x:v>
      </x:c>
      <x:c r="M54" s="3"/>
      <x:c r="N54" s="3"/>
      <x:c r="O54" s="3" t="s">
        <x:v>114</x:v>
      </x:c>
      <x:c r="P54" s="3" t="s">
        <x:v>115</x:v>
      </x:c>
      <x:c r="Q54" s="3" t="s">
        <x:v>45</x:v>
      </x:c>
      <x:c r="R54" s="3"/>
      <x:c r="S54" s="8"/>
      <x:c r="T54" s="8"/>
      <x:c r="U54" s="8"/>
      <x:c r="V54" s="8"/>
    </x:row>
    <x:row r="55" ht="41.25" hidden="0" customHeight="1">
      <x:c r="A55" s="3" t="s">
        <x:v>296</x:v>
      </x:c>
      <x:c r="B55" s="3" t="s">
        <x:v>279</x:v>
      </x:c>
      <x:c r="C55" s="3" t="s">
        <x:v>280</x:v>
      </x:c>
      <x:c r="D55" s="3" t="s">
        <x:v>117</x:v>
      </x:c>
      <x:c r="E55" s="3" t="s">
        <x:v>297</x:v>
      </x:c>
      <x:c r="F55" s="3" t="s">
        <x:v>108</x:v>
      </x:c>
      <x:c r="G55" s="3" t="s">
        <x:v>109</x:v>
      </x:c>
      <x:c r="H55" s="3" t="s">
        <x:v>282</x:v>
      </x:c>
      <x:c r="I55" s="3" t="s">
        <x:v>283</x:v>
      </x:c>
      <x:c r="J55" s="3" t="s">
        <x:v>112</x:v>
      </x:c>
      <x:c r="K55" s="3" t="s">
        <x:v>298</x:v>
      </x:c>
      <x:c r="L55" s="3" t="s">
        <x:v>144</x:v>
      </x:c>
      <x:c r="M55" s="3"/>
      <x:c r="N55" s="3"/>
      <x:c r="O55" s="3" t="s">
        <x:v>114</x:v>
      </x:c>
      <x:c r="P55" s="3" t="s">
        <x:v>115</x:v>
      </x:c>
      <x:c r="Q55" s="3" t="s">
        <x:v>45</x:v>
      </x:c>
      <x:c r="R55" s="3"/>
      <x:c r="S55" s="8"/>
      <x:c r="T55" s="8"/>
      <x:c r="U55" s="8"/>
      <x:c r="V55" s="8"/>
    </x:row>
    <x:row r="56" ht="41.25" hidden="0" customHeight="1">
      <x:c r="A56" s="3" t="s">
        <x:v>299</x:v>
      </x:c>
      <x:c r="B56" s="3" t="s">
        <x:v>279</x:v>
      </x:c>
      <x:c r="C56" s="3" t="s">
        <x:v>280</x:v>
      </x:c>
      <x:c r="D56" s="3" t="s">
        <x:v>120</x:v>
      </x:c>
      <x:c r="E56" s="3" t="s">
        <x:v>300</x:v>
      </x:c>
      <x:c r="F56" s="3" t="s">
        <x:v>108</x:v>
      </x:c>
      <x:c r="G56" s="3" t="s">
        <x:v>109</x:v>
      </x:c>
      <x:c r="H56" s="3" t="s">
        <x:v>282</x:v>
      </x:c>
      <x:c r="I56" s="3" t="s">
        <x:v>283</x:v>
      </x:c>
      <x:c r="J56" s="3" t="s">
        <x:v>112</x:v>
      </x:c>
      <x:c r="K56" s="3" t="s">
        <x:v>301</x:v>
      </x:c>
      <x:c r="L56" s="3" t="s">
        <x:v>301</x:v>
      </x:c>
      <x:c r="M56" s="3"/>
      <x:c r="N56" s="3"/>
      <x:c r="O56" s="3" t="s">
        <x:v>114</x:v>
      </x:c>
      <x:c r="P56" s="3" t="s">
        <x:v>115</x:v>
      </x:c>
      <x:c r="Q56" s="3" t="s">
        <x:v>45</x:v>
      </x:c>
      <x:c r="R56" s="3"/>
      <x:c r="S56" s="8"/>
      <x:c r="T56" s="8"/>
      <x:c r="U56" s="8"/>
      <x:c r="V56" s="8"/>
    </x:row>
    <x:row r="57" ht="41.25" hidden="0" customHeight="1">
      <x:c r="A57" s="3" t="s">
        <x:v>302</x:v>
      </x:c>
      <x:c r="B57" s="3" t="s">
        <x:v>279</x:v>
      </x:c>
      <x:c r="C57" s="3" t="s">
        <x:v>280</x:v>
      </x:c>
      <x:c r="D57" s="3" t="s">
        <x:v>131</x:v>
      </x:c>
      <x:c r="E57" s="3" t="s">
        <x:v>303</x:v>
      </x:c>
      <x:c r="F57" s="3" t="s">
        <x:v>108</x:v>
      </x:c>
      <x:c r="G57" s="3" t="s">
        <x:v>109</x:v>
      </x:c>
      <x:c r="H57" s="3" t="s">
        <x:v>282</x:v>
      </x:c>
      <x:c r="I57" s="3" t="s">
        <x:v>283</x:v>
      </x:c>
      <x:c r="J57" s="3" t="s">
        <x:v>112</x:v>
      </x:c>
      <x:c r="K57" s="3" t="s">
        <x:v>298</x:v>
      </x:c>
      <x:c r="L57" s="3" t="s">
        <x:v>298</x:v>
      </x:c>
      <x:c r="M57" s="3"/>
      <x:c r="N57" s="3"/>
      <x:c r="O57" s="3" t="s">
        <x:v>114</x:v>
      </x:c>
      <x:c r="P57" s="3" t="s">
        <x:v>115</x:v>
      </x:c>
      <x:c r="Q57" s="3" t="s">
        <x:v>45</x:v>
      </x:c>
      <x:c r="R57" s="3"/>
      <x:c r="S57" s="8"/>
      <x:c r="T57" s="8"/>
      <x:c r="U57" s="8"/>
      <x:c r="V57" s="8"/>
    </x:row>
    <x:row r="58" ht="41.25" hidden="0" customHeight="1">
      <x:c r="A58" s="3" t="s">
        <x:v>304</x:v>
      </x:c>
      <x:c r="B58" s="3" t="s">
        <x:v>279</x:v>
      </x:c>
      <x:c r="C58" s="3" t="s">
        <x:v>280</x:v>
      </x:c>
      <x:c r="D58" s="3" t="s">
        <x:v>135</x:v>
      </x:c>
      <x:c r="E58" s="3" t="s">
        <x:v>305</x:v>
      </x:c>
      <x:c r="F58" s="3" t="s">
        <x:v>108</x:v>
      </x:c>
      <x:c r="G58" s="3" t="s">
        <x:v>109</x:v>
      </x:c>
      <x:c r="H58" s="3" t="s">
        <x:v>282</x:v>
      </x:c>
      <x:c r="I58" s="3" t="s">
        <x:v>283</x:v>
      </x:c>
      <x:c r="J58" s="3" t="s">
        <x:v>112</x:v>
      </x:c>
      <x:c r="K58" s="3" t="s">
        <x:v>306</x:v>
      </x:c>
      <x:c r="L58" s="3" t="s">
        <x:v>306</x:v>
      </x:c>
      <x:c r="M58" s="3"/>
      <x:c r="N58" s="3"/>
      <x:c r="O58" s="3" t="s">
        <x:v>114</x:v>
      </x:c>
      <x:c r="P58" s="3" t="s">
        <x:v>115</x:v>
      </x:c>
      <x:c r="Q58" s="3" t="s">
        <x:v>45</x:v>
      </x:c>
      <x:c r="R58" s="3"/>
      <x:c r="S58" s="8"/>
      <x:c r="T58" s="8"/>
      <x:c r="U58" s="8"/>
      <x:c r="V58" s="8"/>
    </x:row>
    <x:row r="59" ht="41.25" hidden="0" customHeight="1">
      <x:c r="A59" s="3" t="s">
        <x:v>307</x:v>
      </x:c>
      <x:c r="B59" s="3" t="s">
        <x:v>279</x:v>
      </x:c>
      <x:c r="C59" s="3" t="s">
        <x:v>280</x:v>
      </x:c>
      <x:c r="D59" s="3" t="s">
        <x:v>233</x:v>
      </x:c>
      <x:c r="E59" s="3" t="s">
        <x:v>308</x:v>
      </x:c>
      <x:c r="F59" s="3" t="s">
        <x:v>108</x:v>
      </x:c>
      <x:c r="G59" s="3" t="s">
        <x:v>109</x:v>
      </x:c>
      <x:c r="H59" s="3" t="s">
        <x:v>282</x:v>
      </x:c>
      <x:c r="I59" s="3" t="s">
        <x:v>283</x:v>
      </x:c>
      <x:c r="J59" s="3" t="s">
        <x:v>112</x:v>
      </x:c>
      <x:c r="K59" s="3" t="s">
        <x:v>298</x:v>
      </x:c>
      <x:c r="L59" s="3" t="s">
        <x:v>309</x:v>
      </x:c>
      <x:c r="M59" s="3"/>
      <x:c r="N59" s="3"/>
      <x:c r="O59" s="3" t="s">
        <x:v>114</x:v>
      </x:c>
      <x:c r="P59" s="3" t="s">
        <x:v>115</x:v>
      </x:c>
      <x:c r="Q59" s="3" t="s">
        <x:v>45</x:v>
      </x:c>
      <x:c r="R59" s="3"/>
      <x:c r="S59" s="8"/>
      <x:c r="T59" s="8"/>
      <x:c r="U59" s="8"/>
      <x:c r="V59" s="8"/>
    </x:row>
    <x:row r="60" ht="41.25" hidden="0" customHeight="1">
      <x:c r="A60" s="3" t="s">
        <x:v>310</x:v>
      </x:c>
      <x:c r="B60" s="3" t="s">
        <x:v>279</x:v>
      </x:c>
      <x:c r="C60" s="3" t="s">
        <x:v>280</x:v>
      </x:c>
      <x:c r="D60" s="3" t="s">
        <x:v>237</x:v>
      </x:c>
      <x:c r="E60" s="3" t="s">
        <x:v>311</x:v>
      </x:c>
      <x:c r="F60" s="3" t="s">
        <x:v>108</x:v>
      </x:c>
      <x:c r="G60" s="3" t="s">
        <x:v>109</x:v>
      </x:c>
      <x:c r="H60" s="3" t="s">
        <x:v>282</x:v>
      </x:c>
      <x:c r="I60" s="3" t="s">
        <x:v>283</x:v>
      </x:c>
      <x:c r="J60" s="3" t="s">
        <x:v>112</x:v>
      </x:c>
      <x:c r="K60" s="3" t="s">
        <x:v>298</x:v>
      </x:c>
      <x:c r="L60" s="3" t="s">
        <x:v>309</x:v>
      </x:c>
      <x:c r="M60" s="3"/>
      <x:c r="N60" s="3"/>
      <x:c r="O60" s="3" t="s">
        <x:v>114</x:v>
      </x:c>
      <x:c r="P60" s="3" t="s">
        <x:v>115</x:v>
      </x:c>
      <x:c r="Q60" s="3" t="s">
        <x:v>45</x:v>
      </x:c>
      <x:c r="R60" s="3"/>
      <x:c r="S60" s="8"/>
      <x:c r="T60" s="8"/>
      <x:c r="U60" s="8"/>
      <x:c r="V60" s="8"/>
    </x:row>
    <x:row r="61" ht="41.25" hidden="0" customHeight="1">
      <x:c r="A61" s="3" t="s">
        <x:v>312</x:v>
      </x:c>
      <x:c r="B61" s="3" t="s">
        <x:v>279</x:v>
      </x:c>
      <x:c r="C61" s="3" t="s">
        <x:v>280</x:v>
      </x:c>
      <x:c r="D61" s="3" t="s">
        <x:v>313</x:v>
      </x:c>
      <x:c r="E61" s="3" t="s">
        <x:v>314</x:v>
      </x:c>
      <x:c r="F61" s="3" t="s">
        <x:v>108</x:v>
      </x:c>
      <x:c r="G61" s="3" t="s">
        <x:v>109</x:v>
      </x:c>
      <x:c r="H61" s="3" t="s">
        <x:v>282</x:v>
      </x:c>
      <x:c r="I61" s="3" t="s">
        <x:v>283</x:v>
      </x:c>
      <x:c r="J61" s="3" t="s">
        <x:v>112</x:v>
      </x:c>
      <x:c r="K61" s="3" t="s">
        <x:v>298</x:v>
      </x:c>
      <x:c r="L61" s="3" t="s">
        <x:v>315</x:v>
      </x:c>
      <x:c r="M61" s="3"/>
      <x:c r="N61" s="3"/>
      <x:c r="O61" s="3" t="s">
        <x:v>114</x:v>
      </x:c>
      <x:c r="P61" s="3" t="s">
        <x:v>115</x:v>
      </x:c>
      <x:c r="Q61" s="3" t="s">
        <x:v>45</x:v>
      </x:c>
      <x:c r="R61" s="3"/>
      <x:c r="S61" s="8"/>
      <x:c r="T61" s="8"/>
      <x:c r="U61" s="8"/>
      <x:c r="V61" s="8"/>
    </x:row>
    <x:row r="62" ht="41.25" hidden="0" customHeight="1">
      <x:c r="A62" s="3" t="s">
        <x:v>316</x:v>
      </x:c>
      <x:c r="B62" s="3" t="s">
        <x:v>279</x:v>
      </x:c>
      <x:c r="C62" s="3" t="s">
        <x:v>280</x:v>
      </x:c>
      <x:c r="D62" s="3" t="s">
        <x:v>164</x:v>
      </x:c>
      <x:c r="E62" s="3" t="s">
        <x:v>165</x:v>
      </x:c>
      <x:c r="F62" s="3" t="s">
        <x:v>108</x:v>
      </x:c>
      <x:c r="G62" s="3" t="s">
        <x:v>109</x:v>
      </x:c>
      <x:c r="H62" s="3" t="s">
        <x:v>282</x:v>
      </x:c>
      <x:c r="I62" s="3" t="s">
        <x:v>283</x:v>
      </x:c>
      <x:c r="J62" s="3" t="s">
        <x:v>112</x:v>
      </x:c>
      <x:c r="K62" s="3" t="s">
        <x:v>287</x:v>
      </x:c>
      <x:c r="L62" s="3" t="s">
        <x:v>287</x:v>
      </x:c>
      <x:c r="M62" s="3"/>
      <x:c r="N62" s="3"/>
      <x:c r="O62" s="3" t="s">
        <x:v>114</x:v>
      </x:c>
      <x:c r="P62" s="3" t="s">
        <x:v>115</x:v>
      </x:c>
      <x:c r="Q62" s="3" t="s">
        <x:v>45</x:v>
      </x:c>
      <x:c r="R62" s="3"/>
      <x:c r="S62" s="8"/>
      <x:c r="T62" s="8"/>
      <x:c r="U62" s="8"/>
      <x:c r="V62" s="8"/>
    </x:row>
    <x:row r="63" ht="41.25" hidden="0" customHeight="1">
      <x:c r="A63" s="3" t="s">
        <x:v>317</x:v>
      </x:c>
      <x:c r="B63" s="3" t="s">
        <x:v>279</x:v>
      </x:c>
      <x:c r="C63" s="3" t="s">
        <x:v>280</x:v>
      </x:c>
      <x:c r="D63" s="3" t="s">
        <x:v>318</x:v>
      </x:c>
      <x:c r="E63" s="3" t="s">
        <x:v>319</x:v>
      </x:c>
      <x:c r="F63" s="3" t="s">
        <x:v>108</x:v>
      </x:c>
      <x:c r="G63" s="3" t="s">
        <x:v>109</x:v>
      </x:c>
      <x:c r="H63" s="3" t="s">
        <x:v>282</x:v>
      </x:c>
      <x:c r="I63" s="3" t="s">
        <x:v>283</x:v>
      </x:c>
      <x:c r="J63" s="3" t="s">
        <x:v>112</x:v>
      </x:c>
      <x:c r="K63" s="3" t="s">
        <x:v>287</x:v>
      </x:c>
      <x:c r="L63" s="3" t="s">
        <x:v>287</x:v>
      </x:c>
      <x:c r="M63" s="3"/>
      <x:c r="N63" s="3"/>
      <x:c r="O63" s="3" t="s">
        <x:v>114</x:v>
      </x:c>
      <x:c r="P63" s="3" t="s">
        <x:v>115</x:v>
      </x:c>
      <x:c r="Q63" s="3" t="s">
        <x:v>45</x:v>
      </x:c>
      <x:c r="R63" s="3" t="s">
        <x:v>320</x:v>
      </x:c>
      <x:c r="S63" s="8"/>
      <x:c r="T63" s="8"/>
      <x:c r="U63" s="8"/>
      <x:c r="V63" s="8"/>
    </x:row>
    <x:row r="64" ht="41.25" hidden="0" customHeight="1">
      <x:c r="A64" s="3" t="s">
        <x:v>321</x:v>
      </x:c>
      <x:c r="B64" s="3" t="s">
        <x:v>279</x:v>
      </x:c>
      <x:c r="C64" s="3" t="s">
        <x:v>280</x:v>
      </x:c>
      <x:c r="D64" s="3" t="s">
        <x:v>176</x:v>
      </x:c>
      <x:c r="E64" s="3" t="s">
        <x:v>322</x:v>
      </x:c>
      <x:c r="F64" s="3" t="s">
        <x:v>108</x:v>
      </x:c>
      <x:c r="G64" s="3" t="s">
        <x:v>109</x:v>
      </x:c>
      <x:c r="H64" s="3" t="s">
        <x:v>282</x:v>
      </x:c>
      <x:c r="I64" s="3" t="s">
        <x:v>283</x:v>
      </x:c>
      <x:c r="J64" s="3" t="s">
        <x:v>112</x:v>
      </x:c>
      <x:c r="K64" s="3" t="s">
        <x:v>287</x:v>
      </x:c>
      <x:c r="L64" s="3" t="s">
        <x:v>287</x:v>
      </x:c>
      <x:c r="M64" s="3"/>
      <x:c r="N64" s="3"/>
      <x:c r="O64" s="3" t="s">
        <x:v>114</x:v>
      </x:c>
      <x:c r="P64" s="3" t="s">
        <x:v>115</x:v>
      </x:c>
      <x:c r="Q64" s="3" t="s">
        <x:v>45</x:v>
      </x:c>
      <x:c r="R64" s="3"/>
      <x:c r="S64" s="8"/>
      <x:c r="T64" s="8"/>
      <x:c r="U64" s="8"/>
      <x:c r="V64" s="8"/>
    </x:row>
    <x:row r="65" ht="41.25" hidden="0" customHeight="1">
      <x:c r="A65" s="3" t="s">
        <x:v>323</x:v>
      </x:c>
      <x:c r="B65" s="3" t="s">
        <x:v>279</x:v>
      </x:c>
      <x:c r="C65" s="3" t="s">
        <x:v>280</x:v>
      </x:c>
      <x:c r="D65" s="3" t="s">
        <x:v>173</x:v>
      </x:c>
      <x:c r="E65" s="3" t="s">
        <x:v>324</x:v>
      </x:c>
      <x:c r="F65" s="3" t="s">
        <x:v>108</x:v>
      </x:c>
      <x:c r="G65" s="3" t="s">
        <x:v>109</x:v>
      </x:c>
      <x:c r="H65" s="3" t="s">
        <x:v>282</x:v>
      </x:c>
      <x:c r="I65" s="3" t="s">
        <x:v>283</x:v>
      </x:c>
      <x:c r="J65" s="3" t="s">
        <x:v>112</x:v>
      </x:c>
      <x:c r="K65" s="3" t="s">
        <x:v>287</x:v>
      </x:c>
      <x:c r="L65" s="3" t="s">
        <x:v>287</x:v>
      </x:c>
      <x:c r="M65" s="3"/>
      <x:c r="N65" s="3"/>
      <x:c r="O65" s="3" t="s">
        <x:v>114</x:v>
      </x:c>
      <x:c r="P65" s="3" t="s">
        <x:v>115</x:v>
      </x:c>
      <x:c r="Q65" s="3" t="s">
        <x:v>45</x:v>
      </x:c>
      <x:c r="R65" s="3"/>
      <x:c r="S65" s="8"/>
      <x:c r="T65" s="8"/>
      <x:c r="U65" s="8"/>
      <x:c r="V65" s="8"/>
    </x:row>
    <x:row r="66" ht="41.25" hidden="0" customHeight="1">
      <x:c r="A66" s="3" t="s">
        <x:v>325</x:v>
      </x:c>
      <x:c r="B66" s="3" t="s">
        <x:v>279</x:v>
      </x:c>
      <x:c r="C66" s="3" t="s">
        <x:v>280</x:v>
      </x:c>
      <x:c r="D66" s="3" t="s">
        <x:v>326</x:v>
      </x:c>
      <x:c r="E66" s="3" t="s">
        <x:v>327</x:v>
      </x:c>
      <x:c r="F66" s="3" t="s">
        <x:v>108</x:v>
      </x:c>
      <x:c r="G66" s="3" t="s">
        <x:v>109</x:v>
      </x:c>
      <x:c r="H66" s="3" t="s">
        <x:v>282</x:v>
      </x:c>
      <x:c r="I66" s="3" t="s">
        <x:v>283</x:v>
      </x:c>
      <x:c r="J66" s="3" t="s">
        <x:v>112</x:v>
      </x:c>
      <x:c r="K66" s="3" t="s">
        <x:v>287</x:v>
      </x:c>
      <x:c r="L66" s="3" t="s">
        <x:v>287</x:v>
      </x:c>
      <x:c r="M66" s="3"/>
      <x:c r="N66" s="3"/>
      <x:c r="O66" s="3" t="s">
        <x:v>114</x:v>
      </x:c>
      <x:c r="P66" s="3" t="s">
        <x:v>115</x:v>
      </x:c>
      <x:c r="Q66" s="3" t="s">
        <x:v>45</x:v>
      </x:c>
      <x:c r="R66" s="3"/>
      <x:c r="S66" s="8"/>
      <x:c r="T66" s="8"/>
      <x:c r="U66" s="8"/>
      <x:c r="V66" s="8"/>
    </x:row>
    <x:row r="67" ht="41.25" hidden="0" customHeight="1">
      <x:c r="A67" s="3" t="s">
        <x:v>328</x:v>
      </x:c>
      <x:c r="B67" s="3" t="s">
        <x:v>279</x:v>
      </x:c>
      <x:c r="C67" s="3" t="s">
        <x:v>280</x:v>
      </x:c>
      <x:c r="D67" s="3" t="s">
        <x:v>329</x:v>
      </x:c>
      <x:c r="E67" s="3" t="s">
        <x:v>330</x:v>
      </x:c>
      <x:c r="F67" s="3" t="s">
        <x:v>108</x:v>
      </x:c>
      <x:c r="G67" s="3" t="s">
        <x:v>109</x:v>
      </x:c>
      <x:c r="H67" s="3" t="s">
        <x:v>282</x:v>
      </x:c>
      <x:c r="I67" s="3" t="s">
        <x:v>283</x:v>
      </x:c>
      <x:c r="J67" s="3" t="s">
        <x:v>112</x:v>
      </x:c>
      <x:c r="K67" s="3" t="s">
        <x:v>287</x:v>
      </x:c>
      <x:c r="L67" s="3" t="s">
        <x:v>287</x:v>
      </x:c>
      <x:c r="M67" s="3"/>
      <x:c r="N67" s="3"/>
      <x:c r="O67" s="3" t="s">
        <x:v>114</x:v>
      </x:c>
      <x:c r="P67" s="3" t="s">
        <x:v>115</x:v>
      </x:c>
      <x:c r="Q67" s="3" t="s">
        <x:v>45</x:v>
      </x:c>
      <x:c r="R67" s="3"/>
      <x:c r="S67" s="8"/>
      <x:c r="T67" s="8"/>
      <x:c r="U67" s="8"/>
      <x:c r="V67" s="8"/>
    </x:row>
    <x:row r="68" ht="41.25" hidden="0" customHeight="1">
      <x:c r="A68" s="3" t="s">
        <x:v>331</x:v>
      </x:c>
      <x:c r="B68" s="3" t="s">
        <x:v>279</x:v>
      </x:c>
      <x:c r="C68" s="3" t="s">
        <x:v>280</x:v>
      </x:c>
      <x:c r="D68" s="3" t="s">
        <x:v>142</x:v>
      </x:c>
      <x:c r="E68" s="3" t="s">
        <x:v>332</x:v>
      </x:c>
      <x:c r="F68" s="3" t="s">
        <x:v>108</x:v>
      </x:c>
      <x:c r="G68" s="3" t="s">
        <x:v>109</x:v>
      </x:c>
      <x:c r="H68" s="3" t="s">
        <x:v>282</x:v>
      </x:c>
      <x:c r="I68" s="3" t="s">
        <x:v>283</x:v>
      </x:c>
      <x:c r="J68" s="3" t="s">
        <x:v>112</x:v>
      </x:c>
      <x:c r="K68" s="3" t="s">
        <x:v>287</x:v>
      </x:c>
      <x:c r="L68" s="3" t="s">
        <x:v>333</x:v>
      </x:c>
      <x:c r="M68" s="3"/>
      <x:c r="N68" s="3"/>
      <x:c r="O68" s="3" t="s">
        <x:v>114</x:v>
      </x:c>
      <x:c r="P68" s="3" t="s">
        <x:v>115</x:v>
      </x:c>
      <x:c r="Q68" s="3" t="s">
        <x:v>45</x:v>
      </x:c>
      <x:c r="R68" s="3" t="s">
        <x:v>334</x:v>
      </x:c>
      <x:c r="S68" s="8"/>
      <x:c r="T68" s="8"/>
      <x:c r="U68" s="8"/>
      <x:c r="V68" s="8"/>
    </x:row>
    <x:row r="69" ht="54.75" hidden="0" customHeight="1">
      <x:c r="A69" s="3" t="s">
        <x:v>335</x:v>
      </x:c>
      <x:c r="B69" s="3" t="s">
        <x:v>279</x:v>
      </x:c>
      <x:c r="C69" s="3" t="s">
        <x:v>280</x:v>
      </x:c>
      <x:c r="D69" s="3" t="s">
        <x:v>179</x:v>
      </x:c>
      <x:c r="E69" s="3" t="s">
        <x:v>336</x:v>
      </x:c>
      <x:c r="F69" s="3" t="s">
        <x:v>108</x:v>
      </x:c>
      <x:c r="G69" s="3" t="s">
        <x:v>109</x:v>
      </x:c>
      <x:c r="H69" s="3" t="s">
        <x:v>282</x:v>
      </x:c>
      <x:c r="I69" s="3" t="s">
        <x:v>283</x:v>
      </x:c>
      <x:c r="J69" s="3" t="s">
        <x:v>112</x:v>
      </x:c>
      <x:c r="K69" s="3" t="s">
        <x:v>337</x:v>
      </x:c>
      <x:c r="L69" s="3" t="s">
        <x:v>337</x:v>
      </x:c>
      <x:c r="M69" s="3"/>
      <x:c r="N69" s="3"/>
      <x:c r="O69" s="3" t="s">
        <x:v>114</x:v>
      </x:c>
      <x:c r="P69" s="3" t="s">
        <x:v>115</x:v>
      </x:c>
      <x:c r="Q69" s="3" t="s">
        <x:v>45</x:v>
      </x:c>
      <x:c r="R69" s="3"/>
      <x:c r="S69" s="8"/>
      <x:c r="T69" s="8"/>
      <x:c r="U69" s="8"/>
      <x:c r="V69" s="8"/>
    </x:row>
    <x:row r="70" ht="54.75" hidden="0" customHeight="1">
      <x:c r="A70" s="3" t="s">
        <x:v>338</x:v>
      </x:c>
      <x:c r="B70" s="3" t="s">
        <x:v>279</x:v>
      </x:c>
      <x:c r="C70" s="3" t="s">
        <x:v>280</x:v>
      </x:c>
      <x:c r="D70" s="3" t="s">
        <x:v>266</x:v>
      </x:c>
      <x:c r="E70" s="3" t="s">
        <x:v>339</x:v>
      </x:c>
      <x:c r="F70" s="3" t="s">
        <x:v>108</x:v>
      </x:c>
      <x:c r="G70" s="3" t="s">
        <x:v>109</x:v>
      </x:c>
      <x:c r="H70" s="3" t="s">
        <x:v>282</x:v>
      </x:c>
      <x:c r="I70" s="3" t="s">
        <x:v>283</x:v>
      </x:c>
      <x:c r="J70" s="3" t="s">
        <x:v>112</x:v>
      </x:c>
      <x:c r="K70" s="3" t="s">
        <x:v>340</x:v>
      </x:c>
      <x:c r="L70" s="3" t="s">
        <x:v>340</x:v>
      </x:c>
      <x:c r="M70" s="3"/>
      <x:c r="N70" s="3"/>
      <x:c r="O70" s="3" t="s">
        <x:v>114</x:v>
      </x:c>
      <x:c r="P70" s="3" t="s">
        <x:v>115</x:v>
      </x:c>
      <x:c r="Q70" s="3" t="s">
        <x:v>45</x:v>
      </x:c>
      <x:c r="R70" s="3"/>
      <x:c r="S70" s="8"/>
      <x:c r="T70" s="8"/>
      <x:c r="U70" s="8"/>
      <x:c r="V70" s="8"/>
    </x:row>
    <x:row r="71" ht="41.25" hidden="0" customHeight="1">
      <x:c r="A71" s="3" t="s">
        <x:v>341</x:v>
      </x:c>
      <x:c r="B71" s="3" t="s">
        <x:v>279</x:v>
      </x:c>
      <x:c r="C71" s="3" t="s">
        <x:v>280</x:v>
      </x:c>
      <x:c r="D71" s="3" t="s">
        <x:v>342</x:v>
      </x:c>
      <x:c r="E71" s="3" t="s">
        <x:v>343</x:v>
      </x:c>
      <x:c r="F71" s="3" t="s">
        <x:v>108</x:v>
      </x:c>
      <x:c r="G71" s="3" t="s">
        <x:v>109</x:v>
      </x:c>
      <x:c r="H71" s="3" t="s">
        <x:v>282</x:v>
      </x:c>
      <x:c r="I71" s="3" t="s">
        <x:v>283</x:v>
      </x:c>
      <x:c r="J71" s="3" t="s">
        <x:v>112</x:v>
      </x:c>
      <x:c r="K71" s="3" t="s">
        <x:v>340</x:v>
      </x:c>
      <x:c r="L71" s="3" t="s">
        <x:v>340</x:v>
      </x:c>
      <x:c r="M71" s="3"/>
      <x:c r="N71" s="3"/>
      <x:c r="O71" s="3" t="s">
        <x:v>114</x:v>
      </x:c>
      <x:c r="P71" s="3" t="s">
        <x:v>115</x:v>
      </x:c>
      <x:c r="Q71" s="3" t="s">
        <x:v>45</x:v>
      </x:c>
      <x:c r="R71" s="3"/>
      <x:c r="S71" s="8"/>
      <x:c r="T71" s="8"/>
      <x:c r="U71" s="8"/>
      <x:c r="V71" s="8"/>
    </x:row>
    <x:row r="72" ht="41.25" hidden="0" customHeight="1">
      <x:c r="A72" s="3" t="s">
        <x:v>344</x:v>
      </x:c>
      <x:c r="B72" s="3" t="s">
        <x:v>279</x:v>
      </x:c>
      <x:c r="C72" s="3" t="s">
        <x:v>280</x:v>
      </x:c>
      <x:c r="D72" s="3" t="s">
        <x:v>345</x:v>
      </x:c>
      <x:c r="E72" s="3" t="s">
        <x:v>346</x:v>
      </x:c>
      <x:c r="F72" s="3" t="s">
        <x:v>108</x:v>
      </x:c>
      <x:c r="G72" s="3" t="s">
        <x:v>109</x:v>
      </x:c>
      <x:c r="H72" s="3" t="s">
        <x:v>282</x:v>
      </x:c>
      <x:c r="I72" s="3" t="s">
        <x:v>283</x:v>
      </x:c>
      <x:c r="J72" s="3" t="s">
        <x:v>112</x:v>
      </x:c>
      <x:c r="K72" s="3" t="s">
        <x:v>287</x:v>
      </x:c>
      <x:c r="L72" s="3" t="s">
        <x:v>287</x:v>
      </x:c>
      <x:c r="M72" s="3"/>
      <x:c r="N72" s="3"/>
      <x:c r="O72" s="3" t="s">
        <x:v>114</x:v>
      </x:c>
      <x:c r="P72" s="3" t="s">
        <x:v>115</x:v>
      </x:c>
      <x:c r="Q72" s="3" t="s">
        <x:v>45</x:v>
      </x:c>
      <x:c r="R72" s="3"/>
      <x:c r="S72" s="8"/>
      <x:c r="T72" s="8"/>
      <x:c r="U72" s="8"/>
      <x:c r="V72" s="8"/>
    </x:row>
    <x:row r="73" ht="41.25" hidden="0" customHeight="1">
      <x:c r="A73" s="3" t="s">
        <x:v>347</x:v>
      </x:c>
      <x:c r="B73" s="3" t="s">
        <x:v>279</x:v>
      </x:c>
      <x:c r="C73" s="3" t="s">
        <x:v>280</x:v>
      </x:c>
      <x:c r="D73" s="3" t="s">
        <x:v>184</x:v>
      </x:c>
      <x:c r="E73" s="3" t="s">
        <x:v>348</x:v>
      </x:c>
      <x:c r="F73" s="3" t="s">
        <x:v>108</x:v>
      </x:c>
      <x:c r="G73" s="3" t="s">
        <x:v>187</x:v>
      </x:c>
      <x:c r="H73" s="3" t="s">
        <x:v>282</x:v>
      </x:c>
      <x:c r="I73" s="3" t="s">
        <x:v>283</x:v>
      </x:c>
      <x:c r="J73" s="3" t="s">
        <x:v>112</x:v>
      </x:c>
      <x:c r="K73" s="3" t="s">
        <x:v>337</x:v>
      </x:c>
      <x:c r="L73" s="3" t="s">
        <x:v>337</x:v>
      </x:c>
      <x:c r="M73" s="3"/>
      <x:c r="N73" s="3"/>
      <x:c r="O73" s="3" t="s">
        <x:v>114</x:v>
      </x:c>
      <x:c r="P73" s="3" t="s">
        <x:v>115</x:v>
      </x:c>
      <x:c r="Q73" s="3" t="s">
        <x:v>45</x:v>
      </x:c>
      <x:c r="R73" s="3"/>
      <x:c r="S73" s="8"/>
      <x:c r="T73" s="8"/>
      <x:c r="U73" s="8"/>
      <x:c r="V73" s="8"/>
    </x:row>
    <x:row r="74" ht="41.25" hidden="0" customHeight="1">
      <x:c r="A74" s="3" t="s">
        <x:v>349</x:v>
      </x:c>
      <x:c r="B74" s="3" t="s">
        <x:v>279</x:v>
      </x:c>
      <x:c r="C74" s="3" t="s">
        <x:v>280</x:v>
      </x:c>
      <x:c r="D74" s="3" t="s">
        <x:v>350</x:v>
      </x:c>
      <x:c r="E74" s="3" t="s">
        <x:v>351</x:v>
      </x:c>
      <x:c r="F74" s="3" t="s">
        <x:v>186</x:v>
      </x:c>
      <x:c r="G74" s="3" t="s">
        <x:v>187</x:v>
      </x:c>
      <x:c r="H74" s="3" t="s">
        <x:v>282</x:v>
      </x:c>
      <x:c r="I74" s="3" t="s">
        <x:v>283</x:v>
      </x:c>
      <x:c r="J74" s="3" t="s">
        <x:v>112</x:v>
      </x:c>
      <x:c r="K74" s="3" t="s">
        <x:v>352</x:v>
      </x:c>
      <x:c r="L74" s="3" t="s">
        <x:v>352</x:v>
      </x:c>
      <x:c r="M74" s="3"/>
      <x:c r="N74" s="3"/>
      <x:c r="O74" s="3" t="s">
        <x:v>114</x:v>
      </x:c>
      <x:c r="P74" s="3" t="s">
        <x:v>115</x:v>
      </x:c>
      <x:c r="Q74" s="3" t="s">
        <x:v>45</x:v>
      </x:c>
      <x:c r="R74" s="3"/>
      <x:c r="S74" s="8"/>
      <x:c r="T74" s="8"/>
      <x:c r="U74" s="8"/>
      <x:c r="V74" s="8"/>
    </x:row>
    <x:row r="75" ht="41.25" hidden="0" customHeight="1">
      <x:c r="A75" s="3" t="s">
        <x:v>353</x:v>
      </x:c>
      <x:c r="B75" s="3" t="s">
        <x:v>279</x:v>
      </x:c>
      <x:c r="C75" s="3" t="s">
        <x:v>280</x:v>
      </x:c>
      <x:c r="D75" s="3" t="s">
        <x:v>190</x:v>
      </x:c>
      <x:c r="E75" s="3" t="s">
        <x:v>354</x:v>
      </x:c>
      <x:c r="F75" s="3" t="s">
        <x:v>108</x:v>
      </x:c>
      <x:c r="G75" s="3" t="s">
        <x:v>192</x:v>
      </x:c>
      <x:c r="H75" s="3" t="s">
        <x:v>282</x:v>
      </x:c>
      <x:c r="I75" s="3" t="s">
        <x:v>283</x:v>
      </x:c>
      <x:c r="J75" s="3" t="s">
        <x:v>112</x:v>
      </x:c>
      <x:c r="K75" s="3" t="s">
        <x:v>337</x:v>
      </x:c>
      <x:c r="L75" s="3" t="s">
        <x:v>337</x:v>
      </x:c>
      <x:c r="M75" s="3"/>
      <x:c r="N75" s="3"/>
      <x:c r="O75" s="3" t="s">
        <x:v>114</x:v>
      </x:c>
      <x:c r="P75" s="3" t="s">
        <x:v>115</x:v>
      </x:c>
      <x:c r="Q75" s="3" t="s">
        <x:v>45</x:v>
      </x:c>
      <x:c r="R75" s="3"/>
      <x:c r="S75" s="8"/>
      <x:c r="T75" s="8"/>
      <x:c r="U75" s="8"/>
      <x:c r="V75" s="8"/>
    </x:row>
    <x:row r="76" ht="41.25" hidden="0" customHeight="1">
      <x:c r="A76" s="3" t="s">
        <x:v>355</x:v>
      </x:c>
      <x:c r="B76" s="3" t="s">
        <x:v>356</x:v>
      </x:c>
      <x:c r="C76" s="3" t="s">
        <x:v>357</x:v>
      </x:c>
      <x:c r="D76" s="3" t="s">
        <x:v>106</x:v>
      </x:c>
      <x:c r="E76" s="3" t="s">
        <x:v>358</x:v>
      </x:c>
      <x:c r="F76" s="3" t="s">
        <x:v>108</x:v>
      </x:c>
      <x:c r="G76" s="3" t="s">
        <x:v>109</x:v>
      </x:c>
      <x:c r="H76" s="3" t="s">
        <x:v>359</x:v>
      </x:c>
      <x:c r="I76" s="3" t="s">
        <x:v>360</x:v>
      </x:c>
      <x:c r="J76" s="3" t="s">
        <x:v>112</x:v>
      </x:c>
      <x:c r="K76" s="3" t="s">
        <x:v>113</x:v>
      </x:c>
      <x:c r="L76" s="3" t="s">
        <x:v>113</x:v>
      </x:c>
      <x:c r="M76" s="3"/>
      <x:c r="N76" s="3"/>
      <x:c r="O76" s="3" t="s">
        <x:v>114</x:v>
      </x:c>
      <x:c r="P76" s="3" t="s">
        <x:v>115</x:v>
      </x:c>
      <x:c r="Q76" s="3" t="s">
        <x:v>45</x:v>
      </x:c>
      <x:c r="R76" s="3"/>
      <x:c r="S76" s="8"/>
      <x:c r="T76" s="8"/>
      <x:c r="U76" s="8"/>
      <x:c r="V76" s="8"/>
    </x:row>
    <x:row r="77" ht="41.25" hidden="0" customHeight="1">
      <x:c r="A77" s="3" t="s">
        <x:v>361</x:v>
      </x:c>
      <x:c r="B77" s="3" t="s">
        <x:v>356</x:v>
      </x:c>
      <x:c r="C77" s="3" t="s">
        <x:v>357</x:v>
      </x:c>
      <x:c r="D77" s="3" t="s">
        <x:v>131</x:v>
      </x:c>
      <x:c r="E77" s="3" t="s">
        <x:v>362</x:v>
      </x:c>
      <x:c r="F77" s="3" t="s">
        <x:v>108</x:v>
      </x:c>
      <x:c r="G77" s="3" t="s">
        <x:v>109</x:v>
      </x:c>
      <x:c r="H77" s="3" t="s">
        <x:v>359</x:v>
      </x:c>
      <x:c r="I77" s="3" t="s">
        <x:v>360</x:v>
      </x:c>
      <x:c r="J77" s="3" t="s">
        <x:v>112</x:v>
      </x:c>
      <x:c r="K77" s="3" t="s">
        <x:v>363</x:v>
      </x:c>
      <x:c r="L77" s="3" t="s">
        <x:v>363</x:v>
      </x:c>
      <x:c r="M77" s="3"/>
      <x:c r="N77" s="3"/>
      <x:c r="O77" s="3" t="s">
        <x:v>114</x:v>
      </x:c>
      <x:c r="P77" s="3" t="s">
        <x:v>115</x:v>
      </x:c>
      <x:c r="Q77" s="3" t="s">
        <x:v>45</x:v>
      </x:c>
      <x:c r="R77" s="3"/>
      <x:c r="S77" s="8"/>
      <x:c r="T77" s="8"/>
      <x:c r="U77" s="8"/>
      <x:c r="V77" s="8"/>
    </x:row>
    <x:row r="78" ht="41.25" hidden="0" customHeight="1">
      <x:c r="A78" s="3" t="s">
        <x:v>364</x:v>
      </x:c>
      <x:c r="B78" s="3" t="s">
        <x:v>356</x:v>
      </x:c>
      <x:c r="C78" s="3" t="s">
        <x:v>357</x:v>
      </x:c>
      <x:c r="D78" s="3" t="s">
        <x:v>233</x:v>
      </x:c>
      <x:c r="E78" s="3" t="s">
        <x:v>365</x:v>
      </x:c>
      <x:c r="F78" s="3" t="s">
        <x:v>108</x:v>
      </x:c>
      <x:c r="G78" s="3" t="s">
        <x:v>109</x:v>
      </x:c>
      <x:c r="H78" s="3" t="s">
        <x:v>359</x:v>
      </x:c>
      <x:c r="I78" s="3" t="s">
        <x:v>360</x:v>
      </x:c>
      <x:c r="J78" s="3" t="s">
        <x:v>112</x:v>
      </x:c>
      <x:c r="K78" s="3" t="s">
        <x:v>363</x:v>
      </x:c>
      <x:c r="L78" s="3" t="s">
        <x:v>363</x:v>
      </x:c>
      <x:c r="M78" s="3"/>
      <x:c r="N78" s="3"/>
      <x:c r="O78" s="3" t="s">
        <x:v>114</x:v>
      </x:c>
      <x:c r="P78" s="3" t="s">
        <x:v>115</x:v>
      </x:c>
      <x:c r="Q78" s="3" t="s">
        <x:v>45</x:v>
      </x:c>
      <x:c r="R78" s="3"/>
      <x:c r="S78" s="8"/>
      <x:c r="T78" s="8"/>
      <x:c r="U78" s="8"/>
      <x:c r="V78" s="8"/>
    </x:row>
    <x:row r="79" ht="41.25" hidden="0" customHeight="1">
      <x:c r="A79" s="3" t="s">
        <x:v>366</x:v>
      </x:c>
      <x:c r="B79" s="3" t="s">
        <x:v>356</x:v>
      </x:c>
      <x:c r="C79" s="3" t="s">
        <x:v>357</x:v>
      </x:c>
      <x:c r="D79" s="3" t="s">
        <x:v>237</x:v>
      </x:c>
      <x:c r="E79" s="3" t="s">
        <x:v>367</x:v>
      </x:c>
      <x:c r="F79" s="3" t="s">
        <x:v>108</x:v>
      </x:c>
      <x:c r="G79" s="3" t="s">
        <x:v>109</x:v>
      </x:c>
      <x:c r="H79" s="3" t="s">
        <x:v>359</x:v>
      </x:c>
      <x:c r="I79" s="3" t="s">
        <x:v>360</x:v>
      </x:c>
      <x:c r="J79" s="3" t="s">
        <x:v>112</x:v>
      </x:c>
      <x:c r="K79" s="3" t="s">
        <x:v>363</x:v>
      </x:c>
      <x:c r="L79" s="3" t="s">
        <x:v>363</x:v>
      </x:c>
      <x:c r="M79" s="3"/>
      <x:c r="N79" s="3"/>
      <x:c r="O79" s="3" t="s">
        <x:v>114</x:v>
      </x:c>
      <x:c r="P79" s="3" t="s">
        <x:v>115</x:v>
      </x:c>
      <x:c r="Q79" s="3" t="s">
        <x:v>45</x:v>
      </x:c>
      <x:c r="R79" s="3"/>
      <x:c r="S79" s="8"/>
      <x:c r="T79" s="8"/>
      <x:c r="U79" s="8"/>
      <x:c r="V79" s="8"/>
    </x:row>
    <x:row r="80" ht="41.25" hidden="0" customHeight="1">
      <x:c r="A80" s="3" t="s">
        <x:v>368</x:v>
      </x:c>
      <x:c r="B80" s="3" t="s">
        <x:v>356</x:v>
      </x:c>
      <x:c r="C80" s="3" t="s">
        <x:v>357</x:v>
      </x:c>
      <x:c r="D80" s="3" t="s">
        <x:v>369</x:v>
      </x:c>
      <x:c r="E80" s="3" t="s">
        <x:v>370</x:v>
      </x:c>
      <x:c r="F80" s="3" t="s">
        <x:v>108</x:v>
      </x:c>
      <x:c r="G80" s="3" t="s">
        <x:v>109</x:v>
      </x:c>
      <x:c r="H80" s="3" t="s">
        <x:v>359</x:v>
      </x:c>
      <x:c r="I80" s="3" t="s">
        <x:v>360</x:v>
      </x:c>
      <x:c r="J80" s="3" t="s">
        <x:v>112</x:v>
      </x:c>
      <x:c r="K80" s="3" t="s">
        <x:v>371</x:v>
      </x:c>
      <x:c r="L80" s="3" t="s">
        <x:v>371</x:v>
      </x:c>
      <x:c r="M80" s="3"/>
      <x:c r="N80" s="3"/>
      <x:c r="O80" s="3" t="s">
        <x:v>114</x:v>
      </x:c>
      <x:c r="P80" s="3" t="s">
        <x:v>115</x:v>
      </x:c>
      <x:c r="Q80" s="3" t="s">
        <x:v>45</x:v>
      </x:c>
      <x:c r="R80" s="3"/>
      <x:c r="S80" s="8"/>
      <x:c r="T80" s="8"/>
      <x:c r="U80" s="8"/>
      <x:c r="V80" s="8"/>
    </x:row>
    <x:row r="81" ht="41.25" hidden="0" customHeight="1">
      <x:c r="A81" s="3" t="s">
        <x:v>372</x:v>
      </x:c>
      <x:c r="B81" s="3" t="s">
        <x:v>356</x:v>
      </x:c>
      <x:c r="C81" s="3" t="s">
        <x:v>357</x:v>
      </x:c>
      <x:c r="D81" s="3" t="s">
        <x:v>373</x:v>
      </x:c>
      <x:c r="E81" s="3" t="s">
        <x:v>374</x:v>
      </x:c>
      <x:c r="F81" s="3" t="s">
        <x:v>108</x:v>
      </x:c>
      <x:c r="G81" s="3" t="s">
        <x:v>109</x:v>
      </x:c>
      <x:c r="H81" s="3" t="s">
        <x:v>359</x:v>
      </x:c>
      <x:c r="I81" s="3" t="s">
        <x:v>360</x:v>
      </x:c>
      <x:c r="J81" s="3" t="s">
        <x:v>112</x:v>
      </x:c>
      <x:c r="K81" s="3" t="s">
        <x:v>375</x:v>
      </x:c>
      <x:c r="L81" s="3" t="s">
        <x:v>375</x:v>
      </x:c>
      <x:c r="M81" s="3"/>
      <x:c r="N81" s="3"/>
      <x:c r="O81" s="3" t="s">
        <x:v>114</x:v>
      </x:c>
      <x:c r="P81" s="3" t="s">
        <x:v>115</x:v>
      </x:c>
      <x:c r="Q81" s="3" t="s">
        <x:v>45</x:v>
      </x:c>
      <x:c r="R81" s="3"/>
      <x:c r="S81" s="8"/>
      <x:c r="T81" s="8"/>
      <x:c r="U81" s="8"/>
      <x:c r="V81" s="8"/>
    </x:row>
    <x:row r="82" ht="41.25" hidden="0" customHeight="1">
      <x:c r="A82" s="3" t="s">
        <x:v>376</x:v>
      </x:c>
      <x:c r="B82" s="3" t="s">
        <x:v>356</x:v>
      </x:c>
      <x:c r="C82" s="3" t="s">
        <x:v>357</x:v>
      </x:c>
      <x:c r="D82" s="3" t="s">
        <x:v>142</x:v>
      </x:c>
      <x:c r="E82" s="3" t="s">
        <x:v>377</x:v>
      </x:c>
      <x:c r="F82" s="3" t="s">
        <x:v>108</x:v>
      </x:c>
      <x:c r="G82" s="3" t="s">
        <x:v>109</x:v>
      </x:c>
      <x:c r="H82" s="3" t="s">
        <x:v>359</x:v>
      </x:c>
      <x:c r="I82" s="3" t="s">
        <x:v>360</x:v>
      </x:c>
      <x:c r="J82" s="3" t="s">
        <x:v>112</x:v>
      </x:c>
      <x:c r="K82" s="3" t="s">
        <x:v>378</x:v>
      </x:c>
      <x:c r="L82" s="3" t="s">
        <x:v>137</x:v>
      </x:c>
      <x:c r="M82" s="3"/>
      <x:c r="N82" s="3"/>
      <x:c r="O82" s="3" t="s">
        <x:v>114</x:v>
      </x:c>
      <x:c r="P82" s="3" t="s">
        <x:v>115</x:v>
      </x:c>
      <x:c r="Q82" s="3" t="s">
        <x:v>45</x:v>
      </x:c>
      <x:c r="R82" s="3"/>
      <x:c r="S82" s="8"/>
      <x:c r="T82" s="8"/>
      <x:c r="U82" s="8"/>
      <x:c r="V82" s="8"/>
    </x:row>
    <x:row r="83" ht="41.25" hidden="0" customHeight="1">
      <x:c r="A83" s="3" t="s">
        <x:v>379</x:v>
      </x:c>
      <x:c r="B83" s="3" t="s">
        <x:v>356</x:v>
      </x:c>
      <x:c r="C83" s="3" t="s">
        <x:v>357</x:v>
      </x:c>
      <x:c r="D83" s="3" t="s">
        <x:v>380</x:v>
      </x:c>
      <x:c r="E83" s="3" t="s">
        <x:v>381</x:v>
      </x:c>
      <x:c r="F83" s="3" t="s">
        <x:v>108</x:v>
      </x:c>
      <x:c r="G83" s="3" t="s">
        <x:v>109</x:v>
      </x:c>
      <x:c r="H83" s="3" t="s">
        <x:v>359</x:v>
      </x:c>
      <x:c r="I83" s="3" t="s">
        <x:v>360</x:v>
      </x:c>
      <x:c r="J83" s="3" t="s">
        <x:v>112</x:v>
      </x:c>
      <x:c r="K83" s="3" t="s">
        <x:v>378</x:v>
      </x:c>
      <x:c r="L83" s="3" t="s">
        <x:v>137</x:v>
      </x:c>
      <x:c r="M83" s="3"/>
      <x:c r="N83" s="3"/>
      <x:c r="O83" s="3" t="s">
        <x:v>114</x:v>
      </x:c>
      <x:c r="P83" s="3" t="s">
        <x:v>115</x:v>
      </x:c>
      <x:c r="Q83" s="3" t="s">
        <x:v>45</x:v>
      </x:c>
      <x:c r="R83" s="3"/>
      <x:c r="S83" s="8"/>
      <x:c r="T83" s="8"/>
      <x:c r="U83" s="8"/>
      <x:c r="V83" s="8"/>
    </x:row>
    <x:row r="84" ht="41.25" hidden="0" customHeight="1">
      <x:c r="A84" s="3" t="s">
        <x:v>382</x:v>
      </x:c>
      <x:c r="B84" s="3" t="s">
        <x:v>356</x:v>
      </x:c>
      <x:c r="C84" s="3" t="s">
        <x:v>357</x:v>
      </x:c>
      <x:c r="D84" s="3" t="s">
        <x:v>383</x:v>
      </x:c>
      <x:c r="E84" s="3" t="s">
        <x:v>384</x:v>
      </x:c>
      <x:c r="F84" s="3" t="s">
        <x:v>108</x:v>
      </x:c>
      <x:c r="G84" s="3" t="s">
        <x:v>109</x:v>
      </x:c>
      <x:c r="H84" s="3" t="s">
        <x:v>359</x:v>
      </x:c>
      <x:c r="I84" s="3" t="s">
        <x:v>360</x:v>
      </x:c>
      <x:c r="J84" s="3" t="s">
        <x:v>112</x:v>
      </x:c>
      <x:c r="K84" s="3" t="s">
        <x:v>378</x:v>
      </x:c>
      <x:c r="L84" s="3" t="s">
        <x:v>137</x:v>
      </x:c>
      <x:c r="M84" s="3"/>
      <x:c r="N84" s="3"/>
      <x:c r="O84" s="3" t="s">
        <x:v>114</x:v>
      </x:c>
      <x:c r="P84" s="3" t="s">
        <x:v>115</x:v>
      </x:c>
      <x:c r="Q84" s="3" t="s">
        <x:v>45</x:v>
      </x:c>
      <x:c r="R84" s="3"/>
      <x:c r="S84" s="8"/>
      <x:c r="T84" s="8"/>
      <x:c r="U84" s="8"/>
      <x:c r="V84" s="8"/>
    </x:row>
    <x:row r="85" ht="41.25" hidden="0" customHeight="1">
      <x:c r="A85" s="3" t="s">
        <x:v>385</x:v>
      </x:c>
      <x:c r="B85" s="3" t="s">
        <x:v>356</x:v>
      </x:c>
      <x:c r="C85" s="3" t="s">
        <x:v>357</x:v>
      </x:c>
      <x:c r="D85" s="3" t="s">
        <x:v>386</x:v>
      </x:c>
      <x:c r="E85" s="3" t="s">
        <x:v>387</x:v>
      </x:c>
      <x:c r="F85" s="3" t="s">
        <x:v>108</x:v>
      </x:c>
      <x:c r="G85" s="3" t="s">
        <x:v>109</x:v>
      </x:c>
      <x:c r="H85" s="3" t="s">
        <x:v>359</x:v>
      </x:c>
      <x:c r="I85" s="3" t="s">
        <x:v>360</x:v>
      </x:c>
      <x:c r="J85" s="3" t="s">
        <x:v>112</x:v>
      </x:c>
      <x:c r="K85" s="3" t="s">
        <x:v>388</x:v>
      </x:c>
      <x:c r="L85" s="3" t="s">
        <x:v>388</x:v>
      </x:c>
      <x:c r="M85" s="3"/>
      <x:c r="N85" s="3"/>
      <x:c r="O85" s="3" t="s">
        <x:v>114</x:v>
      </x:c>
      <x:c r="P85" s="3" t="s">
        <x:v>115</x:v>
      </x:c>
      <x:c r="Q85" s="3" t="s">
        <x:v>45</x:v>
      </x:c>
      <x:c r="R85" s="3" t="s">
        <x:v>389</x:v>
      </x:c>
      <x:c r="S85" s="8"/>
      <x:c r="T85" s="8"/>
      <x:c r="U85" s="8"/>
      <x:c r="V85" s="8"/>
    </x:row>
    <x:row r="86" ht="41.25" hidden="0" customHeight="1">
      <x:c r="A86" s="3" t="s">
        <x:v>390</x:v>
      </x:c>
      <x:c r="B86" s="3" t="s">
        <x:v>356</x:v>
      </x:c>
      <x:c r="C86" s="3" t="s">
        <x:v>357</x:v>
      </x:c>
      <x:c r="D86" s="3" t="s">
        <x:v>117</x:v>
      </x:c>
      <x:c r="E86" s="3" t="s">
        <x:v>391</x:v>
      </x:c>
      <x:c r="F86" s="3" t="s">
        <x:v>108</x:v>
      </x:c>
      <x:c r="G86" s="3" t="s">
        <x:v>109</x:v>
      </x:c>
      <x:c r="H86" s="3" t="s">
        <x:v>359</x:v>
      </x:c>
      <x:c r="I86" s="3" t="s">
        <x:v>360</x:v>
      </x:c>
      <x:c r="J86" s="3" t="s">
        <x:v>112</x:v>
      </x:c>
      <x:c r="K86" s="3" t="s">
        <x:v>392</x:v>
      </x:c>
      <x:c r="L86" s="3" t="s">
        <x:v>392</x:v>
      </x:c>
      <x:c r="M86" s="3"/>
      <x:c r="N86" s="3"/>
      <x:c r="O86" s="3" t="s">
        <x:v>114</x:v>
      </x:c>
      <x:c r="P86" s="3" t="s">
        <x:v>115</x:v>
      </x:c>
      <x:c r="Q86" s="3" t="s">
        <x:v>45</x:v>
      </x:c>
      <x:c r="R86" s="3"/>
      <x:c r="S86" s="8"/>
      <x:c r="T86" s="8"/>
      <x:c r="U86" s="8"/>
      <x:c r="V86" s="8"/>
    </x:row>
    <x:row r="87" ht="41.25" hidden="0" customHeight="1">
      <x:c r="A87" s="3" t="s">
        <x:v>393</x:v>
      </x:c>
      <x:c r="B87" s="3" t="s">
        <x:v>356</x:v>
      </x:c>
      <x:c r="C87" s="3" t="s">
        <x:v>357</x:v>
      </x:c>
      <x:c r="D87" s="3" t="s">
        <x:v>120</x:v>
      </x:c>
      <x:c r="E87" s="3" t="s">
        <x:v>394</x:v>
      </x:c>
      <x:c r="F87" s="3" t="s">
        <x:v>108</x:v>
      </x:c>
      <x:c r="G87" s="3" t="s">
        <x:v>109</x:v>
      </x:c>
      <x:c r="H87" s="3" t="s">
        <x:v>359</x:v>
      </x:c>
      <x:c r="I87" s="3" t="s">
        <x:v>360</x:v>
      </x:c>
      <x:c r="J87" s="3" t="s">
        <x:v>112</x:v>
      </x:c>
      <x:c r="K87" s="3" t="s">
        <x:v>392</x:v>
      </x:c>
      <x:c r="L87" s="3" t="s">
        <x:v>392</x:v>
      </x:c>
      <x:c r="M87" s="3"/>
      <x:c r="N87" s="3"/>
      <x:c r="O87" s="3" t="s">
        <x:v>114</x:v>
      </x:c>
      <x:c r="P87" s="3" t="s">
        <x:v>115</x:v>
      </x:c>
      <x:c r="Q87" s="3" t="s">
        <x:v>45</x:v>
      </x:c>
      <x:c r="R87" s="3"/>
      <x:c r="S87" s="8"/>
      <x:c r="T87" s="8"/>
      <x:c r="U87" s="8"/>
      <x:c r="V87" s="8"/>
    </x:row>
    <x:row r="88" ht="41.25" hidden="0" customHeight="1">
      <x:c r="A88" s="3" t="s">
        <x:v>395</x:v>
      </x:c>
      <x:c r="B88" s="3" t="s">
        <x:v>356</x:v>
      </x:c>
      <x:c r="C88" s="3" t="s">
        <x:v>396</x:v>
      </x:c>
      <x:c r="D88" s="3" t="s">
        <x:v>164</x:v>
      </x:c>
      <x:c r="E88" s="3" t="s">
        <x:v>165</x:v>
      </x:c>
      <x:c r="F88" s="3" t="s">
        <x:v>108</x:v>
      </x:c>
      <x:c r="G88" s="3" t="s">
        <x:v>109</x:v>
      </x:c>
      <x:c r="H88" s="3" t="s">
        <x:v>359</x:v>
      </x:c>
      <x:c r="I88" s="3" t="s">
        <x:v>360</x:v>
      </x:c>
      <x:c r="J88" s="3" t="s">
        <x:v>112</x:v>
      </x:c>
      <x:c r="K88" s="3" t="s">
        <x:v>397</x:v>
      </x:c>
      <x:c r="L88" s="3" t="s">
        <x:v>397</x:v>
      </x:c>
      <x:c r="M88" s="3"/>
      <x:c r="N88" s="3"/>
      <x:c r="O88" s="3" t="s">
        <x:v>114</x:v>
      </x:c>
      <x:c r="P88" s="3" t="s">
        <x:v>115</x:v>
      </x:c>
      <x:c r="Q88" s="3" t="s">
        <x:v>45</x:v>
      </x:c>
      <x:c r="R88" s="3"/>
      <x:c r="S88" s="8"/>
      <x:c r="T88" s="8"/>
      <x:c r="U88" s="8"/>
      <x:c r="V88" s="8"/>
    </x:row>
    <x:row r="89" ht="41.25" hidden="0" customHeight="1">
      <x:c r="A89" s="3" t="s">
        <x:v>398</x:v>
      </x:c>
      <x:c r="B89" s="3" t="s">
        <x:v>356</x:v>
      </x:c>
      <x:c r="C89" s="3" t="s">
        <x:v>396</x:v>
      </x:c>
      <x:c r="D89" s="3" t="s">
        <x:v>167</x:v>
      </x:c>
      <x:c r="E89" s="3" t="s">
        <x:v>324</x:v>
      </x:c>
      <x:c r="F89" s="3" t="s">
        <x:v>108</x:v>
      </x:c>
      <x:c r="G89" s="3" t="s">
        <x:v>109</x:v>
      </x:c>
      <x:c r="H89" s="3" t="s">
        <x:v>359</x:v>
      </x:c>
      <x:c r="I89" s="3" t="s">
        <x:v>360</x:v>
      </x:c>
      <x:c r="J89" s="3" t="s">
        <x:v>112</x:v>
      </x:c>
      <x:c r="K89" s="3" t="s">
        <x:v>397</x:v>
      </x:c>
      <x:c r="L89" s="3" t="s">
        <x:v>397</x:v>
      </x:c>
      <x:c r="M89" s="3"/>
      <x:c r="N89" s="3"/>
      <x:c r="O89" s="3" t="s">
        <x:v>114</x:v>
      </x:c>
      <x:c r="P89" s="3" t="s">
        <x:v>115</x:v>
      </x:c>
      <x:c r="Q89" s="3" t="s">
        <x:v>45</x:v>
      </x:c>
      <x:c r="R89" s="3"/>
      <x:c r="S89" s="8"/>
      <x:c r="T89" s="8"/>
      <x:c r="U89" s="8"/>
      <x:c r="V89" s="8"/>
    </x:row>
    <x:row r="90" ht="41.25" hidden="0" customHeight="1">
      <x:c r="A90" s="3" t="s">
        <x:v>399</x:v>
      </x:c>
      <x:c r="B90" s="3" t="s">
        <x:v>356</x:v>
      </x:c>
      <x:c r="C90" s="3" t="s">
        <x:v>396</x:v>
      </x:c>
      <x:c r="D90" s="3" t="s">
        <x:v>318</x:v>
      </x:c>
      <x:c r="E90" s="3" t="s">
        <x:v>400</x:v>
      </x:c>
      <x:c r="F90" s="3" t="s">
        <x:v>108</x:v>
      </x:c>
      <x:c r="G90" s="3" t="s">
        <x:v>109</x:v>
      </x:c>
      <x:c r="H90" s="3" t="s">
        <x:v>359</x:v>
      </x:c>
      <x:c r="I90" s="3" t="s">
        <x:v>360</x:v>
      </x:c>
      <x:c r="J90" s="3" t="s">
        <x:v>112</x:v>
      </x:c>
      <x:c r="K90" s="3" t="s">
        <x:v>397</x:v>
      </x:c>
      <x:c r="L90" s="3" t="s">
        <x:v>397</x:v>
      </x:c>
      <x:c r="M90" s="3"/>
      <x:c r="N90" s="3"/>
      <x:c r="O90" s="3" t="s">
        <x:v>114</x:v>
      </x:c>
      <x:c r="P90" s="3" t="s">
        <x:v>115</x:v>
      </x:c>
      <x:c r="Q90" s="3" t="s">
        <x:v>45</x:v>
      </x:c>
      <x:c r="R90" s="3"/>
      <x:c r="S90" s="8"/>
      <x:c r="T90" s="8"/>
      <x:c r="U90" s="8"/>
      <x:c r="V90" s="8"/>
    </x:row>
    <x:row r="91" ht="41.25" hidden="0" customHeight="1">
      <x:c r="A91" s="3" t="s">
        <x:v>401</x:v>
      </x:c>
      <x:c r="B91" s="3" t="s">
        <x:v>356</x:v>
      </x:c>
      <x:c r="C91" s="3" t="s">
        <x:v>396</x:v>
      </x:c>
      <x:c r="D91" s="3" t="s">
        <x:v>402</x:v>
      </x:c>
      <x:c r="E91" s="3" t="s">
        <x:v>403</x:v>
      </x:c>
      <x:c r="F91" s="3" t="s">
        <x:v>108</x:v>
      </x:c>
      <x:c r="G91" s="3" t="s">
        <x:v>109</x:v>
      </x:c>
      <x:c r="H91" s="3" t="s">
        <x:v>359</x:v>
      </x:c>
      <x:c r="I91" s="3" t="s">
        <x:v>360</x:v>
      </x:c>
      <x:c r="J91" s="3" t="s">
        <x:v>112</x:v>
      </x:c>
      <x:c r="K91" s="3" t="s">
        <x:v>397</x:v>
      </x:c>
      <x:c r="L91" s="3" t="s">
        <x:v>397</x:v>
      </x:c>
      <x:c r="M91" s="3"/>
      <x:c r="N91" s="3"/>
      <x:c r="O91" s="3" t="s">
        <x:v>114</x:v>
      </x:c>
      <x:c r="P91" s="3" t="s">
        <x:v>115</x:v>
      </x:c>
      <x:c r="Q91" s="3" t="s">
        <x:v>45</x:v>
      </x:c>
      <x:c r="R91" s="3"/>
      <x:c r="S91" s="8"/>
      <x:c r="T91" s="8"/>
      <x:c r="U91" s="8"/>
      <x:c r="V91" s="8"/>
    </x:row>
    <x:row r="92" ht="41.25" hidden="0" customHeight="1">
      <x:c r="A92" s="3" t="s">
        <x:v>404</x:v>
      </x:c>
      <x:c r="B92" s="3" t="s">
        <x:v>356</x:v>
      </x:c>
      <x:c r="C92" s="3" t="s">
        <x:v>396</x:v>
      </x:c>
      <x:c r="D92" s="3" t="s">
        <x:v>405</x:v>
      </x:c>
      <x:c r="E92" s="3" t="s">
        <x:v>406</x:v>
      </x:c>
      <x:c r="F92" s="3" t="s">
        <x:v>108</x:v>
      </x:c>
      <x:c r="G92" s="3" t="s">
        <x:v>109</x:v>
      </x:c>
      <x:c r="H92" s="3" t="s">
        <x:v>359</x:v>
      </x:c>
      <x:c r="I92" s="3" t="s">
        <x:v>360</x:v>
      </x:c>
      <x:c r="J92" s="3" t="s">
        <x:v>112</x:v>
      </x:c>
      <x:c r="K92" s="3" t="s">
        <x:v>397</x:v>
      </x:c>
      <x:c r="L92" s="3" t="s">
        <x:v>397</x:v>
      </x:c>
      <x:c r="M92" s="3"/>
      <x:c r="N92" s="3"/>
      <x:c r="O92" s="3" t="s">
        <x:v>114</x:v>
      </x:c>
      <x:c r="P92" s="3" t="s">
        <x:v>115</x:v>
      </x:c>
      <x:c r="Q92" s="3" t="s">
        <x:v>45</x:v>
      </x:c>
      <x:c r="R92" s="3"/>
      <x:c r="S92" s="8"/>
      <x:c r="T92" s="8"/>
      <x:c r="U92" s="8"/>
      <x:c r="V92" s="8"/>
    </x:row>
    <x:row r="93" ht="41.25" hidden="0" customHeight="1">
      <x:c r="A93" s="3" t="s">
        <x:v>407</x:v>
      </x:c>
      <x:c r="B93" s="3" t="s">
        <x:v>356</x:v>
      </x:c>
      <x:c r="C93" s="3" t="s">
        <x:v>396</x:v>
      </x:c>
      <x:c r="D93" s="3" t="s">
        <x:v>408</x:v>
      </x:c>
      <x:c r="E93" s="3" t="s">
        <x:v>409</x:v>
      </x:c>
      <x:c r="F93" s="3" t="s">
        <x:v>108</x:v>
      </x:c>
      <x:c r="G93" s="3" t="s">
        <x:v>109</x:v>
      </x:c>
      <x:c r="H93" s="3" t="s">
        <x:v>359</x:v>
      </x:c>
      <x:c r="I93" s="3" t="s">
        <x:v>360</x:v>
      </x:c>
      <x:c r="J93" s="3" t="s">
        <x:v>112</x:v>
      </x:c>
      <x:c r="K93" s="3" t="s">
        <x:v>397</x:v>
      </x:c>
      <x:c r="L93" s="3" t="s">
        <x:v>397</x:v>
      </x:c>
      <x:c r="M93" s="3"/>
      <x:c r="N93" s="3"/>
      <x:c r="O93" s="3" t="s">
        <x:v>114</x:v>
      </x:c>
      <x:c r="P93" s="3" t="s">
        <x:v>115</x:v>
      </x:c>
      <x:c r="Q93" s="3" t="s">
        <x:v>45</x:v>
      </x:c>
      <x:c r="R93" s="3"/>
      <x:c r="S93" s="8"/>
      <x:c r="T93" s="8"/>
      <x:c r="U93" s="8"/>
      <x:c r="V93" s="8"/>
    </x:row>
    <x:row r="94" ht="41.25" hidden="0" customHeight="1">
      <x:c r="A94" s="3" t="s">
        <x:v>410</x:v>
      </x:c>
      <x:c r="B94" s="3" t="s">
        <x:v>356</x:v>
      </x:c>
      <x:c r="C94" s="3" t="s">
        <x:v>396</x:v>
      </x:c>
      <x:c r="D94" s="3" t="s">
        <x:v>411</x:v>
      </x:c>
      <x:c r="E94" s="3" t="s">
        <x:v>412</x:v>
      </x:c>
      <x:c r="F94" s="3" t="s">
        <x:v>108</x:v>
      </x:c>
      <x:c r="G94" s="3" t="s">
        <x:v>109</x:v>
      </x:c>
      <x:c r="H94" s="3" t="s">
        <x:v>359</x:v>
      </x:c>
      <x:c r="I94" s="3" t="s">
        <x:v>360</x:v>
      </x:c>
      <x:c r="J94" s="3" t="s">
        <x:v>112</x:v>
      </x:c>
      <x:c r="K94" s="3" t="s">
        <x:v>397</x:v>
      </x:c>
      <x:c r="L94" s="3" t="s">
        <x:v>397</x:v>
      </x:c>
      <x:c r="M94" s="3"/>
      <x:c r="N94" s="3"/>
      <x:c r="O94" s="3" t="s">
        <x:v>114</x:v>
      </x:c>
      <x:c r="P94" s="3" t="s">
        <x:v>115</x:v>
      </x:c>
      <x:c r="Q94" s="3" t="s">
        <x:v>45</x:v>
      </x:c>
      <x:c r="R94" s="3"/>
      <x:c r="S94" s="8"/>
      <x:c r="T94" s="8"/>
      <x:c r="U94" s="8"/>
      <x:c r="V94" s="8"/>
    </x:row>
    <x:row r="95" ht="41.25" hidden="0" customHeight="1">
      <x:c r="A95" s="3" t="s">
        <x:v>413</x:v>
      </x:c>
      <x:c r="B95" s="3" t="s">
        <x:v>356</x:v>
      </x:c>
      <x:c r="C95" s="3" t="s">
        <x:v>396</x:v>
      </x:c>
      <x:c r="D95" s="3" t="s">
        <x:v>161</x:v>
      </x:c>
      <x:c r="E95" s="3" t="s">
        <x:v>414</x:v>
      </x:c>
      <x:c r="F95" s="3" t="s">
        <x:v>108</x:v>
      </x:c>
      <x:c r="G95" s="3" t="s">
        <x:v>109</x:v>
      </x:c>
      <x:c r="H95" s="3" t="s">
        <x:v>359</x:v>
      </x:c>
      <x:c r="I95" s="3" t="s">
        <x:v>360</x:v>
      </x:c>
      <x:c r="J95" s="3" t="s">
        <x:v>112</x:v>
      </x:c>
      <x:c r="K95" s="3" t="s">
        <x:v>415</x:v>
      </x:c>
      <x:c r="L95" s="3" t="s">
        <x:v>415</x:v>
      </x:c>
      <x:c r="M95" s="3"/>
      <x:c r="N95" s="3"/>
      <x:c r="O95" s="3" t="s">
        <x:v>114</x:v>
      </x:c>
      <x:c r="P95" s="3" t="s">
        <x:v>115</x:v>
      </x:c>
      <x:c r="Q95" s="3" t="s">
        <x:v>45</x:v>
      </x:c>
      <x:c r="R95" s="3"/>
      <x:c r="S95" s="8"/>
      <x:c r="T95" s="8"/>
      <x:c r="U95" s="8"/>
      <x:c r="V95" s="8"/>
    </x:row>
    <x:row r="96" ht="41.25" hidden="0" customHeight="1">
      <x:c r="A96" s="3" t="s">
        <x:v>416</x:v>
      </x:c>
      <x:c r="B96" s="3" t="s">
        <x:v>356</x:v>
      </x:c>
      <x:c r="C96" s="3" t="s">
        <x:v>396</x:v>
      </x:c>
      <x:c r="D96" s="3" t="s">
        <x:v>417</x:v>
      </x:c>
      <x:c r="E96" s="3" t="s">
        <x:v>418</x:v>
      </x:c>
      <x:c r="F96" s="3" t="s">
        <x:v>108</x:v>
      </x:c>
      <x:c r="G96" s="3" t="s">
        <x:v>109</x:v>
      </x:c>
      <x:c r="H96" s="3" t="s">
        <x:v>359</x:v>
      </x:c>
      <x:c r="I96" s="3" t="s">
        <x:v>360</x:v>
      </x:c>
      <x:c r="J96" s="3" t="s">
        <x:v>112</x:v>
      </x:c>
      <x:c r="K96" s="3" t="s">
        <x:v>397</x:v>
      </x:c>
      <x:c r="L96" s="3" t="s">
        <x:v>397</x:v>
      </x:c>
      <x:c r="M96" s="3"/>
      <x:c r="N96" s="3"/>
      <x:c r="O96" s="3" t="s">
        <x:v>114</x:v>
      </x:c>
      <x:c r="P96" s="3" t="s">
        <x:v>115</x:v>
      </x:c>
      <x:c r="Q96" s="3" t="s">
        <x:v>45</x:v>
      </x:c>
      <x:c r="R96" s="3" t="s">
        <x:v>419</x:v>
      </x:c>
      <x:c r="S96" s="8"/>
      <x:c r="T96" s="8"/>
      <x:c r="U96" s="8"/>
      <x:c r="V96" s="8"/>
    </x:row>
    <x:row r="97" ht="27.75" hidden="0" customHeight="1">
      <x:c r="A97" s="3" t="s">
        <x:v>420</x:v>
      </x:c>
      <x:c r="B97" s="3" t="s">
        <x:v>356</x:v>
      </x:c>
      <x:c r="C97" s="3" t="s">
        <x:v>421</x:v>
      </x:c>
      <x:c r="D97" s="3" t="s">
        <x:v>422</x:v>
      </x:c>
      <x:c r="E97" s="3" t="s">
        <x:v>423</x:v>
      </x:c>
      <x:c r="F97" s="3" t="s">
        <x:v>108</x:v>
      </x:c>
      <x:c r="G97" s="3" t="s">
        <x:v>109</x:v>
      </x:c>
      <x:c r="H97" s="3" t="s">
        <x:v>359</x:v>
      </x:c>
      <x:c r="I97" s="3" t="s">
        <x:v>360</x:v>
      </x:c>
      <x:c r="J97" s="3" t="s">
        <x:v>112</x:v>
      </x:c>
      <x:c r="K97" s="3" t="s">
        <x:v>424</x:v>
      </x:c>
      <x:c r="L97" s="3" t="s">
        <x:v>424</x:v>
      </x:c>
      <x:c r="M97" s="3"/>
      <x:c r="N97" s="3"/>
      <x:c r="O97" s="3" t="s">
        <x:v>114</x:v>
      </x:c>
      <x:c r="P97" s="3" t="s">
        <x:v>115</x:v>
      </x:c>
      <x:c r="Q97" s="3" t="s">
        <x:v>45</x:v>
      </x:c>
      <x:c r="R97" s="3" t="s">
        <x:v>425</x:v>
      </x:c>
      <x:c r="S97" s="8"/>
      <x:c r="T97" s="8"/>
      <x:c r="U97" s="8"/>
      <x:c r="V97" s="8"/>
    </x:row>
    <x:row r="98" ht="41.25" hidden="0" customHeight="1">
      <x:c r="A98" s="3" t="s">
        <x:v>426</x:v>
      </x:c>
      <x:c r="B98" s="3" t="s">
        <x:v>356</x:v>
      </x:c>
      <x:c r="C98" s="3" t="s">
        <x:v>357</x:v>
      </x:c>
      <x:c r="D98" s="3" t="s">
        <x:v>427</x:v>
      </x:c>
      <x:c r="E98" s="3" t="s">
        <x:v>428</x:v>
      </x:c>
      <x:c r="F98" s="3" t="s">
        <x:v>186</x:v>
      </x:c>
      <x:c r="G98" s="3" t="s">
        <x:v>187</x:v>
      </x:c>
      <x:c r="H98" s="3" t="s">
        <x:v>359</x:v>
      </x:c>
      <x:c r="I98" s="3" t="s">
        <x:v>360</x:v>
      </x:c>
      <x:c r="J98" s="3" t="s">
        <x:v>112</x:v>
      </x:c>
      <x:c r="K98" s="3" t="s">
        <x:v>429</x:v>
      </x:c>
      <x:c r="L98" s="3" t="s">
        <x:v>429</x:v>
      </x:c>
      <x:c r="M98" s="3"/>
      <x:c r="N98" s="3"/>
      <x:c r="O98" s="3" t="s">
        <x:v>114</x:v>
      </x:c>
      <x:c r="P98" s="3" t="s">
        <x:v>115</x:v>
      </x:c>
      <x:c r="Q98" s="3" t="s">
        <x:v>45</x:v>
      </x:c>
      <x:c r="R98" s="3"/>
      <x:c r="S98" s="8"/>
      <x:c r="T98" s="8"/>
      <x:c r="U98" s="8"/>
      <x:c r="V98" s="8"/>
    </x:row>
    <x:row r="99" ht="41.25" hidden="0" customHeight="1">
      <x:c r="A99" s="3" t="s">
        <x:v>430</x:v>
      </x:c>
      <x:c r="B99" s="3" t="s">
        <x:v>431</x:v>
      </x:c>
      <x:c r="C99" s="3" t="s">
        <x:v>432</x:v>
      </x:c>
      <x:c r="D99" s="3" t="s">
        <x:v>106</x:v>
      </x:c>
      <x:c r="E99" s="3" t="s">
        <x:v>433</x:v>
      </x:c>
      <x:c r="F99" s="3" t="s">
        <x:v>108</x:v>
      </x:c>
      <x:c r="G99" s="3" t="s">
        <x:v>109</x:v>
      </x:c>
      <x:c r="H99" s="3" t="s">
        <x:v>434</x:v>
      </x:c>
      <x:c r="I99" s="3" t="s">
        <x:v>435</x:v>
      </x:c>
      <x:c r="J99" s="3" t="s">
        <x:v>112</x:v>
      </x:c>
      <x:c r="K99" s="3" t="s">
        <x:v>436</x:v>
      </x:c>
      <x:c r="L99" s="3" t="s">
        <x:v>436</x:v>
      </x:c>
      <x:c r="M99" s="3"/>
      <x:c r="N99" s="3"/>
      <x:c r="O99" s="3" t="s">
        <x:v>114</x:v>
      </x:c>
      <x:c r="P99" s="3" t="s">
        <x:v>115</x:v>
      </x:c>
      <x:c r="Q99" s="3" t="s">
        <x:v>45</x:v>
      </x:c>
      <x:c r="R99" s="3"/>
      <x:c r="S99" s="8"/>
      <x:c r="T99" s="8"/>
      <x:c r="U99" s="8"/>
      <x:c r="V99" s="8"/>
    </x:row>
    <x:row r="100" ht="41.25" hidden="0" customHeight="1">
      <x:c r="A100" s="3" t="s">
        <x:v>437</x:v>
      </x:c>
      <x:c r="B100" s="3" t="s">
        <x:v>431</x:v>
      </x:c>
      <x:c r="C100" s="3" t="s">
        <x:v>432</x:v>
      </x:c>
      <x:c r="D100" s="3" t="s">
        <x:v>131</x:v>
      </x:c>
      <x:c r="E100" s="3" t="s">
        <x:v>438</x:v>
      </x:c>
      <x:c r="F100" s="3" t="s">
        <x:v>108</x:v>
      </x:c>
      <x:c r="G100" s="3" t="s">
        <x:v>109</x:v>
      </x:c>
      <x:c r="H100" s="3" t="s">
        <x:v>434</x:v>
      </x:c>
      <x:c r="I100" s="3" t="s">
        <x:v>435</x:v>
      </x:c>
      <x:c r="J100" s="3" t="s">
        <x:v>112</x:v>
      </x:c>
      <x:c r="K100" s="3" t="s">
        <x:v>439</x:v>
      </x:c>
      <x:c r="L100" s="3" t="s">
        <x:v>439</x:v>
      </x:c>
      <x:c r="M100" s="3"/>
      <x:c r="N100" s="3"/>
      <x:c r="O100" s="3" t="s">
        <x:v>114</x:v>
      </x:c>
      <x:c r="P100" s="3" t="s">
        <x:v>115</x:v>
      </x:c>
      <x:c r="Q100" s="3" t="s">
        <x:v>45</x:v>
      </x:c>
      <x:c r="R100" s="3"/>
      <x:c r="S100" s="8"/>
      <x:c r="T100" s="8"/>
      <x:c r="U100" s="8"/>
      <x:c r="V100" s="8"/>
    </x:row>
    <x:row r="101" ht="41.25" hidden="0" customHeight="1">
      <x:c r="A101" s="3" t="s">
        <x:v>440</x:v>
      </x:c>
      <x:c r="B101" s="3" t="s">
        <x:v>431</x:v>
      </x:c>
      <x:c r="C101" s="3" t="s">
        <x:v>441</x:v>
      </x:c>
      <x:c r="D101" s="3" t="s">
        <x:v>223</x:v>
      </x:c>
      <x:c r="E101" s="3" t="s">
        <x:v>224</x:v>
      </x:c>
      <x:c r="F101" s="3" t="s">
        <x:v>108</x:v>
      </x:c>
      <x:c r="G101" s="3" t="s">
        <x:v>109</x:v>
      </x:c>
      <x:c r="H101" s="3" t="s">
        <x:v>434</x:v>
      </x:c>
      <x:c r="I101" s="3" t="s">
        <x:v>435</x:v>
      </x:c>
      <x:c r="J101" s="3" t="s">
        <x:v>112</x:v>
      </x:c>
      <x:c r="K101" s="3" t="s">
        <x:v>442</x:v>
      </x:c>
      <x:c r="L101" s="3" t="s">
        <x:v>443</x:v>
      </x:c>
      <x:c r="M101" s="3"/>
      <x:c r="N101" s="3"/>
      <x:c r="O101" s="3" t="s">
        <x:v>114</x:v>
      </x:c>
      <x:c r="P101" s="3" t="s">
        <x:v>115</x:v>
      </x:c>
      <x:c r="Q101" s="3" t="s">
        <x:v>45</x:v>
      </x:c>
      <x:c r="R101" s="3"/>
      <x:c r="S101" s="8"/>
      <x:c r="T101" s="8"/>
      <x:c r="U101" s="8"/>
      <x:c r="V101" s="8"/>
    </x:row>
    <x:row r="102" ht="41.25" hidden="0" customHeight="1">
      <x:c r="A102" s="3" t="s">
        <x:v>444</x:v>
      </x:c>
      <x:c r="B102" s="3" t="s">
        <x:v>431</x:v>
      </x:c>
      <x:c r="C102" s="3" t="s">
        <x:v>441</x:v>
      </x:c>
      <x:c r="D102" s="3" t="s">
        <x:v>445</x:v>
      </x:c>
      <x:c r="E102" s="3" t="s">
        <x:v>446</x:v>
      </x:c>
      <x:c r="F102" s="3" t="s">
        <x:v>108</x:v>
      </x:c>
      <x:c r="G102" s="3" t="s">
        <x:v>109</x:v>
      </x:c>
      <x:c r="H102" s="3" t="s">
        <x:v>434</x:v>
      </x:c>
      <x:c r="I102" s="3" t="s">
        <x:v>435</x:v>
      </x:c>
      <x:c r="J102" s="3" t="s">
        <x:v>112</x:v>
      </x:c>
      <x:c r="K102" s="3" t="s">
        <x:v>442</x:v>
      </x:c>
      <x:c r="L102" s="3" t="s">
        <x:v>443</x:v>
      </x:c>
      <x:c r="M102" s="3"/>
      <x:c r="N102" s="3"/>
      <x:c r="O102" s="3" t="s">
        <x:v>114</x:v>
      </x:c>
      <x:c r="P102" s="3" t="s">
        <x:v>115</x:v>
      </x:c>
      <x:c r="Q102" s="3" t="s">
        <x:v>45</x:v>
      </x:c>
      <x:c r="R102" s="3"/>
      <x:c r="S102" s="8"/>
      <x:c r="T102" s="8"/>
      <x:c r="U102" s="8"/>
      <x:c r="V102" s="8"/>
    </x:row>
    <x:row r="103" ht="41.25" hidden="0" customHeight="1">
      <x:c r="A103" s="3" t="s">
        <x:v>447</x:v>
      </x:c>
      <x:c r="B103" s="3" t="s">
        <x:v>431</x:v>
      </x:c>
      <x:c r="C103" s="3" t="s">
        <x:v>441</x:v>
      </x:c>
      <x:c r="D103" s="3" t="s">
        <x:v>227</x:v>
      </x:c>
      <x:c r="E103" s="3" t="s">
        <x:v>448</x:v>
      </x:c>
      <x:c r="F103" s="3" t="s">
        <x:v>108</x:v>
      </x:c>
      <x:c r="G103" s="3" t="s">
        <x:v>109</x:v>
      </x:c>
      <x:c r="H103" s="3" t="s">
        <x:v>434</x:v>
      </x:c>
      <x:c r="I103" s="3" t="s">
        <x:v>435</x:v>
      </x:c>
      <x:c r="J103" s="3" t="s">
        <x:v>112</x:v>
      </x:c>
      <x:c r="K103" s="3" t="s">
        <x:v>442</x:v>
      </x:c>
      <x:c r="L103" s="3" t="s">
        <x:v>443</x:v>
      </x:c>
      <x:c r="M103" s="3"/>
      <x:c r="N103" s="3"/>
      <x:c r="O103" s="3" t="s">
        <x:v>114</x:v>
      </x:c>
      <x:c r="P103" s="3" t="s">
        <x:v>115</x:v>
      </x:c>
      <x:c r="Q103" s="3" t="s">
        <x:v>45</x:v>
      </x:c>
      <x:c r="R103" s="3"/>
      <x:c r="S103" s="8"/>
      <x:c r="T103" s="8"/>
      <x:c r="U103" s="8"/>
      <x:c r="V103" s="8"/>
    </x:row>
    <x:row r="104" ht="41.25" hidden="0" customHeight="1">
      <x:c r="A104" s="3" t="s">
        <x:v>449</x:v>
      </x:c>
      <x:c r="B104" s="3" t="s">
        <x:v>431</x:v>
      </x:c>
      <x:c r="C104" s="3" t="s">
        <x:v>441</x:v>
      </x:c>
      <x:c r="D104" s="3" t="s">
        <x:v>450</x:v>
      </x:c>
      <x:c r="E104" s="3" t="s">
        <x:v>451</x:v>
      </x:c>
      <x:c r="F104" s="3" t="s">
        <x:v>108</x:v>
      </x:c>
      <x:c r="G104" s="3" t="s">
        <x:v>109</x:v>
      </x:c>
      <x:c r="H104" s="3" t="s">
        <x:v>434</x:v>
      </x:c>
      <x:c r="I104" s="3" t="s">
        <x:v>435</x:v>
      </x:c>
      <x:c r="J104" s="3" t="s">
        <x:v>112</x:v>
      </x:c>
      <x:c r="K104" s="3" t="s">
        <x:v>442</x:v>
      </x:c>
      <x:c r="L104" s="3" t="s">
        <x:v>443</x:v>
      </x:c>
      <x:c r="M104" s="3"/>
      <x:c r="N104" s="3"/>
      <x:c r="O104" s="3" t="s">
        <x:v>114</x:v>
      </x:c>
      <x:c r="P104" s="3" t="s">
        <x:v>115</x:v>
      </x:c>
      <x:c r="Q104" s="3" t="s">
        <x:v>45</x:v>
      </x:c>
      <x:c r="R104" s="3"/>
      <x:c r="S104" s="8"/>
      <x:c r="T104" s="8"/>
      <x:c r="U104" s="8"/>
      <x:c r="V104" s="8"/>
    </x:row>
    <x:row r="105" ht="41.25" hidden="0" customHeight="1">
      <x:c r="A105" s="3" t="s">
        <x:v>452</x:v>
      </x:c>
      <x:c r="B105" s="3" t="s">
        <x:v>431</x:v>
      </x:c>
      <x:c r="C105" s="3" t="s">
        <x:v>441</x:v>
      </x:c>
      <x:c r="D105" s="3" t="s">
        <x:v>230</x:v>
      </x:c>
      <x:c r="E105" s="3" t="s">
        <x:v>453</x:v>
      </x:c>
      <x:c r="F105" s="3" t="s">
        <x:v>108</x:v>
      </x:c>
      <x:c r="G105" s="3" t="s">
        <x:v>109</x:v>
      </x:c>
      <x:c r="H105" s="3" t="s">
        <x:v>434</x:v>
      </x:c>
      <x:c r="I105" s="3" t="s">
        <x:v>435</x:v>
      </x:c>
      <x:c r="J105" s="3" t="s">
        <x:v>112</x:v>
      </x:c>
      <x:c r="K105" s="3" t="s">
        <x:v>442</x:v>
      </x:c>
      <x:c r="L105" s="3" t="s">
        <x:v>443</x:v>
      </x:c>
      <x:c r="M105" s="3"/>
      <x:c r="N105" s="3"/>
      <x:c r="O105" s="3" t="s">
        <x:v>114</x:v>
      </x:c>
      <x:c r="P105" s="3" t="s">
        <x:v>115</x:v>
      </x:c>
      <x:c r="Q105" s="3" t="s">
        <x:v>45</x:v>
      </x:c>
      <x:c r="R105" s="3"/>
      <x:c r="S105" s="8"/>
      <x:c r="T105" s="8"/>
      <x:c r="U105" s="8"/>
      <x:c r="V105" s="8"/>
    </x:row>
    <x:row r="106" ht="41.25" hidden="0" customHeight="1">
      <x:c r="A106" s="3" t="s">
        <x:v>454</x:v>
      </x:c>
      <x:c r="B106" s="3" t="s">
        <x:v>431</x:v>
      </x:c>
      <x:c r="C106" s="3" t="s">
        <x:v>441</x:v>
      </x:c>
      <x:c r="D106" s="3" t="s">
        <x:v>164</x:v>
      </x:c>
      <x:c r="E106" s="3" t="s">
        <x:v>165</x:v>
      </x:c>
      <x:c r="F106" s="3" t="s">
        <x:v>108</x:v>
      </x:c>
      <x:c r="G106" s="3" t="s">
        <x:v>109</x:v>
      </x:c>
      <x:c r="H106" s="3" t="s">
        <x:v>434</x:v>
      </x:c>
      <x:c r="I106" s="3" t="s">
        <x:v>435</x:v>
      </x:c>
      <x:c r="J106" s="3" t="s">
        <x:v>112</x:v>
      </x:c>
      <x:c r="K106" s="3" t="s">
        <x:v>442</x:v>
      </x:c>
      <x:c r="L106" s="3" t="s">
        <x:v>443</x:v>
      </x:c>
      <x:c r="M106" s="3"/>
      <x:c r="N106" s="3"/>
      <x:c r="O106" s="3" t="s">
        <x:v>114</x:v>
      </x:c>
      <x:c r="P106" s="3" t="s">
        <x:v>115</x:v>
      </x:c>
      <x:c r="Q106" s="3" t="s">
        <x:v>45</x:v>
      </x:c>
      <x:c r="R106" s="3"/>
      <x:c r="S106" s="8"/>
      <x:c r="T106" s="8"/>
      <x:c r="U106" s="8"/>
      <x:c r="V106" s="8"/>
    </x:row>
    <x:row r="107" ht="41.25" hidden="0" customHeight="1">
      <x:c r="A107" s="3" t="s">
        <x:v>455</x:v>
      </x:c>
      <x:c r="B107" s="3" t="s">
        <x:v>431</x:v>
      </x:c>
      <x:c r="C107" s="3" t="s">
        <x:v>441</x:v>
      </x:c>
      <x:c r="D107" s="3" t="s">
        <x:v>318</x:v>
      </x:c>
      <x:c r="E107" s="3" t="s">
        <x:v>456</x:v>
      </x:c>
      <x:c r="F107" s="3" t="s">
        <x:v>108</x:v>
      </x:c>
      <x:c r="G107" s="3" t="s">
        <x:v>109</x:v>
      </x:c>
      <x:c r="H107" s="3" t="s">
        <x:v>434</x:v>
      </x:c>
      <x:c r="I107" s="3" t="s">
        <x:v>435</x:v>
      </x:c>
      <x:c r="J107" s="3" t="s">
        <x:v>112</x:v>
      </x:c>
      <x:c r="K107" s="3" t="s">
        <x:v>442</x:v>
      </x:c>
      <x:c r="L107" s="3" t="s">
        <x:v>443</x:v>
      </x:c>
      <x:c r="M107" s="3"/>
      <x:c r="N107" s="3"/>
      <x:c r="O107" s="3" t="s">
        <x:v>114</x:v>
      </x:c>
      <x:c r="P107" s="3" t="s">
        <x:v>115</x:v>
      </x:c>
      <x:c r="Q107" s="3" t="s">
        <x:v>45</x:v>
      </x:c>
      <x:c r="R107" s="3"/>
      <x:c r="S107" s="8"/>
      <x:c r="T107" s="8"/>
      <x:c r="U107" s="8"/>
      <x:c r="V107" s="8"/>
    </x:row>
    <x:row r="108" ht="41.25" hidden="0" customHeight="1">
      <x:c r="A108" s="3" t="s">
        <x:v>457</x:v>
      </x:c>
      <x:c r="B108" s="3" t="s">
        <x:v>431</x:v>
      </x:c>
      <x:c r="C108" s="3" t="s">
        <x:v>441</x:v>
      </x:c>
      <x:c r="D108" s="3" t="s">
        <x:v>170</x:v>
      </x:c>
      <x:c r="E108" s="3" t="s">
        <x:v>458</x:v>
      </x:c>
      <x:c r="F108" s="3" t="s">
        <x:v>108</x:v>
      </x:c>
      <x:c r="G108" s="3" t="s">
        <x:v>109</x:v>
      </x:c>
      <x:c r="H108" s="3" t="s">
        <x:v>434</x:v>
      </x:c>
      <x:c r="I108" s="3" t="s">
        <x:v>435</x:v>
      </x:c>
      <x:c r="J108" s="3" t="s">
        <x:v>112</x:v>
      </x:c>
      <x:c r="K108" s="3" t="s">
        <x:v>442</x:v>
      </x:c>
      <x:c r="L108" s="3" t="s">
        <x:v>443</x:v>
      </x:c>
      <x:c r="M108" s="3"/>
      <x:c r="N108" s="3"/>
      <x:c r="O108" s="3" t="s">
        <x:v>114</x:v>
      </x:c>
      <x:c r="P108" s="3" t="s">
        <x:v>115</x:v>
      </x:c>
      <x:c r="Q108" s="3" t="s">
        <x:v>45</x:v>
      </x:c>
      <x:c r="R108" s="3"/>
      <x:c r="S108" s="8"/>
      <x:c r="T108" s="8"/>
      <x:c r="U108" s="8"/>
      <x:c r="V108" s="8"/>
    </x:row>
    <x:row r="109" ht="41.25" hidden="0" customHeight="1">
      <x:c r="A109" s="3" t="s">
        <x:v>459</x:v>
      </x:c>
      <x:c r="B109" s="3" t="s">
        <x:v>431</x:v>
      </x:c>
      <x:c r="C109" s="3" t="s">
        <x:v>441</x:v>
      </x:c>
      <x:c r="D109" s="3" t="s">
        <x:v>167</x:v>
      </x:c>
      <x:c r="E109" s="3" t="s">
        <x:v>451</x:v>
      </x:c>
      <x:c r="F109" s="3" t="s">
        <x:v>108</x:v>
      </x:c>
      <x:c r="G109" s="3" t="s">
        <x:v>109</x:v>
      </x:c>
      <x:c r="H109" s="3" t="s">
        <x:v>434</x:v>
      </x:c>
      <x:c r="I109" s="3" t="s">
        <x:v>435</x:v>
      </x:c>
      <x:c r="J109" s="3" t="s">
        <x:v>112</x:v>
      </x:c>
      <x:c r="K109" s="3" t="s">
        <x:v>442</x:v>
      </x:c>
      <x:c r="L109" s="3" t="s">
        <x:v>443</x:v>
      </x:c>
      <x:c r="M109" s="3"/>
      <x:c r="N109" s="3"/>
      <x:c r="O109" s="3" t="s">
        <x:v>114</x:v>
      </x:c>
      <x:c r="P109" s="3" t="s">
        <x:v>115</x:v>
      </x:c>
      <x:c r="Q109" s="3" t="s">
        <x:v>45</x:v>
      </x:c>
      <x:c r="R109" s="3"/>
      <x:c r="S109" s="8"/>
      <x:c r="T109" s="8"/>
      <x:c r="U109" s="8"/>
      <x:c r="V109" s="8"/>
    </x:row>
    <x:row r="110" ht="41.25" hidden="0" customHeight="1">
      <x:c r="A110" s="3" t="s">
        <x:v>460</x:v>
      </x:c>
      <x:c r="B110" s="3" t="s">
        <x:v>431</x:v>
      </x:c>
      <x:c r="C110" s="3" t="s">
        <x:v>441</x:v>
      </x:c>
      <x:c r="D110" s="3" t="s">
        <x:v>142</x:v>
      </x:c>
      <x:c r="E110" s="3" t="s">
        <x:v>461</x:v>
      </x:c>
      <x:c r="F110" s="3" t="s">
        <x:v>108</x:v>
      </x:c>
      <x:c r="G110" s="3" t="s">
        <x:v>109</x:v>
      </x:c>
      <x:c r="H110" s="3" t="s">
        <x:v>434</x:v>
      </x:c>
      <x:c r="I110" s="3" t="s">
        <x:v>435</x:v>
      </x:c>
      <x:c r="J110" s="3" t="s">
        <x:v>112</x:v>
      </x:c>
      <x:c r="K110" s="3" t="s">
        <x:v>442</x:v>
      </x:c>
      <x:c r="L110" s="3" t="s">
        <x:v>443</x:v>
      </x:c>
      <x:c r="M110" s="3"/>
      <x:c r="N110" s="3"/>
      <x:c r="O110" s="3" t="s">
        <x:v>114</x:v>
      </x:c>
      <x:c r="P110" s="3" t="s">
        <x:v>115</x:v>
      </x:c>
      <x:c r="Q110" s="3" t="s">
        <x:v>45</x:v>
      </x:c>
      <x:c r="R110" s="3"/>
      <x:c r="S110" s="8"/>
      <x:c r="T110" s="8"/>
      <x:c r="U110" s="8"/>
      <x:c r="V110" s="8"/>
    </x:row>
    <x:row r="111" ht="41.25" hidden="0" customHeight="1">
      <x:c r="A111" s="3" t="s">
        <x:v>462</x:v>
      </x:c>
      <x:c r="B111" s="3" t="s">
        <x:v>431</x:v>
      </x:c>
      <x:c r="C111" s="3" t="s">
        <x:v>441</x:v>
      </x:c>
      <x:c r="D111" s="3" t="s">
        <x:v>463</x:v>
      </x:c>
      <x:c r="E111" s="3" t="s">
        <x:v>464</x:v>
      </x:c>
      <x:c r="F111" s="3" t="s">
        <x:v>108</x:v>
      </x:c>
      <x:c r="G111" s="3" t="s">
        <x:v>109</x:v>
      </x:c>
      <x:c r="H111" s="3" t="s">
        <x:v>434</x:v>
      </x:c>
      <x:c r="I111" s="3" t="s">
        <x:v>435</x:v>
      </x:c>
      <x:c r="J111" s="3" t="s">
        <x:v>112</x:v>
      </x:c>
      <x:c r="K111" s="3" t="s">
        <x:v>442</x:v>
      </x:c>
      <x:c r="L111" s="3" t="s">
        <x:v>443</x:v>
      </x:c>
      <x:c r="M111" s="3"/>
      <x:c r="N111" s="3"/>
      <x:c r="O111" s="3" t="s">
        <x:v>114</x:v>
      </x:c>
      <x:c r="P111" s="3" t="s">
        <x:v>115</x:v>
      </x:c>
      <x:c r="Q111" s="3" t="s">
        <x:v>45</x:v>
      </x:c>
      <x:c r="R111" s="3"/>
      <x:c r="S111" s="8"/>
      <x:c r="T111" s="8"/>
      <x:c r="U111" s="8"/>
      <x:c r="V111" s="8"/>
    </x:row>
    <x:row r="112" ht="41.25" hidden="0" customHeight="1">
      <x:c r="A112" s="3" t="s">
        <x:v>465</x:v>
      </x:c>
      <x:c r="B112" s="3" t="s">
        <x:v>431</x:v>
      </x:c>
      <x:c r="C112" s="3" t="s">
        <x:v>466</x:v>
      </x:c>
      <x:c r="D112" s="3" t="s">
        <x:v>227</x:v>
      </x:c>
      <x:c r="E112" s="3" t="s">
        <x:v>467</x:v>
      </x:c>
      <x:c r="F112" s="3" t="s">
        <x:v>108</x:v>
      </x:c>
      <x:c r="G112" s="3" t="s">
        <x:v>109</x:v>
      </x:c>
      <x:c r="H112" s="3" t="s">
        <x:v>434</x:v>
      </x:c>
      <x:c r="I112" s="3" t="s">
        <x:v>435</x:v>
      </x:c>
      <x:c r="J112" s="3" t="s">
        <x:v>112</x:v>
      </x:c>
      <x:c r="K112" s="3" t="s">
        <x:v>468</x:v>
      </x:c>
      <x:c r="L112" s="3" t="s">
        <x:v>469</x:v>
      </x:c>
      <x:c r="M112" s="3"/>
      <x:c r="N112" s="3"/>
      <x:c r="O112" s="3" t="s">
        <x:v>114</x:v>
      </x:c>
      <x:c r="P112" s="3" t="s">
        <x:v>115</x:v>
      </x:c>
      <x:c r="Q112" s="3" t="s">
        <x:v>45</x:v>
      </x:c>
      <x:c r="R112" s="3"/>
      <x:c r="S112" s="8"/>
      <x:c r="T112" s="8"/>
      <x:c r="U112" s="8"/>
      <x:c r="V112" s="8"/>
    </x:row>
    <x:row r="113" ht="41.25" hidden="0" customHeight="1">
      <x:c r="A113" s="3" t="s">
        <x:v>470</x:v>
      </x:c>
      <x:c r="B113" s="3" t="s">
        <x:v>431</x:v>
      </x:c>
      <x:c r="C113" s="3" t="s">
        <x:v>466</x:v>
      </x:c>
      <x:c r="D113" s="3" t="s">
        <x:v>223</x:v>
      </x:c>
      <x:c r="E113" s="3" t="s">
        <x:v>224</x:v>
      </x:c>
      <x:c r="F113" s="3" t="s">
        <x:v>108</x:v>
      </x:c>
      <x:c r="G113" s="3" t="s">
        <x:v>109</x:v>
      </x:c>
      <x:c r="H113" s="3" t="s">
        <x:v>434</x:v>
      </x:c>
      <x:c r="I113" s="3" t="s">
        <x:v>435</x:v>
      </x:c>
      <x:c r="J113" s="3" t="s">
        <x:v>112</x:v>
      </x:c>
      <x:c r="K113" s="3" t="s">
        <x:v>468</x:v>
      </x:c>
      <x:c r="L113" s="3" t="s">
        <x:v>469</x:v>
      </x:c>
      <x:c r="M113" s="3"/>
      <x:c r="N113" s="3"/>
      <x:c r="O113" s="3" t="s">
        <x:v>114</x:v>
      </x:c>
      <x:c r="P113" s="3" t="s">
        <x:v>115</x:v>
      </x:c>
      <x:c r="Q113" s="3" t="s">
        <x:v>45</x:v>
      </x:c>
      <x:c r="R113" s="3"/>
      <x:c r="S113" s="8"/>
      <x:c r="T113" s="8"/>
      <x:c r="U113" s="8"/>
      <x:c r="V113" s="8"/>
    </x:row>
    <x:row r="114" ht="41.25" hidden="0" customHeight="1">
      <x:c r="A114" s="3" t="s">
        <x:v>471</x:v>
      </x:c>
      <x:c r="B114" s="3" t="s">
        <x:v>431</x:v>
      </x:c>
      <x:c r="C114" s="3" t="s">
        <x:v>466</x:v>
      </x:c>
      <x:c r="D114" s="3" t="s">
        <x:v>170</x:v>
      </x:c>
      <x:c r="E114" s="3" t="s">
        <x:v>458</x:v>
      </x:c>
      <x:c r="F114" s="3" t="s">
        <x:v>108</x:v>
      </x:c>
      <x:c r="G114" s="3" t="s">
        <x:v>109</x:v>
      </x:c>
      <x:c r="H114" s="3" t="s">
        <x:v>434</x:v>
      </x:c>
      <x:c r="I114" s="3" t="s">
        <x:v>435</x:v>
      </x:c>
      <x:c r="J114" s="3" t="s">
        <x:v>112</x:v>
      </x:c>
      <x:c r="K114" s="3" t="s">
        <x:v>468</x:v>
      </x:c>
      <x:c r="L114" s="3" t="s">
        <x:v>469</x:v>
      </x:c>
      <x:c r="M114" s="3"/>
      <x:c r="N114" s="3"/>
      <x:c r="O114" s="3" t="s">
        <x:v>114</x:v>
      </x:c>
      <x:c r="P114" s="3" t="s">
        <x:v>115</x:v>
      </x:c>
      <x:c r="Q114" s="3" t="s">
        <x:v>45</x:v>
      </x:c>
      <x:c r="R114" s="3"/>
      <x:c r="S114" s="8"/>
      <x:c r="T114" s="8"/>
      <x:c r="U114" s="8"/>
      <x:c r="V114" s="8"/>
    </x:row>
    <x:row r="115" ht="41.25" hidden="0" customHeight="1">
      <x:c r="A115" s="3" t="s">
        <x:v>472</x:v>
      </x:c>
      <x:c r="B115" s="3" t="s">
        <x:v>431</x:v>
      </x:c>
      <x:c r="C115" s="3" t="s">
        <x:v>466</x:v>
      </x:c>
      <x:c r="D115" s="3" t="s">
        <x:v>167</x:v>
      </x:c>
      <x:c r="E115" s="3" t="s">
        <x:v>451</x:v>
      </x:c>
      <x:c r="F115" s="3" t="s">
        <x:v>108</x:v>
      </x:c>
      <x:c r="G115" s="3" t="s">
        <x:v>109</x:v>
      </x:c>
      <x:c r="H115" s="3" t="s">
        <x:v>434</x:v>
      </x:c>
      <x:c r="I115" s="3" t="s">
        <x:v>435</x:v>
      </x:c>
      <x:c r="J115" s="3" t="s">
        <x:v>112</x:v>
      </x:c>
      <x:c r="K115" s="3" t="s">
        <x:v>468</x:v>
      </x:c>
      <x:c r="L115" s="3" t="s">
        <x:v>469</x:v>
      </x:c>
      <x:c r="M115" s="3"/>
      <x:c r="N115" s="3"/>
      <x:c r="O115" s="3" t="s">
        <x:v>114</x:v>
      </x:c>
      <x:c r="P115" s="3" t="s">
        <x:v>115</x:v>
      </x:c>
      <x:c r="Q115" s="3" t="s">
        <x:v>45</x:v>
      </x:c>
      <x:c r="R115" s="3"/>
      <x:c r="S115" s="8"/>
      <x:c r="T115" s="8"/>
      <x:c r="U115" s="8"/>
      <x:c r="V115" s="8"/>
    </x:row>
    <x:row r="116" ht="41.25" hidden="0" customHeight="1">
      <x:c r="A116" s="3" t="s">
        <x:v>473</x:v>
      </x:c>
      <x:c r="B116" s="3" t="s">
        <x:v>431</x:v>
      </x:c>
      <x:c r="C116" s="3" t="s">
        <x:v>466</x:v>
      </x:c>
      <x:c r="D116" s="3" t="s">
        <x:v>318</x:v>
      </x:c>
      <x:c r="E116" s="3" t="s">
        <x:v>456</x:v>
      </x:c>
      <x:c r="F116" s="3" t="s">
        <x:v>108</x:v>
      </x:c>
      <x:c r="G116" s="3" t="s">
        <x:v>109</x:v>
      </x:c>
      <x:c r="H116" s="3" t="s">
        <x:v>434</x:v>
      </x:c>
      <x:c r="I116" s="3" t="s">
        <x:v>435</x:v>
      </x:c>
      <x:c r="J116" s="3" t="s">
        <x:v>112</x:v>
      </x:c>
      <x:c r="K116" s="3" t="s">
        <x:v>468</x:v>
      </x:c>
      <x:c r="L116" s="3" t="s">
        <x:v>469</x:v>
      </x:c>
      <x:c r="M116" s="3"/>
      <x:c r="N116" s="3"/>
      <x:c r="O116" s="3" t="s">
        <x:v>114</x:v>
      </x:c>
      <x:c r="P116" s="3" t="s">
        <x:v>115</x:v>
      </x:c>
      <x:c r="Q116" s="3" t="s">
        <x:v>45</x:v>
      </x:c>
      <x:c r="R116" s="3"/>
      <x:c r="S116" s="8"/>
      <x:c r="T116" s="8"/>
      <x:c r="U116" s="8"/>
      <x:c r="V116" s="8"/>
    </x:row>
    <x:row r="117" ht="41.25" hidden="0" customHeight="1">
      <x:c r="A117" s="3" t="s">
        <x:v>474</x:v>
      </x:c>
      <x:c r="B117" s="3" t="s">
        <x:v>431</x:v>
      </x:c>
      <x:c r="C117" s="3" t="s">
        <x:v>466</x:v>
      </x:c>
      <x:c r="D117" s="3" t="s">
        <x:v>142</x:v>
      </x:c>
      <x:c r="E117" s="3" t="s">
        <x:v>475</x:v>
      </x:c>
      <x:c r="F117" s="3" t="s">
        <x:v>108</x:v>
      </x:c>
      <x:c r="G117" s="3" t="s">
        <x:v>109</x:v>
      </x:c>
      <x:c r="H117" s="3" t="s">
        <x:v>434</x:v>
      </x:c>
      <x:c r="I117" s="3" t="s">
        <x:v>435</x:v>
      </x:c>
      <x:c r="J117" s="3" t="s">
        <x:v>112</x:v>
      </x:c>
      <x:c r="K117" s="3" t="s">
        <x:v>468</x:v>
      </x:c>
      <x:c r="L117" s="3" t="s">
        <x:v>469</x:v>
      </x:c>
      <x:c r="M117" s="3"/>
      <x:c r="N117" s="3"/>
      <x:c r="O117" s="3" t="s">
        <x:v>114</x:v>
      </x:c>
      <x:c r="P117" s="3" t="s">
        <x:v>115</x:v>
      </x:c>
      <x:c r="Q117" s="3" t="s">
        <x:v>45</x:v>
      </x:c>
      <x:c r="R117" s="3"/>
      <x:c r="S117" s="8"/>
      <x:c r="T117" s="8"/>
      <x:c r="U117" s="8"/>
      <x:c r="V117" s="8"/>
    </x:row>
    <x:row r="118" ht="41.25" hidden="0" customHeight="1">
      <x:c r="A118" s="3" t="s">
        <x:v>476</x:v>
      </x:c>
      <x:c r="B118" s="3" t="s">
        <x:v>477</x:v>
      </x:c>
      <x:c r="C118" s="3" t="s">
        <x:v>478</x:v>
      </x:c>
      <x:c r="D118" s="3" t="s">
        <x:v>106</x:v>
      </x:c>
      <x:c r="E118" s="3" t="s">
        <x:v>479</x:v>
      </x:c>
      <x:c r="F118" s="3" t="s">
        <x:v>108</x:v>
      </x:c>
      <x:c r="G118" s="3" t="s">
        <x:v>109</x:v>
      </x:c>
      <x:c r="H118" s="3" t="s">
        <x:v>480</x:v>
      </x:c>
      <x:c r="I118" s="3" t="s">
        <x:v>481</x:v>
      </x:c>
      <x:c r="J118" s="3" t="s">
        <x:v>112</x:v>
      </x:c>
      <x:c r="K118" s="3" t="s">
        <x:v>113</x:v>
      </x:c>
      <x:c r="L118" s="3" t="s">
        <x:v>113</x:v>
      </x:c>
      <x:c r="M118" s="3"/>
      <x:c r="N118" s="3"/>
      <x:c r="O118" s="3" t="s">
        <x:v>114</x:v>
      </x:c>
      <x:c r="P118" s="3" t="s">
        <x:v>115</x:v>
      </x:c>
      <x:c r="Q118" s="3" t="s">
        <x:v>45</x:v>
      </x:c>
      <x:c r="R118" s="3"/>
      <x:c r="S118" s="8"/>
      <x:c r="T118" s="8"/>
      <x:c r="U118" s="8"/>
      <x:c r="V118" s="8"/>
    </x:row>
    <x:row r="119" ht="41.25" hidden="0" customHeight="1">
      <x:c r="A119" s="3" t="s">
        <x:v>482</x:v>
      </x:c>
      <x:c r="B119" s="3" t="s">
        <x:v>477</x:v>
      </x:c>
      <x:c r="C119" s="3" t="s">
        <x:v>478</x:v>
      </x:c>
      <x:c r="D119" s="3" t="s">
        <x:v>117</x:v>
      </x:c>
      <x:c r="E119" s="3" t="s">
        <x:v>483</x:v>
      </x:c>
      <x:c r="F119" s="3" t="s">
        <x:v>108</x:v>
      </x:c>
      <x:c r="G119" s="3" t="s">
        <x:v>109</x:v>
      </x:c>
      <x:c r="H119" s="3" t="s">
        <x:v>480</x:v>
      </x:c>
      <x:c r="I119" s="3" t="s">
        <x:v>481</x:v>
      </x:c>
      <x:c r="J119" s="3" t="s">
        <x:v>112</x:v>
      </x:c>
      <x:c r="K119" s="3" t="s">
        <x:v>484</x:v>
      </x:c>
      <x:c r="L119" s="3" t="s">
        <x:v>484</x:v>
      </x:c>
      <x:c r="M119" s="3"/>
      <x:c r="N119" s="3"/>
      <x:c r="O119" s="3" t="s">
        <x:v>114</x:v>
      </x:c>
      <x:c r="P119" s="3" t="s">
        <x:v>115</x:v>
      </x:c>
      <x:c r="Q119" s="3" t="s">
        <x:v>45</x:v>
      </x:c>
      <x:c r="R119" s="3"/>
      <x:c r="S119" s="8"/>
      <x:c r="T119" s="8"/>
      <x:c r="U119" s="8"/>
      <x:c r="V119" s="8"/>
    </x:row>
    <x:row r="120" ht="41.25" hidden="0" customHeight="1">
      <x:c r="A120" s="3" t="s">
        <x:v>485</x:v>
      </x:c>
      <x:c r="B120" s="3" t="s">
        <x:v>477</x:v>
      </x:c>
      <x:c r="C120" s="3" t="s">
        <x:v>478</x:v>
      </x:c>
      <x:c r="D120" s="3" t="s">
        <x:v>120</x:v>
      </x:c>
      <x:c r="E120" s="3" t="s">
        <x:v>486</x:v>
      </x:c>
      <x:c r="F120" s="3" t="s">
        <x:v>108</x:v>
      </x:c>
      <x:c r="G120" s="3" t="s">
        <x:v>109</x:v>
      </x:c>
      <x:c r="H120" s="3" t="s">
        <x:v>480</x:v>
      </x:c>
      <x:c r="I120" s="3" t="s">
        <x:v>481</x:v>
      </x:c>
      <x:c r="J120" s="3" t="s">
        <x:v>112</x:v>
      </x:c>
      <x:c r="K120" s="3" t="s">
        <x:v>484</x:v>
      </x:c>
      <x:c r="L120" s="3" t="s">
        <x:v>484</x:v>
      </x:c>
      <x:c r="M120" s="3"/>
      <x:c r="N120" s="3"/>
      <x:c r="O120" s="3" t="s">
        <x:v>114</x:v>
      </x:c>
      <x:c r="P120" s="3" t="s">
        <x:v>115</x:v>
      </x:c>
      <x:c r="Q120" s="3" t="s">
        <x:v>45</x:v>
      </x:c>
      <x:c r="R120" s="3"/>
      <x:c r="S120" s="8"/>
      <x:c r="T120" s="8"/>
      <x:c r="U120" s="8"/>
      <x:c r="V120" s="8"/>
    </x:row>
    <x:row r="121" ht="41.25" hidden="0" customHeight="1">
      <x:c r="A121" s="3" t="s">
        <x:v>487</x:v>
      </x:c>
      <x:c r="B121" s="3" t="s">
        <x:v>477</x:v>
      </x:c>
      <x:c r="C121" s="3" t="s">
        <x:v>478</x:v>
      </x:c>
      <x:c r="D121" s="3" t="s">
        <x:v>488</x:v>
      </x:c>
      <x:c r="E121" s="3" t="s">
        <x:v>489</x:v>
      </x:c>
      <x:c r="F121" s="3" t="s">
        <x:v>108</x:v>
      </x:c>
      <x:c r="G121" s="3" t="s">
        <x:v>109</x:v>
      </x:c>
      <x:c r="H121" s="3" t="s">
        <x:v>480</x:v>
      </x:c>
      <x:c r="I121" s="3" t="s">
        <x:v>481</x:v>
      </x:c>
      <x:c r="J121" s="3" t="s">
        <x:v>112</x:v>
      </x:c>
      <x:c r="K121" s="3" t="s">
        <x:v>490</x:v>
      </x:c>
      <x:c r="L121" s="3" t="s">
        <x:v>490</x:v>
      </x:c>
      <x:c r="M121" s="3"/>
      <x:c r="N121" s="3"/>
      <x:c r="O121" s="3" t="s">
        <x:v>114</x:v>
      </x:c>
      <x:c r="P121" s="3" t="s">
        <x:v>115</x:v>
      </x:c>
      <x:c r="Q121" s="3" t="s">
        <x:v>45</x:v>
      </x:c>
      <x:c r="R121" s="3"/>
      <x:c r="S121" s="8"/>
      <x:c r="T121" s="8"/>
      <x:c r="U121" s="8"/>
      <x:c r="V121" s="8"/>
    </x:row>
    <x:row r="122" ht="41.25" hidden="0" customHeight="1">
      <x:c r="A122" s="3" t="s">
        <x:v>491</x:v>
      </x:c>
      <x:c r="B122" s="3" t="s">
        <x:v>477</x:v>
      </x:c>
      <x:c r="C122" s="3" t="s">
        <x:v>478</x:v>
      </x:c>
      <x:c r="D122" s="3" t="s">
        <x:v>131</x:v>
      </x:c>
      <x:c r="E122" s="3" t="s">
        <x:v>492</x:v>
      </x:c>
      <x:c r="F122" s="3" t="s">
        <x:v>108</x:v>
      </x:c>
      <x:c r="G122" s="3" t="s">
        <x:v>109</x:v>
      </x:c>
      <x:c r="H122" s="3" t="s">
        <x:v>480</x:v>
      </x:c>
      <x:c r="I122" s="3" t="s">
        <x:v>481</x:v>
      </x:c>
      <x:c r="J122" s="3" t="s">
        <x:v>112</x:v>
      </x:c>
      <x:c r="K122" s="3" t="s">
        <x:v>484</x:v>
      </x:c>
      <x:c r="L122" s="3" t="s">
        <x:v>484</x:v>
      </x:c>
      <x:c r="M122" s="3"/>
      <x:c r="N122" s="3"/>
      <x:c r="O122" s="3" t="s">
        <x:v>114</x:v>
      </x:c>
      <x:c r="P122" s="3" t="s">
        <x:v>115</x:v>
      </x:c>
      <x:c r="Q122" s="3" t="s">
        <x:v>45</x:v>
      </x:c>
      <x:c r="R122" s="3"/>
      <x:c r="S122" s="8"/>
      <x:c r="T122" s="8"/>
      <x:c r="U122" s="8"/>
      <x:c r="V122" s="8"/>
    </x:row>
    <x:row r="123" ht="41.25" hidden="0" customHeight="1">
      <x:c r="A123" s="3" t="s">
        <x:v>493</x:v>
      </x:c>
      <x:c r="B123" s="3" t="s">
        <x:v>477</x:v>
      </x:c>
      <x:c r="C123" s="3" t="s">
        <x:v>478</x:v>
      </x:c>
      <x:c r="D123" s="3" t="s">
        <x:v>135</x:v>
      </x:c>
      <x:c r="E123" s="3" t="s">
        <x:v>494</x:v>
      </x:c>
      <x:c r="F123" s="3" t="s">
        <x:v>108</x:v>
      </x:c>
      <x:c r="G123" s="3" t="s">
        <x:v>109</x:v>
      </x:c>
      <x:c r="H123" s="3" t="s">
        <x:v>480</x:v>
      </x:c>
      <x:c r="I123" s="3" t="s">
        <x:v>481</x:v>
      </x:c>
      <x:c r="J123" s="3" t="s">
        <x:v>112</x:v>
      </x:c>
      <x:c r="K123" s="3" t="s">
        <x:v>484</x:v>
      </x:c>
      <x:c r="L123" s="3" t="s">
        <x:v>484</x:v>
      </x:c>
      <x:c r="M123" s="3"/>
      <x:c r="N123" s="3"/>
      <x:c r="O123" s="3" t="s">
        <x:v>114</x:v>
      </x:c>
      <x:c r="P123" s="3" t="s">
        <x:v>115</x:v>
      </x:c>
      <x:c r="Q123" s="3" t="s">
        <x:v>45</x:v>
      </x:c>
      <x:c r="R123" s="3"/>
      <x:c r="S123" s="8"/>
      <x:c r="T123" s="8"/>
      <x:c r="U123" s="8"/>
      <x:c r="V123" s="8"/>
    </x:row>
    <x:row r="124" ht="41.25" hidden="0" customHeight="1">
      <x:c r="A124" s="3" t="s">
        <x:v>495</x:v>
      </x:c>
      <x:c r="B124" s="3" t="s">
        <x:v>477</x:v>
      </x:c>
      <x:c r="C124" s="3" t="s">
        <x:v>478</x:v>
      </x:c>
      <x:c r="D124" s="3" t="s">
        <x:v>223</x:v>
      </x:c>
      <x:c r="E124" s="3" t="s">
        <x:v>496</x:v>
      </x:c>
      <x:c r="F124" s="3" t="s">
        <x:v>108</x:v>
      </x:c>
      <x:c r="G124" s="3" t="s">
        <x:v>109</x:v>
      </x:c>
      <x:c r="H124" s="3" t="s">
        <x:v>480</x:v>
      </x:c>
      <x:c r="I124" s="3" t="s">
        <x:v>481</x:v>
      </x:c>
      <x:c r="J124" s="3" t="s">
        <x:v>112</x:v>
      </x:c>
      <x:c r="K124" s="3" t="s">
        <x:v>497</x:v>
      </x:c>
      <x:c r="L124" s="3" t="s">
        <x:v>497</x:v>
      </x:c>
      <x:c r="M124" s="3"/>
      <x:c r="N124" s="3"/>
      <x:c r="O124" s="3" t="s">
        <x:v>114</x:v>
      </x:c>
      <x:c r="P124" s="3" t="s">
        <x:v>115</x:v>
      </x:c>
      <x:c r="Q124" s="3" t="s">
        <x:v>45</x:v>
      </x:c>
      <x:c r="R124" s="3"/>
      <x:c r="S124" s="8"/>
      <x:c r="T124" s="8"/>
      <x:c r="U124" s="8"/>
      <x:c r="V124" s="8"/>
    </x:row>
    <x:row r="125" ht="41.25" hidden="0" customHeight="1">
      <x:c r="A125" s="3" t="s">
        <x:v>498</x:v>
      </x:c>
      <x:c r="B125" s="3" t="s">
        <x:v>477</x:v>
      </x:c>
      <x:c r="C125" s="3" t="s">
        <x:v>478</x:v>
      </x:c>
      <x:c r="D125" s="3" t="s">
        <x:v>450</x:v>
      </x:c>
      <x:c r="E125" s="3" t="s">
        <x:v>499</x:v>
      </x:c>
      <x:c r="F125" s="3" t="s">
        <x:v>108</x:v>
      </x:c>
      <x:c r="G125" s="3" t="s">
        <x:v>109</x:v>
      </x:c>
      <x:c r="H125" s="3" t="s">
        <x:v>480</x:v>
      </x:c>
      <x:c r="I125" s="3" t="s">
        <x:v>481</x:v>
      </x:c>
      <x:c r="J125" s="3" t="s">
        <x:v>112</x:v>
      </x:c>
      <x:c r="K125" s="3" t="s">
        <x:v>497</x:v>
      </x:c>
      <x:c r="L125" s="3" t="s">
        <x:v>497</x:v>
      </x:c>
      <x:c r="M125" s="3"/>
      <x:c r="N125" s="3"/>
      <x:c r="O125" s="3" t="s">
        <x:v>114</x:v>
      </x:c>
      <x:c r="P125" s="3" t="s">
        <x:v>115</x:v>
      </x:c>
      <x:c r="Q125" s="3" t="s">
        <x:v>45</x:v>
      </x:c>
      <x:c r="R125" s="3"/>
      <x:c r="S125" s="8"/>
      <x:c r="T125" s="8"/>
      <x:c r="U125" s="8"/>
      <x:c r="V125" s="8"/>
    </x:row>
    <x:row r="126" ht="41.25" hidden="0" customHeight="1">
      <x:c r="A126" s="3" t="s">
        <x:v>500</x:v>
      </x:c>
      <x:c r="B126" s="3" t="s">
        <x:v>477</x:v>
      </x:c>
      <x:c r="C126" s="3" t="s">
        <x:v>478</x:v>
      </x:c>
      <x:c r="D126" s="3" t="s">
        <x:v>445</x:v>
      </x:c>
      <x:c r="E126" s="3" t="s">
        <x:v>501</x:v>
      </x:c>
      <x:c r="F126" s="3" t="s">
        <x:v>108</x:v>
      </x:c>
      <x:c r="G126" s="3" t="s">
        <x:v>109</x:v>
      </x:c>
      <x:c r="H126" s="3" t="s">
        <x:v>480</x:v>
      </x:c>
      <x:c r="I126" s="3" t="s">
        <x:v>481</x:v>
      </x:c>
      <x:c r="J126" s="3" t="s">
        <x:v>112</x:v>
      </x:c>
      <x:c r="K126" s="3" t="s">
        <x:v>497</x:v>
      </x:c>
      <x:c r="L126" s="3" t="s">
        <x:v>497</x:v>
      </x:c>
      <x:c r="M126" s="3"/>
      <x:c r="N126" s="3"/>
      <x:c r="O126" s="3" t="s">
        <x:v>114</x:v>
      </x:c>
      <x:c r="P126" s="3" t="s">
        <x:v>115</x:v>
      </x:c>
      <x:c r="Q126" s="3" t="s">
        <x:v>45</x:v>
      </x:c>
      <x:c r="R126" s="3"/>
      <x:c r="S126" s="8"/>
      <x:c r="T126" s="8"/>
      <x:c r="U126" s="8"/>
      <x:c r="V126" s="8"/>
    </x:row>
    <x:row r="127" ht="41.25" hidden="0" customHeight="1">
      <x:c r="A127" s="3" t="s">
        <x:v>502</x:v>
      </x:c>
      <x:c r="B127" s="3" t="s">
        <x:v>477</x:v>
      </x:c>
      <x:c r="C127" s="3" t="s">
        <x:v>478</x:v>
      </x:c>
      <x:c r="D127" s="3" t="s">
        <x:v>243</x:v>
      </x:c>
      <x:c r="E127" s="3" t="s">
        <x:v>503</x:v>
      </x:c>
      <x:c r="F127" s="3" t="s">
        <x:v>108</x:v>
      </x:c>
      <x:c r="G127" s="3" t="s">
        <x:v>109</x:v>
      </x:c>
      <x:c r="H127" s="3" t="s">
        <x:v>480</x:v>
      </x:c>
      <x:c r="I127" s="3" t="s">
        <x:v>481</x:v>
      </x:c>
      <x:c r="J127" s="3" t="s">
        <x:v>112</x:v>
      </x:c>
      <x:c r="K127" s="3" t="s">
        <x:v>484</x:v>
      </x:c>
      <x:c r="L127" s="3" t="s">
        <x:v>497</x:v>
      </x:c>
      <x:c r="M127" s="3"/>
      <x:c r="N127" s="3"/>
      <x:c r="O127" s="3" t="s">
        <x:v>114</x:v>
      </x:c>
      <x:c r="P127" s="3" t="s">
        <x:v>115</x:v>
      </x:c>
      <x:c r="Q127" s="3" t="s">
        <x:v>45</x:v>
      </x:c>
      <x:c r="R127" s="3"/>
      <x:c r="S127" s="8"/>
      <x:c r="T127" s="8"/>
      <x:c r="U127" s="8"/>
      <x:c r="V127" s="8"/>
    </x:row>
    <x:row r="128" ht="41.25" hidden="0" customHeight="1">
      <x:c r="A128" s="3" t="s">
        <x:v>504</x:v>
      </x:c>
      <x:c r="B128" s="3" t="s">
        <x:v>477</x:v>
      </x:c>
      <x:c r="C128" s="3" t="s">
        <x:v>478</x:v>
      </x:c>
      <x:c r="D128" s="3" t="s">
        <x:v>505</x:v>
      </x:c>
      <x:c r="E128" s="3" t="s">
        <x:v>506</x:v>
      </x:c>
      <x:c r="F128" s="3" t="s">
        <x:v>108</x:v>
      </x:c>
      <x:c r="G128" s="3" t="s">
        <x:v>109</x:v>
      </x:c>
      <x:c r="H128" s="3" t="s">
        <x:v>480</x:v>
      </x:c>
      <x:c r="I128" s="3" t="s">
        <x:v>481</x:v>
      </x:c>
      <x:c r="J128" s="3" t="s">
        <x:v>112</x:v>
      </x:c>
      <x:c r="K128" s="3" t="s">
        <x:v>484</x:v>
      </x:c>
      <x:c r="L128" s="3" t="s">
        <x:v>235</x:v>
      </x:c>
      <x:c r="M128" s="3"/>
      <x:c r="N128" s="3"/>
      <x:c r="O128" s="3" t="s">
        <x:v>114</x:v>
      </x:c>
      <x:c r="P128" s="3" t="s">
        <x:v>115</x:v>
      </x:c>
      <x:c r="Q128" s="3" t="s">
        <x:v>45</x:v>
      </x:c>
      <x:c r="R128" s="3"/>
      <x:c r="S128" s="8"/>
      <x:c r="T128" s="8"/>
      <x:c r="U128" s="8"/>
      <x:c r="V128" s="8"/>
    </x:row>
    <x:row r="129" ht="41.25" hidden="0" customHeight="1">
      <x:c r="A129" s="3" t="s">
        <x:v>507</x:v>
      </x:c>
      <x:c r="B129" s="3" t="s">
        <x:v>477</x:v>
      </x:c>
      <x:c r="C129" s="3" t="s">
        <x:v>478</x:v>
      </x:c>
      <x:c r="D129" s="3" t="s">
        <x:v>154</x:v>
      </x:c>
      <x:c r="E129" s="3" t="s">
        <x:v>508</x:v>
      </x:c>
      <x:c r="F129" s="3" t="s">
        <x:v>108</x:v>
      </x:c>
      <x:c r="G129" s="3" t="s">
        <x:v>109</x:v>
      </x:c>
      <x:c r="H129" s="3" t="s">
        <x:v>480</x:v>
      </x:c>
      <x:c r="I129" s="3" t="s">
        <x:v>481</x:v>
      </x:c>
      <x:c r="J129" s="3" t="s">
        <x:v>112</x:v>
      </x:c>
      <x:c r="K129" s="3" t="s">
        <x:v>484</x:v>
      </x:c>
      <x:c r="L129" s="3" t="s">
        <x:v>235</x:v>
      </x:c>
      <x:c r="M129" s="3"/>
      <x:c r="N129" s="3"/>
      <x:c r="O129" s="3" t="s">
        <x:v>114</x:v>
      </x:c>
      <x:c r="P129" s="3" t="s">
        <x:v>115</x:v>
      </x:c>
      <x:c r="Q129" s="3" t="s">
        <x:v>45</x:v>
      </x:c>
      <x:c r="R129" s="3"/>
      <x:c r="S129" s="8"/>
      <x:c r="T129" s="8"/>
      <x:c r="U129" s="8"/>
      <x:c r="V129" s="8"/>
    </x:row>
    <x:row r="130" ht="41.25" hidden="0" customHeight="1">
      <x:c r="A130" s="3" t="s">
        <x:v>509</x:v>
      </x:c>
      <x:c r="B130" s="3" t="s">
        <x:v>477</x:v>
      </x:c>
      <x:c r="C130" s="3" t="s">
        <x:v>478</x:v>
      </x:c>
      <x:c r="D130" s="3" t="s">
        <x:v>259</x:v>
      </x:c>
      <x:c r="E130" s="3" t="s">
        <x:v>510</x:v>
      </x:c>
      <x:c r="F130" s="3" t="s">
        <x:v>108</x:v>
      </x:c>
      <x:c r="G130" s="3" t="s">
        <x:v>109</x:v>
      </x:c>
      <x:c r="H130" s="3" t="s">
        <x:v>480</x:v>
      </x:c>
      <x:c r="I130" s="3" t="s">
        <x:v>481</x:v>
      </x:c>
      <x:c r="J130" s="3" t="s">
        <x:v>112</x:v>
      </x:c>
      <x:c r="K130" s="3" t="s">
        <x:v>484</x:v>
      </x:c>
      <x:c r="L130" s="3" t="s">
        <x:v>235</x:v>
      </x:c>
      <x:c r="M130" s="3"/>
      <x:c r="N130" s="3"/>
      <x:c r="O130" s="3" t="s">
        <x:v>114</x:v>
      </x:c>
      <x:c r="P130" s="3" t="s">
        <x:v>115</x:v>
      </x:c>
      <x:c r="Q130" s="3" t="s">
        <x:v>45</x:v>
      </x:c>
      <x:c r="R130" s="3"/>
      <x:c r="S130" s="8"/>
      <x:c r="T130" s="8"/>
      <x:c r="U130" s="8"/>
      <x:c r="V130" s="8"/>
    </x:row>
    <x:row r="131" ht="41.25" hidden="0" customHeight="1">
      <x:c r="A131" s="3" t="s">
        <x:v>511</x:v>
      </x:c>
      <x:c r="B131" s="3" t="s">
        <x:v>477</x:v>
      </x:c>
      <x:c r="C131" s="3" t="s">
        <x:v>478</x:v>
      </x:c>
      <x:c r="D131" s="3" t="s">
        <x:v>512</x:v>
      </x:c>
      <x:c r="E131" s="3" t="s">
        <x:v>513</x:v>
      </x:c>
      <x:c r="F131" s="3" t="s">
        <x:v>108</x:v>
      </x:c>
      <x:c r="G131" s="3" t="s">
        <x:v>109</x:v>
      </x:c>
      <x:c r="H131" s="3" t="s">
        <x:v>480</x:v>
      </x:c>
      <x:c r="I131" s="3" t="s">
        <x:v>481</x:v>
      </x:c>
      <x:c r="J131" s="3" t="s">
        <x:v>112</x:v>
      </x:c>
      <x:c r="K131" s="3" t="s">
        <x:v>484</x:v>
      </x:c>
      <x:c r="L131" s="3" t="s">
        <x:v>235</x:v>
      </x:c>
      <x:c r="M131" s="3"/>
      <x:c r="N131" s="3"/>
      <x:c r="O131" s="3" t="s">
        <x:v>114</x:v>
      </x:c>
      <x:c r="P131" s="3" t="s">
        <x:v>115</x:v>
      </x:c>
      <x:c r="Q131" s="3" t="s">
        <x:v>45</x:v>
      </x:c>
      <x:c r="R131" s="3"/>
      <x:c r="S131" s="8"/>
      <x:c r="T131" s="8"/>
      <x:c r="U131" s="8"/>
      <x:c r="V131" s="8"/>
    </x:row>
    <x:row r="132" ht="41.25" hidden="0" customHeight="1">
      <x:c r="A132" s="3" t="s">
        <x:v>514</x:v>
      </x:c>
      <x:c r="B132" s="3" t="s">
        <x:v>477</x:v>
      </x:c>
      <x:c r="C132" s="3" t="s">
        <x:v>478</x:v>
      </x:c>
      <x:c r="D132" s="3" t="s">
        <x:v>515</x:v>
      </x:c>
      <x:c r="E132" s="3" t="s">
        <x:v>516</x:v>
      </x:c>
      <x:c r="F132" s="3" t="s">
        <x:v>108</x:v>
      </x:c>
      <x:c r="G132" s="3" t="s">
        <x:v>109</x:v>
      </x:c>
      <x:c r="H132" s="3" t="s">
        <x:v>480</x:v>
      </x:c>
      <x:c r="I132" s="3" t="s">
        <x:v>481</x:v>
      </x:c>
      <x:c r="J132" s="3" t="s">
        <x:v>112</x:v>
      </x:c>
      <x:c r="K132" s="3" t="s">
        <x:v>484</x:v>
      </x:c>
      <x:c r="L132" s="3" t="s">
        <x:v>235</x:v>
      </x:c>
      <x:c r="M132" s="3"/>
      <x:c r="N132" s="3"/>
      <x:c r="O132" s="3" t="s">
        <x:v>114</x:v>
      </x:c>
      <x:c r="P132" s="3" t="s">
        <x:v>115</x:v>
      </x:c>
      <x:c r="Q132" s="3" t="s">
        <x:v>45</x:v>
      </x:c>
      <x:c r="R132" s="3"/>
      <x:c r="S132" s="8"/>
      <x:c r="T132" s="8"/>
      <x:c r="U132" s="8"/>
      <x:c r="V132" s="8"/>
    </x:row>
    <x:row r="133" ht="41.25" hidden="0" customHeight="1">
      <x:c r="A133" s="3" t="s">
        <x:v>517</x:v>
      </x:c>
      <x:c r="B133" s="3" t="s">
        <x:v>477</x:v>
      </x:c>
      <x:c r="C133" s="3" t="s">
        <x:v>478</x:v>
      </x:c>
      <x:c r="D133" s="3" t="s">
        <x:v>179</x:v>
      </x:c>
      <x:c r="E133" s="3" t="s">
        <x:v>518</x:v>
      </x:c>
      <x:c r="F133" s="3" t="s">
        <x:v>108</x:v>
      </x:c>
      <x:c r="G133" s="3" t="s">
        <x:v>109</x:v>
      </x:c>
      <x:c r="H133" s="3" t="s">
        <x:v>480</x:v>
      </x:c>
      <x:c r="I133" s="3" t="s">
        <x:v>481</x:v>
      </x:c>
      <x:c r="J133" s="3" t="s">
        <x:v>112</x:v>
      </x:c>
      <x:c r="K133" s="3" t="s">
        <x:v>484</x:v>
      </x:c>
      <x:c r="L133" s="3" t="s">
        <x:v>235</x:v>
      </x:c>
      <x:c r="M133" s="3"/>
      <x:c r="N133" s="3"/>
      <x:c r="O133" s="3" t="s">
        <x:v>114</x:v>
      </x:c>
      <x:c r="P133" s="3" t="s">
        <x:v>115</x:v>
      </x:c>
      <x:c r="Q133" s="3" t="s">
        <x:v>45</x:v>
      </x:c>
      <x:c r="R133" s="3"/>
      <x:c r="S133" s="8"/>
      <x:c r="T133" s="8"/>
      <x:c r="U133" s="8"/>
      <x:c r="V133" s="8"/>
    </x:row>
    <x:row r="134" ht="41.25" hidden="0" customHeight="1">
      <x:c r="A134" s="3" t="s">
        <x:v>519</x:v>
      </x:c>
      <x:c r="B134" s="3" t="s">
        <x:v>477</x:v>
      </x:c>
      <x:c r="C134" s="3" t="s">
        <x:v>478</x:v>
      </x:c>
      <x:c r="D134" s="3" t="s">
        <x:v>164</x:v>
      </x:c>
      <x:c r="E134" s="3" t="s">
        <x:v>520</x:v>
      </x:c>
      <x:c r="F134" s="3" t="s">
        <x:v>108</x:v>
      </x:c>
      <x:c r="G134" s="3" t="s">
        <x:v>109</x:v>
      </x:c>
      <x:c r="H134" s="3" t="s">
        <x:v>480</x:v>
      </x:c>
      <x:c r="I134" s="3" t="s">
        <x:v>481</x:v>
      </x:c>
      <x:c r="J134" s="3" t="s">
        <x:v>112</x:v>
      </x:c>
      <x:c r="K134" s="3" t="s">
        <x:v>490</x:v>
      </x:c>
      <x:c r="L134" s="3" t="s">
        <x:v>490</x:v>
      </x:c>
      <x:c r="M134" s="3"/>
      <x:c r="N134" s="3"/>
      <x:c r="O134" s="3" t="s">
        <x:v>114</x:v>
      </x:c>
      <x:c r="P134" s="3" t="s">
        <x:v>115</x:v>
      </x:c>
      <x:c r="Q134" s="3" t="s">
        <x:v>45</x:v>
      </x:c>
      <x:c r="R134" s="3"/>
      <x:c r="S134" s="8"/>
      <x:c r="T134" s="8"/>
      <x:c r="U134" s="8"/>
      <x:c r="V134" s="8"/>
    </x:row>
    <x:row r="135" ht="41.25" hidden="0" customHeight="1">
      <x:c r="A135" s="3" t="s">
        <x:v>521</x:v>
      </x:c>
      <x:c r="B135" s="3" t="s">
        <x:v>477</x:v>
      </x:c>
      <x:c r="C135" s="3" t="s">
        <x:v>478</x:v>
      </x:c>
      <x:c r="D135" s="3" t="s">
        <x:v>318</x:v>
      </x:c>
      <x:c r="E135" s="3" t="s">
        <x:v>522</x:v>
      </x:c>
      <x:c r="F135" s="3" t="s">
        <x:v>108</x:v>
      </x:c>
      <x:c r="G135" s="3" t="s">
        <x:v>109</x:v>
      </x:c>
      <x:c r="H135" s="3" t="s">
        <x:v>480</x:v>
      </x:c>
      <x:c r="I135" s="3" t="s">
        <x:v>481</x:v>
      </x:c>
      <x:c r="J135" s="3" t="s">
        <x:v>112</x:v>
      </x:c>
      <x:c r="K135" s="3" t="s">
        <x:v>490</x:v>
      </x:c>
      <x:c r="L135" s="3" t="s">
        <x:v>490</x:v>
      </x:c>
      <x:c r="M135" s="3"/>
      <x:c r="N135" s="3"/>
      <x:c r="O135" s="3" t="s">
        <x:v>114</x:v>
      </x:c>
      <x:c r="P135" s="3" t="s">
        <x:v>115</x:v>
      </x:c>
      <x:c r="Q135" s="3" t="s">
        <x:v>45</x:v>
      </x:c>
      <x:c r="R135" s="3"/>
      <x:c r="S135" s="8"/>
      <x:c r="T135" s="8"/>
      <x:c r="U135" s="8"/>
      <x:c r="V135" s="8"/>
    </x:row>
    <x:row r="136" ht="41.25" hidden="0" customHeight="1">
      <x:c r="A136" s="3" t="s">
        <x:v>523</x:v>
      </x:c>
      <x:c r="B136" s="3" t="s">
        <x:v>477</x:v>
      </x:c>
      <x:c r="C136" s="3" t="s">
        <x:v>478</x:v>
      </x:c>
      <x:c r="D136" s="3" t="s">
        <x:v>524</x:v>
      </x:c>
      <x:c r="E136" s="3" t="s">
        <x:v>525</x:v>
      </x:c>
      <x:c r="F136" s="3" t="s">
        <x:v>108</x:v>
      </x:c>
      <x:c r="G136" s="3" t="s">
        <x:v>109</x:v>
      </x:c>
      <x:c r="H136" s="3" t="s">
        <x:v>480</x:v>
      </x:c>
      <x:c r="I136" s="3" t="s">
        <x:v>481</x:v>
      </x:c>
      <x:c r="J136" s="3" t="s">
        <x:v>112</x:v>
      </x:c>
      <x:c r="K136" s="3" t="s">
        <x:v>497</x:v>
      </x:c>
      <x:c r="L136" s="3" t="s">
        <x:v>497</x:v>
      </x:c>
      <x:c r="M136" s="3"/>
      <x:c r="N136" s="3"/>
      <x:c r="O136" s="3" t="s">
        <x:v>114</x:v>
      </x:c>
      <x:c r="P136" s="3" t="s">
        <x:v>115</x:v>
      </x:c>
      <x:c r="Q136" s="3" t="s">
        <x:v>45</x:v>
      </x:c>
      <x:c r="R136" s="3"/>
      <x:c r="S136" s="8"/>
      <x:c r="T136" s="8"/>
      <x:c r="U136" s="8"/>
      <x:c r="V136" s="8"/>
    </x:row>
    <x:row r="137" ht="41.25" hidden="0" customHeight="1">
      <x:c r="A137" s="3" t="s">
        <x:v>526</x:v>
      </x:c>
      <x:c r="B137" s="3" t="s">
        <x:v>477</x:v>
      </x:c>
      <x:c r="C137" s="3" t="s">
        <x:v>478</x:v>
      </x:c>
      <x:c r="D137" s="3" t="s">
        <x:v>463</x:v>
      </x:c>
      <x:c r="E137" s="3" t="s">
        <x:v>527</x:v>
      </x:c>
      <x:c r="F137" s="3" t="s">
        <x:v>108</x:v>
      </x:c>
      <x:c r="G137" s="3" t="s">
        <x:v>109</x:v>
      </x:c>
      <x:c r="H137" s="3" t="s">
        <x:v>480</x:v>
      </x:c>
      <x:c r="I137" s="3" t="s">
        <x:v>481</x:v>
      </x:c>
      <x:c r="J137" s="3" t="s">
        <x:v>112</x:v>
      </x:c>
      <x:c r="K137" s="3" t="s">
        <x:v>490</x:v>
      </x:c>
      <x:c r="L137" s="3" t="s">
        <x:v>490</x:v>
      </x:c>
      <x:c r="M137" s="3"/>
      <x:c r="N137" s="3"/>
      <x:c r="O137" s="3" t="s">
        <x:v>114</x:v>
      </x:c>
      <x:c r="P137" s="3" t="s">
        <x:v>115</x:v>
      </x:c>
      <x:c r="Q137" s="3" t="s">
        <x:v>45</x:v>
      </x:c>
      <x:c r="R137" s="3"/>
      <x:c r="S137" s="8"/>
      <x:c r="T137" s="8"/>
      <x:c r="U137" s="8"/>
      <x:c r="V137" s="8"/>
    </x:row>
    <x:row r="138" ht="41.25" hidden="0" customHeight="1">
      <x:c r="A138" s="3" t="s">
        <x:v>528</x:v>
      </x:c>
      <x:c r="B138" s="3" t="s">
        <x:v>477</x:v>
      </x:c>
      <x:c r="C138" s="3" t="s">
        <x:v>478</x:v>
      </x:c>
      <x:c r="D138" s="3" t="s">
        <x:v>176</x:v>
      </x:c>
      <x:c r="E138" s="3" t="s">
        <x:v>529</x:v>
      </x:c>
      <x:c r="F138" s="3" t="s">
        <x:v>108</x:v>
      </x:c>
      <x:c r="G138" s="3" t="s">
        <x:v>109</x:v>
      </x:c>
      <x:c r="H138" s="3" t="s">
        <x:v>480</x:v>
      </x:c>
      <x:c r="I138" s="3" t="s">
        <x:v>481</x:v>
      </x:c>
      <x:c r="J138" s="3" t="s">
        <x:v>112</x:v>
      </x:c>
      <x:c r="K138" s="3" t="s">
        <x:v>490</x:v>
      </x:c>
      <x:c r="L138" s="3" t="s">
        <x:v>490</x:v>
      </x:c>
      <x:c r="M138" s="3"/>
      <x:c r="N138" s="3"/>
      <x:c r="O138" s="3" t="s">
        <x:v>114</x:v>
      </x:c>
      <x:c r="P138" s="3" t="s">
        <x:v>115</x:v>
      </x:c>
      <x:c r="Q138" s="3" t="s">
        <x:v>45</x:v>
      </x:c>
      <x:c r="R138" s="3"/>
      <x:c r="S138" s="8"/>
      <x:c r="T138" s="8"/>
      <x:c r="U138" s="8"/>
      <x:c r="V138" s="8"/>
    </x:row>
    <x:row r="139" ht="41.25" hidden="0" customHeight="1">
      <x:c r="A139" s="3" t="s">
        <x:v>530</x:v>
      </x:c>
      <x:c r="B139" s="3" t="s">
        <x:v>477</x:v>
      </x:c>
      <x:c r="C139" s="3" t="s">
        <x:v>478</x:v>
      </x:c>
      <x:c r="D139" s="3" t="s">
        <x:v>342</x:v>
      </x:c>
      <x:c r="E139" s="3" t="s">
        <x:v>531</x:v>
      </x:c>
      <x:c r="F139" s="3" t="s">
        <x:v>108</x:v>
      </x:c>
      <x:c r="G139" s="3" t="s">
        <x:v>109</x:v>
      </x:c>
      <x:c r="H139" s="3" t="s">
        <x:v>480</x:v>
      </x:c>
      <x:c r="I139" s="3" t="s">
        <x:v>481</x:v>
      </x:c>
      <x:c r="J139" s="3" t="s">
        <x:v>112</x:v>
      </x:c>
      <x:c r="K139" s="3" t="s">
        <x:v>532</x:v>
      </x:c>
      <x:c r="L139" s="3" t="s">
        <x:v>532</x:v>
      </x:c>
      <x:c r="M139" s="3"/>
      <x:c r="N139" s="3"/>
      <x:c r="O139" s="3" t="s">
        <x:v>114</x:v>
      </x:c>
      <x:c r="P139" s="3" t="s">
        <x:v>115</x:v>
      </x:c>
      <x:c r="Q139" s="3" t="s">
        <x:v>45</x:v>
      </x:c>
      <x:c r="R139" s="3"/>
      <x:c r="S139" s="8"/>
      <x:c r="T139" s="8"/>
      <x:c r="U139" s="8"/>
      <x:c r="V139" s="8"/>
    </x:row>
    <x:row r="140" ht="41.25" hidden="0" customHeight="1">
      <x:c r="A140" s="3" t="s">
        <x:v>533</x:v>
      </x:c>
      <x:c r="B140" s="3" t="s">
        <x:v>477</x:v>
      </x:c>
      <x:c r="C140" s="3" t="s">
        <x:v>478</x:v>
      </x:c>
      <x:c r="D140" s="3" t="s">
        <x:v>427</x:v>
      </x:c>
      <x:c r="E140" s="3" t="s">
        <x:v>534</x:v>
      </x:c>
      <x:c r="F140" s="3" t="s">
        <x:v>108</x:v>
      </x:c>
      <x:c r="G140" s="3" t="s">
        <x:v>187</x:v>
      </x:c>
      <x:c r="H140" s="3" t="s">
        <x:v>480</x:v>
      </x:c>
      <x:c r="I140" s="3" t="s">
        <x:v>481</x:v>
      </x:c>
      <x:c r="J140" s="3" t="s">
        <x:v>112</x:v>
      </x:c>
      <x:c r="K140" s="3" t="s">
        <x:v>272</x:v>
      </x:c>
      <x:c r="L140" s="3" t="s">
        <x:v>272</x:v>
      </x:c>
      <x:c r="M140" s="3"/>
      <x:c r="N140" s="3"/>
      <x:c r="O140" s="3" t="s">
        <x:v>114</x:v>
      </x:c>
      <x:c r="P140" s="3" t="s">
        <x:v>115</x:v>
      </x:c>
      <x:c r="Q140" s="3" t="s">
        <x:v>45</x:v>
      </x:c>
      <x:c r="R140" s="3"/>
      <x:c r="S140" s="8"/>
      <x:c r="T140" s="8"/>
      <x:c r="U140" s="8"/>
      <x:c r="V140" s="8"/>
    </x:row>
    <x:row r="141" ht="41.25" hidden="0" customHeight="1">
      <x:c r="A141" s="3" t="s">
        <x:v>535</x:v>
      </x:c>
      <x:c r="B141" s="3" t="s">
        <x:v>477</x:v>
      </x:c>
      <x:c r="C141" s="3" t="s">
        <x:v>478</x:v>
      </x:c>
      <x:c r="D141" s="3" t="s">
        <x:v>190</x:v>
      </x:c>
      <x:c r="E141" s="3" t="s">
        <x:v>536</x:v>
      </x:c>
      <x:c r="F141" s="3" t="s">
        <x:v>108</x:v>
      </x:c>
      <x:c r="G141" s="3" t="s">
        <x:v>192</x:v>
      </x:c>
      <x:c r="H141" s="3" t="s">
        <x:v>480</x:v>
      </x:c>
      <x:c r="I141" s="3" t="s">
        <x:v>481</x:v>
      </x:c>
      <x:c r="J141" s="3" t="s">
        <x:v>112</x:v>
      </x:c>
      <x:c r="K141" s="3" t="s">
        <x:v>272</x:v>
      </x:c>
      <x:c r="L141" s="3" t="s">
        <x:v>272</x:v>
      </x:c>
      <x:c r="M141" s="3"/>
      <x:c r="N141" s="3"/>
      <x:c r="O141" s="3" t="s">
        <x:v>114</x:v>
      </x:c>
      <x:c r="P141" s="3" t="s">
        <x:v>115</x:v>
      </x:c>
      <x:c r="Q141" s="3" t="s">
        <x:v>45</x:v>
      </x:c>
      <x:c r="R141" s="3"/>
      <x:c r="S141" s="8"/>
      <x:c r="T141" s="8"/>
      <x:c r="U141" s="8"/>
      <x:c r="V141" s="8"/>
    </x:row>
    <x:row r="142" ht="41.25" hidden="0" customHeight="1">
      <x:c r="A142" s="3" t="s">
        <x:v>537</x:v>
      </x:c>
      <x:c r="B142" s="3" t="s">
        <x:v>538</x:v>
      </x:c>
      <x:c r="C142" s="3" t="s">
        <x:v>539</x:v>
      </x:c>
      <x:c r="D142" s="3" t="s">
        <x:v>106</x:v>
      </x:c>
      <x:c r="E142" s="3" t="s">
        <x:v>540</x:v>
      </x:c>
      <x:c r="F142" s="3" t="s">
        <x:v>108</x:v>
      </x:c>
      <x:c r="G142" s="3" t="s">
        <x:v>109</x:v>
      </x:c>
      <x:c r="H142" s="3" t="s">
        <x:v>541</x:v>
      </x:c>
      <x:c r="I142" s="3" t="s">
        <x:v>542</x:v>
      </x:c>
      <x:c r="J142" s="3" t="s">
        <x:v>543</x:v>
      </x:c>
      <x:c r="K142" s="3" t="s">
        <x:v>113</x:v>
      </x:c>
      <x:c r="L142" s="3" t="s">
        <x:v>113</x:v>
      </x:c>
      <x:c r="M142" s="3"/>
      <x:c r="N142" s="3"/>
      <x:c r="O142" s="3" t="s">
        <x:v>544</x:v>
      </x:c>
      <x:c r="P142" s="3" t="s">
        <x:v>115</x:v>
      </x:c>
      <x:c r="Q142" s="3" t="s">
        <x:v>45</x:v>
      </x:c>
      <x:c r="R142" s="3"/>
      <x:c r="S142" s="8"/>
      <x:c r="T142" s="8"/>
      <x:c r="U142" s="8"/>
      <x:c r="V142" s="8"/>
    </x:row>
    <x:row r="143" ht="41.25" hidden="0" customHeight="1">
      <x:c r="A143" s="3" t="s">
        <x:v>545</x:v>
      </x:c>
      <x:c r="B143" s="3" t="s">
        <x:v>538</x:v>
      </x:c>
      <x:c r="C143" s="3" t="s">
        <x:v>539</x:v>
      </x:c>
      <x:c r="D143" s="3" t="s">
        <x:v>546</x:v>
      </x:c>
      <x:c r="E143" s="3" t="s">
        <x:v>547</x:v>
      </x:c>
      <x:c r="F143" s="3" t="s">
        <x:v>108</x:v>
      </x:c>
      <x:c r="G143" s="3" t="s">
        <x:v>109</x:v>
      </x:c>
      <x:c r="H143" s="3" t="s">
        <x:v>541</x:v>
      </x:c>
      <x:c r="I143" s="3" t="s">
        <x:v>542</x:v>
      </x:c>
      <x:c r="J143" s="3" t="s">
        <x:v>543</x:v>
      </x:c>
      <x:c r="K143" s="3" t="s">
        <x:v>113</x:v>
      </x:c>
      <x:c r="L143" s="3" t="s">
        <x:v>113</x:v>
      </x:c>
      <x:c r="M143" s="3"/>
      <x:c r="N143" s="3"/>
      <x:c r="O143" s="3" t="s">
        <x:v>544</x:v>
      </x:c>
      <x:c r="P143" s="3" t="s">
        <x:v>115</x:v>
      </x:c>
      <x:c r="Q143" s="3" t="s">
        <x:v>45</x:v>
      </x:c>
      <x:c r="R143" s="3"/>
      <x:c r="S143" s="8"/>
      <x:c r="T143" s="8"/>
      <x:c r="U143" s="8"/>
      <x:c r="V143" s="8"/>
    </x:row>
    <x:row r="144" ht="41.25" hidden="0" customHeight="1">
      <x:c r="A144" s="3" t="s">
        <x:v>548</x:v>
      </x:c>
      <x:c r="B144" s="3" t="s">
        <x:v>538</x:v>
      </x:c>
      <x:c r="C144" s="3" t="s">
        <x:v>539</x:v>
      </x:c>
      <x:c r="D144" s="3" t="s">
        <x:v>549</x:v>
      </x:c>
      <x:c r="E144" s="3" t="s">
        <x:v>550</x:v>
      </x:c>
      <x:c r="F144" s="3" t="s">
        <x:v>108</x:v>
      </x:c>
      <x:c r="G144" s="3" t="s">
        <x:v>109</x:v>
      </x:c>
      <x:c r="H144" s="3" t="s">
        <x:v>541</x:v>
      </x:c>
      <x:c r="I144" s="3" t="s">
        <x:v>542</x:v>
      </x:c>
      <x:c r="J144" s="3" t="s">
        <x:v>543</x:v>
      </x:c>
      <x:c r="K144" s="3" t="s">
        <x:v>113</x:v>
      </x:c>
      <x:c r="L144" s="3" t="s">
        <x:v>113</x:v>
      </x:c>
      <x:c r="M144" s="3"/>
      <x:c r="N144" s="3"/>
      <x:c r="O144" s="3" t="s">
        <x:v>544</x:v>
      </x:c>
      <x:c r="P144" s="3" t="s">
        <x:v>115</x:v>
      </x:c>
      <x:c r="Q144" s="3" t="s">
        <x:v>45</x:v>
      </x:c>
      <x:c r="R144" s="3"/>
      <x:c r="S144" s="8"/>
      <x:c r="T144" s="8"/>
      <x:c r="U144" s="8"/>
      <x:c r="V144" s="8"/>
    </x:row>
    <x:row r="145" ht="41.25" hidden="0" customHeight="1">
      <x:c r="A145" s="3" t="s">
        <x:v>551</x:v>
      </x:c>
      <x:c r="B145" s="3" t="s">
        <x:v>538</x:v>
      </x:c>
      <x:c r="C145" s="3" t="s">
        <x:v>539</x:v>
      </x:c>
      <x:c r="D145" s="3" t="s">
        <x:v>342</x:v>
      </x:c>
      <x:c r="E145" s="3" t="s">
        <x:v>552</x:v>
      </x:c>
      <x:c r="F145" s="3" t="s">
        <x:v>108</x:v>
      </x:c>
      <x:c r="G145" s="3" t="s">
        <x:v>109</x:v>
      </x:c>
      <x:c r="H145" s="3" t="s">
        <x:v>541</x:v>
      </x:c>
      <x:c r="I145" s="3" t="s">
        <x:v>542</x:v>
      </x:c>
      <x:c r="J145" s="3" t="s">
        <x:v>543</x:v>
      </x:c>
      <x:c r="K145" s="3" t="s">
        <x:v>113</x:v>
      </x:c>
      <x:c r="L145" s="3" t="s">
        <x:v>113</x:v>
      </x:c>
      <x:c r="M145" s="3"/>
      <x:c r="N145" s="3"/>
      <x:c r="O145" s="3" t="s">
        <x:v>544</x:v>
      </x:c>
      <x:c r="P145" s="3" t="s">
        <x:v>115</x:v>
      </x:c>
      <x:c r="Q145" s="3" t="s">
        <x:v>45</x:v>
      </x:c>
      <x:c r="R145" s="3"/>
      <x:c r="S145" s="8"/>
      <x:c r="T145" s="8"/>
      <x:c r="U145" s="8"/>
      <x:c r="V145" s="8"/>
    </x:row>
    <x:row r="146" ht="41.25" hidden="0" customHeight="1">
      <x:c r="A146" s="3" t="s">
        <x:v>553</x:v>
      </x:c>
      <x:c r="B146" s="3" t="s">
        <x:v>554</x:v>
      </x:c>
      <x:c r="C146" s="3" t="s">
        <x:v>555</x:v>
      </x:c>
      <x:c r="D146" s="3" t="s">
        <x:v>106</x:v>
      </x:c>
      <x:c r="E146" s="3" t="s">
        <x:v>556</x:v>
      </x:c>
      <x:c r="F146" s="3" t="s">
        <x:v>557</x:v>
      </x:c>
      <x:c r="G146" s="3" t="s">
        <x:v>109</x:v>
      </x:c>
      <x:c r="H146" s="3" t="s">
        <x:v>558</x:v>
      </x:c>
      <x:c r="I146" s="3"/>
      <x:c r="J146" s="3" t="s">
        <x:v>559</x:v>
      </x:c>
      <x:c r="K146" s="3" t="s">
        <x:v>113</x:v>
      </x:c>
      <x:c r="L146" s="3"/>
      <x:c r="M146" s="3"/>
      <x:c r="N146" s="3"/>
      <x:c r="O146" s="3" t="s">
        <x:v>560</x:v>
      </x:c>
      <x:c r="P146" s="3" t="s">
        <x:v>115</x:v>
      </x:c>
      <x:c r="Q146" s="3" t="s">
        <x:v>561</x:v>
      </x:c>
      <x:c r="R146" s="3"/>
      <x:c r="S146" s="8"/>
      <x:c r="T146" s="8"/>
      <x:c r="U146" s="8"/>
      <x:c r="V146" s="8"/>
    </x:row>
    <x:row r="147" ht="41.25" hidden="0" customHeight="1">
      <x:c r="A147" s="3" t="s">
        <x:v>562</x:v>
      </x:c>
      <x:c r="B147" s="3" t="s">
        <x:v>554</x:v>
      </x:c>
      <x:c r="C147" s="3" t="s">
        <x:v>555</x:v>
      </x:c>
      <x:c r="D147" s="3" t="s">
        <x:v>131</x:v>
      </x:c>
      <x:c r="E147" s="3" t="s">
        <x:v>563</x:v>
      </x:c>
      <x:c r="F147" s="3" t="s">
        <x:v>557</x:v>
      </x:c>
      <x:c r="G147" s="3" t="s">
        <x:v>109</x:v>
      </x:c>
      <x:c r="H147" s="3" t="s">
        <x:v>558</x:v>
      </x:c>
      <x:c r="I147" s="3"/>
      <x:c r="J147" s="3" t="s">
        <x:v>559</x:v>
      </x:c>
      <x:c r="K147" s="3" t="s">
        <x:v>113</x:v>
      </x:c>
      <x:c r="L147" s="3"/>
      <x:c r="M147" s="3"/>
      <x:c r="N147" s="3"/>
      <x:c r="O147" s="3" t="s">
        <x:v>560</x:v>
      </x:c>
      <x:c r="P147" s="3" t="s">
        <x:v>115</x:v>
      </x:c>
      <x:c r="Q147" s="3" t="s">
        <x:v>561</x:v>
      </x:c>
      <x:c r="R147" s="3"/>
      <x:c r="S147" s="8"/>
      <x:c r="T147" s="8"/>
      <x:c r="U147" s="8"/>
      <x:c r="V147" s="8"/>
    </x:row>
    <x:row r="148" ht="41.25" hidden="0" customHeight="1">
      <x:c r="A148" s="3" t="s">
        <x:v>564</x:v>
      </x:c>
      <x:c r="B148" s="3" t="s">
        <x:v>554</x:v>
      </x:c>
      <x:c r="C148" s="3" t="s">
        <x:v>555</x:v>
      </x:c>
      <x:c r="D148" s="3" t="s">
        <x:v>289</x:v>
      </x:c>
      <x:c r="E148" s="3" t="s">
        <x:v>565</x:v>
      </x:c>
      <x:c r="F148" s="3" t="s">
        <x:v>557</x:v>
      </x:c>
      <x:c r="G148" s="3" t="s">
        <x:v>109</x:v>
      </x:c>
      <x:c r="H148" s="3" t="s">
        <x:v>558</x:v>
      </x:c>
      <x:c r="I148" s="3"/>
      <x:c r="J148" s="3" t="s">
        <x:v>559</x:v>
      </x:c>
      <x:c r="K148" s="3" t="s">
        <x:v>113</x:v>
      </x:c>
      <x:c r="L148" s="3"/>
      <x:c r="M148" s="3"/>
      <x:c r="N148" s="3"/>
      <x:c r="O148" s="3" t="s">
        <x:v>560</x:v>
      </x:c>
      <x:c r="P148" s="3" t="s">
        <x:v>115</x:v>
      </x:c>
      <x:c r="Q148" s="3" t="s">
        <x:v>561</x:v>
      </x:c>
      <x:c r="R148" s="3"/>
      <x:c r="S148" s="8"/>
      <x:c r="T148" s="8"/>
      <x:c r="U148" s="8"/>
      <x:c r="V148" s="8"/>
    </x:row>
    <x:row r="149" ht="41.25" hidden="0" customHeight="1">
      <x:c r="A149" s="3" t="s">
        <x:v>566</x:v>
      </x:c>
      <x:c r="B149" s="3" t="s">
        <x:v>554</x:v>
      </x:c>
      <x:c r="C149" s="3" t="s">
        <x:v>555</x:v>
      </x:c>
      <x:c r="D149" s="3" t="s">
        <x:v>342</x:v>
      </x:c>
      <x:c r="E149" s="3" t="s">
        <x:v>567</x:v>
      </x:c>
      <x:c r="F149" s="3" t="s">
        <x:v>557</x:v>
      </x:c>
      <x:c r="G149" s="3" t="s">
        <x:v>109</x:v>
      </x:c>
      <x:c r="H149" s="3" t="s">
        <x:v>558</x:v>
      </x:c>
      <x:c r="I149" s="3"/>
      <x:c r="J149" s="3" t="s">
        <x:v>559</x:v>
      </x:c>
      <x:c r="K149" s="3" t="s">
        <x:v>113</x:v>
      </x:c>
      <x:c r="L149" s="3"/>
      <x:c r="M149" s="3"/>
      <x:c r="N149" s="3"/>
      <x:c r="O149" s="3" t="s">
        <x:v>560</x:v>
      </x:c>
      <x:c r="P149" s="3" t="s">
        <x:v>115</x:v>
      </x:c>
      <x:c r="Q149" s="3" t="s">
        <x:v>561</x:v>
      </x:c>
      <x:c r="R149" s="3"/>
      <x:c r="S149" s="8"/>
      <x:c r="T149" s="8"/>
      <x:c r="U149" s="8"/>
      <x:c r="V149" s="8"/>
    </x:row>
    <x:row r="150" ht="41.25" hidden="0" customHeight="1">
      <x:c r="A150" s="3" t="s">
        <x:v>568</x:v>
      </x:c>
      <x:c r="B150" s="3" t="s">
        <x:v>554</x:v>
      </x:c>
      <x:c r="C150" s="3" t="s">
        <x:v>555</x:v>
      </x:c>
      <x:c r="D150" s="3" t="s">
        <x:v>270</x:v>
      </x:c>
      <x:c r="E150" s="3" t="s">
        <x:v>569</x:v>
      </x:c>
      <x:c r="F150" s="3" t="s">
        <x:v>557</x:v>
      </x:c>
      <x:c r="G150" s="3" t="s">
        <x:v>109</x:v>
      </x:c>
      <x:c r="H150" s="3" t="s">
        <x:v>558</x:v>
      </x:c>
      <x:c r="I150" s="3"/>
      <x:c r="J150" s="3" t="s">
        <x:v>559</x:v>
      </x:c>
      <x:c r="K150" s="3" t="s">
        <x:v>113</x:v>
      </x:c>
      <x:c r="L150" s="3"/>
      <x:c r="M150" s="3"/>
      <x:c r="N150" s="3"/>
      <x:c r="O150" s="3" t="s">
        <x:v>560</x:v>
      </x:c>
      <x:c r="P150" s="3" t="s">
        <x:v>115</x:v>
      </x:c>
      <x:c r="Q150" s="3" t="s">
        <x:v>561</x:v>
      </x:c>
      <x:c r="R150" s="3"/>
      <x:c r="S150" s="8"/>
      <x:c r="T150" s="8"/>
      <x:c r="U150" s="8"/>
      <x:c r="V150" s="8"/>
    </x:row>
    <x:row r="151" ht="41.25" hidden="0" customHeight="1">
      <x:c r="A151" s="3" t="s">
        <x:v>570</x:v>
      </x:c>
      <x:c r="B151" s="3" t="s">
        <x:v>554</x:v>
      </x:c>
      <x:c r="C151" s="3" t="s">
        <x:v>555</x:v>
      </x:c>
      <x:c r="D151" s="3" t="s">
        <x:v>184</x:v>
      </x:c>
      <x:c r="E151" s="3" t="s">
        <x:v>571</x:v>
      </x:c>
      <x:c r="F151" s="3" t="s">
        <x:v>557</x:v>
      </x:c>
      <x:c r="G151" s="3" t="s">
        <x:v>187</x:v>
      </x:c>
      <x:c r="H151" s="3" t="s">
        <x:v>558</x:v>
      </x:c>
      <x:c r="I151" s="3"/>
      <x:c r="J151" s="3" t="s">
        <x:v>559</x:v>
      </x:c>
      <x:c r="K151" s="3" t="s">
        <x:v>113</x:v>
      </x:c>
      <x:c r="L151" s="3"/>
      <x:c r="M151" s="3"/>
      <x:c r="N151" s="3"/>
      <x:c r="O151" s="3" t="s">
        <x:v>560</x:v>
      </x:c>
      <x:c r="P151" s="3" t="s">
        <x:v>115</x:v>
      </x:c>
      <x:c r="Q151" s="3" t="s">
        <x:v>561</x:v>
      </x:c>
      <x:c r="R151" s="3"/>
      <x:c r="S151" s="8"/>
      <x:c r="T151" s="8"/>
      <x:c r="U151" s="8"/>
      <x:c r="V151" s="8"/>
    </x:row>
    <x:row r="152" ht="41.25" hidden="0" customHeight="1">
      <x:c r="A152" s="3" t="s">
        <x:v>572</x:v>
      </x:c>
      <x:c r="B152" s="3" t="s">
        <x:v>573</x:v>
      </x:c>
      <x:c r="C152" s="3" t="s">
        <x:v>555</x:v>
      </x:c>
      <x:c r="D152" s="3" t="s">
        <x:v>106</x:v>
      </x:c>
      <x:c r="E152" s="3" t="s">
        <x:v>574</x:v>
      </x:c>
      <x:c r="F152" s="3" t="s">
        <x:v>557</x:v>
      </x:c>
      <x:c r="G152" s="3" t="s">
        <x:v>109</x:v>
      </x:c>
      <x:c r="H152" s="3" t="s">
        <x:v>575</x:v>
      </x:c>
      <x:c r="I152" s="3"/>
      <x:c r="J152" s="3" t="s">
        <x:v>559</x:v>
      </x:c>
      <x:c r="K152" s="3" t="s">
        <x:v>439</x:v>
      </x:c>
      <x:c r="L152" s="3" t="s">
        <x:v>576</x:v>
      </x:c>
      <x:c r="M152" s="3"/>
      <x:c r="N152" s="3"/>
      <x:c r="O152" s="3" t="s">
        <x:v>560</x:v>
      </x:c>
      <x:c r="P152" s="3" t="s">
        <x:v>115</x:v>
      </x:c>
      <x:c r="Q152" s="3" t="s">
        <x:v>561</x:v>
      </x:c>
      <x:c r="R152" s="3"/>
      <x:c r="S152" s="8"/>
      <x:c r="T152" s="8"/>
      <x:c r="U152" s="8"/>
      <x:c r="V152" s="8"/>
    </x:row>
    <x:row r="153" ht="41.25" hidden="0" customHeight="1">
      <x:c r="A153" s="3" t="s">
        <x:v>577</x:v>
      </x:c>
      <x:c r="B153" s="3" t="s">
        <x:v>573</x:v>
      </x:c>
      <x:c r="C153" s="3" t="s">
        <x:v>555</x:v>
      </x:c>
      <x:c r="D153" s="3" t="s">
        <x:v>123</x:v>
      </x:c>
      <x:c r="E153" s="3" t="s">
        <x:v>578</x:v>
      </x:c>
      <x:c r="F153" s="3" t="s">
        <x:v>557</x:v>
      </x:c>
      <x:c r="G153" s="3" t="s">
        <x:v>109</x:v>
      </x:c>
      <x:c r="H153" s="3" t="s">
        <x:v>575</x:v>
      </x:c>
      <x:c r="I153" s="3"/>
      <x:c r="J153" s="3" t="s">
        <x:v>559</x:v>
      </x:c>
      <x:c r="K153" s="3" t="s">
        <x:v>579</x:v>
      </x:c>
      <x:c r="L153" s="3" t="s">
        <x:v>580</x:v>
      </x:c>
      <x:c r="M153" s="3"/>
      <x:c r="N153" s="3"/>
      <x:c r="O153" s="3" t="s">
        <x:v>560</x:v>
      </x:c>
      <x:c r="P153" s="3" t="s">
        <x:v>115</x:v>
      </x:c>
      <x:c r="Q153" s="3" t="s">
        <x:v>561</x:v>
      </x:c>
      <x:c r="R153" s="3"/>
      <x:c r="S153" s="8"/>
      <x:c r="T153" s="8"/>
      <x:c r="U153" s="8"/>
      <x:c r="V153" s="8"/>
    </x:row>
    <x:row r="154" ht="41.25" hidden="0" customHeight="1">
      <x:c r="A154" s="3" t="s">
        <x:v>581</x:v>
      </x:c>
      <x:c r="B154" s="3" t="s">
        <x:v>573</x:v>
      </x:c>
      <x:c r="C154" s="3" t="s">
        <x:v>555</x:v>
      </x:c>
      <x:c r="D154" s="3" t="s">
        <x:v>208</x:v>
      </x:c>
      <x:c r="E154" s="3" t="s">
        <x:v>582</x:v>
      </x:c>
      <x:c r="F154" s="3" t="s">
        <x:v>557</x:v>
      </x:c>
      <x:c r="G154" s="3" t="s">
        <x:v>109</x:v>
      </x:c>
      <x:c r="H154" s="3" t="s">
        <x:v>575</x:v>
      </x:c>
      <x:c r="I154" s="3"/>
      <x:c r="J154" s="3" t="s">
        <x:v>559</x:v>
      </x:c>
      <x:c r="K154" s="3" t="s">
        <x:v>579</x:v>
      </x:c>
      <x:c r="L154" s="3" t="s">
        <x:v>583</x:v>
      </x:c>
      <x:c r="M154" s="3"/>
      <x:c r="N154" s="3"/>
      <x:c r="O154" s="3" t="s">
        <x:v>560</x:v>
      </x:c>
      <x:c r="P154" s="3" t="s">
        <x:v>115</x:v>
      </x:c>
      <x:c r="Q154" s="3" t="s">
        <x:v>561</x:v>
      </x:c>
      <x:c r="R154" s="3"/>
      <x:c r="S154" s="8"/>
      <x:c r="T154" s="8"/>
      <x:c r="U154" s="8"/>
      <x:c r="V154" s="8"/>
    </x:row>
    <x:row r="155" ht="41.25" hidden="0" customHeight="1">
      <x:c r="A155" s="3" t="s">
        <x:v>584</x:v>
      </x:c>
      <x:c r="B155" s="3" t="s">
        <x:v>573</x:v>
      </x:c>
      <x:c r="C155" s="3" t="s">
        <x:v>555</x:v>
      </x:c>
      <x:c r="D155" s="3" t="s">
        <x:v>211</x:v>
      </x:c>
      <x:c r="E155" s="3" t="s">
        <x:v>585</x:v>
      </x:c>
      <x:c r="F155" s="3" t="s">
        <x:v>557</x:v>
      </x:c>
      <x:c r="G155" s="3" t="s">
        <x:v>109</x:v>
      </x:c>
      <x:c r="H155" s="3" t="s">
        <x:v>575</x:v>
      </x:c>
      <x:c r="I155" s="3"/>
      <x:c r="J155" s="3" t="s">
        <x:v>559</x:v>
      </x:c>
      <x:c r="K155" s="3" t="s">
        <x:v>579</x:v>
      </x:c>
      <x:c r="L155" s="3" t="s">
        <x:v>583</x:v>
      </x:c>
      <x:c r="M155" s="3"/>
      <x:c r="N155" s="3"/>
      <x:c r="O155" s="3" t="s">
        <x:v>560</x:v>
      </x:c>
      <x:c r="P155" s="3" t="s">
        <x:v>115</x:v>
      </x:c>
      <x:c r="Q155" s="3" t="s">
        <x:v>561</x:v>
      </x:c>
      <x:c r="R155" s="3"/>
      <x:c r="S155" s="8"/>
      <x:c r="T155" s="8"/>
      <x:c r="U155" s="8"/>
      <x:c r="V155" s="8"/>
    </x:row>
    <x:row r="156" ht="41.25" hidden="0" customHeight="1">
      <x:c r="A156" s="3" t="s">
        <x:v>586</x:v>
      </x:c>
      <x:c r="B156" s="3" t="s">
        <x:v>573</x:v>
      </x:c>
      <x:c r="C156" s="3" t="s">
        <x:v>555</x:v>
      </x:c>
      <x:c r="D156" s="3" t="s">
        <x:v>127</x:v>
      </x:c>
      <x:c r="E156" s="3" t="s">
        <x:v>587</x:v>
      </x:c>
      <x:c r="F156" s="3" t="s">
        <x:v>557</x:v>
      </x:c>
      <x:c r="G156" s="3" t="s">
        <x:v>109</x:v>
      </x:c>
      <x:c r="H156" s="3" t="s">
        <x:v>575</x:v>
      </x:c>
      <x:c r="I156" s="3"/>
      <x:c r="J156" s="3" t="s">
        <x:v>559</x:v>
      </x:c>
      <x:c r="K156" s="3" t="s">
        <x:v>588</x:v>
      </x:c>
      <x:c r="L156" s="3" t="s">
        <x:v>589</x:v>
      </x:c>
      <x:c r="M156" s="3"/>
      <x:c r="N156" s="3"/>
      <x:c r="O156" s="3" t="s">
        <x:v>560</x:v>
      </x:c>
      <x:c r="P156" s="3" t="s">
        <x:v>115</x:v>
      </x:c>
      <x:c r="Q156" s="3" t="s">
        <x:v>561</x:v>
      </x:c>
      <x:c r="R156" s="3"/>
      <x:c r="S156" s="8"/>
      <x:c r="T156" s="8"/>
      <x:c r="U156" s="8"/>
      <x:c r="V156" s="8"/>
    </x:row>
    <x:row r="157" ht="41.25" hidden="0" customHeight="1">
      <x:c r="A157" s="3" t="s">
        <x:v>590</x:v>
      </x:c>
      <x:c r="B157" s="3" t="s">
        <x:v>573</x:v>
      </x:c>
      <x:c r="C157" s="3" t="s">
        <x:v>555</x:v>
      </x:c>
      <x:c r="D157" s="3" t="s">
        <x:v>214</x:v>
      </x:c>
      <x:c r="E157" s="3" t="s">
        <x:v>591</x:v>
      </x:c>
      <x:c r="F157" s="3" t="s">
        <x:v>557</x:v>
      </x:c>
      <x:c r="G157" s="3" t="s">
        <x:v>109</x:v>
      </x:c>
      <x:c r="H157" s="3" t="s">
        <x:v>575</x:v>
      </x:c>
      <x:c r="I157" s="3"/>
      <x:c r="J157" s="3" t="s">
        <x:v>559</x:v>
      </x:c>
      <x:c r="K157" s="3" t="s">
        <x:v>439</x:v>
      </x:c>
      <x:c r="L157" s="3" t="s">
        <x:v>592</x:v>
      </x:c>
      <x:c r="M157" s="3"/>
      <x:c r="N157" s="3"/>
      <x:c r="O157" s="3" t="s">
        <x:v>560</x:v>
      </x:c>
      <x:c r="P157" s="3" t="s">
        <x:v>115</x:v>
      </x:c>
      <x:c r="Q157" s="3" t="s">
        <x:v>561</x:v>
      </x:c>
      <x:c r="R157" s="3"/>
      <x:c r="S157" s="8"/>
      <x:c r="T157" s="8"/>
      <x:c r="U157" s="8"/>
      <x:c r="V157" s="8"/>
    </x:row>
    <x:row r="158" ht="41.25" hidden="0" customHeight="1">
      <x:c r="A158" s="3" t="s">
        <x:v>593</x:v>
      </x:c>
      <x:c r="B158" s="3" t="s">
        <x:v>573</x:v>
      </x:c>
      <x:c r="C158" s="3" t="s">
        <x:v>555</x:v>
      </x:c>
      <x:c r="D158" s="3" t="s">
        <x:v>120</x:v>
      </x:c>
      <x:c r="E158" s="3" t="s">
        <x:v>594</x:v>
      </x:c>
      <x:c r="F158" s="3" t="s">
        <x:v>557</x:v>
      </x:c>
      <x:c r="G158" s="3" t="s">
        <x:v>109</x:v>
      </x:c>
      <x:c r="H158" s="3" t="s">
        <x:v>575</x:v>
      </x:c>
      <x:c r="I158" s="3"/>
      <x:c r="J158" s="3" t="s">
        <x:v>559</x:v>
      </x:c>
      <x:c r="K158" s="3" t="s">
        <x:v>595</x:v>
      </x:c>
      <x:c r="L158" s="3" t="s">
        <x:v>596</x:v>
      </x:c>
      <x:c r="M158" s="3"/>
      <x:c r="N158" s="3"/>
      <x:c r="O158" s="3" t="s">
        <x:v>560</x:v>
      </x:c>
      <x:c r="P158" s="3" t="s">
        <x:v>115</x:v>
      </x:c>
      <x:c r="Q158" s="3" t="s">
        <x:v>561</x:v>
      </x:c>
      <x:c r="R158" s="3"/>
      <x:c r="S158" s="8"/>
      <x:c r="T158" s="8"/>
      <x:c r="U158" s="8"/>
      <x:c r="V158" s="8"/>
    </x:row>
    <x:row r="159" ht="41.25" hidden="0" customHeight="1">
      <x:c r="A159" s="3" t="s">
        <x:v>597</x:v>
      </x:c>
      <x:c r="B159" s="3" t="s">
        <x:v>573</x:v>
      </x:c>
      <x:c r="C159" s="3" t="s">
        <x:v>555</x:v>
      </x:c>
      <x:c r="D159" s="3" t="s">
        <x:v>386</x:v>
      </x:c>
      <x:c r="E159" s="3" t="s">
        <x:v>598</x:v>
      </x:c>
      <x:c r="F159" s="3" t="s">
        <x:v>557</x:v>
      </x:c>
      <x:c r="G159" s="3" t="s">
        <x:v>109</x:v>
      </x:c>
      <x:c r="H159" s="3" t="s">
        <x:v>575</x:v>
      </x:c>
      <x:c r="I159" s="3"/>
      <x:c r="J159" s="3" t="s">
        <x:v>559</x:v>
      </x:c>
      <x:c r="K159" s="3" t="s">
        <x:v>595</x:v>
      </x:c>
      <x:c r="L159" s="3" t="s">
        <x:v>599</x:v>
      </x:c>
      <x:c r="M159" s="3"/>
      <x:c r="N159" s="3"/>
      <x:c r="O159" s="3" t="s">
        <x:v>560</x:v>
      </x:c>
      <x:c r="P159" s="3" t="s">
        <x:v>115</x:v>
      </x:c>
      <x:c r="Q159" s="3" t="s">
        <x:v>561</x:v>
      </x:c>
      <x:c r="R159" s="3"/>
      <x:c r="S159" s="8"/>
      <x:c r="T159" s="8"/>
      <x:c r="U159" s="8"/>
      <x:c r="V159" s="8"/>
    </x:row>
    <x:row r="160" ht="41.25" hidden="0" customHeight="1">
      <x:c r="A160" s="3" t="s">
        <x:v>600</x:v>
      </x:c>
      <x:c r="B160" s="3" t="s">
        <x:v>573</x:v>
      </x:c>
      <x:c r="C160" s="3" t="s">
        <x:v>555</x:v>
      </x:c>
      <x:c r="D160" s="3" t="s">
        <x:v>135</x:v>
      </x:c>
      <x:c r="E160" s="3" t="s">
        <x:v>601</x:v>
      </x:c>
      <x:c r="F160" s="3" t="s">
        <x:v>557</x:v>
      </x:c>
      <x:c r="G160" s="3" t="s">
        <x:v>109</x:v>
      </x:c>
      <x:c r="H160" s="3" t="s">
        <x:v>575</x:v>
      </x:c>
      <x:c r="I160" s="3"/>
      <x:c r="J160" s="3" t="s">
        <x:v>559</x:v>
      </x:c>
      <x:c r="K160" s="3" t="s">
        <x:v>602</x:v>
      </x:c>
      <x:c r="L160" s="3" t="s">
        <x:v>603</x:v>
      </x:c>
      <x:c r="M160" s="3"/>
      <x:c r="N160" s="3"/>
      <x:c r="O160" s="3" t="s">
        <x:v>560</x:v>
      </x:c>
      <x:c r="P160" s="3" t="s">
        <x:v>115</x:v>
      </x:c>
      <x:c r="Q160" s="3" t="s">
        <x:v>561</x:v>
      </x:c>
      <x:c r="R160" s="3"/>
      <x:c r="S160" s="8"/>
      <x:c r="T160" s="8"/>
      <x:c r="U160" s="8"/>
      <x:c r="V160" s="8"/>
    </x:row>
    <x:row r="161" ht="41.25" hidden="0" customHeight="1">
      <x:c r="A161" s="3" t="s">
        <x:v>604</x:v>
      </x:c>
      <x:c r="B161" s="3" t="s">
        <x:v>573</x:v>
      </x:c>
      <x:c r="C161" s="3" t="s">
        <x:v>555</x:v>
      </x:c>
      <x:c r="D161" s="3" t="s">
        <x:v>223</x:v>
      </x:c>
      <x:c r="E161" s="3" t="s">
        <x:v>605</x:v>
      </x:c>
      <x:c r="F161" s="3" t="s">
        <x:v>557</x:v>
      </x:c>
      <x:c r="G161" s="3" t="s">
        <x:v>109</x:v>
      </x:c>
      <x:c r="H161" s="3" t="s">
        <x:v>575</x:v>
      </x:c>
      <x:c r="I161" s="3"/>
      <x:c r="J161" s="3" t="s">
        <x:v>559</x:v>
      </x:c>
      <x:c r="K161" s="3" t="s">
        <x:v>602</x:v>
      </x:c>
      <x:c r="L161" s="3" t="s">
        <x:v>603</x:v>
      </x:c>
      <x:c r="M161" s="3"/>
      <x:c r="N161" s="3"/>
      <x:c r="O161" s="3" t="s">
        <x:v>560</x:v>
      </x:c>
      <x:c r="P161" s="3" t="s">
        <x:v>115</x:v>
      </x:c>
      <x:c r="Q161" s="3" t="s">
        <x:v>561</x:v>
      </x:c>
      <x:c r="R161" s="3"/>
      <x:c r="S161" s="8"/>
      <x:c r="T161" s="8"/>
      <x:c r="U161" s="8"/>
      <x:c r="V161" s="8"/>
    </x:row>
    <x:row r="162" ht="41.25" hidden="0" customHeight="1">
      <x:c r="A162" s="3" t="s">
        <x:v>606</x:v>
      </x:c>
      <x:c r="B162" s="3" t="s">
        <x:v>573</x:v>
      </x:c>
      <x:c r="C162" s="3" t="s">
        <x:v>555</x:v>
      </x:c>
      <x:c r="D162" s="3" t="s">
        <x:v>450</x:v>
      </x:c>
      <x:c r="E162" s="3" t="s">
        <x:v>607</x:v>
      </x:c>
      <x:c r="F162" s="3" t="s">
        <x:v>557</x:v>
      </x:c>
      <x:c r="G162" s="3" t="s">
        <x:v>109</x:v>
      </x:c>
      <x:c r="H162" s="3" t="s">
        <x:v>575</x:v>
      </x:c>
      <x:c r="I162" s="3"/>
      <x:c r="J162" s="3" t="s">
        <x:v>559</x:v>
      </x:c>
      <x:c r="K162" s="3" t="s">
        <x:v>602</x:v>
      </x:c>
      <x:c r="L162" s="3" t="s">
        <x:v>603</x:v>
      </x:c>
      <x:c r="M162" s="3"/>
      <x:c r="N162" s="3"/>
      <x:c r="O162" s="3" t="s">
        <x:v>560</x:v>
      </x:c>
      <x:c r="P162" s="3" t="s">
        <x:v>115</x:v>
      </x:c>
      <x:c r="Q162" s="3" t="s">
        <x:v>561</x:v>
      </x:c>
      <x:c r="R162" s="3"/>
      <x:c r="S162" s="8"/>
      <x:c r="T162" s="8"/>
      <x:c r="U162" s="8"/>
      <x:c r="V162" s="8"/>
    </x:row>
    <x:row r="163" ht="41.25" hidden="0" customHeight="1">
      <x:c r="A163" s="3" t="s">
        <x:v>608</x:v>
      </x:c>
      <x:c r="B163" s="3" t="s">
        <x:v>573</x:v>
      </x:c>
      <x:c r="C163" s="3" t="s">
        <x:v>555</x:v>
      </x:c>
      <x:c r="D163" s="3" t="s">
        <x:v>313</x:v>
      </x:c>
      <x:c r="E163" s="3" t="s">
        <x:v>609</x:v>
      </x:c>
      <x:c r="F163" s="3" t="s">
        <x:v>557</x:v>
      </x:c>
      <x:c r="G163" s="3" t="s">
        <x:v>109</x:v>
      </x:c>
      <x:c r="H163" s="3" t="s">
        <x:v>575</x:v>
      </x:c>
      <x:c r="I163" s="3"/>
      <x:c r="J163" s="3" t="s">
        <x:v>559</x:v>
      </x:c>
      <x:c r="K163" s="3" t="s">
        <x:v>439</x:v>
      </x:c>
      <x:c r="L163" s="3" t="s">
        <x:v>603</x:v>
      </x:c>
      <x:c r="M163" s="3"/>
      <x:c r="N163" s="3"/>
      <x:c r="O163" s="3" t="s">
        <x:v>560</x:v>
      </x:c>
      <x:c r="P163" s="3" t="s">
        <x:v>115</x:v>
      </x:c>
      <x:c r="Q163" s="3" t="s">
        <x:v>561</x:v>
      </x:c>
      <x:c r="R163" s="3"/>
      <x:c r="S163" s="8"/>
      <x:c r="T163" s="8"/>
      <x:c r="U163" s="8"/>
      <x:c r="V163" s="8"/>
    </x:row>
    <x:row r="164" ht="41.25" hidden="0" customHeight="1">
      <x:c r="A164" s="3" t="s">
        <x:v>610</x:v>
      </x:c>
      <x:c r="B164" s="3" t="s">
        <x:v>573</x:v>
      </x:c>
      <x:c r="C164" s="3" t="s">
        <x:v>555</x:v>
      </x:c>
      <x:c r="D164" s="3" t="s">
        <x:v>142</x:v>
      </x:c>
      <x:c r="E164" s="3" t="s">
        <x:v>611</x:v>
      </x:c>
      <x:c r="F164" s="3" t="s">
        <x:v>557</x:v>
      </x:c>
      <x:c r="G164" s="3" t="s">
        <x:v>109</x:v>
      </x:c>
      <x:c r="H164" s="3" t="s">
        <x:v>575</x:v>
      </x:c>
      <x:c r="I164" s="3"/>
      <x:c r="J164" s="3" t="s">
        <x:v>559</x:v>
      </x:c>
      <x:c r="K164" s="3" t="s">
        <x:v>612</x:v>
      </x:c>
      <x:c r="L164" s="3" t="s">
        <x:v>613</x:v>
      </x:c>
      <x:c r="M164" s="3"/>
      <x:c r="N164" s="3"/>
      <x:c r="O164" s="3" t="s">
        <x:v>560</x:v>
      </x:c>
      <x:c r="P164" s="3" t="s">
        <x:v>115</x:v>
      </x:c>
      <x:c r="Q164" s="3" t="s">
        <x:v>561</x:v>
      </x:c>
      <x:c r="R164" s="3"/>
      <x:c r="S164" s="8"/>
      <x:c r="T164" s="8"/>
      <x:c r="U164" s="8"/>
      <x:c r="V164" s="8"/>
    </x:row>
    <x:row r="165" ht="41.25" hidden="0" customHeight="1">
      <x:c r="A165" s="3" t="s">
        <x:v>614</x:v>
      </x:c>
      <x:c r="B165" s="3" t="s">
        <x:v>573</x:v>
      </x:c>
      <x:c r="C165" s="3" t="s">
        <x:v>555</x:v>
      </x:c>
      <x:c r="D165" s="3" t="s">
        <x:v>157</x:v>
      </x:c>
      <x:c r="E165" s="3" t="s">
        <x:v>615</x:v>
      </x:c>
      <x:c r="F165" s="3" t="s">
        <x:v>557</x:v>
      </x:c>
      <x:c r="G165" s="3" t="s">
        <x:v>109</x:v>
      </x:c>
      <x:c r="H165" s="3" t="s">
        <x:v>575</x:v>
      </x:c>
      <x:c r="I165" s="3"/>
      <x:c r="J165" s="3" t="s">
        <x:v>559</x:v>
      </x:c>
      <x:c r="K165" s="3" t="s">
        <x:v>612</x:v>
      </x:c>
      <x:c r="L165" s="3" t="s">
        <x:v>616</x:v>
      </x:c>
      <x:c r="M165" s="3"/>
      <x:c r="N165" s="3"/>
      <x:c r="O165" s="3" t="s">
        <x:v>560</x:v>
      </x:c>
      <x:c r="P165" s="3" t="s">
        <x:v>115</x:v>
      </x:c>
      <x:c r="Q165" s="3" t="s">
        <x:v>561</x:v>
      </x:c>
      <x:c r="R165" s="3"/>
      <x:c r="S165" s="8"/>
      <x:c r="T165" s="8"/>
      <x:c r="U165" s="8"/>
      <x:c r="V165" s="8"/>
    </x:row>
    <x:row r="166" ht="41.25" hidden="0" customHeight="1">
      <x:c r="A166" s="3" t="s">
        <x:v>617</x:v>
      </x:c>
      <x:c r="B166" s="3" t="s">
        <x:v>573</x:v>
      </x:c>
      <x:c r="C166" s="3" t="s">
        <x:v>555</x:v>
      </x:c>
      <x:c r="D166" s="3" t="s">
        <x:v>266</x:v>
      </x:c>
      <x:c r="E166" s="3" t="s">
        <x:v>618</x:v>
      </x:c>
      <x:c r="F166" s="3" t="s">
        <x:v>557</x:v>
      </x:c>
      <x:c r="G166" s="3" t="s">
        <x:v>109</x:v>
      </x:c>
      <x:c r="H166" s="3" t="s">
        <x:v>575</x:v>
      </x:c>
      <x:c r="I166" s="3"/>
      <x:c r="J166" s="3" t="s">
        <x:v>559</x:v>
      </x:c>
      <x:c r="K166" s="3" t="s">
        <x:v>619</x:v>
      </x:c>
      <x:c r="L166" s="3" t="s">
        <x:v>620</x:v>
      </x:c>
      <x:c r="M166" s="3"/>
      <x:c r="N166" s="3"/>
      <x:c r="O166" s="3" t="s">
        <x:v>560</x:v>
      </x:c>
      <x:c r="P166" s="3" t="s">
        <x:v>115</x:v>
      </x:c>
      <x:c r="Q166" s="3" t="s">
        <x:v>561</x:v>
      </x:c>
      <x:c r="R166" s="3"/>
      <x:c r="S166" s="8"/>
      <x:c r="T166" s="8"/>
      <x:c r="U166" s="8"/>
      <x:c r="V166" s="8"/>
    </x:row>
    <x:row r="167" ht="54.75" hidden="0" customHeight="1">
      <x:c r="A167" s="3" t="s">
        <x:v>621</x:v>
      </x:c>
      <x:c r="B167" s="3" t="s">
        <x:v>573</x:v>
      </x:c>
      <x:c r="C167" s="3" t="s">
        <x:v>555</x:v>
      </x:c>
      <x:c r="D167" s="3" t="s">
        <x:v>184</x:v>
      </x:c>
      <x:c r="E167" s="3" t="s">
        <x:v>622</x:v>
      </x:c>
      <x:c r="F167" s="3" t="s">
        <x:v>557</x:v>
      </x:c>
      <x:c r="G167" s="3" t="s">
        <x:v>187</x:v>
      </x:c>
      <x:c r="H167" s="3" t="s">
        <x:v>575</x:v>
      </x:c>
      <x:c r="I167" s="3"/>
      <x:c r="J167" s="3" t="s">
        <x:v>559</x:v>
      </x:c>
      <x:c r="K167" s="3" t="s">
        <x:v>272</x:v>
      </x:c>
      <x:c r="L167" s="3" t="s">
        <x:v>623</x:v>
      </x:c>
      <x:c r="M167" s="3"/>
      <x:c r="N167" s="3"/>
      <x:c r="O167" s="3" t="s">
        <x:v>560</x:v>
      </x:c>
      <x:c r="P167" s="3" t="s">
        <x:v>115</x:v>
      </x:c>
      <x:c r="Q167" s="3" t="s">
        <x:v>561</x:v>
      </x:c>
      <x:c r="R167" s="3"/>
      <x:c r="S167" s="8"/>
      <x:c r="T167" s="8"/>
      <x:c r="U167" s="8"/>
      <x:c r="V167" s="8"/>
    </x:row>
    <x:row r="168" ht="41.25" hidden="0" customHeight="1">
      <x:c r="A168" s="3" t="s">
        <x:v>624</x:v>
      </x:c>
      <x:c r="B168" s="3" t="s">
        <x:v>573</x:v>
      </x:c>
      <x:c r="C168" s="3" t="s">
        <x:v>555</x:v>
      </x:c>
      <x:c r="D168" s="3" t="s">
        <x:v>190</x:v>
      </x:c>
      <x:c r="E168" s="3" t="s">
        <x:v>625</x:v>
      </x:c>
      <x:c r="F168" s="3" t="s">
        <x:v>557</x:v>
      </x:c>
      <x:c r="G168" s="3" t="s">
        <x:v>187</x:v>
      </x:c>
      <x:c r="H168" s="3" t="s">
        <x:v>575</x:v>
      </x:c>
      <x:c r="I168" s="3"/>
      <x:c r="J168" s="3" t="s">
        <x:v>559</x:v>
      </x:c>
      <x:c r="K168" s="3" t="s">
        <x:v>272</x:v>
      </x:c>
      <x:c r="L168" s="3" t="s">
        <x:v>626</x:v>
      </x:c>
      <x:c r="M168" s="3"/>
      <x:c r="N168" s="3"/>
      <x:c r="O168" s="3" t="s">
        <x:v>560</x:v>
      </x:c>
      <x:c r="P168" s="3" t="s">
        <x:v>115</x:v>
      </x:c>
      <x:c r="Q168" s="3" t="s">
        <x:v>561</x:v>
      </x:c>
      <x:c r="R168" s="3"/>
      <x:c r="S168" s="8"/>
      <x:c r="T168" s="8"/>
      <x:c r="U168" s="8"/>
      <x:c r="V168" s="8"/>
    </x:row>
    <x:row r="169" ht="41.25" hidden="0" customHeight="1">
      <x:c r="A169" s="3" t="s">
        <x:v>627</x:v>
      </x:c>
      <x:c r="B169" s="3" t="s">
        <x:v>628</x:v>
      </x:c>
      <x:c r="C169" s="3" t="s">
        <x:v>555</x:v>
      </x:c>
      <x:c r="D169" s="3" t="s">
        <x:v>106</x:v>
      </x:c>
      <x:c r="E169" s="3" t="s">
        <x:v>629</x:v>
      </x:c>
      <x:c r="F169" s="3" t="s">
        <x:v>557</x:v>
      </x:c>
      <x:c r="G169" s="3" t="s">
        <x:v>109</x:v>
      </x:c>
      <x:c r="H169" s="3" t="s">
        <x:v>630</x:v>
      </x:c>
      <x:c r="I169" s="3"/>
      <x:c r="J169" s="3" t="s">
        <x:v>559</x:v>
      </x:c>
      <x:c r="K169" s="3" t="s">
        <x:v>631</x:v>
      </x:c>
      <x:c r="L169" s="3" t="s">
        <x:v>632</x:v>
      </x:c>
      <x:c r="M169" s="3"/>
      <x:c r="N169" s="3"/>
      <x:c r="O169" s="3" t="s">
        <x:v>560</x:v>
      </x:c>
      <x:c r="P169" s="3" t="s">
        <x:v>115</x:v>
      </x:c>
      <x:c r="Q169" s="3" t="s">
        <x:v>561</x:v>
      </x:c>
      <x:c r="R169" s="3"/>
      <x:c r="S169" s="8"/>
      <x:c r="T169" s="8"/>
      <x:c r="U169" s="8"/>
      <x:c r="V169" s="8"/>
    </x:row>
    <x:row r="170" ht="41.25" hidden="0" customHeight="1">
      <x:c r="A170" s="3" t="s">
        <x:v>633</x:v>
      </x:c>
      <x:c r="B170" s="3" t="s">
        <x:v>628</x:v>
      </x:c>
      <x:c r="C170" s="3" t="s">
        <x:v>555</x:v>
      </x:c>
      <x:c r="D170" s="3" t="s">
        <x:v>131</x:v>
      </x:c>
      <x:c r="E170" s="3" t="s">
        <x:v>634</x:v>
      </x:c>
      <x:c r="F170" s="3" t="s">
        <x:v>557</x:v>
      </x:c>
      <x:c r="G170" s="3" t="s">
        <x:v>109</x:v>
      </x:c>
      <x:c r="H170" s="3" t="s">
        <x:v>630</x:v>
      </x:c>
      <x:c r="I170" s="3"/>
      <x:c r="J170" s="3" t="s">
        <x:v>559</x:v>
      </x:c>
      <x:c r="K170" s="3" t="s">
        <x:v>631</x:v>
      </x:c>
      <x:c r="L170" s="3" t="s">
        <x:v>635</x:v>
      </x:c>
      <x:c r="M170" s="3"/>
      <x:c r="N170" s="3"/>
      <x:c r="O170" s="3" t="s">
        <x:v>560</x:v>
      </x:c>
      <x:c r="P170" s="3" t="s">
        <x:v>115</x:v>
      </x:c>
      <x:c r="Q170" s="3" t="s">
        <x:v>561</x:v>
      </x:c>
      <x:c r="R170" s="3"/>
      <x:c r="S170" s="8"/>
      <x:c r="T170" s="8"/>
      <x:c r="U170" s="8"/>
      <x:c r="V170" s="8"/>
    </x:row>
    <x:row r="171" ht="41.25" hidden="0" customHeight="1">
      <x:c r="A171" s="3" t="s">
        <x:v>636</x:v>
      </x:c>
      <x:c r="B171" s="3" t="s">
        <x:v>628</x:v>
      </x:c>
      <x:c r="C171" s="3" t="s">
        <x:v>555</x:v>
      </x:c>
      <x:c r="D171" s="3" t="s">
        <x:v>313</x:v>
      </x:c>
      <x:c r="E171" s="3" t="s">
        <x:v>637</x:v>
      </x:c>
      <x:c r="F171" s="3" t="s">
        <x:v>557</x:v>
      </x:c>
      <x:c r="G171" s="3" t="s">
        <x:v>109</x:v>
      </x:c>
      <x:c r="H171" s="3" t="s">
        <x:v>630</x:v>
      </x:c>
      <x:c r="I171" s="3"/>
      <x:c r="J171" s="3" t="s">
        <x:v>559</x:v>
      </x:c>
      <x:c r="K171" s="3" t="s">
        <x:v>631</x:v>
      </x:c>
      <x:c r="L171" s="3" t="s">
        <x:v>635</x:v>
      </x:c>
      <x:c r="M171" s="3"/>
      <x:c r="N171" s="3"/>
      <x:c r="O171" s="3" t="s">
        <x:v>560</x:v>
      </x:c>
      <x:c r="P171" s="3" t="s">
        <x:v>115</x:v>
      </x:c>
      <x:c r="Q171" s="3" t="s">
        <x:v>561</x:v>
      </x:c>
      <x:c r="R171" s="3"/>
      <x:c r="S171" s="8"/>
      <x:c r="T171" s="8"/>
      <x:c r="U171" s="8"/>
      <x:c r="V171" s="8"/>
    </x:row>
    <x:row r="172" ht="41.25" hidden="0" customHeight="1">
      <x:c r="A172" s="3" t="s">
        <x:v>638</x:v>
      </x:c>
      <x:c r="B172" s="3" t="s">
        <x:v>628</x:v>
      </x:c>
      <x:c r="C172" s="3" t="s">
        <x:v>555</x:v>
      </x:c>
      <x:c r="D172" s="3" t="s">
        <x:v>123</x:v>
      </x:c>
      <x:c r="E172" s="3" t="s">
        <x:v>639</x:v>
      </x:c>
      <x:c r="F172" s="3" t="s">
        <x:v>557</x:v>
      </x:c>
      <x:c r="G172" s="3" t="s">
        <x:v>109</x:v>
      </x:c>
      <x:c r="H172" s="3" t="s">
        <x:v>630</x:v>
      </x:c>
      <x:c r="I172" s="3"/>
      <x:c r="J172" s="3" t="s">
        <x:v>559</x:v>
      </x:c>
      <x:c r="K172" s="3" t="s">
        <x:v>640</x:v>
      </x:c>
      <x:c r="L172" s="3" t="s">
        <x:v>641</x:v>
      </x:c>
      <x:c r="M172" s="3"/>
      <x:c r="N172" s="3"/>
      <x:c r="O172" s="3" t="s">
        <x:v>560</x:v>
      </x:c>
      <x:c r="P172" s="3" t="s">
        <x:v>115</x:v>
      </x:c>
      <x:c r="Q172" s="3" t="s">
        <x:v>561</x:v>
      </x:c>
      <x:c r="R172" s="3"/>
      <x:c r="S172" s="8"/>
      <x:c r="T172" s="8"/>
      <x:c r="U172" s="8"/>
      <x:c r="V172" s="8"/>
    </x:row>
    <x:row r="173" ht="41.25" hidden="0" customHeight="1">
      <x:c r="A173" s="3" t="s">
        <x:v>642</x:v>
      </x:c>
      <x:c r="B173" s="3" t="s">
        <x:v>628</x:v>
      </x:c>
      <x:c r="C173" s="3" t="s">
        <x:v>555</x:v>
      </x:c>
      <x:c r="D173" s="3" t="s">
        <x:v>208</x:v>
      </x:c>
      <x:c r="E173" s="3" t="s">
        <x:v>643</x:v>
      </x:c>
      <x:c r="F173" s="3" t="s">
        <x:v>557</x:v>
      </x:c>
      <x:c r="G173" s="3" t="s">
        <x:v>109</x:v>
      </x:c>
      <x:c r="H173" s="3" t="s">
        <x:v>630</x:v>
      </x:c>
      <x:c r="I173" s="3"/>
      <x:c r="J173" s="3" t="s">
        <x:v>559</x:v>
      </x:c>
      <x:c r="K173" s="3" t="s">
        <x:v>640</x:v>
      </x:c>
      <x:c r="L173" s="3" t="s">
        <x:v>644</x:v>
      </x:c>
      <x:c r="M173" s="3"/>
      <x:c r="N173" s="3"/>
      <x:c r="O173" s="3" t="s">
        <x:v>560</x:v>
      </x:c>
      <x:c r="P173" s="3" t="s">
        <x:v>115</x:v>
      </x:c>
      <x:c r="Q173" s="3" t="s">
        <x:v>561</x:v>
      </x:c>
      <x:c r="R173" s="3"/>
      <x:c r="S173" s="8"/>
      <x:c r="T173" s="8"/>
      <x:c r="U173" s="8"/>
      <x:c r="V173" s="8"/>
    </x:row>
    <x:row r="174" ht="41.25" hidden="0" customHeight="1">
      <x:c r="A174" s="3" t="s">
        <x:v>645</x:v>
      </x:c>
      <x:c r="B174" s="3" t="s">
        <x:v>628</x:v>
      </x:c>
      <x:c r="C174" s="3" t="s">
        <x:v>555</x:v>
      </x:c>
      <x:c r="D174" s="3" t="s">
        <x:v>127</x:v>
      </x:c>
      <x:c r="E174" s="3" t="s">
        <x:v>646</x:v>
      </x:c>
      <x:c r="F174" s="3" t="s">
        <x:v>557</x:v>
      </x:c>
      <x:c r="G174" s="3" t="s">
        <x:v>109</x:v>
      </x:c>
      <x:c r="H174" s="3" t="s">
        <x:v>630</x:v>
      </x:c>
      <x:c r="I174" s="3"/>
      <x:c r="J174" s="3" t="s">
        <x:v>559</x:v>
      </x:c>
      <x:c r="K174" s="3" t="s">
        <x:v>640</x:v>
      </x:c>
      <x:c r="L174" s="3" t="s">
        <x:v>647</x:v>
      </x:c>
      <x:c r="M174" s="3"/>
      <x:c r="N174" s="3"/>
      <x:c r="O174" s="3" t="s">
        <x:v>560</x:v>
      </x:c>
      <x:c r="P174" s="3" t="s">
        <x:v>115</x:v>
      </x:c>
      <x:c r="Q174" s="3" t="s">
        <x:v>561</x:v>
      </x:c>
      <x:c r="R174" s="3"/>
      <x:c r="S174" s="8"/>
      <x:c r="T174" s="8"/>
      <x:c r="U174" s="8"/>
      <x:c r="V174" s="8"/>
    </x:row>
    <x:row r="175" ht="41.25" hidden="0" customHeight="1">
      <x:c r="A175" s="3" t="s">
        <x:v>648</x:v>
      </x:c>
      <x:c r="B175" s="3" t="s">
        <x:v>628</x:v>
      </x:c>
      <x:c r="C175" s="3" t="s">
        <x:v>555</x:v>
      </x:c>
      <x:c r="D175" s="3" t="s">
        <x:v>214</x:v>
      </x:c>
      <x:c r="E175" s="3" t="s">
        <x:v>649</x:v>
      </x:c>
      <x:c r="F175" s="3" t="s">
        <x:v>557</x:v>
      </x:c>
      <x:c r="G175" s="3" t="s">
        <x:v>109</x:v>
      </x:c>
      <x:c r="H175" s="3" t="s">
        <x:v>630</x:v>
      </x:c>
      <x:c r="I175" s="3"/>
      <x:c r="J175" s="3" t="s">
        <x:v>559</x:v>
      </x:c>
      <x:c r="K175" s="3" t="s">
        <x:v>640</x:v>
      </x:c>
      <x:c r="L175" s="3" t="s">
        <x:v>650</x:v>
      </x:c>
      <x:c r="M175" s="3"/>
      <x:c r="N175" s="3"/>
      <x:c r="O175" s="3" t="s">
        <x:v>560</x:v>
      </x:c>
      <x:c r="P175" s="3" t="s">
        <x:v>115</x:v>
      </x:c>
      <x:c r="Q175" s="3" t="s">
        <x:v>561</x:v>
      </x:c>
      <x:c r="R175" s="3"/>
      <x:c r="S175" s="8"/>
      <x:c r="T175" s="8"/>
      <x:c r="U175" s="8"/>
      <x:c r="V175" s="8"/>
    </x:row>
    <x:row r="176" ht="41.25" hidden="0" customHeight="1">
      <x:c r="A176" s="3" t="s">
        <x:v>651</x:v>
      </x:c>
      <x:c r="B176" s="3" t="s">
        <x:v>628</x:v>
      </x:c>
      <x:c r="C176" s="3" t="s">
        <x:v>555</x:v>
      </x:c>
      <x:c r="D176" s="3" t="s">
        <x:v>117</x:v>
      </x:c>
      <x:c r="E176" s="3" t="s">
        <x:v>652</x:v>
      </x:c>
      <x:c r="F176" s="3" t="s">
        <x:v>557</x:v>
      </x:c>
      <x:c r="G176" s="3" t="s">
        <x:v>109</x:v>
      </x:c>
      <x:c r="H176" s="3" t="s">
        <x:v>630</x:v>
      </x:c>
      <x:c r="I176" s="3"/>
      <x:c r="J176" s="3" t="s">
        <x:v>559</x:v>
      </x:c>
      <x:c r="K176" s="3" t="s">
        <x:v>640</x:v>
      </x:c>
      <x:c r="L176" s="3" t="s">
        <x:v>650</x:v>
      </x:c>
      <x:c r="M176" s="3"/>
      <x:c r="N176" s="3"/>
      <x:c r="O176" s="3" t="s">
        <x:v>560</x:v>
      </x:c>
      <x:c r="P176" s="3" t="s">
        <x:v>115</x:v>
      </x:c>
      <x:c r="Q176" s="3" t="s">
        <x:v>561</x:v>
      </x:c>
      <x:c r="R176" s="3"/>
      <x:c r="S176" s="8"/>
      <x:c r="T176" s="8"/>
      <x:c r="U176" s="8"/>
      <x:c r="V176" s="8"/>
    </x:row>
    <x:row r="177" ht="41.25" hidden="0" customHeight="1">
      <x:c r="A177" s="3" t="s">
        <x:v>653</x:v>
      </x:c>
      <x:c r="B177" s="3" t="s">
        <x:v>628</x:v>
      </x:c>
      <x:c r="C177" s="3" t="s">
        <x:v>555</x:v>
      </x:c>
      <x:c r="D177" s="3" t="s">
        <x:v>345</x:v>
      </x:c>
      <x:c r="E177" s="3" t="s">
        <x:v>654</x:v>
      </x:c>
      <x:c r="F177" s="3" t="s">
        <x:v>557</x:v>
      </x:c>
      <x:c r="G177" s="3" t="s">
        <x:v>109</x:v>
      </x:c>
      <x:c r="H177" s="3" t="s">
        <x:v>630</x:v>
      </x:c>
      <x:c r="I177" s="3"/>
      <x:c r="J177" s="3" t="s">
        <x:v>559</x:v>
      </x:c>
      <x:c r="K177" s="3" t="s">
        <x:v>631</x:v>
      </x:c>
      <x:c r="L177" s="3" t="s">
        <x:v>655</x:v>
      </x:c>
      <x:c r="M177" s="3"/>
      <x:c r="N177" s="3"/>
      <x:c r="O177" s="3" t="s">
        <x:v>560</x:v>
      </x:c>
      <x:c r="P177" s="3" t="s">
        <x:v>115</x:v>
      </x:c>
      <x:c r="Q177" s="3" t="s">
        <x:v>561</x:v>
      </x:c>
      <x:c r="R177" s="3"/>
      <x:c r="S177" s="8"/>
      <x:c r="T177" s="8"/>
      <x:c r="U177" s="8"/>
      <x:c r="V177" s="8"/>
    </x:row>
    <x:row r="178" ht="41.25" hidden="0" customHeight="1">
      <x:c r="A178" s="3" t="s">
        <x:v>656</x:v>
      </x:c>
      <x:c r="B178" s="3" t="s">
        <x:v>628</x:v>
      </x:c>
      <x:c r="C178" s="3" t="s">
        <x:v>555</x:v>
      </x:c>
      <x:c r="D178" s="3" t="s">
        <x:v>422</x:v>
      </x:c>
      <x:c r="E178" s="3" t="s">
        <x:v>657</x:v>
      </x:c>
      <x:c r="F178" s="3" t="s">
        <x:v>557</x:v>
      </x:c>
      <x:c r="G178" s="3" t="s">
        <x:v>109</x:v>
      </x:c>
      <x:c r="H178" s="3" t="s">
        <x:v>630</x:v>
      </x:c>
      <x:c r="I178" s="3"/>
      <x:c r="J178" s="3" t="s">
        <x:v>559</x:v>
      </x:c>
      <x:c r="K178" s="3" t="s">
        <x:v>658</x:v>
      </x:c>
      <x:c r="L178" s="3" t="s">
        <x:v>659</x:v>
      </x:c>
      <x:c r="M178" s="3"/>
      <x:c r="N178" s="3"/>
      <x:c r="O178" s="3" t="s">
        <x:v>560</x:v>
      </x:c>
      <x:c r="P178" s="3" t="s">
        <x:v>115</x:v>
      </x:c>
      <x:c r="Q178" s="3" t="s">
        <x:v>561</x:v>
      </x:c>
      <x:c r="R178" s="3"/>
      <x:c r="S178" s="8"/>
      <x:c r="T178" s="8"/>
      <x:c r="U178" s="8"/>
      <x:c r="V178" s="8"/>
    </x:row>
    <x:row r="179" ht="41.25" hidden="0" customHeight="1">
      <x:c r="A179" s="3" t="s">
        <x:v>660</x:v>
      </x:c>
      <x:c r="B179" s="3" t="s">
        <x:v>661</x:v>
      </x:c>
      <x:c r="C179" s="3" t="s">
        <x:v>555</x:v>
      </x:c>
      <x:c r="D179" s="3" t="s">
        <x:v>106</x:v>
      </x:c>
      <x:c r="E179" s="3" t="s">
        <x:v>662</x:v>
      </x:c>
      <x:c r="F179" s="3" t="s">
        <x:v>557</x:v>
      </x:c>
      <x:c r="G179" s="3" t="s">
        <x:v>109</x:v>
      </x:c>
      <x:c r="H179" s="3" t="s">
        <x:v>663</x:v>
      </x:c>
      <x:c r="I179" s="3"/>
      <x:c r="J179" s="3" t="s">
        <x:v>559</x:v>
      </x:c>
      <x:c r="K179" s="3" t="s">
        <x:v>113</x:v>
      </x:c>
      <x:c r="L179" s="3"/>
      <x:c r="M179" s="3"/>
      <x:c r="N179" s="3"/>
      <x:c r="O179" s="3" t="s">
        <x:v>560</x:v>
      </x:c>
      <x:c r="P179" s="3" t="s">
        <x:v>115</x:v>
      </x:c>
      <x:c r="Q179" s="3" t="s">
        <x:v>561</x:v>
      </x:c>
      <x:c r="R179" s="3"/>
      <x:c r="S179" s="8"/>
      <x:c r="T179" s="8"/>
      <x:c r="U179" s="8"/>
      <x:c r="V179" s="8"/>
    </x:row>
    <x:row r="180" ht="41.25" hidden="0" customHeight="1">
      <x:c r="A180" s="3" t="s">
        <x:v>664</x:v>
      </x:c>
      <x:c r="B180" s="3" t="s">
        <x:v>661</x:v>
      </x:c>
      <x:c r="C180" s="3" t="s">
        <x:v>555</x:v>
      </x:c>
      <x:c r="D180" s="3" t="s">
        <x:v>131</x:v>
      </x:c>
      <x:c r="E180" s="3" t="s">
        <x:v>665</x:v>
      </x:c>
      <x:c r="F180" s="3" t="s">
        <x:v>557</x:v>
      </x:c>
      <x:c r="G180" s="3" t="s">
        <x:v>109</x:v>
      </x:c>
      <x:c r="H180" s="3" t="s">
        <x:v>663</x:v>
      </x:c>
      <x:c r="I180" s="3"/>
      <x:c r="J180" s="3" t="s">
        <x:v>559</x:v>
      </x:c>
      <x:c r="K180" s="3" t="s">
        <x:v>113</x:v>
      </x:c>
      <x:c r="L180" s="3"/>
      <x:c r="M180" s="3"/>
      <x:c r="N180" s="3"/>
      <x:c r="O180" s="3" t="s">
        <x:v>560</x:v>
      </x:c>
      <x:c r="P180" s="3" t="s">
        <x:v>115</x:v>
      </x:c>
      <x:c r="Q180" s="3" t="s">
        <x:v>561</x:v>
      </x:c>
      <x:c r="R180" s="3"/>
      <x:c r="S180" s="8"/>
      <x:c r="T180" s="8"/>
      <x:c r="U180" s="8"/>
      <x:c r="V180" s="8"/>
    </x:row>
    <x:row r="181" ht="41.25" hidden="0" customHeight="1">
      <x:c r="A181" s="3" t="s">
        <x:v>666</x:v>
      </x:c>
      <x:c r="B181" s="3" t="s">
        <x:v>661</x:v>
      </x:c>
      <x:c r="C181" s="3" t="s">
        <x:v>555</x:v>
      </x:c>
      <x:c r="D181" s="3" t="s">
        <x:v>117</x:v>
      </x:c>
      <x:c r="E181" s="3" t="s">
        <x:v>667</x:v>
      </x:c>
      <x:c r="F181" s="3" t="s">
        <x:v>557</x:v>
      </x:c>
      <x:c r="G181" s="3" t="s">
        <x:v>109</x:v>
      </x:c>
      <x:c r="H181" s="3" t="s">
        <x:v>663</x:v>
      </x:c>
      <x:c r="I181" s="3"/>
      <x:c r="J181" s="3" t="s">
        <x:v>559</x:v>
      </x:c>
      <x:c r="K181" s="3" t="s">
        <x:v>113</x:v>
      </x:c>
      <x:c r="L181" s="3"/>
      <x:c r="M181" s="3"/>
      <x:c r="N181" s="3"/>
      <x:c r="O181" s="3" t="s">
        <x:v>560</x:v>
      </x:c>
      <x:c r="P181" s="3" t="s">
        <x:v>115</x:v>
      </x:c>
      <x:c r="Q181" s="3" t="s">
        <x:v>561</x:v>
      </x:c>
      <x:c r="R181" s="3"/>
      <x:c r="S181" s="8"/>
      <x:c r="T181" s="8"/>
      <x:c r="U181" s="8"/>
      <x:c r="V181" s="8"/>
    </x:row>
    <x:row r="182" ht="41.25" hidden="0" customHeight="1">
      <x:c r="A182" s="3" t="s">
        <x:v>668</x:v>
      </x:c>
      <x:c r="B182" s="3" t="s">
        <x:v>661</x:v>
      </x:c>
      <x:c r="C182" s="3" t="s">
        <x:v>555</x:v>
      </x:c>
      <x:c r="D182" s="3" t="s">
        <x:v>120</x:v>
      </x:c>
      <x:c r="E182" s="3" t="s">
        <x:v>669</x:v>
      </x:c>
      <x:c r="F182" s="3" t="s">
        <x:v>557</x:v>
      </x:c>
      <x:c r="G182" s="3" t="s">
        <x:v>109</x:v>
      </x:c>
      <x:c r="H182" s="3" t="s">
        <x:v>663</x:v>
      </x:c>
      <x:c r="I182" s="3"/>
      <x:c r="J182" s="3" t="s">
        <x:v>559</x:v>
      </x:c>
      <x:c r="K182" s="3" t="s">
        <x:v>113</x:v>
      </x:c>
      <x:c r="L182" s="3"/>
      <x:c r="M182" s="3"/>
      <x:c r="N182" s="3"/>
      <x:c r="O182" s="3" t="s">
        <x:v>560</x:v>
      </x:c>
      <x:c r="P182" s="3" t="s">
        <x:v>115</x:v>
      </x:c>
      <x:c r="Q182" s="3" t="s">
        <x:v>561</x:v>
      </x:c>
      <x:c r="R182" s="3"/>
      <x:c r="S182" s="8"/>
      <x:c r="T182" s="8"/>
      <x:c r="U182" s="8"/>
      <x:c r="V182" s="8"/>
    </x:row>
    <x:row r="183" ht="41.25" hidden="0" customHeight="1">
      <x:c r="A183" s="3" t="s">
        <x:v>670</x:v>
      </x:c>
      <x:c r="B183" s="3" t="s">
        <x:v>661</x:v>
      </x:c>
      <x:c r="C183" s="3" t="s">
        <x:v>555</x:v>
      </x:c>
      <x:c r="D183" s="3" t="s">
        <x:v>422</x:v>
      </x:c>
      <x:c r="E183" s="3" t="s">
        <x:v>671</x:v>
      </x:c>
      <x:c r="F183" s="3" t="s">
        <x:v>557</x:v>
      </x:c>
      <x:c r="G183" s="3" t="s">
        <x:v>109</x:v>
      </x:c>
      <x:c r="H183" s="3" t="s">
        <x:v>663</x:v>
      </x:c>
      <x:c r="I183" s="3"/>
      <x:c r="J183" s="3" t="s">
        <x:v>559</x:v>
      </x:c>
      <x:c r="K183" s="3" t="s">
        <x:v>113</x:v>
      </x:c>
      <x:c r="L183" s="3"/>
      <x:c r="M183" s="3"/>
      <x:c r="N183" s="3"/>
      <x:c r="O183" s="3" t="s">
        <x:v>560</x:v>
      </x:c>
      <x:c r="P183" s="3" t="s">
        <x:v>115</x:v>
      </x:c>
      <x:c r="Q183" s="3" t="s">
        <x:v>561</x:v>
      </x:c>
      <x:c r="R183" s="3"/>
      <x:c r="S183" s="8"/>
      <x:c r="T183" s="8"/>
      <x:c r="U183" s="8"/>
      <x:c r="V183" s="8"/>
    </x:row>
    <x:row r="184" ht="41.25" hidden="0" customHeight="1">
      <x:c r="A184" s="3" t="s">
        <x:v>672</x:v>
      </x:c>
      <x:c r="B184" s="3" t="s">
        <x:v>661</x:v>
      </x:c>
      <x:c r="C184" s="3" t="s">
        <x:v>555</x:v>
      </x:c>
      <x:c r="D184" s="3" t="s">
        <x:v>270</x:v>
      </x:c>
      <x:c r="E184" s="3" t="s">
        <x:v>673</x:v>
      </x:c>
      <x:c r="F184" s="3" t="s">
        <x:v>557</x:v>
      </x:c>
      <x:c r="G184" s="3" t="s">
        <x:v>109</x:v>
      </x:c>
      <x:c r="H184" s="3" t="s">
        <x:v>663</x:v>
      </x:c>
      <x:c r="I184" s="3"/>
      <x:c r="J184" s="3" t="s">
        <x:v>559</x:v>
      </x:c>
      <x:c r="K184" s="3" t="s">
        <x:v>113</x:v>
      </x:c>
      <x:c r="L184" s="3"/>
      <x:c r="M184" s="3"/>
      <x:c r="N184" s="3"/>
      <x:c r="O184" s="3" t="s">
        <x:v>560</x:v>
      </x:c>
      <x:c r="P184" s="3" t="s">
        <x:v>115</x:v>
      </x:c>
      <x:c r="Q184" s="3" t="s">
        <x:v>561</x:v>
      </x:c>
      <x:c r="R184" s="3"/>
      <x:c r="S184" s="8"/>
      <x:c r="T184" s="8"/>
      <x:c r="U184" s="8"/>
      <x:c r="V184" s="8"/>
    </x:row>
    <x:row r="185" ht="41.25" hidden="0" customHeight="1">
      <x:c r="A185" s="3" t="s">
        <x:v>674</x:v>
      </x:c>
      <x:c r="B185" s="3" t="s">
        <x:v>675</x:v>
      </x:c>
      <x:c r="C185" s="3" t="s">
        <x:v>555</x:v>
      </x:c>
      <x:c r="D185" s="3" t="s">
        <x:v>106</x:v>
      </x:c>
      <x:c r="E185" s="3" t="s">
        <x:v>676</x:v>
      </x:c>
      <x:c r="F185" s="3" t="s">
        <x:v>557</x:v>
      </x:c>
      <x:c r="G185" s="3" t="s">
        <x:v>109</x:v>
      </x:c>
      <x:c r="H185" s="3" t="s">
        <x:v>677</x:v>
      </x:c>
      <x:c r="I185" s="3"/>
      <x:c r="J185" s="3" t="s">
        <x:v>559</x:v>
      </x:c>
      <x:c r="K185" s="3" t="s">
        <x:v>113</x:v>
      </x:c>
      <x:c r="L185" s="3" t="s">
        <x:v>678</x:v>
      </x:c>
      <x:c r="M185" s="3"/>
      <x:c r="N185" s="3"/>
      <x:c r="O185" s="3" t="s">
        <x:v>560</x:v>
      </x:c>
      <x:c r="P185" s="3" t="s">
        <x:v>115</x:v>
      </x:c>
      <x:c r="Q185" s="3" t="s">
        <x:v>561</x:v>
      </x:c>
      <x:c r="R185" s="3"/>
      <x:c r="S185" s="8"/>
      <x:c r="T185" s="8"/>
      <x:c r="U185" s="8"/>
      <x:c r="V185" s="8"/>
    </x:row>
    <x:row r="186" ht="41.25" hidden="0" customHeight="1">
      <x:c r="A186" s="3" t="s">
        <x:v>679</x:v>
      </x:c>
      <x:c r="B186" s="3" t="s">
        <x:v>675</x:v>
      </x:c>
      <x:c r="C186" s="3" t="s">
        <x:v>555</x:v>
      </x:c>
      <x:c r="D186" s="3" t="s">
        <x:v>131</x:v>
      </x:c>
      <x:c r="E186" s="3" t="s">
        <x:v>680</x:v>
      </x:c>
      <x:c r="F186" s="3" t="s">
        <x:v>557</x:v>
      </x:c>
      <x:c r="G186" s="3" t="s">
        <x:v>109</x:v>
      </x:c>
      <x:c r="H186" s="3" t="s">
        <x:v>677</x:v>
      </x:c>
      <x:c r="I186" s="3"/>
      <x:c r="J186" s="3" t="s">
        <x:v>559</x:v>
      </x:c>
      <x:c r="K186" s="3" t="s">
        <x:v>113</x:v>
      </x:c>
      <x:c r="L186" s="3" t="s">
        <x:v>678</x:v>
      </x:c>
      <x:c r="M186" s="3"/>
      <x:c r="N186" s="3"/>
      <x:c r="O186" s="3" t="s">
        <x:v>560</x:v>
      </x:c>
      <x:c r="P186" s="3" t="s">
        <x:v>115</x:v>
      </x:c>
      <x:c r="Q186" s="3" t="s">
        <x:v>561</x:v>
      </x:c>
      <x:c r="R186" s="3"/>
      <x:c r="S186" s="8"/>
      <x:c r="T186" s="8"/>
      <x:c r="U186" s="8"/>
      <x:c r="V186" s="8"/>
    </x:row>
    <x:row r="187" ht="41.25" hidden="0" customHeight="1">
      <x:c r="A187" s="3" t="s">
        <x:v>681</x:v>
      </x:c>
      <x:c r="B187" s="3" t="s">
        <x:v>675</x:v>
      </x:c>
      <x:c r="C187" s="3" t="s">
        <x:v>555</x:v>
      </x:c>
      <x:c r="D187" s="3" t="s">
        <x:v>313</x:v>
      </x:c>
      <x:c r="E187" s="3" t="s">
        <x:v>682</x:v>
      </x:c>
      <x:c r="F187" s="3" t="s">
        <x:v>557</x:v>
      </x:c>
      <x:c r="G187" s="3" t="s">
        <x:v>109</x:v>
      </x:c>
      <x:c r="H187" s="3" t="s">
        <x:v>677</x:v>
      </x:c>
      <x:c r="I187" s="3"/>
      <x:c r="J187" s="3" t="s">
        <x:v>559</x:v>
      </x:c>
      <x:c r="K187" s="3" t="s">
        <x:v>113</x:v>
      </x:c>
      <x:c r="L187" s="3" t="s">
        <x:v>678</x:v>
      </x:c>
      <x:c r="M187" s="3"/>
      <x:c r="N187" s="3"/>
      <x:c r="O187" s="3" t="s">
        <x:v>560</x:v>
      </x:c>
      <x:c r="P187" s="3" t="s">
        <x:v>115</x:v>
      </x:c>
      <x:c r="Q187" s="3" t="s">
        <x:v>561</x:v>
      </x:c>
      <x:c r="R187" s="3"/>
      <x:c r="S187" s="8"/>
      <x:c r="T187" s="8"/>
      <x:c r="U187" s="8"/>
      <x:c r="V187" s="8"/>
    </x:row>
    <x:row r="188" ht="41.25" hidden="0" customHeight="1">
      <x:c r="A188" s="3" t="s">
        <x:v>683</x:v>
      </x:c>
      <x:c r="B188" s="3" t="s">
        <x:v>675</x:v>
      </x:c>
      <x:c r="C188" s="3" t="s">
        <x:v>555</x:v>
      </x:c>
      <x:c r="D188" s="3" t="s">
        <x:v>120</x:v>
      </x:c>
      <x:c r="E188" s="3" t="s">
        <x:v>684</x:v>
      </x:c>
      <x:c r="F188" s="3" t="s">
        <x:v>557</x:v>
      </x:c>
      <x:c r="G188" s="3" t="s">
        <x:v>109</x:v>
      </x:c>
      <x:c r="H188" s="3" t="s">
        <x:v>677</x:v>
      </x:c>
      <x:c r="I188" s="3"/>
      <x:c r="J188" s="3" t="s">
        <x:v>559</x:v>
      </x:c>
      <x:c r="K188" s="3" t="s">
        <x:v>113</x:v>
      </x:c>
      <x:c r="L188" s="3" t="s">
        <x:v>678</x:v>
      </x:c>
      <x:c r="M188" s="3"/>
      <x:c r="N188" s="3"/>
      <x:c r="O188" s="3" t="s">
        <x:v>560</x:v>
      </x:c>
      <x:c r="P188" s="3" t="s">
        <x:v>115</x:v>
      </x:c>
      <x:c r="Q188" s="3" t="s">
        <x:v>561</x:v>
      </x:c>
      <x:c r="R188" s="3"/>
      <x:c r="S188" s="8"/>
      <x:c r="T188" s="8"/>
      <x:c r="U188" s="8"/>
      <x:c r="V188" s="8"/>
    </x:row>
    <x:row r="189" ht="41.25" hidden="0" customHeight="1">
      <x:c r="A189" s="3" t="s">
        <x:v>685</x:v>
      </x:c>
      <x:c r="B189" s="3" t="s">
        <x:v>675</x:v>
      </x:c>
      <x:c r="C189" s="3" t="s">
        <x:v>555</x:v>
      </x:c>
      <x:c r="D189" s="3" t="s">
        <x:v>270</x:v>
      </x:c>
      <x:c r="E189" s="3" t="s">
        <x:v>686</x:v>
      </x:c>
      <x:c r="F189" s="3" t="s">
        <x:v>557</x:v>
      </x:c>
      <x:c r="G189" s="3" t="s">
        <x:v>109</x:v>
      </x:c>
      <x:c r="H189" s="3" t="s">
        <x:v>677</x:v>
      </x:c>
      <x:c r="I189" s="3"/>
      <x:c r="J189" s="3" t="s">
        <x:v>559</x:v>
      </x:c>
      <x:c r="K189" s="3" t="s">
        <x:v>113</x:v>
      </x:c>
      <x:c r="L189" s="3" t="s">
        <x:v>678</x:v>
      </x:c>
      <x:c r="M189" s="3"/>
      <x:c r="N189" s="3"/>
      <x:c r="O189" s="3" t="s">
        <x:v>560</x:v>
      </x:c>
      <x:c r="P189" s="3" t="s">
        <x:v>115</x:v>
      </x:c>
      <x:c r="Q189" s="3" t="s">
        <x:v>561</x:v>
      </x:c>
      <x:c r="R189" s="3"/>
      <x:c r="S189" s="8"/>
      <x:c r="T189" s="8"/>
      <x:c r="U189" s="8"/>
      <x:c r="V189" s="8"/>
    </x:row>
    <x:row r="190" ht="41.25" hidden="0" customHeight="1">
      <x:c r="A190" s="3" t="s">
        <x:v>687</x:v>
      </x:c>
      <x:c r="B190" s="3" t="s">
        <x:v>688</x:v>
      </x:c>
      <x:c r="C190" s="3" t="s">
        <x:v>555</x:v>
      </x:c>
      <x:c r="D190" s="3" t="s">
        <x:v>106</x:v>
      </x:c>
      <x:c r="E190" s="3" t="s">
        <x:v>689</x:v>
      </x:c>
      <x:c r="F190" s="3" t="s">
        <x:v>557</x:v>
      </x:c>
      <x:c r="G190" s="3" t="s">
        <x:v>109</x:v>
      </x:c>
      <x:c r="H190" s="3" t="s">
        <x:v>690</x:v>
      </x:c>
      <x:c r="I190" s="3"/>
      <x:c r="J190" s="3" t="s">
        <x:v>559</x:v>
      </x:c>
      <x:c r="K190" s="3" t="s">
        <x:v>113</x:v>
      </x:c>
      <x:c r="L190" s="3"/>
      <x:c r="M190" s="3"/>
      <x:c r="N190" s="3"/>
      <x:c r="O190" s="3" t="s">
        <x:v>560</x:v>
      </x:c>
      <x:c r="P190" s="3" t="s">
        <x:v>115</x:v>
      </x:c>
      <x:c r="Q190" s="3" t="s">
        <x:v>561</x:v>
      </x:c>
      <x:c r="R190" s="3"/>
      <x:c r="S190" s="8"/>
      <x:c r="T190" s="8"/>
      <x:c r="U190" s="8"/>
      <x:c r="V190" s="8"/>
    </x:row>
    <x:row r="191" ht="41.25" hidden="0" customHeight="1">
      <x:c r="A191" s="3" t="s">
        <x:v>691</x:v>
      </x:c>
      <x:c r="B191" s="3" t="s">
        <x:v>688</x:v>
      </x:c>
      <x:c r="C191" s="3" t="s">
        <x:v>555</x:v>
      </x:c>
      <x:c r="D191" s="3" t="s">
        <x:v>131</x:v>
      </x:c>
      <x:c r="E191" s="3" t="s">
        <x:v>692</x:v>
      </x:c>
      <x:c r="F191" s="3" t="s">
        <x:v>557</x:v>
      </x:c>
      <x:c r="G191" s="3" t="s">
        <x:v>109</x:v>
      </x:c>
      <x:c r="H191" s="3" t="s">
        <x:v>690</x:v>
      </x:c>
      <x:c r="I191" s="3"/>
      <x:c r="J191" s="3" t="s">
        <x:v>559</x:v>
      </x:c>
      <x:c r="K191" s="3" t="s">
        <x:v>113</x:v>
      </x:c>
      <x:c r="L191" s="3"/>
      <x:c r="M191" s="3"/>
      <x:c r="N191" s="3"/>
      <x:c r="O191" s="3" t="s">
        <x:v>560</x:v>
      </x:c>
      <x:c r="P191" s="3" t="s">
        <x:v>115</x:v>
      </x:c>
      <x:c r="Q191" s="3" t="s">
        <x:v>561</x:v>
      </x:c>
      <x:c r="R191" s="3"/>
      <x:c r="S191" s="8"/>
      <x:c r="T191" s="8"/>
      <x:c r="U191" s="8"/>
      <x:c r="V191" s="8"/>
    </x:row>
    <x:row r="192" ht="41.25" hidden="0" customHeight="1">
      <x:c r="A192" s="3" t="s">
        <x:v>693</x:v>
      </x:c>
      <x:c r="B192" s="3" t="s">
        <x:v>688</x:v>
      </x:c>
      <x:c r="C192" s="3" t="s">
        <x:v>555</x:v>
      </x:c>
      <x:c r="D192" s="3" t="s">
        <x:v>233</x:v>
      </x:c>
      <x:c r="E192" s="3" t="s">
        <x:v>694</x:v>
      </x:c>
      <x:c r="F192" s="3" t="s">
        <x:v>557</x:v>
      </x:c>
      <x:c r="G192" s="3" t="s">
        <x:v>109</x:v>
      </x:c>
      <x:c r="H192" s="3" t="s">
        <x:v>690</x:v>
      </x:c>
      <x:c r="I192" s="3"/>
      <x:c r="J192" s="3" t="s">
        <x:v>559</x:v>
      </x:c>
      <x:c r="K192" s="3" t="s">
        <x:v>695</x:v>
      </x:c>
      <x:c r="L192" s="3" t="s">
        <x:v>696</x:v>
      </x:c>
      <x:c r="M192" s="3"/>
      <x:c r="N192" s="3"/>
      <x:c r="O192" s="3" t="s">
        <x:v>560</x:v>
      </x:c>
      <x:c r="P192" s="3" t="s">
        <x:v>115</x:v>
      </x:c>
      <x:c r="Q192" s="3" t="s">
        <x:v>561</x:v>
      </x:c>
      <x:c r="R192" s="3"/>
      <x:c r="S192" s="8"/>
      <x:c r="T192" s="8"/>
      <x:c r="U192" s="8"/>
      <x:c r="V192" s="8"/>
    </x:row>
    <x:row r="193" ht="41.25" hidden="0" customHeight="1">
      <x:c r="A193" s="3" t="s">
        <x:v>697</x:v>
      </x:c>
      <x:c r="B193" s="3" t="s">
        <x:v>688</x:v>
      </x:c>
      <x:c r="C193" s="3" t="s">
        <x:v>555</x:v>
      </x:c>
      <x:c r="D193" s="3" t="s">
        <x:v>313</x:v>
      </x:c>
      <x:c r="E193" s="3" t="s">
        <x:v>698</x:v>
      </x:c>
      <x:c r="F193" s="3" t="s">
        <x:v>557</x:v>
      </x:c>
      <x:c r="G193" s="3" t="s">
        <x:v>109</x:v>
      </x:c>
      <x:c r="H193" s="3" t="s">
        <x:v>690</x:v>
      </x:c>
      <x:c r="I193" s="3"/>
      <x:c r="J193" s="3" t="s">
        <x:v>559</x:v>
      </x:c>
      <x:c r="K193" s="3" t="s">
        <x:v>439</x:v>
      </x:c>
      <x:c r="L193" s="3" t="s">
        <x:v>699</x:v>
      </x:c>
      <x:c r="M193" s="3"/>
      <x:c r="N193" s="3"/>
      <x:c r="O193" s="3" t="s">
        <x:v>560</x:v>
      </x:c>
      <x:c r="P193" s="3" t="s">
        <x:v>115</x:v>
      </x:c>
      <x:c r="Q193" s="3" t="s">
        <x:v>561</x:v>
      </x:c>
      <x:c r="R193" s="3"/>
      <x:c r="S193" s="8"/>
      <x:c r="T193" s="8"/>
      <x:c r="U193" s="8"/>
      <x:c r="V193" s="8"/>
    </x:row>
    <x:row r="194" ht="41.25" hidden="0" customHeight="1">
      <x:c r="A194" s="3" t="s">
        <x:v>700</x:v>
      </x:c>
      <x:c r="B194" s="3" t="s">
        <x:v>688</x:v>
      </x:c>
      <x:c r="C194" s="3" t="s">
        <x:v>555</x:v>
      </x:c>
      <x:c r="D194" s="3" t="s">
        <x:v>142</x:v>
      </x:c>
      <x:c r="E194" s="3" t="s">
        <x:v>701</x:v>
      </x:c>
      <x:c r="F194" s="3" t="s">
        <x:v>557</x:v>
      </x:c>
      <x:c r="G194" s="3" t="s">
        <x:v>109</x:v>
      </x:c>
      <x:c r="H194" s="3" t="s">
        <x:v>690</x:v>
      </x:c>
      <x:c r="I194" s="3"/>
      <x:c r="J194" s="3" t="s">
        <x:v>559</x:v>
      </x:c>
      <x:c r="K194" s="3" t="s">
        <x:v>439</x:v>
      </x:c>
      <x:c r="L194" s="3" t="s">
        <x:v>702</x:v>
      </x:c>
      <x:c r="M194" s="3"/>
      <x:c r="N194" s="3"/>
      <x:c r="O194" s="3" t="s">
        <x:v>560</x:v>
      </x:c>
      <x:c r="P194" s="3" t="s">
        <x:v>115</x:v>
      </x:c>
      <x:c r="Q194" s="3" t="s">
        <x:v>561</x:v>
      </x:c>
      <x:c r="R194" s="3"/>
      <x:c r="S194" s="8"/>
      <x:c r="T194" s="8"/>
      <x:c r="U194" s="8"/>
      <x:c r="V194" s="8"/>
    </x:row>
    <x:row r="195" ht="41.25" hidden="0" customHeight="1">
      <x:c r="A195" s="3" t="s">
        <x:v>703</x:v>
      </x:c>
      <x:c r="B195" s="3" t="s">
        <x:v>688</x:v>
      </x:c>
      <x:c r="C195" s="3" t="s">
        <x:v>555</x:v>
      </x:c>
      <x:c r="D195" s="3" t="s">
        <x:v>157</x:v>
      </x:c>
      <x:c r="E195" s="3" t="s">
        <x:v>704</x:v>
      </x:c>
      <x:c r="F195" s="3" t="s">
        <x:v>557</x:v>
      </x:c>
      <x:c r="G195" s="3" t="s">
        <x:v>109</x:v>
      </x:c>
      <x:c r="H195" s="3" t="s">
        <x:v>690</x:v>
      </x:c>
      <x:c r="I195" s="3"/>
      <x:c r="J195" s="3" t="s">
        <x:v>559</x:v>
      </x:c>
      <x:c r="K195" s="3" t="s">
        <x:v>439</x:v>
      </x:c>
      <x:c r="L195" s="3" t="s">
        <x:v>705</x:v>
      </x:c>
      <x:c r="M195" s="3"/>
      <x:c r="N195" s="3"/>
      <x:c r="O195" s="3" t="s">
        <x:v>560</x:v>
      </x:c>
      <x:c r="P195" s="3" t="s">
        <x:v>115</x:v>
      </x:c>
      <x:c r="Q195" s="3" t="s">
        <x:v>561</x:v>
      </x:c>
      <x:c r="R195" s="3"/>
      <x:c r="S195" s="8"/>
      <x:c r="T195" s="8"/>
      <x:c r="U195" s="8"/>
      <x:c r="V195" s="8"/>
    </x:row>
    <x:row r="196" ht="41.25" hidden="0" customHeight="1">
      <x:c r="A196" s="3" t="s">
        <x:v>706</x:v>
      </x:c>
      <x:c r="B196" s="3" t="s">
        <x:v>688</x:v>
      </x:c>
      <x:c r="C196" s="3" t="s">
        <x:v>555</x:v>
      </x:c>
      <x:c r="D196" s="3" t="s">
        <x:v>154</x:v>
      </x:c>
      <x:c r="E196" s="3" t="s">
        <x:v>707</x:v>
      </x:c>
      <x:c r="F196" s="3" t="s">
        <x:v>557</x:v>
      </x:c>
      <x:c r="G196" s="3" t="s">
        <x:v>109</x:v>
      </x:c>
      <x:c r="H196" s="3" t="s">
        <x:v>690</x:v>
      </x:c>
      <x:c r="I196" s="3"/>
      <x:c r="J196" s="3" t="s">
        <x:v>559</x:v>
      </x:c>
      <x:c r="K196" s="3" t="s">
        <x:v>439</x:v>
      </x:c>
      <x:c r="L196" s="3" t="s">
        <x:v>705</x:v>
      </x:c>
      <x:c r="M196" s="3"/>
      <x:c r="N196" s="3"/>
      <x:c r="O196" s="3" t="s">
        <x:v>560</x:v>
      </x:c>
      <x:c r="P196" s="3" t="s">
        <x:v>115</x:v>
      </x:c>
      <x:c r="Q196" s="3" t="s">
        <x:v>561</x:v>
      </x:c>
      <x:c r="R196" s="3"/>
      <x:c r="S196" s="8"/>
      <x:c r="T196" s="8"/>
      <x:c r="U196" s="8"/>
      <x:c r="V196" s="8"/>
    </x:row>
    <x:row r="197" ht="41.25" hidden="0" customHeight="1">
      <x:c r="A197" s="3" t="s">
        <x:v>708</x:v>
      </x:c>
      <x:c r="B197" s="3" t="s">
        <x:v>688</x:v>
      </x:c>
      <x:c r="C197" s="3" t="s">
        <x:v>555</x:v>
      </x:c>
      <x:c r="D197" s="3" t="s">
        <x:v>117</x:v>
      </x:c>
      <x:c r="E197" s="3" t="s">
        <x:v>709</x:v>
      </x:c>
      <x:c r="F197" s="3" t="s">
        <x:v>557</x:v>
      </x:c>
      <x:c r="G197" s="3" t="s">
        <x:v>109</x:v>
      </x:c>
      <x:c r="H197" s="3" t="s">
        <x:v>690</x:v>
      </x:c>
      <x:c r="I197" s="3"/>
      <x:c r="J197" s="3" t="s">
        <x:v>559</x:v>
      </x:c>
      <x:c r="K197" s="3" t="s">
        <x:v>113</x:v>
      </x:c>
      <x:c r="L197" s="3"/>
      <x:c r="M197" s="3"/>
      <x:c r="N197" s="3"/>
      <x:c r="O197" s="3" t="s">
        <x:v>560</x:v>
      </x:c>
      <x:c r="P197" s="3" t="s">
        <x:v>115</x:v>
      </x:c>
      <x:c r="Q197" s="3" t="s">
        <x:v>561</x:v>
      </x:c>
      <x:c r="R197" s="3"/>
      <x:c r="S197" s="8"/>
      <x:c r="T197" s="8"/>
      <x:c r="U197" s="8"/>
      <x:c r="V197" s="8"/>
    </x:row>
    <x:row r="198" ht="41.25" hidden="0" customHeight="1">
      <x:c r="A198" s="3" t="s">
        <x:v>710</x:v>
      </x:c>
      <x:c r="B198" s="3" t="s">
        <x:v>688</x:v>
      </x:c>
      <x:c r="C198" s="3" t="s">
        <x:v>555</x:v>
      </x:c>
      <x:c r="D198" s="3" t="s">
        <x:v>422</x:v>
      </x:c>
      <x:c r="E198" s="3" t="s">
        <x:v>711</x:v>
      </x:c>
      <x:c r="F198" s="3" t="s">
        <x:v>557</x:v>
      </x:c>
      <x:c r="G198" s="3" t="s">
        <x:v>109</x:v>
      </x:c>
      <x:c r="H198" s="3" t="s">
        <x:v>690</x:v>
      </x:c>
      <x:c r="I198" s="3"/>
      <x:c r="J198" s="3" t="s">
        <x:v>559</x:v>
      </x:c>
      <x:c r="K198" s="3" t="s">
        <x:v>113</x:v>
      </x:c>
      <x:c r="L198" s="3"/>
      <x:c r="M198" s="3"/>
      <x:c r="N198" s="3"/>
      <x:c r="O198" s="3" t="s">
        <x:v>560</x:v>
      </x:c>
      <x:c r="P198" s="3" t="s">
        <x:v>115</x:v>
      </x:c>
      <x:c r="Q198" s="3" t="s">
        <x:v>561</x:v>
      </x:c>
      <x:c r="R198" s="3"/>
      <x:c r="S198" s="8"/>
      <x:c r="T198" s="8"/>
      <x:c r="U198" s="8"/>
      <x:c r="V198" s="8"/>
    </x:row>
    <x:row r="199" ht="41.25" hidden="0" customHeight="1">
      <x:c r="A199" s="3" t="s">
        <x:v>712</x:v>
      </x:c>
      <x:c r="B199" s="3" t="s">
        <x:v>688</x:v>
      </x:c>
      <x:c r="C199" s="3" t="s">
        <x:v>555</x:v>
      </x:c>
      <x:c r="D199" s="3" t="s">
        <x:v>270</x:v>
      </x:c>
      <x:c r="E199" s="3" t="s">
        <x:v>713</x:v>
      </x:c>
      <x:c r="F199" s="3" t="s">
        <x:v>557</x:v>
      </x:c>
      <x:c r="G199" s="3" t="s">
        <x:v>109</x:v>
      </x:c>
      <x:c r="H199" s="3" t="s">
        <x:v>690</x:v>
      </x:c>
      <x:c r="I199" s="3"/>
      <x:c r="J199" s="3" t="s">
        <x:v>559</x:v>
      </x:c>
      <x:c r="K199" s="3" t="s">
        <x:v>113</x:v>
      </x:c>
      <x:c r="L199" s="3"/>
      <x:c r="M199" s="3"/>
      <x:c r="N199" s="3"/>
      <x:c r="O199" s="3" t="s">
        <x:v>560</x:v>
      </x:c>
      <x:c r="P199" s="3" t="s">
        <x:v>115</x:v>
      </x:c>
      <x:c r="Q199" s="3" t="s">
        <x:v>561</x:v>
      </x:c>
      <x:c r="R199" s="3"/>
      <x:c r="S199" s="8"/>
      <x:c r="T199" s="8"/>
      <x:c r="U199" s="8"/>
      <x:c r="V199" s="8"/>
    </x:row>
    <x:row r="200" ht="41.25" hidden="0" customHeight="1">
      <x:c r="A200" s="3" t="s">
        <x:v>714</x:v>
      </x:c>
      <x:c r="B200" s="3" t="s">
        <x:v>715</x:v>
      </x:c>
      <x:c r="C200" s="3" t="s">
        <x:v>555</x:v>
      </x:c>
      <x:c r="D200" s="3" t="s">
        <x:v>106</x:v>
      </x:c>
      <x:c r="E200" s="3" t="s">
        <x:v>716</x:v>
      </x:c>
      <x:c r="F200" s="3" t="s">
        <x:v>557</x:v>
      </x:c>
      <x:c r="G200" s="3" t="s">
        <x:v>109</x:v>
      </x:c>
      <x:c r="H200" s="3" t="s">
        <x:v>717</x:v>
      </x:c>
      <x:c r="I200" s="3"/>
      <x:c r="J200" s="3" t="s">
        <x:v>559</x:v>
      </x:c>
      <x:c r="K200" s="3" t="s">
        <x:v>718</x:v>
      </x:c>
      <x:c r="L200" s="3"/>
      <x:c r="M200" s="3"/>
      <x:c r="N200" s="3"/>
      <x:c r="O200" s="3" t="s">
        <x:v>560</x:v>
      </x:c>
      <x:c r="P200" s="3" t="s">
        <x:v>115</x:v>
      </x:c>
      <x:c r="Q200" s="3" t="s">
        <x:v>561</x:v>
      </x:c>
      <x:c r="R200" s="3"/>
      <x:c r="S200" s="8"/>
      <x:c r="T200" s="8"/>
      <x:c r="U200" s="8"/>
      <x:c r="V200" s="8"/>
    </x:row>
    <x:row r="201" ht="41.25" hidden="0" customHeight="1">
      <x:c r="A201" s="3" t="s">
        <x:v>719</x:v>
      </x:c>
      <x:c r="B201" s="3" t="s">
        <x:v>715</x:v>
      </x:c>
      <x:c r="C201" s="3" t="s">
        <x:v>555</x:v>
      </x:c>
      <x:c r="D201" s="3" t="s">
        <x:v>135</x:v>
      </x:c>
      <x:c r="E201" s="3" t="s">
        <x:v>720</x:v>
      </x:c>
      <x:c r="F201" s="3" t="s">
        <x:v>557</x:v>
      </x:c>
      <x:c r="G201" s="3" t="s">
        <x:v>109</x:v>
      </x:c>
      <x:c r="H201" s="3" t="s">
        <x:v>717</x:v>
      </x:c>
      <x:c r="I201" s="3"/>
      <x:c r="J201" s="3" t="s">
        <x:v>559</x:v>
      </x:c>
      <x:c r="K201" s="3" t="s">
        <x:v>718</x:v>
      </x:c>
      <x:c r="L201" s="3"/>
      <x:c r="M201" s="3"/>
      <x:c r="N201" s="3"/>
      <x:c r="O201" s="3" t="s">
        <x:v>560</x:v>
      </x:c>
      <x:c r="P201" s="3" t="s">
        <x:v>115</x:v>
      </x:c>
      <x:c r="Q201" s="3" t="s">
        <x:v>561</x:v>
      </x:c>
      <x:c r="R201" s="3"/>
      <x:c r="S201" s="8"/>
      <x:c r="T201" s="8"/>
      <x:c r="U201" s="8"/>
      <x:c r="V201" s="8"/>
    </x:row>
    <x:row r="202" ht="41.25" hidden="0" customHeight="1">
      <x:c r="A202" s="3" t="s">
        <x:v>721</x:v>
      </x:c>
      <x:c r="B202" s="3" t="s">
        <x:v>715</x:v>
      </x:c>
      <x:c r="C202" s="3" t="s">
        <x:v>555</x:v>
      </x:c>
      <x:c r="D202" s="3" t="s">
        <x:v>123</x:v>
      </x:c>
      <x:c r="E202" s="3" t="s">
        <x:v>722</x:v>
      </x:c>
      <x:c r="F202" s="3" t="s">
        <x:v>557</x:v>
      </x:c>
      <x:c r="G202" s="3" t="s">
        <x:v>109</x:v>
      </x:c>
      <x:c r="H202" s="3" t="s">
        <x:v>717</x:v>
      </x:c>
      <x:c r="I202" s="3"/>
      <x:c r="J202" s="3" t="s">
        <x:v>559</x:v>
      </x:c>
      <x:c r="K202" s="3" t="s">
        <x:v>718</x:v>
      </x:c>
      <x:c r="L202" s="3"/>
      <x:c r="M202" s="3"/>
      <x:c r="N202" s="3"/>
      <x:c r="O202" s="3" t="s">
        <x:v>560</x:v>
      </x:c>
      <x:c r="P202" s="3" t="s">
        <x:v>115</x:v>
      </x:c>
      <x:c r="Q202" s="3" t="s">
        <x:v>561</x:v>
      </x:c>
      <x:c r="R202" s="3"/>
      <x:c r="S202" s="8"/>
      <x:c r="T202" s="8"/>
      <x:c r="U202" s="8"/>
      <x:c r="V202" s="8"/>
    </x:row>
    <x:row r="203" ht="41.25" hidden="0" customHeight="1">
      <x:c r="A203" s="3" t="s">
        <x:v>723</x:v>
      </x:c>
      <x:c r="B203" s="3" t="s">
        <x:v>715</x:v>
      </x:c>
      <x:c r="C203" s="3" t="s">
        <x:v>555</x:v>
      </x:c>
      <x:c r="D203" s="3" t="s">
        <x:v>127</x:v>
      </x:c>
      <x:c r="E203" s="3" t="s">
        <x:v>724</x:v>
      </x:c>
      <x:c r="F203" s="3" t="s">
        <x:v>557</x:v>
      </x:c>
      <x:c r="G203" s="3" t="s">
        <x:v>109</x:v>
      </x:c>
      <x:c r="H203" s="3" t="s">
        <x:v>717</x:v>
      </x:c>
      <x:c r="I203" s="3"/>
      <x:c r="J203" s="3" t="s">
        <x:v>559</x:v>
      </x:c>
      <x:c r="K203" s="3" t="s">
        <x:v>718</x:v>
      </x:c>
      <x:c r="L203" s="3"/>
      <x:c r="M203" s="3"/>
      <x:c r="N203" s="3"/>
      <x:c r="O203" s="3" t="s">
        <x:v>560</x:v>
      </x:c>
      <x:c r="P203" s="3" t="s">
        <x:v>115</x:v>
      </x:c>
      <x:c r="Q203" s="3" t="s">
        <x:v>561</x:v>
      </x:c>
      <x:c r="R203" s="3"/>
      <x:c r="S203" s="8"/>
      <x:c r="T203" s="8"/>
      <x:c r="U203" s="8"/>
      <x:c r="V203" s="8"/>
    </x:row>
    <x:row r="204" ht="41.25" hidden="0" customHeight="1">
      <x:c r="A204" s="3" t="s">
        <x:v>725</x:v>
      </x:c>
      <x:c r="B204" s="3" t="s">
        <x:v>715</x:v>
      </x:c>
      <x:c r="C204" s="3" t="s">
        <x:v>555</x:v>
      </x:c>
      <x:c r="D204" s="3" t="s">
        <x:v>208</x:v>
      </x:c>
      <x:c r="E204" s="3" t="s">
        <x:v>726</x:v>
      </x:c>
      <x:c r="F204" s="3" t="s">
        <x:v>557</x:v>
      </x:c>
      <x:c r="G204" s="3" t="s">
        <x:v>109</x:v>
      </x:c>
      <x:c r="H204" s="3" t="s">
        <x:v>717</x:v>
      </x:c>
      <x:c r="I204" s="3"/>
      <x:c r="J204" s="3" t="s">
        <x:v>559</x:v>
      </x:c>
      <x:c r="K204" s="3" t="s">
        <x:v>718</x:v>
      </x:c>
      <x:c r="L204" s="3"/>
      <x:c r="M204" s="3"/>
      <x:c r="N204" s="3"/>
      <x:c r="O204" s="3" t="s">
        <x:v>560</x:v>
      </x:c>
      <x:c r="P204" s="3" t="s">
        <x:v>115</x:v>
      </x:c>
      <x:c r="Q204" s="3" t="s">
        <x:v>561</x:v>
      </x:c>
      <x:c r="R204" s="3"/>
      <x:c r="S204" s="8"/>
      <x:c r="T204" s="8"/>
      <x:c r="U204" s="8"/>
      <x:c r="V204" s="8"/>
    </x:row>
    <x:row r="205" ht="41.25" hidden="0" customHeight="1">
      <x:c r="A205" s="3" t="s">
        <x:v>727</x:v>
      </x:c>
      <x:c r="B205" s="3" t="s">
        <x:v>715</x:v>
      </x:c>
      <x:c r="C205" s="3" t="s">
        <x:v>555</x:v>
      </x:c>
      <x:c r="D205" s="3" t="s">
        <x:v>117</x:v>
      </x:c>
      <x:c r="E205" s="3" t="s">
        <x:v>728</x:v>
      </x:c>
      <x:c r="F205" s="3" t="s">
        <x:v>557</x:v>
      </x:c>
      <x:c r="G205" s="3" t="s">
        <x:v>109</x:v>
      </x:c>
      <x:c r="H205" s="3" t="s">
        <x:v>717</x:v>
      </x:c>
      <x:c r="I205" s="3"/>
      <x:c r="J205" s="3" t="s">
        <x:v>559</x:v>
      </x:c>
      <x:c r="K205" s="3" t="s">
        <x:v>718</x:v>
      </x:c>
      <x:c r="L205" s="3"/>
      <x:c r="M205" s="3"/>
      <x:c r="N205" s="3"/>
      <x:c r="O205" s="3" t="s">
        <x:v>560</x:v>
      </x:c>
      <x:c r="P205" s="3" t="s">
        <x:v>115</x:v>
      </x:c>
      <x:c r="Q205" s="3" t="s">
        <x:v>561</x:v>
      </x:c>
      <x:c r="R205" s="3"/>
      <x:c r="S205" s="8"/>
      <x:c r="T205" s="8"/>
      <x:c r="U205" s="8"/>
      <x:c r="V205" s="8"/>
    </x:row>
    <x:row r="206" ht="41.25" hidden="0" customHeight="1">
      <x:c r="A206" s="3" t="s">
        <x:v>729</x:v>
      </x:c>
      <x:c r="B206" s="3" t="s">
        <x:v>730</x:v>
      </x:c>
      <x:c r="C206" s="3" t="s">
        <x:v>555</x:v>
      </x:c>
      <x:c r="D206" s="3" t="s">
        <x:v>106</x:v>
      </x:c>
      <x:c r="E206" s="3" t="s">
        <x:v>731</x:v>
      </x:c>
      <x:c r="F206" s="3" t="s">
        <x:v>557</x:v>
      </x:c>
      <x:c r="G206" s="3" t="s">
        <x:v>109</x:v>
      </x:c>
      <x:c r="H206" s="3" t="s">
        <x:v>732</x:v>
      </x:c>
      <x:c r="I206" s="3"/>
      <x:c r="J206" s="3" t="s">
        <x:v>559</x:v>
      </x:c>
      <x:c r="K206" s="3" t="s">
        <x:v>113</x:v>
      </x:c>
      <x:c r="L206" s="3"/>
      <x:c r="M206" s="3"/>
      <x:c r="N206" s="3"/>
      <x:c r="O206" s="3" t="s">
        <x:v>560</x:v>
      </x:c>
      <x:c r="P206" s="3" t="s">
        <x:v>115</x:v>
      </x:c>
      <x:c r="Q206" s="3" t="s">
        <x:v>561</x:v>
      </x:c>
      <x:c r="R206" s="3"/>
      <x:c r="S206" s="8"/>
      <x:c r="T206" s="8"/>
      <x:c r="U206" s="8"/>
      <x:c r="V206" s="8"/>
    </x:row>
    <x:row r="207" ht="41.25" hidden="0" customHeight="1">
      <x:c r="A207" s="3" t="s">
        <x:v>733</x:v>
      </x:c>
      <x:c r="B207" s="3" t="s">
        <x:v>730</x:v>
      </x:c>
      <x:c r="C207" s="3" t="s">
        <x:v>555</x:v>
      </x:c>
      <x:c r="D207" s="3" t="s">
        <x:v>131</x:v>
      </x:c>
      <x:c r="E207" s="3" t="s">
        <x:v>734</x:v>
      </x:c>
      <x:c r="F207" s="3" t="s">
        <x:v>557</x:v>
      </x:c>
      <x:c r="G207" s="3" t="s">
        <x:v>109</x:v>
      </x:c>
      <x:c r="H207" s="3" t="s">
        <x:v>732</x:v>
      </x:c>
      <x:c r="I207" s="3"/>
      <x:c r="J207" s="3" t="s">
        <x:v>559</x:v>
      </x:c>
      <x:c r="K207" s="3" t="s">
        <x:v>113</x:v>
      </x:c>
      <x:c r="L207" s="3"/>
      <x:c r="M207" s="3"/>
      <x:c r="N207" s="3"/>
      <x:c r="O207" s="3" t="s">
        <x:v>560</x:v>
      </x:c>
      <x:c r="P207" s="3" t="s">
        <x:v>115</x:v>
      </x:c>
      <x:c r="Q207" s="3" t="s">
        <x:v>561</x:v>
      </x:c>
      <x:c r="R207" s="3"/>
      <x:c r="S207" s="8"/>
      <x:c r="T207" s="8"/>
      <x:c r="U207" s="8"/>
      <x:c r="V207" s="8"/>
    </x:row>
    <x:row r="208" ht="41.25" hidden="0" customHeight="1">
      <x:c r="A208" s="3" t="s">
        <x:v>735</x:v>
      </x:c>
      <x:c r="B208" s="3" t="s">
        <x:v>730</x:v>
      </x:c>
      <x:c r="C208" s="3" t="s">
        <x:v>555</x:v>
      </x:c>
      <x:c r="D208" s="3" t="s">
        <x:v>117</x:v>
      </x:c>
      <x:c r="E208" s="3" t="s">
        <x:v>736</x:v>
      </x:c>
      <x:c r="F208" s="3" t="s">
        <x:v>557</x:v>
      </x:c>
      <x:c r="G208" s="3" t="s">
        <x:v>109</x:v>
      </x:c>
      <x:c r="H208" s="3" t="s">
        <x:v>732</x:v>
      </x:c>
      <x:c r="I208" s="3"/>
      <x:c r="J208" s="3" t="s">
        <x:v>559</x:v>
      </x:c>
      <x:c r="K208" s="3" t="s">
        <x:v>737</x:v>
      </x:c>
      <x:c r="L208" s="3" t="s">
        <x:v>738</x:v>
      </x:c>
      <x:c r="M208" s="3"/>
      <x:c r="N208" s="3"/>
      <x:c r="O208" s="3" t="s">
        <x:v>560</x:v>
      </x:c>
      <x:c r="P208" s="3" t="s">
        <x:v>115</x:v>
      </x:c>
      <x:c r="Q208" s="3" t="s">
        <x:v>561</x:v>
      </x:c>
      <x:c r="R208" s="3"/>
      <x:c r="S208" s="8"/>
      <x:c r="T208" s="8"/>
      <x:c r="U208" s="8"/>
      <x:c r="V208" s="8"/>
    </x:row>
    <x:row r="209" ht="41.25" hidden="0" customHeight="1">
      <x:c r="A209" s="3" t="s">
        <x:v>739</x:v>
      </x:c>
      <x:c r="B209" s="3" t="s">
        <x:v>730</x:v>
      </x:c>
      <x:c r="C209" s="3" t="s">
        <x:v>555</x:v>
      </x:c>
      <x:c r="D209" s="3" t="s">
        <x:v>289</x:v>
      </x:c>
      <x:c r="E209" s="3" t="s">
        <x:v>740</x:v>
      </x:c>
      <x:c r="F209" s="3" t="s">
        <x:v>557</x:v>
      </x:c>
      <x:c r="G209" s="3" t="s">
        <x:v>109</x:v>
      </x:c>
      <x:c r="H209" s="3" t="s">
        <x:v>732</x:v>
      </x:c>
      <x:c r="I209" s="3"/>
      <x:c r="J209" s="3" t="s">
        <x:v>559</x:v>
      </x:c>
      <x:c r="K209" s="3" t="s">
        <x:v>113</x:v>
      </x:c>
      <x:c r="L209" s="3"/>
      <x:c r="M209" s="3"/>
      <x:c r="N209" s="3"/>
      <x:c r="O209" s="3" t="s">
        <x:v>560</x:v>
      </x:c>
      <x:c r="P209" s="3" t="s">
        <x:v>115</x:v>
      </x:c>
      <x:c r="Q209" s="3" t="s">
        <x:v>561</x:v>
      </x:c>
      <x:c r="R209" s="3"/>
      <x:c r="S209" s="8"/>
      <x:c r="T209" s="8"/>
      <x:c r="U209" s="8"/>
      <x:c r="V209" s="8"/>
    </x:row>
    <x:row r="210" ht="41.25" hidden="0" customHeight="1">
      <x:c r="A210" s="3" t="s">
        <x:v>741</x:v>
      </x:c>
      <x:c r="B210" s="3" t="s">
        <x:v>730</x:v>
      </x:c>
      <x:c r="C210" s="3" t="s">
        <x:v>555</x:v>
      </x:c>
      <x:c r="D210" s="3" t="s">
        <x:v>142</x:v>
      </x:c>
      <x:c r="E210" s="3" t="s">
        <x:v>742</x:v>
      </x:c>
      <x:c r="F210" s="3" t="s">
        <x:v>557</x:v>
      </x:c>
      <x:c r="G210" s="3" t="s">
        <x:v>109</x:v>
      </x:c>
      <x:c r="H210" s="3" t="s">
        <x:v>732</x:v>
      </x:c>
      <x:c r="I210" s="3"/>
      <x:c r="J210" s="3" t="s">
        <x:v>559</x:v>
      </x:c>
      <x:c r="K210" s="3" t="s">
        <x:v>743</x:v>
      </x:c>
      <x:c r="L210" s="3" t="s">
        <x:v>744</x:v>
      </x:c>
      <x:c r="M210" s="3"/>
      <x:c r="N210" s="3"/>
      <x:c r="O210" s="3" t="s">
        <x:v>560</x:v>
      </x:c>
      <x:c r="P210" s="3" t="s">
        <x:v>115</x:v>
      </x:c>
      <x:c r="Q210" s="3" t="s">
        <x:v>561</x:v>
      </x:c>
      <x:c r="R210" s="3"/>
      <x:c r="S210" s="8"/>
      <x:c r="T210" s="8"/>
      <x:c r="U210" s="8"/>
      <x:c r="V210" s="8"/>
    </x:row>
    <x:row r="211" ht="41.25" hidden="0" customHeight="1">
      <x:c r="A211" s="3" t="s">
        <x:v>745</x:v>
      </x:c>
      <x:c r="B211" s="3" t="s">
        <x:v>730</x:v>
      </x:c>
      <x:c r="C211" s="3" t="s">
        <x:v>555</x:v>
      </x:c>
      <x:c r="D211" s="3" t="s">
        <x:v>164</x:v>
      </x:c>
      <x:c r="E211" s="3" t="s">
        <x:v>746</x:v>
      </x:c>
      <x:c r="F211" s="3" t="s">
        <x:v>557</x:v>
      </x:c>
      <x:c r="G211" s="3" t="s">
        <x:v>109</x:v>
      </x:c>
      <x:c r="H211" s="3" t="s">
        <x:v>732</x:v>
      </x:c>
      <x:c r="I211" s="3"/>
      <x:c r="J211" s="3" t="s">
        <x:v>559</x:v>
      </x:c>
      <x:c r="K211" s="3" t="s">
        <x:v>743</x:v>
      </x:c>
      <x:c r="L211" s="3" t="s">
        <x:v>744</x:v>
      </x:c>
      <x:c r="M211" s="3"/>
      <x:c r="N211" s="3"/>
      <x:c r="O211" s="3" t="s">
        <x:v>560</x:v>
      </x:c>
      <x:c r="P211" s="3" t="s">
        <x:v>115</x:v>
      </x:c>
      <x:c r="Q211" s="3" t="s">
        <x:v>561</x:v>
      </x:c>
      <x:c r="R211" s="3"/>
      <x:c r="S211" s="8"/>
      <x:c r="T211" s="8"/>
      <x:c r="U211" s="8"/>
      <x:c r="V211" s="8"/>
    </x:row>
    <x:row r="212" ht="41.25" hidden="0" customHeight="1">
      <x:c r="A212" s="3" t="s">
        <x:v>747</x:v>
      </x:c>
      <x:c r="B212" s="3" t="s">
        <x:v>730</x:v>
      </x:c>
      <x:c r="C212" s="3" t="s">
        <x:v>555</x:v>
      </x:c>
      <x:c r="D212" s="3" t="s">
        <x:v>270</x:v>
      </x:c>
      <x:c r="E212" s="3" t="s">
        <x:v>748</x:v>
      </x:c>
      <x:c r="F212" s="3" t="s">
        <x:v>557</x:v>
      </x:c>
      <x:c r="G212" s="3" t="s">
        <x:v>109</x:v>
      </x:c>
      <x:c r="H212" s="3" t="s">
        <x:v>732</x:v>
      </x:c>
      <x:c r="I212" s="3"/>
      <x:c r="J212" s="3" t="s">
        <x:v>559</x:v>
      </x:c>
      <x:c r="K212" s="3" t="s">
        <x:v>113</x:v>
      </x:c>
      <x:c r="L212" s="3"/>
      <x:c r="M212" s="3"/>
      <x:c r="N212" s="3"/>
      <x:c r="O212" s="3" t="s">
        <x:v>560</x:v>
      </x:c>
      <x:c r="P212" s="3" t="s">
        <x:v>115</x:v>
      </x:c>
      <x:c r="Q212" s="3" t="s">
        <x:v>561</x:v>
      </x:c>
      <x:c r="R212" s="3"/>
      <x:c r="S212" s="8"/>
      <x:c r="T212" s="8"/>
      <x:c r="U212" s="8"/>
      <x:c r="V212" s="8"/>
    </x:row>
    <x:row r="213" ht="41.25" hidden="0" customHeight="1">
      <x:c r="A213" s="3" t="s">
        <x:v>749</x:v>
      </x:c>
      <x:c r="B213" s="3" t="s">
        <x:v>730</x:v>
      </x:c>
      <x:c r="C213" s="3" t="s">
        <x:v>555</x:v>
      </x:c>
      <x:c r="D213" s="3" t="s">
        <x:v>190</x:v>
      </x:c>
      <x:c r="E213" s="3" t="s">
        <x:v>750</x:v>
      </x:c>
      <x:c r="F213" s="3" t="s">
        <x:v>557</x:v>
      </x:c>
      <x:c r="G213" s="3" t="s">
        <x:v>187</x:v>
      </x:c>
      <x:c r="H213" s="3" t="s">
        <x:v>732</x:v>
      </x:c>
      <x:c r="I213" s="3"/>
      <x:c r="J213" s="3" t="s">
        <x:v>559</x:v>
      </x:c>
      <x:c r="K213" s="3" t="s">
        <x:v>113</x:v>
      </x:c>
      <x:c r="L213" s="3"/>
      <x:c r="M213" s="3"/>
      <x:c r="N213" s="3"/>
      <x:c r="O213" s="3" t="s">
        <x:v>560</x:v>
      </x:c>
      <x:c r="P213" s="3" t="s">
        <x:v>115</x:v>
      </x:c>
      <x:c r="Q213" s="3" t="s">
        <x:v>561</x:v>
      </x:c>
      <x:c r="R213" s="3"/>
      <x:c r="S213" s="8"/>
      <x:c r="T213" s="8"/>
      <x:c r="U213" s="8"/>
      <x:c r="V213" s="8"/>
    </x:row>
    <x:row r="214" ht="41.25" hidden="0" customHeight="1">
      <x:c r="A214" s="3" t="s">
        <x:v>751</x:v>
      </x:c>
      <x:c r="B214" s="3" t="s">
        <x:v>752</x:v>
      </x:c>
      <x:c r="C214" s="3" t="s">
        <x:v>555</x:v>
      </x:c>
      <x:c r="D214" s="3" t="s">
        <x:v>106</x:v>
      </x:c>
      <x:c r="E214" s="3" t="s">
        <x:v>753</x:v>
      </x:c>
      <x:c r="F214" s="3" t="s">
        <x:v>557</x:v>
      </x:c>
      <x:c r="G214" s="3" t="s">
        <x:v>109</x:v>
      </x:c>
      <x:c r="H214" s="3" t="s">
        <x:v>754</x:v>
      </x:c>
      <x:c r="I214" s="3"/>
      <x:c r="J214" s="3" t="s">
        <x:v>559</x:v>
      </x:c>
      <x:c r="K214" s="3" t="s">
        <x:v>755</x:v>
      </x:c>
      <x:c r="L214" s="3" t="s">
        <x:v>756</x:v>
      </x:c>
      <x:c r="M214" s="3"/>
      <x:c r="N214" s="3"/>
      <x:c r="O214" s="3" t="s">
        <x:v>560</x:v>
      </x:c>
      <x:c r="P214" s="3" t="s">
        <x:v>115</x:v>
      </x:c>
      <x:c r="Q214" s="3" t="s">
        <x:v>561</x:v>
      </x:c>
      <x:c r="R214" s="3"/>
      <x:c r="S214" s="8"/>
      <x:c r="T214" s="8"/>
      <x:c r="U214" s="8"/>
      <x:c r="V214" s="8"/>
    </x:row>
    <x:row r="215" ht="41.25" hidden="0" customHeight="1">
      <x:c r="A215" s="3" t="s">
        <x:v>757</x:v>
      </x:c>
      <x:c r="B215" s="3" t="s">
        <x:v>752</x:v>
      </x:c>
      <x:c r="C215" s="3" t="s">
        <x:v>555</x:v>
      </x:c>
      <x:c r="D215" s="3" t="s">
        <x:v>546</x:v>
      </x:c>
      <x:c r="E215" s="3" t="s">
        <x:v>758</x:v>
      </x:c>
      <x:c r="F215" s="3" t="s">
        <x:v>557</x:v>
      </x:c>
      <x:c r="G215" s="3" t="s">
        <x:v>109</x:v>
      </x:c>
      <x:c r="H215" s="3" t="s">
        <x:v>754</x:v>
      </x:c>
      <x:c r="I215" s="3"/>
      <x:c r="J215" s="3" t="s">
        <x:v>559</x:v>
      </x:c>
      <x:c r="K215" s="3" t="s">
        <x:v>439</x:v>
      </x:c>
      <x:c r="L215" s="3" t="s">
        <x:v>759</x:v>
      </x:c>
      <x:c r="M215" s="3"/>
      <x:c r="N215" s="3"/>
      <x:c r="O215" s="3" t="s">
        <x:v>560</x:v>
      </x:c>
      <x:c r="P215" s="3" t="s">
        <x:v>115</x:v>
      </x:c>
      <x:c r="Q215" s="3" t="s">
        <x:v>561</x:v>
      </x:c>
      <x:c r="R215" s="3"/>
      <x:c r="S215" s="8"/>
      <x:c r="T215" s="8"/>
      <x:c r="U215" s="8"/>
      <x:c r="V215" s="8"/>
    </x:row>
    <x:row r="216" ht="41.25" hidden="0" customHeight="1">
      <x:c r="A216" s="3" t="s">
        <x:v>760</x:v>
      </x:c>
      <x:c r="B216" s="3" t="s">
        <x:v>752</x:v>
      </x:c>
      <x:c r="C216" s="3" t="s">
        <x:v>555</x:v>
      </x:c>
      <x:c r="D216" s="3" t="s">
        <x:v>549</x:v>
      </x:c>
      <x:c r="E216" s="3" t="s">
        <x:v>761</x:v>
      </x:c>
      <x:c r="F216" s="3" t="s">
        <x:v>557</x:v>
      </x:c>
      <x:c r="G216" s="3" t="s">
        <x:v>109</x:v>
      </x:c>
      <x:c r="H216" s="3" t="s">
        <x:v>754</x:v>
      </x:c>
      <x:c r="I216" s="3"/>
      <x:c r="J216" s="3" t="s">
        <x:v>559</x:v>
      </x:c>
      <x:c r="K216" s="3" t="s">
        <x:v>762</x:v>
      </x:c>
      <x:c r="L216" s="3" t="s">
        <x:v>756</x:v>
      </x:c>
      <x:c r="M216" s="3"/>
      <x:c r="N216" s="3"/>
      <x:c r="O216" s="3" t="s">
        <x:v>560</x:v>
      </x:c>
      <x:c r="P216" s="3" t="s">
        <x:v>115</x:v>
      </x:c>
      <x:c r="Q216" s="3" t="s">
        <x:v>561</x:v>
      </x:c>
      <x:c r="R216" s="3"/>
      <x:c r="S216" s="8"/>
      <x:c r="T216" s="8"/>
      <x:c r="U216" s="8"/>
      <x:c r="V216" s="8"/>
    </x:row>
    <x:row r="217" ht="41.25" hidden="0" customHeight="1">
      <x:c r="A217" s="3" t="s">
        <x:v>763</x:v>
      </x:c>
      <x:c r="B217" s="3" t="s">
        <x:v>752</x:v>
      </x:c>
      <x:c r="C217" s="3" t="s">
        <x:v>555</x:v>
      </x:c>
      <x:c r="D217" s="3" t="s">
        <x:v>764</x:v>
      </x:c>
      <x:c r="E217" s="3" t="s">
        <x:v>765</x:v>
      </x:c>
      <x:c r="F217" s="3" t="s">
        <x:v>557</x:v>
      </x:c>
      <x:c r="G217" s="3" t="s">
        <x:v>109</x:v>
      </x:c>
      <x:c r="H217" s="3" t="s">
        <x:v>754</x:v>
      </x:c>
      <x:c r="I217" s="3"/>
      <x:c r="J217" s="3" t="s">
        <x:v>559</x:v>
      </x:c>
      <x:c r="K217" s="3" t="s">
        <x:v>439</x:v>
      </x:c>
      <x:c r="L217" s="3" t="s">
        <x:v>766</x:v>
      </x:c>
      <x:c r="M217" s="3"/>
      <x:c r="N217" s="3"/>
      <x:c r="O217" s="3" t="s">
        <x:v>560</x:v>
      </x:c>
      <x:c r="P217" s="3" t="s">
        <x:v>115</x:v>
      </x:c>
      <x:c r="Q217" s="3" t="s">
        <x:v>561</x:v>
      </x:c>
      <x:c r="R217" s="3"/>
      <x:c r="S217" s="8"/>
      <x:c r="T217" s="8"/>
      <x:c r="U217" s="8"/>
      <x:c r="V217" s="8"/>
    </x:row>
    <x:row r="218" ht="41.25" hidden="0" customHeight="1">
      <x:c r="A218" s="3" t="s">
        <x:v>767</x:v>
      </x:c>
      <x:c r="B218" s="3" t="s">
        <x:v>752</x:v>
      </x:c>
      <x:c r="C218" s="3" t="s">
        <x:v>555</x:v>
      </x:c>
      <x:c r="D218" s="3" t="s">
        <x:v>768</x:v>
      </x:c>
      <x:c r="E218" s="3" t="s">
        <x:v>769</x:v>
      </x:c>
      <x:c r="F218" s="3" t="s">
        <x:v>557</x:v>
      </x:c>
      <x:c r="G218" s="3" t="s">
        <x:v>109</x:v>
      </x:c>
      <x:c r="H218" s="3" t="s">
        <x:v>754</x:v>
      </x:c>
      <x:c r="I218" s="3"/>
      <x:c r="J218" s="3" t="s">
        <x:v>559</x:v>
      </x:c>
      <x:c r="K218" s="3" t="s">
        <x:v>439</x:v>
      </x:c>
      <x:c r="L218" s="3" t="s">
        <x:v>766</x:v>
      </x:c>
      <x:c r="M218" s="3"/>
      <x:c r="N218" s="3"/>
      <x:c r="O218" s="3" t="s">
        <x:v>560</x:v>
      </x:c>
      <x:c r="P218" s="3" t="s">
        <x:v>115</x:v>
      </x:c>
      <x:c r="Q218" s="3" t="s">
        <x:v>561</x:v>
      </x:c>
      <x:c r="R218" s="3"/>
      <x:c r="S218" s="8"/>
      <x:c r="T218" s="8"/>
      <x:c r="U218" s="8"/>
      <x:c r="V218" s="8"/>
    </x:row>
    <x:row r="219" ht="41.25" hidden="0" customHeight="1">
      <x:c r="A219" s="3" t="s">
        <x:v>770</x:v>
      </x:c>
      <x:c r="B219" s="3" t="s">
        <x:v>752</x:v>
      </x:c>
      <x:c r="C219" s="3" t="s">
        <x:v>555</x:v>
      </x:c>
      <x:c r="D219" s="3" t="s">
        <x:v>154</x:v>
      </x:c>
      <x:c r="E219" s="3" t="s">
        <x:v>771</x:v>
      </x:c>
      <x:c r="F219" s="3" t="s">
        <x:v>557</x:v>
      </x:c>
      <x:c r="G219" s="3" t="s">
        <x:v>109</x:v>
      </x:c>
      <x:c r="H219" s="3" t="s">
        <x:v>754</x:v>
      </x:c>
      <x:c r="I219" s="3"/>
      <x:c r="J219" s="3" t="s">
        <x:v>559</x:v>
      </x:c>
      <x:c r="K219" s="3" t="s">
        <x:v>439</x:v>
      </x:c>
      <x:c r="L219" s="3" t="s">
        <x:v>759</x:v>
      </x:c>
      <x:c r="M219" s="3"/>
      <x:c r="N219" s="3"/>
      <x:c r="O219" s="3" t="s">
        <x:v>560</x:v>
      </x:c>
      <x:c r="P219" s="3" t="s">
        <x:v>115</x:v>
      </x:c>
      <x:c r="Q219" s="3" t="s">
        <x:v>561</x:v>
      </x:c>
      <x:c r="R219" s="3"/>
      <x:c r="S219" s="8"/>
      <x:c r="T219" s="8"/>
      <x:c r="U219" s="8"/>
      <x:c r="V219" s="8"/>
    </x:row>
    <x:row r="220" ht="41.25" hidden="0" customHeight="1">
      <x:c r="A220" s="3" t="s">
        <x:v>772</x:v>
      </x:c>
      <x:c r="B220" s="3" t="s">
        <x:v>752</x:v>
      </x:c>
      <x:c r="C220" s="3" t="s">
        <x:v>555</x:v>
      </x:c>
      <x:c r="D220" s="3" t="s">
        <x:v>417</x:v>
      </x:c>
      <x:c r="E220" s="3" t="s">
        <x:v>773</x:v>
      </x:c>
      <x:c r="F220" s="3" t="s">
        <x:v>557</x:v>
      </x:c>
      <x:c r="G220" s="3" t="s">
        <x:v>109</x:v>
      </x:c>
      <x:c r="H220" s="3" t="s">
        <x:v>754</x:v>
      </x:c>
      <x:c r="I220" s="3"/>
      <x:c r="J220" s="3" t="s">
        <x:v>559</x:v>
      </x:c>
      <x:c r="K220" s="3" t="s">
        <x:v>439</x:v>
      </x:c>
      <x:c r="L220" s="3" t="s">
        <x:v>774</x:v>
      </x:c>
      <x:c r="M220" s="3"/>
      <x:c r="N220" s="3"/>
      <x:c r="O220" s="3" t="s">
        <x:v>560</x:v>
      </x:c>
      <x:c r="P220" s="3" t="s">
        <x:v>115</x:v>
      </x:c>
      <x:c r="Q220" s="3" t="s">
        <x:v>561</x:v>
      </x:c>
      <x:c r="R220" s="3"/>
      <x:c r="S220" s="8"/>
      <x:c r="T220" s="8"/>
      <x:c r="U220" s="8"/>
      <x:c r="V220" s="8"/>
    </x:row>
    <x:row r="221" ht="41.25" hidden="0" customHeight="1">
      <x:c r="A221" s="3" t="s">
        <x:v>775</x:v>
      </x:c>
      <x:c r="B221" s="3" t="s">
        <x:v>752</x:v>
      </x:c>
      <x:c r="C221" s="3" t="s">
        <x:v>555</x:v>
      </x:c>
      <x:c r="D221" s="3" t="s">
        <x:v>266</x:v>
      </x:c>
      <x:c r="E221" s="3" t="s">
        <x:v>776</x:v>
      </x:c>
      <x:c r="F221" s="3" t="s">
        <x:v>557</x:v>
      </x:c>
      <x:c r="G221" s="3" t="s">
        <x:v>109</x:v>
      </x:c>
      <x:c r="H221" s="3" t="s">
        <x:v>754</x:v>
      </x:c>
      <x:c r="I221" s="3"/>
      <x:c r="J221" s="3" t="s">
        <x:v>559</x:v>
      </x:c>
      <x:c r="K221" s="3" t="s">
        <x:v>268</x:v>
      </x:c>
      <x:c r="L221" s="3" t="s">
        <x:v>777</x:v>
      </x:c>
      <x:c r="M221" s="3"/>
      <x:c r="N221" s="3"/>
      <x:c r="O221" s="3" t="s">
        <x:v>560</x:v>
      </x:c>
      <x:c r="P221" s="3" t="s">
        <x:v>115</x:v>
      </x:c>
      <x:c r="Q221" s="3" t="s">
        <x:v>561</x:v>
      </x:c>
      <x:c r="R221" s="3"/>
      <x:c r="S221" s="8"/>
      <x:c r="T221" s="8"/>
      <x:c r="U221" s="8"/>
      <x:c r="V221" s="8"/>
    </x:row>
    <x:row r="222" ht="41.25" hidden="0" customHeight="1">
      <x:c r="A222" s="3" t="s">
        <x:v>778</x:v>
      </x:c>
      <x:c r="B222" s="3" t="s">
        <x:v>752</x:v>
      </x:c>
      <x:c r="C222" s="3" t="s">
        <x:v>555</x:v>
      </x:c>
      <x:c r="D222" s="3" t="s">
        <x:v>270</x:v>
      </x:c>
      <x:c r="E222" s="3" t="s">
        <x:v>779</x:v>
      </x:c>
      <x:c r="F222" s="3" t="s">
        <x:v>557</x:v>
      </x:c>
      <x:c r="G222" s="3" t="s">
        <x:v>109</x:v>
      </x:c>
      <x:c r="H222" s="3" t="s">
        <x:v>754</x:v>
      </x:c>
      <x:c r="I222" s="3"/>
      <x:c r="J222" s="3" t="s">
        <x:v>559</x:v>
      </x:c>
      <x:c r="K222" s="3" t="s">
        <x:v>268</x:v>
      </x:c>
      <x:c r="L222" s="3" t="s">
        <x:v>777</x:v>
      </x:c>
      <x:c r="M222" s="3"/>
      <x:c r="N222" s="3"/>
      <x:c r="O222" s="3" t="s">
        <x:v>560</x:v>
      </x:c>
      <x:c r="P222" s="3" t="s">
        <x:v>115</x:v>
      </x:c>
      <x:c r="Q222" s="3" t="s">
        <x:v>561</x:v>
      </x:c>
      <x:c r="R222" s="3"/>
      <x:c r="S222" s="8"/>
      <x:c r="T222" s="8"/>
      <x:c r="U222" s="8"/>
      <x:c r="V222" s="8"/>
    </x:row>
    <x:row r="223" ht="41.25" hidden="0" customHeight="1">
      <x:c r="A223" s="3" t="s">
        <x:v>780</x:v>
      </x:c>
      <x:c r="B223" s="3" t="s">
        <x:v>781</x:v>
      </x:c>
      <x:c r="C223" s="3" t="s">
        <x:v>555</x:v>
      </x:c>
      <x:c r="D223" s="3" t="s">
        <x:v>106</x:v>
      </x:c>
      <x:c r="E223" s="3" t="s">
        <x:v>782</x:v>
      </x:c>
      <x:c r="F223" s="3" t="s">
        <x:v>557</x:v>
      </x:c>
      <x:c r="G223" s="3" t="s">
        <x:v>109</x:v>
      </x:c>
      <x:c r="H223" s="3" t="s">
        <x:v>783</x:v>
      </x:c>
      <x:c r="I223" s="3"/>
      <x:c r="J223" s="3" t="s">
        <x:v>559</x:v>
      </x:c>
      <x:c r="K223" s="3" t="s">
        <x:v>113</x:v>
      </x:c>
      <x:c r="L223" s="3"/>
      <x:c r="M223" s="3"/>
      <x:c r="N223" s="3"/>
      <x:c r="O223" s="3" t="s">
        <x:v>560</x:v>
      </x:c>
      <x:c r="P223" s="3" t="s">
        <x:v>115</x:v>
      </x:c>
      <x:c r="Q223" s="3" t="s">
        <x:v>561</x:v>
      </x:c>
      <x:c r="R223" s="3"/>
      <x:c r="S223" s="8"/>
      <x:c r="T223" s="8"/>
      <x:c r="U223" s="8"/>
      <x:c r="V223" s="8"/>
    </x:row>
    <x:row r="224" ht="41.25" hidden="0" customHeight="1">
      <x:c r="A224" s="3" t="s">
        <x:v>784</x:v>
      </x:c>
      <x:c r="B224" s="3" t="s">
        <x:v>781</x:v>
      </x:c>
      <x:c r="C224" s="3" t="s">
        <x:v>555</x:v>
      </x:c>
      <x:c r="D224" s="3" t="s">
        <x:v>131</x:v>
      </x:c>
      <x:c r="E224" s="3" t="s">
        <x:v>785</x:v>
      </x:c>
      <x:c r="F224" s="3" t="s">
        <x:v>557</x:v>
      </x:c>
      <x:c r="G224" s="3" t="s">
        <x:v>109</x:v>
      </x:c>
      <x:c r="H224" s="3" t="s">
        <x:v>783</x:v>
      </x:c>
      <x:c r="I224" s="3"/>
      <x:c r="J224" s="3" t="s">
        <x:v>559</x:v>
      </x:c>
      <x:c r="K224" s="3" t="s">
        <x:v>113</x:v>
      </x:c>
      <x:c r="L224" s="3"/>
      <x:c r="M224" s="3"/>
      <x:c r="N224" s="3"/>
      <x:c r="O224" s="3" t="s">
        <x:v>560</x:v>
      </x:c>
      <x:c r="P224" s="3" t="s">
        <x:v>115</x:v>
      </x:c>
      <x:c r="Q224" s="3" t="s">
        <x:v>561</x:v>
      </x:c>
      <x:c r="R224" s="3"/>
      <x:c r="S224" s="8"/>
      <x:c r="T224" s="8"/>
      <x:c r="U224" s="8"/>
      <x:c r="V224" s="8"/>
    </x:row>
    <x:row r="225" ht="41.25" hidden="0" customHeight="1">
      <x:c r="A225" s="3" t="s">
        <x:v>786</x:v>
      </x:c>
      <x:c r="B225" s="3" t="s">
        <x:v>781</x:v>
      </x:c>
      <x:c r="C225" s="3" t="s">
        <x:v>555</x:v>
      </x:c>
      <x:c r="D225" s="3" t="s">
        <x:v>123</x:v>
      </x:c>
      <x:c r="E225" s="3" t="s">
        <x:v>787</x:v>
      </x:c>
      <x:c r="F225" s="3" t="s">
        <x:v>557</x:v>
      </x:c>
      <x:c r="G225" s="3" t="s">
        <x:v>109</x:v>
      </x:c>
      <x:c r="H225" s="3" t="s">
        <x:v>783</x:v>
      </x:c>
      <x:c r="I225" s="3"/>
      <x:c r="J225" s="3" t="s">
        <x:v>559</x:v>
      </x:c>
      <x:c r="K225" s="3" t="s">
        <x:v>272</x:v>
      </x:c>
      <x:c r="L225" s="3"/>
      <x:c r="M225" s="3"/>
      <x:c r="N225" s="3"/>
      <x:c r="O225" s="3" t="s">
        <x:v>560</x:v>
      </x:c>
      <x:c r="P225" s="3" t="s">
        <x:v>115</x:v>
      </x:c>
      <x:c r="Q225" s="3" t="s">
        <x:v>561</x:v>
      </x:c>
      <x:c r="R225" s="3"/>
      <x:c r="S225" s="8"/>
      <x:c r="T225" s="8"/>
      <x:c r="U225" s="8"/>
      <x:c r="V225" s="8"/>
    </x:row>
    <x:row r="226" ht="41.25" hidden="0" customHeight="1">
      <x:c r="A226" s="3" t="s">
        <x:v>788</x:v>
      </x:c>
      <x:c r="B226" s="3" t="s">
        <x:v>781</x:v>
      </x:c>
      <x:c r="C226" s="3" t="s">
        <x:v>555</x:v>
      </x:c>
      <x:c r="D226" s="3" t="s">
        <x:v>208</x:v>
      </x:c>
      <x:c r="E226" s="3" t="s">
        <x:v>789</x:v>
      </x:c>
      <x:c r="F226" s="3" t="s">
        <x:v>557</x:v>
      </x:c>
      <x:c r="G226" s="3" t="s">
        <x:v>109</x:v>
      </x:c>
      <x:c r="H226" s="3" t="s">
        <x:v>783</x:v>
      </x:c>
      <x:c r="I226" s="3"/>
      <x:c r="J226" s="3" t="s">
        <x:v>559</x:v>
      </x:c>
      <x:c r="K226" s="3" t="s">
        <x:v>790</x:v>
      </x:c>
      <x:c r="L226" s="3"/>
      <x:c r="M226" s="3"/>
      <x:c r="N226" s="3"/>
      <x:c r="O226" s="3" t="s">
        <x:v>560</x:v>
      </x:c>
      <x:c r="P226" s="3" t="s">
        <x:v>115</x:v>
      </x:c>
      <x:c r="Q226" s="3" t="s">
        <x:v>561</x:v>
      </x:c>
      <x:c r="R226" s="3"/>
      <x:c r="S226" s="8"/>
      <x:c r="T226" s="8"/>
      <x:c r="U226" s="8"/>
      <x:c r="V226" s="8"/>
    </x:row>
    <x:row r="227" ht="41.25" hidden="0" customHeight="1">
      <x:c r="A227" s="3" t="s">
        <x:v>791</x:v>
      </x:c>
      <x:c r="B227" s="3" t="s">
        <x:v>781</x:v>
      </x:c>
      <x:c r="C227" s="3" t="s">
        <x:v>555</x:v>
      </x:c>
      <x:c r="D227" s="3" t="s">
        <x:v>167</x:v>
      </x:c>
      <x:c r="E227" s="3" t="s">
        <x:v>792</x:v>
      </x:c>
      <x:c r="F227" s="3" t="s">
        <x:v>557</x:v>
      </x:c>
      <x:c r="G227" s="3" t="s">
        <x:v>109</x:v>
      </x:c>
      <x:c r="H227" s="3" t="s">
        <x:v>783</x:v>
      </x:c>
      <x:c r="I227" s="3"/>
      <x:c r="J227" s="3" t="s">
        <x:v>559</x:v>
      </x:c>
      <x:c r="K227" s="3" t="s">
        <x:v>793</x:v>
      </x:c>
      <x:c r="L227" s="3" t="s">
        <x:v>794</x:v>
      </x:c>
      <x:c r="M227" s="3"/>
      <x:c r="N227" s="3"/>
      <x:c r="O227" s="3" t="s">
        <x:v>560</x:v>
      </x:c>
      <x:c r="P227" s="3" t="s">
        <x:v>115</x:v>
      </x:c>
      <x:c r="Q227" s="3" t="s">
        <x:v>561</x:v>
      </x:c>
      <x:c r="R227" s="3"/>
      <x:c r="S227" s="8"/>
      <x:c r="T227" s="8"/>
      <x:c r="U227" s="8"/>
      <x:c r="V227" s="8"/>
    </x:row>
    <x:row r="228" ht="41.25" hidden="0" customHeight="1">
      <x:c r="A228" s="3" t="s">
        <x:v>795</x:v>
      </x:c>
      <x:c r="B228" s="3" t="s">
        <x:v>781</x:v>
      </x:c>
      <x:c r="C228" s="3" t="s">
        <x:v>555</x:v>
      </x:c>
      <x:c r="D228" s="3" t="s">
        <x:v>318</x:v>
      </x:c>
      <x:c r="E228" s="3" t="s">
        <x:v>796</x:v>
      </x:c>
      <x:c r="F228" s="3" t="s">
        <x:v>557</x:v>
      </x:c>
      <x:c r="G228" s="3" t="s">
        <x:v>109</x:v>
      </x:c>
      <x:c r="H228" s="3" t="s">
        <x:v>783</x:v>
      </x:c>
      <x:c r="I228" s="3"/>
      <x:c r="J228" s="3" t="s">
        <x:v>559</x:v>
      </x:c>
      <x:c r="K228" s="3" t="s">
        <x:v>793</x:v>
      </x:c>
      <x:c r="L228" s="3" t="s">
        <x:v>797</x:v>
      </x:c>
      <x:c r="M228" s="3"/>
      <x:c r="N228" s="3"/>
      <x:c r="O228" s="3" t="s">
        <x:v>560</x:v>
      </x:c>
      <x:c r="P228" s="3" t="s">
        <x:v>115</x:v>
      </x:c>
      <x:c r="Q228" s="3" t="s">
        <x:v>561</x:v>
      </x:c>
      <x:c r="R228" s="3"/>
      <x:c r="S228" s="8"/>
      <x:c r="T228" s="8"/>
      <x:c r="U228" s="8"/>
      <x:c r="V228" s="8"/>
    </x:row>
    <x:row r="229" ht="41.25" hidden="0" customHeight="1">
      <x:c r="A229" s="3" t="s">
        <x:v>798</x:v>
      </x:c>
      <x:c r="B229" s="3" t="s">
        <x:v>781</x:v>
      </x:c>
      <x:c r="C229" s="3" t="s">
        <x:v>555</x:v>
      </x:c>
      <x:c r="D229" s="3" t="s">
        <x:v>164</x:v>
      </x:c>
      <x:c r="E229" s="3" t="s">
        <x:v>746</x:v>
      </x:c>
      <x:c r="F229" s="3" t="s">
        <x:v>557</x:v>
      </x:c>
      <x:c r="G229" s="3" t="s">
        <x:v>109</x:v>
      </x:c>
      <x:c r="H229" s="3" t="s">
        <x:v>783</x:v>
      </x:c>
      <x:c r="I229" s="3"/>
      <x:c r="J229" s="3" t="s">
        <x:v>559</x:v>
      </x:c>
      <x:c r="K229" s="3" t="s">
        <x:v>793</x:v>
      </x:c>
      <x:c r="L229" s="3" t="s">
        <x:v>794</x:v>
      </x:c>
      <x:c r="M229" s="3"/>
      <x:c r="N229" s="3"/>
      <x:c r="O229" s="3" t="s">
        <x:v>560</x:v>
      </x:c>
      <x:c r="P229" s="3" t="s">
        <x:v>115</x:v>
      </x:c>
      <x:c r="Q229" s="3" t="s">
        <x:v>561</x:v>
      </x:c>
      <x:c r="R229" s="3"/>
      <x:c r="S229" s="8"/>
      <x:c r="T229" s="8"/>
      <x:c r="U229" s="8"/>
      <x:c r="V229" s="8"/>
    </x:row>
    <x:row r="230" ht="41.25" hidden="0" customHeight="1">
      <x:c r="A230" s="3" t="s">
        <x:v>799</x:v>
      </x:c>
      <x:c r="B230" s="3" t="s">
        <x:v>781</x:v>
      </x:c>
      <x:c r="C230" s="3" t="s">
        <x:v>555</x:v>
      </x:c>
      <x:c r="D230" s="3" t="s">
        <x:v>408</x:v>
      </x:c>
      <x:c r="E230" s="3" t="s">
        <x:v>800</x:v>
      </x:c>
      <x:c r="F230" s="3" t="s">
        <x:v>557</x:v>
      </x:c>
      <x:c r="G230" s="3" t="s">
        <x:v>109</x:v>
      </x:c>
      <x:c r="H230" s="3" t="s">
        <x:v>783</x:v>
      </x:c>
      <x:c r="I230" s="3"/>
      <x:c r="J230" s="3" t="s">
        <x:v>559</x:v>
      </x:c>
      <x:c r="K230" s="3" t="s">
        <x:v>793</x:v>
      </x:c>
      <x:c r="L230" s="3" t="s">
        <x:v>797</x:v>
      </x:c>
      <x:c r="M230" s="3"/>
      <x:c r="N230" s="3"/>
      <x:c r="O230" s="3" t="s">
        <x:v>560</x:v>
      </x:c>
      <x:c r="P230" s="3" t="s">
        <x:v>115</x:v>
      </x:c>
      <x:c r="Q230" s="3" t="s">
        <x:v>561</x:v>
      </x:c>
      <x:c r="R230" s="3"/>
      <x:c r="S230" s="8"/>
      <x:c r="T230" s="8"/>
      <x:c r="U230" s="8"/>
      <x:c r="V230" s="8"/>
    </x:row>
    <x:row r="231" ht="41.25" hidden="0" customHeight="1">
      <x:c r="A231" s="3" t="s">
        <x:v>801</x:v>
      </x:c>
      <x:c r="B231" s="3" t="s">
        <x:v>781</x:v>
      </x:c>
      <x:c r="C231" s="3" t="s">
        <x:v>555</x:v>
      </x:c>
      <x:c r="D231" s="3" t="s">
        <x:v>463</x:v>
      </x:c>
      <x:c r="E231" s="3" t="s">
        <x:v>802</x:v>
      </x:c>
      <x:c r="F231" s="3" t="s">
        <x:v>557</x:v>
      </x:c>
      <x:c r="G231" s="3" t="s">
        <x:v>109</x:v>
      </x:c>
      <x:c r="H231" s="3" t="s">
        <x:v>783</x:v>
      </x:c>
      <x:c r="I231" s="3"/>
      <x:c r="J231" s="3" t="s">
        <x:v>559</x:v>
      </x:c>
      <x:c r="K231" s="3" t="s">
        <x:v>793</x:v>
      </x:c>
      <x:c r="L231" s="3" t="s">
        <x:v>797</x:v>
      </x:c>
      <x:c r="M231" s="3"/>
      <x:c r="N231" s="3"/>
      <x:c r="O231" s="3" t="s">
        <x:v>560</x:v>
      </x:c>
      <x:c r="P231" s="3" t="s">
        <x:v>115</x:v>
      </x:c>
      <x:c r="Q231" s="3" t="s">
        <x:v>561</x:v>
      </x:c>
      <x:c r="R231" s="3"/>
      <x:c r="S231" s="8"/>
      <x:c r="T231" s="8"/>
      <x:c r="U231" s="8"/>
      <x:c r="V231" s="8"/>
    </x:row>
    <x:row r="232" ht="41.25" hidden="0" customHeight="1">
      <x:c r="A232" s="3" t="s">
        <x:v>803</x:v>
      </x:c>
      <x:c r="B232" s="3" t="s">
        <x:v>781</x:v>
      </x:c>
      <x:c r="C232" s="3" t="s">
        <x:v>555</x:v>
      </x:c>
      <x:c r="D232" s="3" t="s">
        <x:v>223</x:v>
      </x:c>
      <x:c r="E232" s="3" t="s">
        <x:v>804</x:v>
      </x:c>
      <x:c r="F232" s="3" t="s">
        <x:v>557</x:v>
      </x:c>
      <x:c r="G232" s="3" t="s">
        <x:v>109</x:v>
      </x:c>
      <x:c r="H232" s="3" t="s">
        <x:v>783</x:v>
      </x:c>
      <x:c r="I232" s="3"/>
      <x:c r="J232" s="3" t="s">
        <x:v>559</x:v>
      </x:c>
      <x:c r="K232" s="3" t="s">
        <x:v>793</x:v>
      </x:c>
      <x:c r="L232" s="3" t="s">
        <x:v>794</x:v>
      </x:c>
      <x:c r="M232" s="3"/>
      <x:c r="N232" s="3"/>
      <x:c r="O232" s="3" t="s">
        <x:v>560</x:v>
      </x:c>
      <x:c r="P232" s="3" t="s">
        <x:v>115</x:v>
      </x:c>
      <x:c r="Q232" s="3" t="s">
        <x:v>561</x:v>
      </x:c>
      <x:c r="R232" s="3"/>
      <x:c r="S232" s="8"/>
      <x:c r="T232" s="8"/>
      <x:c r="U232" s="8"/>
      <x:c r="V232" s="8"/>
    </x:row>
    <x:row r="233" ht="41.25" hidden="0" customHeight="1">
      <x:c r="A233" s="3" t="s">
        <x:v>805</x:v>
      </x:c>
      <x:c r="B233" s="3" t="s">
        <x:v>781</x:v>
      </x:c>
      <x:c r="C233" s="3" t="s">
        <x:v>555</x:v>
      </x:c>
      <x:c r="D233" s="3" t="s">
        <x:v>266</x:v>
      </x:c>
      <x:c r="E233" s="3" t="s">
        <x:v>806</x:v>
      </x:c>
      <x:c r="F233" s="3" t="s">
        <x:v>557</x:v>
      </x:c>
      <x:c r="G233" s="3" t="s">
        <x:v>109</x:v>
      </x:c>
      <x:c r="H233" s="3" t="s">
        <x:v>783</x:v>
      </x:c>
      <x:c r="I233" s="3"/>
      <x:c r="J233" s="3" t="s">
        <x:v>559</x:v>
      </x:c>
      <x:c r="K233" s="3" t="s">
        <x:v>113</x:v>
      </x:c>
      <x:c r="L233" s="3"/>
      <x:c r="M233" s="3"/>
      <x:c r="N233" s="3"/>
      <x:c r="O233" s="3" t="s">
        <x:v>560</x:v>
      </x:c>
      <x:c r="P233" s="3" t="s">
        <x:v>115</x:v>
      </x:c>
      <x:c r="Q233" s="3" t="s">
        <x:v>561</x:v>
      </x:c>
      <x:c r="R233" s="3"/>
      <x:c r="S233" s="8"/>
      <x:c r="T233" s="8"/>
      <x:c r="U233" s="8"/>
      <x:c r="V233" s="8"/>
    </x:row>
    <x:row r="234" ht="41.25" hidden="0" customHeight="1">
      <x:c r="A234" s="3" t="s">
        <x:v>807</x:v>
      </x:c>
      <x:c r="B234" s="3" t="s">
        <x:v>781</x:v>
      </x:c>
      <x:c r="C234" s="3" t="s">
        <x:v>555</x:v>
      </x:c>
      <x:c r="D234" s="3" t="s">
        <x:v>422</x:v>
      </x:c>
      <x:c r="E234" s="3" t="s">
        <x:v>808</x:v>
      </x:c>
      <x:c r="F234" s="3" t="s">
        <x:v>557</x:v>
      </x:c>
      <x:c r="G234" s="3" t="s">
        <x:v>109</x:v>
      </x:c>
      <x:c r="H234" s="3" t="s">
        <x:v>783</x:v>
      </x:c>
      <x:c r="I234" s="3"/>
      <x:c r="J234" s="3" t="s">
        <x:v>559</x:v>
      </x:c>
      <x:c r="K234" s="3" t="s">
        <x:v>113</x:v>
      </x:c>
      <x:c r="L234" s="3"/>
      <x:c r="M234" s="3"/>
      <x:c r="N234" s="3"/>
      <x:c r="O234" s="3" t="s">
        <x:v>560</x:v>
      </x:c>
      <x:c r="P234" s="3" t="s">
        <x:v>115</x:v>
      </x:c>
      <x:c r="Q234" s="3" t="s">
        <x:v>561</x:v>
      </x:c>
      <x:c r="R234" s="3"/>
      <x:c r="S234" s="8"/>
      <x:c r="T234" s="8"/>
      <x:c r="U234" s="8"/>
      <x:c r="V234" s="8"/>
    </x:row>
    <x:row r="235" ht="41.25" hidden="0" customHeight="1">
      <x:c r="A235" s="3" t="s">
        <x:v>809</x:v>
      </x:c>
      <x:c r="B235" s="3" t="s">
        <x:v>781</x:v>
      </x:c>
      <x:c r="C235" s="3" t="s">
        <x:v>555</x:v>
      </x:c>
      <x:c r="D235" s="3" t="s">
        <x:v>190</x:v>
      </x:c>
      <x:c r="E235" s="3" t="s">
        <x:v>810</x:v>
      </x:c>
      <x:c r="F235" s="3" t="s">
        <x:v>557</x:v>
      </x:c>
      <x:c r="G235" s="3" t="s">
        <x:v>187</x:v>
      </x:c>
      <x:c r="H235" s="3" t="s">
        <x:v>783</x:v>
      </x:c>
      <x:c r="I235" s="3"/>
      <x:c r="J235" s="3" t="s">
        <x:v>559</x:v>
      </x:c>
      <x:c r="K235" s="3" t="s">
        <x:v>272</x:v>
      </x:c>
      <x:c r="L235" s="3"/>
      <x:c r="M235" s="3"/>
      <x:c r="N235" s="3"/>
      <x:c r="O235" s="3" t="s">
        <x:v>560</x:v>
      </x:c>
      <x:c r="P235" s="3" t="s">
        <x:v>115</x:v>
      </x:c>
      <x:c r="Q235" s="3" t="s">
        <x:v>561</x:v>
      </x:c>
      <x:c r="R235" s="3"/>
      <x:c r="S235" s="8"/>
      <x:c r="T235" s="8"/>
      <x:c r="U235" s="8"/>
      <x:c r="V235" s="8"/>
    </x:row>
    <x:row r="236" ht="41.25" hidden="0" customHeight="1">
      <x:c r="A236" s="3" t="s">
        <x:v>811</x:v>
      </x:c>
      <x:c r="B236" s="3" t="s">
        <x:v>812</x:v>
      </x:c>
      <x:c r="C236" s="3" t="s">
        <x:v>555</x:v>
      </x:c>
      <x:c r="D236" s="3" t="s">
        <x:v>106</x:v>
      </x:c>
      <x:c r="E236" s="3" t="s">
        <x:v>813</x:v>
      </x:c>
      <x:c r="F236" s="3" t="s">
        <x:v>557</x:v>
      </x:c>
      <x:c r="G236" s="3" t="s">
        <x:v>109</x:v>
      </x:c>
      <x:c r="H236" s="3" t="s">
        <x:v>814</x:v>
      </x:c>
      <x:c r="I236" s="3"/>
      <x:c r="J236" s="3" t="s">
        <x:v>559</x:v>
      </x:c>
      <x:c r="K236" s="3" t="s">
        <x:v>755</x:v>
      </x:c>
      <x:c r="L236" s="3"/>
      <x:c r="M236" s="3"/>
      <x:c r="N236" s="3"/>
      <x:c r="O236" s="3" t="s">
        <x:v>560</x:v>
      </x:c>
      <x:c r="P236" s="3" t="s">
        <x:v>115</x:v>
      </x:c>
      <x:c r="Q236" s="3" t="s">
        <x:v>561</x:v>
      </x:c>
      <x:c r="R236" s="3"/>
      <x:c r="S236" s="8"/>
      <x:c r="T236" s="8"/>
      <x:c r="U236" s="8"/>
      <x:c r="V236" s="8"/>
    </x:row>
    <x:row r="237" ht="41.25" hidden="0" customHeight="1">
      <x:c r="A237" s="3" t="s">
        <x:v>815</x:v>
      </x:c>
      <x:c r="B237" s="3" t="s">
        <x:v>812</x:v>
      </x:c>
      <x:c r="C237" s="3" t="s">
        <x:v>555</x:v>
      </x:c>
      <x:c r="D237" s="3" t="s">
        <x:v>131</x:v>
      </x:c>
      <x:c r="E237" s="3" t="s">
        <x:v>816</x:v>
      </x:c>
      <x:c r="F237" s="3" t="s">
        <x:v>557</x:v>
      </x:c>
      <x:c r="G237" s="3" t="s">
        <x:v>109</x:v>
      </x:c>
      <x:c r="H237" s="3" t="s">
        <x:v>814</x:v>
      </x:c>
      <x:c r="I237" s="3"/>
      <x:c r="J237" s="3" t="s">
        <x:v>559</x:v>
      </x:c>
      <x:c r="K237" s="3" t="s">
        <x:v>439</x:v>
      </x:c>
      <x:c r="L237" s="3" t="s">
        <x:v>817</x:v>
      </x:c>
      <x:c r="M237" s="3"/>
      <x:c r="N237" s="3"/>
      <x:c r="O237" s="3" t="s">
        <x:v>560</x:v>
      </x:c>
      <x:c r="P237" s="3" t="s">
        <x:v>115</x:v>
      </x:c>
      <x:c r="Q237" s="3" t="s">
        <x:v>561</x:v>
      </x:c>
      <x:c r="R237" s="3"/>
      <x:c r="S237" s="8"/>
      <x:c r="T237" s="8"/>
      <x:c r="U237" s="8"/>
      <x:c r="V237" s="8"/>
    </x:row>
    <x:row r="238" ht="41.25" hidden="0" customHeight="1">
      <x:c r="A238" s="3" t="s">
        <x:v>818</x:v>
      </x:c>
      <x:c r="B238" s="3" t="s">
        <x:v>812</x:v>
      </x:c>
      <x:c r="C238" s="3" t="s">
        <x:v>555</x:v>
      </x:c>
      <x:c r="D238" s="3" t="s">
        <x:v>179</x:v>
      </x:c>
      <x:c r="E238" s="3" t="s">
        <x:v>819</x:v>
      </x:c>
      <x:c r="F238" s="3" t="s">
        <x:v>557</x:v>
      </x:c>
      <x:c r="G238" s="3" t="s">
        <x:v>109</x:v>
      </x:c>
      <x:c r="H238" s="3" t="s">
        <x:v>814</x:v>
      </x:c>
      <x:c r="I238" s="3"/>
      <x:c r="J238" s="3" t="s">
        <x:v>559</x:v>
      </x:c>
      <x:c r="K238" s="3" t="s">
        <x:v>439</x:v>
      </x:c>
      <x:c r="L238" s="3" t="s">
        <x:v>820</x:v>
      </x:c>
      <x:c r="M238" s="3"/>
      <x:c r="N238" s="3"/>
      <x:c r="O238" s="3" t="s">
        <x:v>560</x:v>
      </x:c>
      <x:c r="P238" s="3" t="s">
        <x:v>115</x:v>
      </x:c>
      <x:c r="Q238" s="3" t="s">
        <x:v>561</x:v>
      </x:c>
      <x:c r="R238" s="3"/>
      <x:c r="S238" s="8"/>
      <x:c r="T238" s="8"/>
      <x:c r="U238" s="8"/>
      <x:c r="V238" s="8"/>
    </x:row>
    <x:row r="239" ht="41.25" hidden="0" customHeight="1">
      <x:c r="A239" s="3" t="s">
        <x:v>821</x:v>
      </x:c>
      <x:c r="B239" s="3" t="s">
        <x:v>812</x:v>
      </x:c>
      <x:c r="C239" s="3" t="s">
        <x:v>555</x:v>
      </x:c>
      <x:c r="D239" s="3" t="s">
        <x:v>142</x:v>
      </x:c>
      <x:c r="E239" s="3" t="s">
        <x:v>822</x:v>
      </x:c>
      <x:c r="F239" s="3" t="s">
        <x:v>557</x:v>
      </x:c>
      <x:c r="G239" s="3" t="s">
        <x:v>109</x:v>
      </x:c>
      <x:c r="H239" s="3" t="s">
        <x:v>814</x:v>
      </x:c>
      <x:c r="I239" s="3"/>
      <x:c r="J239" s="3" t="s">
        <x:v>559</x:v>
      </x:c>
      <x:c r="K239" s="3" t="s">
        <x:v>823</x:v>
      </x:c>
      <x:c r="L239" s="3" t="s">
        <x:v>824</x:v>
      </x:c>
      <x:c r="M239" s="3"/>
      <x:c r="N239" s="3"/>
      <x:c r="O239" s="3" t="s">
        <x:v>560</x:v>
      </x:c>
      <x:c r="P239" s="3" t="s">
        <x:v>115</x:v>
      </x:c>
      <x:c r="Q239" s="3" t="s">
        <x:v>561</x:v>
      </x:c>
      <x:c r="R239" s="3"/>
      <x:c r="S239" s="8"/>
      <x:c r="T239" s="8"/>
      <x:c r="U239" s="8"/>
      <x:c r="V239" s="8"/>
    </x:row>
    <x:row r="240" ht="41.25" hidden="0" customHeight="1">
      <x:c r="A240" s="3" t="s">
        <x:v>825</x:v>
      </x:c>
      <x:c r="B240" s="3" t="s">
        <x:v>812</x:v>
      </x:c>
      <x:c r="C240" s="3" t="s">
        <x:v>555</x:v>
      </x:c>
      <x:c r="D240" s="3" t="s">
        <x:v>167</x:v>
      </x:c>
      <x:c r="E240" s="3" t="s">
        <x:v>826</x:v>
      </x:c>
      <x:c r="F240" s="3" t="s">
        <x:v>557</x:v>
      </x:c>
      <x:c r="G240" s="3" t="s">
        <x:v>109</x:v>
      </x:c>
      <x:c r="H240" s="3" t="s">
        <x:v>814</x:v>
      </x:c>
      <x:c r="I240" s="3"/>
      <x:c r="J240" s="3" t="s">
        <x:v>559</x:v>
      </x:c>
      <x:c r="K240" s="3" t="s">
        <x:v>823</x:v>
      </x:c>
      <x:c r="L240" s="3" t="s">
        <x:v>827</x:v>
      </x:c>
      <x:c r="M240" s="3"/>
      <x:c r="N240" s="3"/>
      <x:c r="O240" s="3" t="s">
        <x:v>560</x:v>
      </x:c>
      <x:c r="P240" s="3" t="s">
        <x:v>115</x:v>
      </x:c>
      <x:c r="Q240" s="3" t="s">
        <x:v>561</x:v>
      </x:c>
      <x:c r="R240" s="3"/>
      <x:c r="S240" s="8"/>
      <x:c r="T240" s="8"/>
      <x:c r="U240" s="8"/>
      <x:c r="V240" s="8"/>
    </x:row>
    <x:row r="241" ht="41.25" hidden="0" customHeight="1">
      <x:c r="A241" s="3" t="s">
        <x:v>828</x:v>
      </x:c>
      <x:c r="B241" s="3" t="s">
        <x:v>812</x:v>
      </x:c>
      <x:c r="C241" s="3" t="s">
        <x:v>555</x:v>
      </x:c>
      <x:c r="D241" s="3" t="s">
        <x:v>318</x:v>
      </x:c>
      <x:c r="E241" s="3" t="s">
        <x:v>829</x:v>
      </x:c>
      <x:c r="F241" s="3" t="s">
        <x:v>557</x:v>
      </x:c>
      <x:c r="G241" s="3" t="s">
        <x:v>109</x:v>
      </x:c>
      <x:c r="H241" s="3" t="s">
        <x:v>814</x:v>
      </x:c>
      <x:c r="I241" s="3"/>
      <x:c r="J241" s="3" t="s">
        <x:v>559</x:v>
      </x:c>
      <x:c r="K241" s="3" t="s">
        <x:v>823</x:v>
      </x:c>
      <x:c r="L241" s="3" t="s">
        <x:v>827</x:v>
      </x:c>
      <x:c r="M241" s="3"/>
      <x:c r="N241" s="3"/>
      <x:c r="O241" s="3" t="s">
        <x:v>560</x:v>
      </x:c>
      <x:c r="P241" s="3" t="s">
        <x:v>115</x:v>
      </x:c>
      <x:c r="Q241" s="3" t="s">
        <x:v>561</x:v>
      </x:c>
      <x:c r="R241" s="3"/>
      <x:c r="S241" s="8"/>
      <x:c r="T241" s="8"/>
      <x:c r="U241" s="8"/>
      <x:c r="V241" s="8"/>
    </x:row>
    <x:row r="242" ht="41.25" hidden="0" customHeight="1">
      <x:c r="A242" s="3" t="s">
        <x:v>830</x:v>
      </x:c>
      <x:c r="B242" s="3" t="s">
        <x:v>812</x:v>
      </x:c>
      <x:c r="C242" s="3" t="s">
        <x:v>555</x:v>
      </x:c>
      <x:c r="D242" s="3" t="s">
        <x:v>408</x:v>
      </x:c>
      <x:c r="E242" s="3" t="s">
        <x:v>831</x:v>
      </x:c>
      <x:c r="F242" s="3" t="s">
        <x:v>557</x:v>
      </x:c>
      <x:c r="G242" s="3" t="s">
        <x:v>109</x:v>
      </x:c>
      <x:c r="H242" s="3" t="s">
        <x:v>814</x:v>
      </x:c>
      <x:c r="I242" s="3"/>
      <x:c r="J242" s="3" t="s">
        <x:v>559</x:v>
      </x:c>
      <x:c r="K242" s="3" t="s">
        <x:v>823</x:v>
      </x:c>
      <x:c r="L242" s="3" t="s">
        <x:v>827</x:v>
      </x:c>
      <x:c r="M242" s="3"/>
      <x:c r="N242" s="3"/>
      <x:c r="O242" s="3" t="s">
        <x:v>560</x:v>
      </x:c>
      <x:c r="P242" s="3" t="s">
        <x:v>115</x:v>
      </x:c>
      <x:c r="Q242" s="3" t="s">
        <x:v>561</x:v>
      </x:c>
      <x:c r="R242" s="3"/>
      <x:c r="S242" s="8"/>
      <x:c r="T242" s="8"/>
      <x:c r="U242" s="8"/>
      <x:c r="V242" s="8"/>
    </x:row>
    <x:row r="243" ht="41.25" hidden="0" customHeight="1">
      <x:c r="A243" s="3" t="s">
        <x:v>832</x:v>
      </x:c>
      <x:c r="B243" s="3" t="s">
        <x:v>812</x:v>
      </x:c>
      <x:c r="C243" s="3" t="s">
        <x:v>555</x:v>
      </x:c>
      <x:c r="D243" s="3" t="s">
        <x:v>170</x:v>
      </x:c>
      <x:c r="E243" s="3" t="s">
        <x:v>833</x:v>
      </x:c>
      <x:c r="F243" s="3" t="s">
        <x:v>557</x:v>
      </x:c>
      <x:c r="G243" s="3" t="s">
        <x:v>109</x:v>
      </x:c>
      <x:c r="H243" s="3" t="s">
        <x:v>814</x:v>
      </x:c>
      <x:c r="I243" s="3"/>
      <x:c r="J243" s="3" t="s">
        <x:v>559</x:v>
      </x:c>
      <x:c r="K243" s="3" t="s">
        <x:v>823</x:v>
      </x:c>
      <x:c r="L243" s="3" t="s">
        <x:v>827</x:v>
      </x:c>
      <x:c r="M243" s="3"/>
      <x:c r="N243" s="3"/>
      <x:c r="O243" s="3" t="s">
        <x:v>560</x:v>
      </x:c>
      <x:c r="P243" s="3" t="s">
        <x:v>115</x:v>
      </x:c>
      <x:c r="Q243" s="3" t="s">
        <x:v>561</x:v>
      </x:c>
      <x:c r="R243" s="3"/>
      <x:c r="S243" s="8"/>
      <x:c r="T243" s="8"/>
      <x:c r="U243" s="8"/>
      <x:c r="V243" s="8"/>
    </x:row>
    <x:row r="244" ht="41.25" hidden="0" customHeight="1">
      <x:c r="A244" s="3" t="s">
        <x:v>834</x:v>
      </x:c>
      <x:c r="B244" s="3" t="s">
        <x:v>812</x:v>
      </x:c>
      <x:c r="C244" s="3" t="s">
        <x:v>555</x:v>
      </x:c>
      <x:c r="D244" s="3" t="s">
        <x:v>164</x:v>
      </x:c>
      <x:c r="E244" s="3" t="s">
        <x:v>835</x:v>
      </x:c>
      <x:c r="F244" s="3" t="s">
        <x:v>557</x:v>
      </x:c>
      <x:c r="G244" s="3" t="s">
        <x:v>109</x:v>
      </x:c>
      <x:c r="H244" s="3" t="s">
        <x:v>814</x:v>
      </x:c>
      <x:c r="I244" s="3"/>
      <x:c r="J244" s="3" t="s">
        <x:v>559</x:v>
      </x:c>
      <x:c r="K244" s="3" t="s">
        <x:v>823</x:v>
      </x:c>
      <x:c r="L244" s="3" t="s">
        <x:v>827</x:v>
      </x:c>
      <x:c r="M244" s="3"/>
      <x:c r="N244" s="3"/>
      <x:c r="O244" s="3" t="s">
        <x:v>560</x:v>
      </x:c>
      <x:c r="P244" s="3" t="s">
        <x:v>115</x:v>
      </x:c>
      <x:c r="Q244" s="3" t="s">
        <x:v>561</x:v>
      </x:c>
      <x:c r="R244" s="3"/>
      <x:c r="S244" s="8"/>
      <x:c r="T244" s="8"/>
      <x:c r="U244" s="8"/>
      <x:c r="V244" s="8"/>
    </x:row>
    <x:row r="245" ht="41.25" hidden="0" customHeight="1">
      <x:c r="A245" s="3" t="s">
        <x:v>836</x:v>
      </x:c>
      <x:c r="B245" s="3" t="s">
        <x:v>812</x:v>
      </x:c>
      <x:c r="C245" s="3" t="s">
        <x:v>555</x:v>
      </x:c>
      <x:c r="D245" s="3" t="s">
        <x:v>411</x:v>
      </x:c>
      <x:c r="E245" s="3" t="s">
        <x:v>837</x:v>
      </x:c>
      <x:c r="F245" s="3" t="s">
        <x:v>557</x:v>
      </x:c>
      <x:c r="G245" s="3" t="s">
        <x:v>109</x:v>
      </x:c>
      <x:c r="H245" s="3" t="s">
        <x:v>814</x:v>
      </x:c>
      <x:c r="I245" s="3"/>
      <x:c r="J245" s="3" t="s">
        <x:v>559</x:v>
      </x:c>
      <x:c r="K245" s="3" t="s">
        <x:v>823</x:v>
      </x:c>
      <x:c r="L245" s="3" t="s">
        <x:v>827</x:v>
      </x:c>
      <x:c r="M245" s="3"/>
      <x:c r="N245" s="3"/>
      <x:c r="O245" s="3" t="s">
        <x:v>560</x:v>
      </x:c>
      <x:c r="P245" s="3" t="s">
        <x:v>115</x:v>
      </x:c>
      <x:c r="Q245" s="3" t="s">
        <x:v>561</x:v>
      </x:c>
      <x:c r="R245" s="3"/>
      <x:c r="S245" s="8"/>
      <x:c r="T245" s="8"/>
      <x:c r="U245" s="8"/>
      <x:c r="V245" s="8"/>
    </x:row>
    <x:row r="246" ht="41.25" hidden="0" customHeight="1">
      <x:c r="A246" s="3" t="s">
        <x:v>838</x:v>
      </x:c>
      <x:c r="B246" s="3" t="s">
        <x:v>839</x:v>
      </x:c>
      <x:c r="C246" s="3" t="s">
        <x:v>555</x:v>
      </x:c>
      <x:c r="D246" s="3" t="s">
        <x:v>106</x:v>
      </x:c>
      <x:c r="E246" s="3" t="s">
        <x:v>840</x:v>
      </x:c>
      <x:c r="F246" s="3" t="s">
        <x:v>557</x:v>
      </x:c>
      <x:c r="G246" s="3" t="s">
        <x:v>109</x:v>
      </x:c>
      <x:c r="H246" s="3" t="s">
        <x:v>841</x:v>
      </x:c>
      <x:c r="I246" s="3"/>
      <x:c r="J246" s="3" t="s">
        <x:v>559</x:v>
      </x:c>
      <x:c r="K246" s="3" t="s">
        <x:v>113</x:v>
      </x:c>
      <x:c r="L246" s="3"/>
      <x:c r="M246" s="3"/>
      <x:c r="N246" s="3"/>
      <x:c r="O246" s="3" t="s">
        <x:v>560</x:v>
      </x:c>
      <x:c r="P246" s="3" t="s">
        <x:v>115</x:v>
      </x:c>
      <x:c r="Q246" s="3" t="s">
        <x:v>561</x:v>
      </x:c>
      <x:c r="R246" s="3"/>
      <x:c r="S246" s="8"/>
      <x:c r="T246" s="8"/>
      <x:c r="U246" s="8"/>
      <x:c r="V246" s="8"/>
    </x:row>
    <x:row r="247" ht="41.25" hidden="0" customHeight="1">
      <x:c r="A247" s="3" t="s">
        <x:v>842</x:v>
      </x:c>
      <x:c r="B247" s="3" t="s">
        <x:v>839</x:v>
      </x:c>
      <x:c r="C247" s="3" t="s">
        <x:v>555</x:v>
      </x:c>
      <x:c r="D247" s="3" t="s">
        <x:v>131</x:v>
      </x:c>
      <x:c r="E247" s="3" t="s">
        <x:v>843</x:v>
      </x:c>
      <x:c r="F247" s="3" t="s">
        <x:v>557</x:v>
      </x:c>
      <x:c r="G247" s="3" t="s">
        <x:v>109</x:v>
      </x:c>
      <x:c r="H247" s="3" t="s">
        <x:v>841</x:v>
      </x:c>
      <x:c r="I247" s="3"/>
      <x:c r="J247" s="3" t="s">
        <x:v>559</x:v>
      </x:c>
      <x:c r="K247" s="3" t="s">
        <x:v>113</x:v>
      </x:c>
      <x:c r="L247" s="3"/>
      <x:c r="M247" s="3"/>
      <x:c r="N247" s="3"/>
      <x:c r="O247" s="3" t="s">
        <x:v>560</x:v>
      </x:c>
      <x:c r="P247" s="3" t="s">
        <x:v>115</x:v>
      </x:c>
      <x:c r="Q247" s="3" t="s">
        <x:v>561</x:v>
      </x:c>
      <x:c r="R247" s="3"/>
      <x:c r="S247" s="8"/>
      <x:c r="T247" s="8"/>
      <x:c r="U247" s="8"/>
      <x:c r="V247" s="8"/>
    </x:row>
    <x:row r="248" ht="41.25" hidden="0" customHeight="1">
      <x:c r="A248" s="3" t="s">
        <x:v>844</x:v>
      </x:c>
      <x:c r="B248" s="3" t="s">
        <x:v>839</x:v>
      </x:c>
      <x:c r="C248" s="3" t="s">
        <x:v>555</x:v>
      </x:c>
      <x:c r="D248" s="3" t="s">
        <x:v>259</x:v>
      </x:c>
      <x:c r="E248" s="3" t="s">
        <x:v>845</x:v>
      </x:c>
      <x:c r="F248" s="3" t="s">
        <x:v>557</x:v>
      </x:c>
      <x:c r="G248" s="3" t="s">
        <x:v>109</x:v>
      </x:c>
      <x:c r="H248" s="3" t="s">
        <x:v>841</x:v>
      </x:c>
      <x:c r="I248" s="3"/>
      <x:c r="J248" s="3" t="s">
        <x:v>559</x:v>
      </x:c>
      <x:c r="K248" s="3" t="s">
        <x:v>113</x:v>
      </x:c>
      <x:c r="L248" s="3"/>
      <x:c r="M248" s="3"/>
      <x:c r="N248" s="3"/>
      <x:c r="O248" s="3" t="s">
        <x:v>560</x:v>
      </x:c>
      <x:c r="P248" s="3" t="s">
        <x:v>115</x:v>
      </x:c>
      <x:c r="Q248" s="3" t="s">
        <x:v>561</x:v>
      </x:c>
      <x:c r="R248" s="3"/>
      <x:c r="S248" s="8"/>
      <x:c r="T248" s="8"/>
      <x:c r="U248" s="8"/>
      <x:c r="V248" s="8"/>
    </x:row>
    <x:row r="249" ht="41.25" hidden="0" customHeight="1">
      <x:c r="A249" s="3" t="s">
        <x:v>846</x:v>
      </x:c>
      <x:c r="B249" s="3" t="s">
        <x:v>839</x:v>
      </x:c>
      <x:c r="C249" s="3" t="s">
        <x:v>555</x:v>
      </x:c>
      <x:c r="D249" s="3" t="s">
        <x:v>179</x:v>
      </x:c>
      <x:c r="E249" s="3" t="s">
        <x:v>847</x:v>
      </x:c>
      <x:c r="F249" s="3" t="s">
        <x:v>557</x:v>
      </x:c>
      <x:c r="G249" s="3" t="s">
        <x:v>109</x:v>
      </x:c>
      <x:c r="H249" s="3" t="s">
        <x:v>841</x:v>
      </x:c>
      <x:c r="I249" s="3"/>
      <x:c r="J249" s="3" t="s">
        <x:v>559</x:v>
      </x:c>
      <x:c r="K249" s="3" t="s">
        <x:v>113</x:v>
      </x:c>
      <x:c r="L249" s="3"/>
      <x:c r="M249" s="3"/>
      <x:c r="N249" s="3"/>
      <x:c r="O249" s="3" t="s">
        <x:v>560</x:v>
      </x:c>
      <x:c r="P249" s="3" t="s">
        <x:v>115</x:v>
      </x:c>
      <x:c r="Q249" s="3" t="s">
        <x:v>561</x:v>
      </x:c>
      <x:c r="R249" s="3"/>
      <x:c r="S249" s="8"/>
      <x:c r="T249" s="8"/>
      <x:c r="U249" s="8"/>
      <x:c r="V249" s="8"/>
    </x:row>
    <x:row r="250" ht="41.25" hidden="0" customHeight="1">
      <x:c r="A250" s="3" t="s">
        <x:v>848</x:v>
      </x:c>
      <x:c r="B250" s="3" t="s">
        <x:v>839</x:v>
      </x:c>
      <x:c r="C250" s="3" t="s">
        <x:v>555</x:v>
      </x:c>
      <x:c r="D250" s="3" t="s">
        <x:v>117</x:v>
      </x:c>
      <x:c r="E250" s="3" t="s">
        <x:v>849</x:v>
      </x:c>
      <x:c r="F250" s="3" t="s">
        <x:v>557</x:v>
      </x:c>
      <x:c r="G250" s="3" t="s">
        <x:v>109</x:v>
      </x:c>
      <x:c r="H250" s="3" t="s">
        <x:v>841</x:v>
      </x:c>
      <x:c r="I250" s="3"/>
      <x:c r="J250" s="3" t="s">
        <x:v>559</x:v>
      </x:c>
      <x:c r="K250" s="3" t="s">
        <x:v>113</x:v>
      </x:c>
      <x:c r="L250" s="3"/>
      <x:c r="M250" s="3"/>
      <x:c r="N250" s="3"/>
      <x:c r="O250" s="3" t="s">
        <x:v>560</x:v>
      </x:c>
      <x:c r="P250" s="3" t="s">
        <x:v>115</x:v>
      </x:c>
      <x:c r="Q250" s="3" t="s">
        <x:v>561</x:v>
      </x:c>
      <x:c r="R250" s="3"/>
      <x:c r="S250" s="8"/>
      <x:c r="T250" s="8"/>
      <x:c r="U250" s="8"/>
      <x:c r="V250" s="8"/>
    </x:row>
    <x:row r="251" ht="41.25" hidden="0" customHeight="1">
      <x:c r="A251" s="3" t="s">
        <x:v>850</x:v>
      </x:c>
      <x:c r="B251" s="3" t="s">
        <x:v>839</x:v>
      </x:c>
      <x:c r="C251" s="3" t="s">
        <x:v>555</x:v>
      </x:c>
      <x:c r="D251" s="3" t="s">
        <x:v>120</x:v>
      </x:c>
      <x:c r="E251" s="3" t="s">
        <x:v>851</x:v>
      </x:c>
      <x:c r="F251" s="3" t="s">
        <x:v>557</x:v>
      </x:c>
      <x:c r="G251" s="3" t="s">
        <x:v>109</x:v>
      </x:c>
      <x:c r="H251" s="3" t="s">
        <x:v>841</x:v>
      </x:c>
      <x:c r="I251" s="3"/>
      <x:c r="J251" s="3" t="s">
        <x:v>559</x:v>
      </x:c>
      <x:c r="K251" s="3" t="s">
        <x:v>113</x:v>
      </x:c>
      <x:c r="L251" s="3"/>
      <x:c r="M251" s="3"/>
      <x:c r="N251" s="3"/>
      <x:c r="O251" s="3" t="s">
        <x:v>560</x:v>
      </x:c>
      <x:c r="P251" s="3" t="s">
        <x:v>115</x:v>
      </x:c>
      <x:c r="Q251" s="3" t="s">
        <x:v>561</x:v>
      </x:c>
      <x:c r="R251" s="3"/>
      <x:c r="S251" s="8"/>
      <x:c r="T251" s="8"/>
      <x:c r="U251" s="8"/>
      <x:c r="V251" s="8"/>
    </x:row>
    <x:row r="252" ht="41.25" hidden="0" customHeight="1">
      <x:c r="A252" s="3" t="s">
        <x:v>852</x:v>
      </x:c>
      <x:c r="B252" s="3" t="s">
        <x:v>839</x:v>
      </x:c>
      <x:c r="C252" s="3" t="s">
        <x:v>555</x:v>
      </x:c>
      <x:c r="D252" s="3" t="s">
        <x:v>342</x:v>
      </x:c>
      <x:c r="E252" s="3" t="s">
        <x:v>853</x:v>
      </x:c>
      <x:c r="F252" s="3" t="s">
        <x:v>557</x:v>
      </x:c>
      <x:c r="G252" s="3" t="s">
        <x:v>109</x:v>
      </x:c>
      <x:c r="H252" s="3" t="s">
        <x:v>841</x:v>
      </x:c>
      <x:c r="I252" s="3"/>
      <x:c r="J252" s="3" t="s">
        <x:v>559</x:v>
      </x:c>
      <x:c r="K252" s="3" t="s">
        <x:v>113</x:v>
      </x:c>
      <x:c r="L252" s="3"/>
      <x:c r="M252" s="3"/>
      <x:c r="N252" s="3"/>
      <x:c r="O252" s="3" t="s">
        <x:v>560</x:v>
      </x:c>
      <x:c r="P252" s="3" t="s">
        <x:v>115</x:v>
      </x:c>
      <x:c r="Q252" s="3" t="s">
        <x:v>561</x:v>
      </x:c>
      <x:c r="R252" s="3"/>
      <x:c r="S252" s="8"/>
      <x:c r="T252" s="8"/>
      <x:c r="U252" s="8"/>
      <x:c r="V252" s="8"/>
    </x:row>
    <x:row r="253" ht="41.25" hidden="0" customHeight="1">
      <x:c r="A253" s="3" t="s">
        <x:v>854</x:v>
      </x:c>
      <x:c r="B253" s="3" t="s">
        <x:v>839</x:v>
      </x:c>
      <x:c r="C253" s="3" t="s">
        <x:v>555</x:v>
      </x:c>
      <x:c r="D253" s="3" t="s">
        <x:v>270</x:v>
      </x:c>
      <x:c r="E253" s="3" t="s">
        <x:v>855</x:v>
      </x:c>
      <x:c r="F253" s="3" t="s">
        <x:v>557</x:v>
      </x:c>
      <x:c r="G253" s="3" t="s">
        <x:v>109</x:v>
      </x:c>
      <x:c r="H253" s="3" t="s">
        <x:v>841</x:v>
      </x:c>
      <x:c r="I253" s="3"/>
      <x:c r="J253" s="3" t="s">
        <x:v>559</x:v>
      </x:c>
      <x:c r="K253" s="3" t="s">
        <x:v>113</x:v>
      </x:c>
      <x:c r="L253" s="3"/>
      <x:c r="M253" s="3"/>
      <x:c r="N253" s="3"/>
      <x:c r="O253" s="3" t="s">
        <x:v>560</x:v>
      </x:c>
      <x:c r="P253" s="3" t="s">
        <x:v>115</x:v>
      </x:c>
      <x:c r="Q253" s="3" t="s">
        <x:v>561</x:v>
      </x:c>
      <x:c r="R253" s="3"/>
      <x:c r="S253" s="8"/>
      <x:c r="T253" s="8"/>
      <x:c r="U253" s="8"/>
      <x:c r="V253" s="8"/>
    </x:row>
    <x:row r="254" ht="41.25" hidden="0" customHeight="1">
      <x:c r="A254" s="3" t="s">
        <x:v>856</x:v>
      </x:c>
      <x:c r="B254" s="3" t="s">
        <x:v>857</x:v>
      </x:c>
      <x:c r="C254" s="3" t="s">
        <x:v>555</x:v>
      </x:c>
      <x:c r="D254" s="3" t="s">
        <x:v>106</x:v>
      </x:c>
      <x:c r="E254" s="3" t="s">
        <x:v>858</x:v>
      </x:c>
      <x:c r="F254" s="3" t="s">
        <x:v>557</x:v>
      </x:c>
      <x:c r="G254" s="3" t="s">
        <x:v>109</x:v>
      </x:c>
      <x:c r="H254" s="3" t="s">
        <x:v>859</x:v>
      </x:c>
      <x:c r="I254" s="3"/>
      <x:c r="J254" s="3" t="s">
        <x:v>559</x:v>
      </x:c>
      <x:c r="K254" s="3" t="s">
        <x:v>860</x:v>
      </x:c>
      <x:c r="L254" s="3"/>
      <x:c r="M254" s="3"/>
      <x:c r="N254" s="3"/>
      <x:c r="O254" s="3" t="s">
        <x:v>560</x:v>
      </x:c>
      <x:c r="P254" s="3" t="s">
        <x:v>115</x:v>
      </x:c>
      <x:c r="Q254" s="3" t="s">
        <x:v>561</x:v>
      </x:c>
      <x:c r="R254" s="3"/>
      <x:c r="S254" s="8"/>
      <x:c r="T254" s="8"/>
      <x:c r="U254" s="8"/>
      <x:c r="V254" s="8"/>
    </x:row>
    <x:row r="255" ht="41.25" hidden="0" customHeight="1">
      <x:c r="A255" s="3" t="s">
        <x:v>861</x:v>
      </x:c>
      <x:c r="B255" s="3" t="s">
        <x:v>857</x:v>
      </x:c>
      <x:c r="C255" s="3" t="s">
        <x:v>555</x:v>
      </x:c>
      <x:c r="D255" s="3" t="s">
        <x:v>161</x:v>
      </x:c>
      <x:c r="E255" s="3" t="s">
        <x:v>862</x:v>
      </x:c>
      <x:c r="F255" s="3" t="s">
        <x:v>557</x:v>
      </x:c>
      <x:c r="G255" s="3" t="s">
        <x:v>109</x:v>
      </x:c>
      <x:c r="H255" s="3" t="s">
        <x:v>859</x:v>
      </x:c>
      <x:c r="I255" s="3"/>
      <x:c r="J255" s="3" t="s">
        <x:v>559</x:v>
      </x:c>
      <x:c r="K255" s="3" t="s">
        <x:v>631</x:v>
      </x:c>
      <x:c r="L255" s="3" t="s">
        <x:v>863</x:v>
      </x:c>
      <x:c r="M255" s="3"/>
      <x:c r="N255" s="3"/>
      <x:c r="O255" s="3" t="s">
        <x:v>560</x:v>
      </x:c>
      <x:c r="P255" s="3" t="s">
        <x:v>115</x:v>
      </x:c>
      <x:c r="Q255" s="3" t="s">
        <x:v>561</x:v>
      </x:c>
      <x:c r="R255" s="3"/>
      <x:c r="S255" s="8"/>
      <x:c r="T255" s="8"/>
      <x:c r="U255" s="8"/>
      <x:c r="V255" s="8"/>
    </x:row>
    <x:row r="256" ht="41.25" hidden="0" customHeight="1">
      <x:c r="A256" s="3" t="s">
        <x:v>864</x:v>
      </x:c>
      <x:c r="B256" s="3" t="s">
        <x:v>857</x:v>
      </x:c>
      <x:c r="C256" s="3" t="s">
        <x:v>555</x:v>
      </x:c>
      <x:c r="D256" s="3" t="s">
        <x:v>117</x:v>
      </x:c>
      <x:c r="E256" s="3" t="s">
        <x:v>865</x:v>
      </x:c>
      <x:c r="F256" s="3" t="s">
        <x:v>557</x:v>
      </x:c>
      <x:c r="G256" s="3" t="s">
        <x:v>109</x:v>
      </x:c>
      <x:c r="H256" s="3" t="s">
        <x:v>859</x:v>
      </x:c>
      <x:c r="I256" s="3"/>
      <x:c r="J256" s="3" t="s">
        <x:v>559</x:v>
      </x:c>
      <x:c r="K256" s="3" t="s">
        <x:v>113</x:v>
      </x:c>
      <x:c r="L256" s="3"/>
      <x:c r="M256" s="3"/>
      <x:c r="N256" s="3"/>
      <x:c r="O256" s="3" t="s">
        <x:v>560</x:v>
      </x:c>
      <x:c r="P256" s="3" t="s">
        <x:v>115</x:v>
      </x:c>
      <x:c r="Q256" s="3" t="s">
        <x:v>561</x:v>
      </x:c>
      <x:c r="R256" s="3"/>
      <x:c r="S256" s="8"/>
      <x:c r="T256" s="8"/>
      <x:c r="U256" s="8"/>
      <x:c r="V256" s="8"/>
    </x:row>
    <x:row r="257" ht="41.25" hidden="0" customHeight="1">
      <x:c r="A257" s="3" t="s">
        <x:v>866</x:v>
      </x:c>
      <x:c r="B257" s="3" t="s">
        <x:v>857</x:v>
      </x:c>
      <x:c r="C257" s="3" t="s">
        <x:v>555</x:v>
      </x:c>
      <x:c r="D257" s="3" t="s">
        <x:v>289</x:v>
      </x:c>
      <x:c r="E257" s="3" t="s">
        <x:v>867</x:v>
      </x:c>
      <x:c r="F257" s="3" t="s">
        <x:v>557</x:v>
      </x:c>
      <x:c r="G257" s="3" t="s">
        <x:v>109</x:v>
      </x:c>
      <x:c r="H257" s="3" t="s">
        <x:v>859</x:v>
      </x:c>
      <x:c r="I257" s="3"/>
      <x:c r="J257" s="3" t="s">
        <x:v>559</x:v>
      </x:c>
      <x:c r="K257" s="3" t="s">
        <x:v>631</x:v>
      </x:c>
      <x:c r="L257" s="3" t="s">
        <x:v>863</x:v>
      </x:c>
      <x:c r="M257" s="3"/>
      <x:c r="N257" s="3"/>
      <x:c r="O257" s="3" t="s">
        <x:v>560</x:v>
      </x:c>
      <x:c r="P257" s="3" t="s">
        <x:v>115</x:v>
      </x:c>
      <x:c r="Q257" s="3" t="s">
        <x:v>561</x:v>
      </x:c>
      <x:c r="R257" s="3"/>
      <x:c r="S257" s="8"/>
      <x:c r="T257" s="8"/>
      <x:c r="U257" s="8"/>
      <x:c r="V257" s="8"/>
    </x:row>
    <x:row r="258" ht="41.25" hidden="0" customHeight="1">
      <x:c r="A258" s="3" t="s">
        <x:v>868</x:v>
      </x:c>
      <x:c r="B258" s="3" t="s">
        <x:v>857</x:v>
      </x:c>
      <x:c r="C258" s="3" t="s">
        <x:v>555</x:v>
      </x:c>
      <x:c r="D258" s="3" t="s">
        <x:v>427</x:v>
      </x:c>
      <x:c r="E258" s="3" t="s">
        <x:v>869</x:v>
      </x:c>
      <x:c r="F258" s="3" t="s">
        <x:v>557</x:v>
      </x:c>
      <x:c r="G258" s="3" t="s">
        <x:v>187</x:v>
      </x:c>
      <x:c r="H258" s="3" t="s">
        <x:v>859</x:v>
      </x:c>
      <x:c r="I258" s="3"/>
      <x:c r="J258" s="3" t="s">
        <x:v>559</x:v>
      </x:c>
      <x:c r="K258" s="3" t="s">
        <x:v>631</x:v>
      </x:c>
      <x:c r="L258" s="3" t="s">
        <x:v>863</x:v>
      </x:c>
      <x:c r="M258" s="3"/>
      <x:c r="N258" s="3"/>
      <x:c r="O258" s="3" t="s">
        <x:v>560</x:v>
      </x:c>
      <x:c r="P258" s="3" t="s">
        <x:v>115</x:v>
      </x:c>
      <x:c r="Q258" s="3" t="s">
        <x:v>561</x:v>
      </x:c>
      <x:c r="R258" s="3"/>
      <x:c r="S258" s="8"/>
      <x:c r="T258" s="8"/>
      <x:c r="U258" s="8"/>
      <x:c r="V258" s="8"/>
    </x:row>
    <x:row r="259" ht="41.25" hidden="0" customHeight="1">
      <x:c r="A259" s="3" t="s">
        <x:v>870</x:v>
      </x:c>
      <x:c r="B259" s="3" t="s">
        <x:v>857</x:v>
      </x:c>
      <x:c r="C259" s="3" t="s">
        <x:v>555</x:v>
      </x:c>
      <x:c r="D259" s="3" t="s">
        <x:v>871</x:v>
      </x:c>
      <x:c r="E259" s="3" t="s">
        <x:v>872</x:v>
      </x:c>
      <x:c r="F259" s="3" t="s">
        <x:v>557</x:v>
      </x:c>
      <x:c r="G259" s="3" t="s">
        <x:v>109</x:v>
      </x:c>
      <x:c r="H259" s="3" t="s">
        <x:v>859</x:v>
      </x:c>
      <x:c r="I259" s="3"/>
      <x:c r="J259" s="3" t="s">
        <x:v>559</x:v>
      </x:c>
      <x:c r="K259" s="3" t="s">
        <x:v>873</x:v>
      </x:c>
      <x:c r="L259" s="3"/>
      <x:c r="M259" s="3"/>
      <x:c r="N259" s="3"/>
      <x:c r="O259" s="3" t="s">
        <x:v>560</x:v>
      </x:c>
      <x:c r="P259" s="3" t="s">
        <x:v>115</x:v>
      </x:c>
      <x:c r="Q259" s="3" t="s">
        <x:v>561</x:v>
      </x:c>
      <x:c r="R259" s="3"/>
      <x:c r="S259" s="8"/>
      <x:c r="T259" s="8"/>
      <x:c r="U259" s="8"/>
      <x:c r="V259" s="8"/>
    </x:row>
    <x:row r="260" ht="39" hidden="0" customHeight="1">
      <x:c r="A260" s="9" t="s">
        <x:v>874</x:v>
      </x:c>
      <x:c r="B260" s="9" t="s">
        <x:v>875</x:v>
      </x:c>
      <x:c r="C260" s="9" t="s">
        <x:v>876</x:v>
      </x:c>
      <x:c r="D260" s="9" t="s">
        <x:v>106</x:v>
      </x:c>
      <x:c r="E260" s="9" t="s">
        <x:v>877</x:v>
      </x:c>
      <x:c r="F260" s="9" t="s">
        <x:v>108</x:v>
      </x:c>
      <x:c r="G260" s="9" t="s">
        <x:v>109</x:v>
      </x:c>
      <x:c r="H260" s="9" t="s">
        <x:v>878</x:v>
      </x:c>
      <x:c r="I260" s="9" t="s">
        <x:v>879</x:v>
      </x:c>
      <x:c r="J260" s="9" t="s">
        <x:v>880</x:v>
      </x:c>
      <x:c r="K260" s="9" t="s">
        <x:v>881</x:v>
      </x:c>
      <x:c r="L260" s="9" t="s">
        <x:v>881</x:v>
      </x:c>
      <x:c r="M260" s="9"/>
      <x:c r="N260" s="9" t="n">
        <x:v>6</x:v>
      </x:c>
      <x:c r="O260" s="9" t="s">
        <x:v>882</x:v>
      </x:c>
      <x:c r="P260" s="9" t="s">
        <x:v>115</x:v>
      </x:c>
      <x:c r="Q260" s="9" t="s">
        <x:v>45</x:v>
      </x:c>
      <x:c r="R260" s="9"/>
      <x:c r="S260" s="8"/>
      <x:c r="T260" s="8" t="s">
        <x:v>27</x:v>
      </x:c>
      <x:c r="U260" s="8" t="s">
        <x:v>883</x:v>
      </x:c>
      <x:c r="V260" s="8" t="s">
        <x:v>884</x:v>
      </x:c>
    </x:row>
    <x:row r="261" ht="39" hidden="0" customHeight="1">
      <x:c r="A261" s="9" t="s">
        <x:v>885</x:v>
      </x:c>
      <x:c r="B261" s="9" t="s">
        <x:v>875</x:v>
      </x:c>
      <x:c r="C261" s="9" t="s">
        <x:v>876</x:v>
      </x:c>
      <x:c r="D261" s="9" t="s">
        <x:v>886</x:v>
      </x:c>
      <x:c r="E261" s="9" t="s">
        <x:v>887</x:v>
      </x:c>
      <x:c r="F261" s="9" t="s">
        <x:v>108</x:v>
      </x:c>
      <x:c r="G261" s="9" t="s">
        <x:v>109</x:v>
      </x:c>
      <x:c r="H261" s="9" t="s">
        <x:v>878</x:v>
      </x:c>
      <x:c r="I261" s="9" t="s">
        <x:v>879</x:v>
      </x:c>
      <x:c r="J261" s="9" t="s">
        <x:v>880</x:v>
      </x:c>
      <x:c r="K261" s="9" t="s">
        <x:v>881</x:v>
      </x:c>
      <x:c r="L261" s="9" t="s">
        <x:v>881</x:v>
      </x:c>
      <x:c r="M261" s="9"/>
      <x:c r="N261" s="9" t="n">
        <x:v>6</x:v>
      </x:c>
      <x:c r="O261" s="9" t="s">
        <x:v>882</x:v>
      </x:c>
      <x:c r="P261" s="9" t="s">
        <x:v>115</x:v>
      </x:c>
      <x:c r="Q261" s="9" t="s">
        <x:v>45</x:v>
      </x:c>
      <x:c r="R261" s="9"/>
      <x:c r="S261" s="8"/>
      <x:c r="T261" s="8" t="s">
        <x:v>27</x:v>
      </x:c>
      <x:c r="U261" s="8" t="s">
        <x:v>883</x:v>
      </x:c>
      <x:c r="V261" s="8" t="s">
        <x:v>884</x:v>
      </x:c>
    </x:row>
    <x:row r="262" ht="39" hidden="0" customHeight="1">
      <x:c r="A262" s="9" t="s">
        <x:v>888</x:v>
      </x:c>
      <x:c r="B262" s="9" t="s">
        <x:v>875</x:v>
      </x:c>
      <x:c r="C262" s="9" t="s">
        <x:v>876</x:v>
      </x:c>
      <x:c r="D262" s="9" t="s">
        <x:v>123</x:v>
      </x:c>
      <x:c r="E262" s="9" t="s">
        <x:v>889</x:v>
      </x:c>
      <x:c r="F262" s="9" t="s">
        <x:v>108</x:v>
      </x:c>
      <x:c r="G262" s="9" t="s">
        <x:v>109</x:v>
      </x:c>
      <x:c r="H262" s="9" t="s">
        <x:v>878</x:v>
      </x:c>
      <x:c r="I262" s="9" t="s">
        <x:v>879</x:v>
      </x:c>
      <x:c r="J262" s="9" t="s">
        <x:v>880</x:v>
      </x:c>
      <x:c r="K262" s="9" t="s">
        <x:v>881</x:v>
      </x:c>
      <x:c r="L262" s="9" t="s">
        <x:v>881</x:v>
      </x:c>
      <x:c r="M262" s="9"/>
      <x:c r="N262" s="9" t="n">
        <x:v>6</x:v>
      </x:c>
      <x:c r="O262" s="9" t="s">
        <x:v>882</x:v>
      </x:c>
      <x:c r="P262" s="9" t="s">
        <x:v>115</x:v>
      </x:c>
      <x:c r="Q262" s="9" t="s">
        <x:v>45</x:v>
      </x:c>
      <x:c r="R262" s="9"/>
      <x:c r="S262" s="8"/>
      <x:c r="T262" s="8" t="s">
        <x:v>27</x:v>
      </x:c>
      <x:c r="U262" s="8" t="s">
        <x:v>883</x:v>
      </x:c>
      <x:c r="V262" s="8" t="s">
        <x:v>884</x:v>
      </x:c>
    </x:row>
    <x:row r="263" ht="39" hidden="0" customHeight="1">
      <x:c r="A263" s="9" t="s">
        <x:v>890</x:v>
      </x:c>
      <x:c r="B263" s="9" t="s">
        <x:v>875</x:v>
      </x:c>
      <x:c r="C263" s="9" t="s">
        <x:v>876</x:v>
      </x:c>
      <x:c r="D263" s="9" t="s">
        <x:v>891</x:v>
      </x:c>
      <x:c r="E263" s="9" t="n">
        <x:v>100</x:v>
      </x:c>
      <x:c r="F263" s="9" t="s">
        <x:v>108</x:v>
      </x:c>
      <x:c r="G263" s="9" t="s">
        <x:v>109</x:v>
      </x:c>
      <x:c r="H263" s="9" t="s">
        <x:v>878</x:v>
      </x:c>
      <x:c r="I263" s="9" t="s">
        <x:v>879</x:v>
      </x:c>
      <x:c r="J263" s="9" t="s">
        <x:v>880</x:v>
      </x:c>
      <x:c r="K263" s="9" t="s">
        <x:v>881</x:v>
      </x:c>
      <x:c r="L263" s="9" t="s">
        <x:v>881</x:v>
      </x:c>
      <x:c r="M263" s="9"/>
      <x:c r="N263" s="9" t="n">
        <x:v>6</x:v>
      </x:c>
      <x:c r="O263" s="9" t="s">
        <x:v>882</x:v>
      </x:c>
      <x:c r="P263" s="9" t="s">
        <x:v>115</x:v>
      </x:c>
      <x:c r="Q263" s="9" t="s">
        <x:v>45</x:v>
      </x:c>
      <x:c r="R263" s="9"/>
      <x:c r="S263" s="8" t="s">
        <x:v>892</x:v>
      </x:c>
      <x:c r="T263" s="8" t="s">
        <x:v>27</x:v>
      </x:c>
      <x:c r="U263" s="8" t="s">
        <x:v>883</x:v>
      </x:c>
      <x:c r="V263" s="8" t="s">
        <x:v>884</x:v>
      </x:c>
    </x:row>
    <x:row r="264" ht="39" hidden="0" customHeight="1">
      <x:c r="A264" s="9" t="s">
        <x:v>893</x:v>
      </x:c>
      <x:c r="B264" s="9" t="s">
        <x:v>875</x:v>
      </x:c>
      <x:c r="C264" s="9" t="s">
        <x:v>876</x:v>
      </x:c>
      <x:c r="D264" s="9" t="s">
        <x:v>117</x:v>
      </x:c>
      <x:c r="E264" s="9" t="s">
        <x:v>894</x:v>
      </x:c>
      <x:c r="F264" s="9" t="s">
        <x:v>108</x:v>
      </x:c>
      <x:c r="G264" s="9" t="s">
        <x:v>109</x:v>
      </x:c>
      <x:c r="H264" s="9" t="s">
        <x:v>878</x:v>
      </x:c>
      <x:c r="I264" s="9" t="s">
        <x:v>879</x:v>
      </x:c>
      <x:c r="J264" s="9" t="s">
        <x:v>880</x:v>
      </x:c>
      <x:c r="K264" s="9" t="s">
        <x:v>881</x:v>
      </x:c>
      <x:c r="L264" s="9" t="s">
        <x:v>881</x:v>
      </x:c>
      <x:c r="M264" s="9"/>
      <x:c r="N264" s="9" t="n">
        <x:v>6</x:v>
      </x:c>
      <x:c r="O264" s="9" t="s">
        <x:v>882</x:v>
      </x:c>
      <x:c r="P264" s="9" t="s">
        <x:v>115</x:v>
      </x:c>
      <x:c r="Q264" s="9" t="s">
        <x:v>45</x:v>
      </x:c>
      <x:c r="R264" s="9"/>
      <x:c r="S264" s="8"/>
      <x:c r="T264" s="8" t="s">
        <x:v>27</x:v>
      </x:c>
      <x:c r="U264" s="8" t="s">
        <x:v>883</x:v>
      </x:c>
      <x:c r="V264" s="8" t="s">
        <x:v>884</x:v>
      </x:c>
    </x:row>
    <x:row r="265" ht="39" hidden="0" customHeight="1">
      <x:c r="A265" s="9" t="s">
        <x:v>895</x:v>
      </x:c>
      <x:c r="B265" s="9" t="s">
        <x:v>875</x:v>
      </x:c>
      <x:c r="C265" s="9" t="s">
        <x:v>876</x:v>
      </x:c>
      <x:c r="D265" s="9" t="s">
        <x:v>120</x:v>
      </x:c>
      <x:c r="E265" s="9" t="s">
        <x:v>896</x:v>
      </x:c>
      <x:c r="F265" s="9" t="s">
        <x:v>108</x:v>
      </x:c>
      <x:c r="G265" s="9" t="s">
        <x:v>109</x:v>
      </x:c>
      <x:c r="H265" s="9" t="s">
        <x:v>878</x:v>
      </x:c>
      <x:c r="I265" s="9" t="s">
        <x:v>879</x:v>
      </x:c>
      <x:c r="J265" s="9" t="s">
        <x:v>880</x:v>
      </x:c>
      <x:c r="K265" s="9" t="s">
        <x:v>881</x:v>
      </x:c>
      <x:c r="L265" s="9" t="s">
        <x:v>881</x:v>
      </x:c>
      <x:c r="M265" s="9"/>
      <x:c r="N265" s="9" t="n">
        <x:v>6</x:v>
      </x:c>
      <x:c r="O265" s="9" t="s">
        <x:v>882</x:v>
      </x:c>
      <x:c r="P265" s="9" t="s">
        <x:v>115</x:v>
      </x:c>
      <x:c r="Q265" s="9" t="s">
        <x:v>45</x:v>
      </x:c>
      <x:c r="R265" s="9"/>
      <x:c r="S265" s="8"/>
      <x:c r="T265" s="8" t="s">
        <x:v>27</x:v>
      </x:c>
      <x:c r="U265" s="8" t="s">
        <x:v>883</x:v>
      </x:c>
      <x:c r="V265" s="8" t="s">
        <x:v>884</x:v>
      </x:c>
    </x:row>
    <x:row r="266" ht="39" hidden="0" customHeight="1">
      <x:c r="A266" s="9" t="s">
        <x:v>897</x:v>
      </x:c>
      <x:c r="B266" s="9" t="s">
        <x:v>875</x:v>
      </x:c>
      <x:c r="C266" s="9" t="s">
        <x:v>876</x:v>
      </x:c>
      <x:c r="D266" s="9" t="s">
        <x:v>898</x:v>
      </x:c>
      <x:c r="E266" s="9" t="s">
        <x:v>899</x:v>
      </x:c>
      <x:c r="F266" s="9" t="s">
        <x:v>108</x:v>
      </x:c>
      <x:c r="G266" s="9" t="s">
        <x:v>109</x:v>
      </x:c>
      <x:c r="H266" s="9" t="s">
        <x:v>878</x:v>
      </x:c>
      <x:c r="I266" s="9" t="s">
        <x:v>879</x:v>
      </x:c>
      <x:c r="J266" s="9" t="s">
        <x:v>880</x:v>
      </x:c>
      <x:c r="K266" s="9" t="s">
        <x:v>881</x:v>
      </x:c>
      <x:c r="L266" s="9" t="s">
        <x:v>881</x:v>
      </x:c>
      <x:c r="M266" s="9"/>
      <x:c r="N266" s="9" t="n">
        <x:v>6</x:v>
      </x:c>
      <x:c r="O266" s="9" t="s">
        <x:v>882</x:v>
      </x:c>
      <x:c r="P266" s="9" t="s">
        <x:v>115</x:v>
      </x:c>
      <x:c r="Q266" s="9" t="s">
        <x:v>45</x:v>
      </x:c>
      <x:c r="R266" s="9"/>
      <x:c r="S266" s="8"/>
      <x:c r="T266" s="8" t="s">
        <x:v>27</x:v>
      </x:c>
      <x:c r="U266" s="8" t="s">
        <x:v>883</x:v>
      </x:c>
      <x:c r="V266" s="8" t="s">
        <x:v>884</x:v>
      </x:c>
    </x:row>
    <x:row r="267" ht="39" hidden="0" customHeight="1">
      <x:c r="A267" s="9" t="s">
        <x:v>900</x:v>
      </x:c>
      <x:c r="B267" s="9" t="s">
        <x:v>875</x:v>
      </x:c>
      <x:c r="C267" s="9" t="s">
        <x:v>876</x:v>
      </x:c>
      <x:c r="D267" s="9" t="s">
        <x:v>901</x:v>
      </x:c>
      <x:c r="E267" s="9" t="n">
        <x:v>150</x:v>
      </x:c>
      <x:c r="F267" s="9" t="s">
        <x:v>108</x:v>
      </x:c>
      <x:c r="G267" s="9" t="s">
        <x:v>109</x:v>
      </x:c>
      <x:c r="H267" s="9" t="s">
        <x:v>878</x:v>
      </x:c>
      <x:c r="I267" s="9" t="s">
        <x:v>879</x:v>
      </x:c>
      <x:c r="J267" s="9" t="s">
        <x:v>880</x:v>
      </x:c>
      <x:c r="K267" s="9" t="s">
        <x:v>881</x:v>
      </x:c>
      <x:c r="L267" s="9" t="s">
        <x:v>881</x:v>
      </x:c>
      <x:c r="M267" s="9"/>
      <x:c r="N267" s="9" t="n">
        <x:v>6</x:v>
      </x:c>
      <x:c r="O267" s="9" t="s">
        <x:v>882</x:v>
      </x:c>
      <x:c r="P267" s="9" t="s">
        <x:v>115</x:v>
      </x:c>
      <x:c r="Q267" s="9" t="s">
        <x:v>45</x:v>
      </x:c>
      <x:c r="R267" s="9"/>
      <x:c r="S267" s="8" t="s">
        <x:v>902</x:v>
      </x:c>
      <x:c r="T267" s="8" t="s">
        <x:v>27</x:v>
      </x:c>
      <x:c r="U267" s="8" t="s">
        <x:v>883</x:v>
      </x:c>
      <x:c r="V267" s="8" t="s">
        <x:v>884</x:v>
      </x:c>
    </x:row>
    <x:row r="268" ht="39" hidden="0" customHeight="1">
      <x:c r="A268" s="9" t="s">
        <x:v>903</x:v>
      </x:c>
      <x:c r="B268" s="9" t="s">
        <x:v>875</x:v>
      </x:c>
      <x:c r="C268" s="9" t="s">
        <x:v>876</x:v>
      </x:c>
      <x:c r="D268" s="9" t="s">
        <x:v>904</x:v>
      </x:c>
      <x:c r="E268" s="9" t="n">
        <x:v>100</x:v>
      </x:c>
      <x:c r="F268" s="9" t="s">
        <x:v>108</x:v>
      </x:c>
      <x:c r="G268" s="9" t="s">
        <x:v>109</x:v>
      </x:c>
      <x:c r="H268" s="9" t="s">
        <x:v>878</x:v>
      </x:c>
      <x:c r="I268" s="9" t="s">
        <x:v>879</x:v>
      </x:c>
      <x:c r="J268" s="9" t="s">
        <x:v>880</x:v>
      </x:c>
      <x:c r="K268" s="9" t="s">
        <x:v>881</x:v>
      </x:c>
      <x:c r="L268" s="9" t="s">
        <x:v>881</x:v>
      </x:c>
      <x:c r="M268" s="9"/>
      <x:c r="N268" s="9" t="n">
        <x:v>6</x:v>
      </x:c>
      <x:c r="O268" s="9" t="s">
        <x:v>882</x:v>
      </x:c>
      <x:c r="P268" s="9" t="s">
        <x:v>115</x:v>
      </x:c>
      <x:c r="Q268" s="9" t="s">
        <x:v>45</x:v>
      </x:c>
      <x:c r="R268" s="9"/>
      <x:c r="S268" s="8" t="s">
        <x:v>905</x:v>
      </x:c>
      <x:c r="T268" s="8" t="s">
        <x:v>27</x:v>
      </x:c>
      <x:c r="U268" s="8" t="s">
        <x:v>883</x:v>
      </x:c>
      <x:c r="V268" s="8" t="s">
        <x:v>884</x:v>
      </x:c>
    </x:row>
    <x:row r="269" ht="39" hidden="0" customHeight="1">
      <x:c r="A269" s="9" t="s">
        <x:v>906</x:v>
      </x:c>
      <x:c r="B269" s="9" t="s">
        <x:v>875</x:v>
      </x:c>
      <x:c r="C269" s="9" t="s">
        <x:v>876</x:v>
      </x:c>
      <x:c r="D269" s="9" t="s">
        <x:v>907</x:v>
      </x:c>
      <x:c r="E269" s="9" t="s">
        <x:v>908</x:v>
      </x:c>
      <x:c r="F269" s="9" t="s">
        <x:v>108</x:v>
      </x:c>
      <x:c r="G269" s="9" t="s">
        <x:v>109</x:v>
      </x:c>
      <x:c r="H269" s="9" t="s">
        <x:v>878</x:v>
      </x:c>
      <x:c r="I269" s="9" t="s">
        <x:v>879</x:v>
      </x:c>
      <x:c r="J269" s="9" t="s">
        <x:v>880</x:v>
      </x:c>
      <x:c r="K269" s="9" t="s">
        <x:v>881</x:v>
      </x:c>
      <x:c r="L269" s="9" t="s">
        <x:v>881</x:v>
      </x:c>
      <x:c r="M269" s="9"/>
      <x:c r="N269" s="9" t="n">
        <x:v>6</x:v>
      </x:c>
      <x:c r="O269" s="9" t="s">
        <x:v>882</x:v>
      </x:c>
      <x:c r="P269" s="9" t="s">
        <x:v>115</x:v>
      </x:c>
      <x:c r="Q269" s="9" t="s">
        <x:v>45</x:v>
      </x:c>
      <x:c r="R269" s="9"/>
      <x:c r="S269" s="8" t="s">
        <x:v>909</x:v>
      </x:c>
      <x:c r="T269" s="8" t="s">
        <x:v>27</x:v>
      </x:c>
      <x:c r="U269" s="8" t="s">
        <x:v>883</x:v>
      </x:c>
      <x:c r="V269" s="8" t="s">
        <x:v>884</x:v>
      </x:c>
    </x:row>
    <x:row r="270" ht="39" hidden="0" customHeight="1">
      <x:c r="A270" s="9" t="s">
        <x:v>910</x:v>
      </x:c>
      <x:c r="B270" s="9" t="s">
        <x:v>875</x:v>
      </x:c>
      <x:c r="C270" s="9" t="s">
        <x:v>876</x:v>
      </x:c>
      <x:c r="D270" s="9" t="s">
        <x:v>214</x:v>
      </x:c>
      <x:c r="E270" s="9" t="n">
        <x:v>1</x:v>
      </x:c>
      <x:c r="F270" s="9" t="s">
        <x:v>108</x:v>
      </x:c>
      <x:c r="G270" s="9" t="s">
        <x:v>109</x:v>
      </x:c>
      <x:c r="H270" s="9" t="s">
        <x:v>878</x:v>
      </x:c>
      <x:c r="I270" s="9" t="s">
        <x:v>879</x:v>
      </x:c>
      <x:c r="J270" s="9" t="s">
        <x:v>880</x:v>
      </x:c>
      <x:c r="K270" s="9" t="s">
        <x:v>881</x:v>
      </x:c>
      <x:c r="L270" s="9" t="s">
        <x:v>881</x:v>
      </x:c>
      <x:c r="M270" s="9"/>
      <x:c r="N270" s="9" t="n">
        <x:v>6</x:v>
      </x:c>
      <x:c r="O270" s="9" t="s">
        <x:v>882</x:v>
      </x:c>
      <x:c r="P270" s="9" t="s">
        <x:v>115</x:v>
      </x:c>
      <x:c r="Q270" s="9" t="s">
        <x:v>45</x:v>
      </x:c>
      <x:c r="R270" s="9"/>
      <x:c r="S270" s="8" t="s">
        <x:v>911</x:v>
      </x:c>
      <x:c r="T270" s="8" t="s">
        <x:v>27</x:v>
      </x:c>
      <x:c r="U270" s="8" t="s">
        <x:v>883</x:v>
      </x:c>
      <x:c r="V270" s="8" t="s">
        <x:v>884</x:v>
      </x:c>
    </x:row>
    <x:row r="271" ht="39" hidden="0" customHeight="1">
      <x:c r="A271" s="9" t="s">
        <x:v>912</x:v>
      </x:c>
      <x:c r="B271" s="9" t="s">
        <x:v>875</x:v>
      </x:c>
      <x:c r="C271" s="9" t="s">
        <x:v>876</x:v>
      </x:c>
      <x:c r="D271" s="9" t="s">
        <x:v>913</x:v>
      </x:c>
      <x:c r="E271" s="9" t="n">
        <x:v>30</x:v>
      </x:c>
      <x:c r="F271" s="9" t="s">
        <x:v>108</x:v>
      </x:c>
      <x:c r="G271" s="9" t="s">
        <x:v>109</x:v>
      </x:c>
      <x:c r="H271" s="9" t="s">
        <x:v>878</x:v>
      </x:c>
      <x:c r="I271" s="9" t="s">
        <x:v>879</x:v>
      </x:c>
      <x:c r="J271" s="9" t="s">
        <x:v>880</x:v>
      </x:c>
      <x:c r="K271" s="9" t="s">
        <x:v>881</x:v>
      </x:c>
      <x:c r="L271" s="9" t="s">
        <x:v>881</x:v>
      </x:c>
      <x:c r="M271" s="9"/>
      <x:c r="N271" s="9" t="n">
        <x:v>6</x:v>
      </x:c>
      <x:c r="O271" s="9" t="s">
        <x:v>882</x:v>
      </x:c>
      <x:c r="P271" s="9" t="s">
        <x:v>115</x:v>
      </x:c>
      <x:c r="Q271" s="9" t="s">
        <x:v>45</x:v>
      </x:c>
      <x:c r="R271" s="9"/>
      <x:c r="S271" s="8" t="s">
        <x:v>914</x:v>
      </x:c>
      <x:c r="T271" s="8" t="s">
        <x:v>27</x:v>
      </x:c>
      <x:c r="U271" s="8" t="s">
        <x:v>883</x:v>
      </x:c>
      <x:c r="V271" s="8" t="s">
        <x:v>884</x:v>
      </x:c>
    </x:row>
    <x:row r="272" ht="39" hidden="0" customHeight="1">
      <x:c r="A272" s="9" t="s">
        <x:v>915</x:v>
      </x:c>
      <x:c r="B272" s="9" t="s">
        <x:v>875</x:v>
      </x:c>
      <x:c r="C272" s="9" t="s">
        <x:v>876</x:v>
      </x:c>
      <x:c r="D272" s="9" t="s">
        <x:v>916</x:v>
      </x:c>
      <x:c r="E272" s="9" t="n">
        <x:v>2900</x:v>
      </x:c>
      <x:c r="F272" s="9" t="s">
        <x:v>108</x:v>
      </x:c>
      <x:c r="G272" s="9" t="s">
        <x:v>109</x:v>
      </x:c>
      <x:c r="H272" s="9" t="s">
        <x:v>878</x:v>
      </x:c>
      <x:c r="I272" s="9" t="s">
        <x:v>879</x:v>
      </x:c>
      <x:c r="J272" s="9" t="s">
        <x:v>880</x:v>
      </x:c>
      <x:c r="K272" s="9" t="s">
        <x:v>881</x:v>
      </x:c>
      <x:c r="L272" s="9" t="s">
        <x:v>881</x:v>
      </x:c>
      <x:c r="M272" s="9"/>
      <x:c r="N272" s="9" t="n">
        <x:v>6</x:v>
      </x:c>
      <x:c r="O272" s="9" t="s">
        <x:v>882</x:v>
      </x:c>
      <x:c r="P272" s="9" t="s">
        <x:v>115</x:v>
      </x:c>
      <x:c r="Q272" s="9" t="s">
        <x:v>45</x:v>
      </x:c>
      <x:c r="R272" s="9"/>
      <x:c r="S272" s="8" t="s">
        <x:v>917</x:v>
      </x:c>
      <x:c r="T272" s="8" t="s">
        <x:v>27</x:v>
      </x:c>
      <x:c r="U272" s="8" t="s">
        <x:v>883</x:v>
      </x:c>
      <x:c r="V272" s="8" t="s">
        <x:v>884</x:v>
      </x:c>
    </x:row>
    <x:row r="273" ht="39" hidden="0" customHeight="1">
      <x:c r="A273" s="9" t="s">
        <x:v>918</x:v>
      </x:c>
      <x:c r="B273" s="9" t="s">
        <x:v>875</x:v>
      </x:c>
      <x:c r="C273" s="9" t="s">
        <x:v>876</x:v>
      </x:c>
      <x:c r="D273" s="9" t="s">
        <x:v>919</x:v>
      </x:c>
      <x:c r="E273" s="9" t="s">
        <x:v>920</x:v>
      </x:c>
      <x:c r="F273" s="9" t="s">
        <x:v>108</x:v>
      </x:c>
      <x:c r="G273" s="9" t="s">
        <x:v>109</x:v>
      </x:c>
      <x:c r="H273" s="9" t="s">
        <x:v>878</x:v>
      </x:c>
      <x:c r="I273" s="9" t="s">
        <x:v>879</x:v>
      </x:c>
      <x:c r="J273" s="9" t="s">
        <x:v>880</x:v>
      </x:c>
      <x:c r="K273" s="9" t="s">
        <x:v>881</x:v>
      </x:c>
      <x:c r="L273" s="9" t="s">
        <x:v>881</x:v>
      </x:c>
      <x:c r="M273" s="9"/>
      <x:c r="N273" s="9" t="n">
        <x:v>6</x:v>
      </x:c>
      <x:c r="O273" s="9" t="s">
        <x:v>882</x:v>
      </x:c>
      <x:c r="P273" s="9" t="s">
        <x:v>115</x:v>
      </x:c>
      <x:c r="Q273" s="9" t="s">
        <x:v>45</x:v>
      </x:c>
      <x:c r="R273" s="9"/>
      <x:c r="S273" s="8"/>
      <x:c r="T273" s="8" t="s">
        <x:v>27</x:v>
      </x:c>
      <x:c r="U273" s="8" t="s">
        <x:v>883</x:v>
      </x:c>
      <x:c r="V273" s="8" t="s">
        <x:v>884</x:v>
      </x:c>
    </x:row>
    <x:row r="274" ht="39" hidden="0" customHeight="1">
      <x:c r="A274" s="9" t="s">
        <x:v>921</x:v>
      </x:c>
      <x:c r="B274" s="9" t="s">
        <x:v>875</x:v>
      </x:c>
      <x:c r="C274" s="9" t="s">
        <x:v>876</x:v>
      </x:c>
      <x:c r="D274" s="9" t="s">
        <x:v>488</x:v>
      </x:c>
      <x:c r="E274" s="9" t="s">
        <x:v>922</x:v>
      </x:c>
      <x:c r="F274" s="9" t="s">
        <x:v>108</x:v>
      </x:c>
      <x:c r="G274" s="9" t="s">
        <x:v>109</x:v>
      </x:c>
      <x:c r="H274" s="9" t="s">
        <x:v>878</x:v>
      </x:c>
      <x:c r="I274" s="9" t="s">
        <x:v>879</x:v>
      </x:c>
      <x:c r="J274" s="9" t="s">
        <x:v>880</x:v>
      </x:c>
      <x:c r="K274" s="9" t="s">
        <x:v>881</x:v>
      </x:c>
      <x:c r="L274" s="9" t="s">
        <x:v>881</x:v>
      </x:c>
      <x:c r="M274" s="9"/>
      <x:c r="N274" s="9" t="n">
        <x:v>6</x:v>
      </x:c>
      <x:c r="O274" s="9" t="s">
        <x:v>882</x:v>
      </x:c>
      <x:c r="P274" s="9" t="s">
        <x:v>115</x:v>
      </x:c>
      <x:c r="Q274" s="9" t="s">
        <x:v>45</x:v>
      </x:c>
      <x:c r="R274" s="9"/>
      <x:c r="S274" s="8"/>
      <x:c r="T274" s="8" t="s">
        <x:v>27</x:v>
      </x:c>
      <x:c r="U274" s="8" t="s">
        <x:v>883</x:v>
      </x:c>
      <x:c r="V274" s="8" t="s">
        <x:v>884</x:v>
      </x:c>
    </x:row>
    <x:row r="275" ht="39" hidden="0" customHeight="1">
      <x:c r="A275" s="9" t="s">
        <x:v>923</x:v>
      </x:c>
      <x:c r="B275" s="9" t="s">
        <x:v>875</x:v>
      </x:c>
      <x:c r="C275" s="9" t="s">
        <x:v>876</x:v>
      </x:c>
      <x:c r="D275" s="9" t="s">
        <x:v>924</x:v>
      </x:c>
      <x:c r="E275" s="9" t="s">
        <x:v>925</x:v>
      </x:c>
      <x:c r="F275" s="9" t="s">
        <x:v>108</x:v>
      </x:c>
      <x:c r="G275" s="9" t="s">
        <x:v>109</x:v>
      </x:c>
      <x:c r="H275" s="9" t="s">
        <x:v>878</x:v>
      </x:c>
      <x:c r="I275" s="9" t="s">
        <x:v>879</x:v>
      </x:c>
      <x:c r="J275" s="9" t="s">
        <x:v>880</x:v>
      </x:c>
      <x:c r="K275" s="9" t="s">
        <x:v>881</x:v>
      </x:c>
      <x:c r="L275" s="9" t="s">
        <x:v>881</x:v>
      </x:c>
      <x:c r="M275" s="9"/>
      <x:c r="N275" s="9" t="n">
        <x:v>6</x:v>
      </x:c>
      <x:c r="O275" s="9" t="s">
        <x:v>882</x:v>
      </x:c>
      <x:c r="P275" s="9" t="s">
        <x:v>115</x:v>
      </x:c>
      <x:c r="Q275" s="9" t="s">
        <x:v>45</x:v>
      </x:c>
      <x:c r="R275" s="9"/>
      <x:c r="S275" s="8"/>
      <x:c r="T275" s="8" t="s">
        <x:v>27</x:v>
      </x:c>
      <x:c r="U275" s="8" t="s">
        <x:v>883</x:v>
      </x:c>
      <x:c r="V275" s="8" t="s">
        <x:v>884</x:v>
      </x:c>
    </x:row>
    <x:row r="276" ht="39" hidden="0" customHeight="1">
      <x:c r="A276" s="9" t="s">
        <x:v>926</x:v>
      </x:c>
      <x:c r="B276" s="9" t="s">
        <x:v>875</x:v>
      </x:c>
      <x:c r="C276" s="9" t="s">
        <x:v>876</x:v>
      </x:c>
      <x:c r="D276" s="9" t="s">
        <x:v>131</x:v>
      </x:c>
      <x:c r="E276" s="9" t="s">
        <x:v>927</x:v>
      </x:c>
      <x:c r="F276" s="9" t="s">
        <x:v>108</x:v>
      </x:c>
      <x:c r="G276" s="9" t="s">
        <x:v>109</x:v>
      </x:c>
      <x:c r="H276" s="9" t="s">
        <x:v>878</x:v>
      </x:c>
      <x:c r="I276" s="9" t="s">
        <x:v>879</x:v>
      </x:c>
      <x:c r="J276" s="9" t="s">
        <x:v>880</x:v>
      </x:c>
      <x:c r="K276" s="9" t="s">
        <x:v>928</x:v>
      </x:c>
      <x:c r="L276" s="9" t="s">
        <x:v>928</x:v>
      </x:c>
      <x:c r="M276" s="9"/>
      <x:c r="N276" s="9" t="n">
        <x:v>3</x:v>
      </x:c>
      <x:c r="O276" s="9" t="s">
        <x:v>882</x:v>
      </x:c>
      <x:c r="P276" s="9" t="s">
        <x:v>115</x:v>
      </x:c>
      <x:c r="Q276" s="9" t="s">
        <x:v>45</x:v>
      </x:c>
      <x:c r="R276" s="9"/>
      <x:c r="S276" s="8"/>
      <x:c r="T276" s="8" t="s">
        <x:v>27</x:v>
      </x:c>
      <x:c r="U276" s="8" t="s">
        <x:v>883</x:v>
      </x:c>
      <x:c r="V276" s="8" t="s">
        <x:v>884</x:v>
      </x:c>
    </x:row>
    <x:row r="277" ht="39" hidden="0" customHeight="1">
      <x:c r="A277" s="9" t="s">
        <x:v>929</x:v>
      </x:c>
      <x:c r="B277" s="9" t="s">
        <x:v>875</x:v>
      </x:c>
      <x:c r="C277" s="9" t="s">
        <x:v>876</x:v>
      </x:c>
      <x:c r="D277" s="9" t="s">
        <x:v>233</x:v>
      </x:c>
      <x:c r="E277" s="9" t="s">
        <x:v>930</x:v>
      </x:c>
      <x:c r="F277" s="9" t="s">
        <x:v>108</x:v>
      </x:c>
      <x:c r="G277" s="9" t="s">
        <x:v>109</x:v>
      </x:c>
      <x:c r="H277" s="9" t="s">
        <x:v>878</x:v>
      </x:c>
      <x:c r="I277" s="9" t="s">
        <x:v>879</x:v>
      </x:c>
      <x:c r="J277" s="9" t="s">
        <x:v>880</x:v>
      </x:c>
      <x:c r="K277" s="9" t="s">
        <x:v>928</x:v>
      </x:c>
      <x:c r="L277" s="9" t="s">
        <x:v>928</x:v>
      </x:c>
      <x:c r="M277" s="9"/>
      <x:c r="N277" s="9" t="n">
        <x:v>3</x:v>
      </x:c>
      <x:c r="O277" s="9" t="s">
        <x:v>882</x:v>
      </x:c>
      <x:c r="P277" s="9" t="s">
        <x:v>115</x:v>
      </x:c>
      <x:c r="Q277" s="9" t="s">
        <x:v>45</x:v>
      </x:c>
      <x:c r="R277" s="9"/>
      <x:c r="S277" s="8"/>
      <x:c r="T277" s="8" t="s">
        <x:v>27</x:v>
      </x:c>
      <x:c r="U277" s="8" t="s">
        <x:v>883</x:v>
      </x:c>
      <x:c r="V277" s="8" t="s">
        <x:v>884</x:v>
      </x:c>
    </x:row>
    <x:row r="278" ht="39" hidden="0" customHeight="1">
      <x:c r="A278" s="9" t="s">
        <x:v>931</x:v>
      </x:c>
      <x:c r="B278" s="9" t="s">
        <x:v>875</x:v>
      </x:c>
      <x:c r="C278" s="9" t="s">
        <x:v>876</x:v>
      </x:c>
      <x:c r="D278" s="9" t="s">
        <x:v>313</x:v>
      </x:c>
      <x:c r="E278" s="9" t="s">
        <x:v>932</x:v>
      </x:c>
      <x:c r="F278" s="9" t="s">
        <x:v>108</x:v>
      </x:c>
      <x:c r="G278" s="9" t="s">
        <x:v>109</x:v>
      </x:c>
      <x:c r="H278" s="9" t="s">
        <x:v>878</x:v>
      </x:c>
      <x:c r="I278" s="9" t="s">
        <x:v>879</x:v>
      </x:c>
      <x:c r="J278" s="9" t="s">
        <x:v>880</x:v>
      </x:c>
      <x:c r="K278" s="9" t="s">
        <x:v>928</x:v>
      </x:c>
      <x:c r="L278" s="9" t="s">
        <x:v>928</x:v>
      </x:c>
      <x:c r="M278" s="9"/>
      <x:c r="N278" s="9" t="n">
        <x:v>3</x:v>
      </x:c>
      <x:c r="O278" s="9" t="s">
        <x:v>882</x:v>
      </x:c>
      <x:c r="P278" s="9" t="s">
        <x:v>115</x:v>
      </x:c>
      <x:c r="Q278" s="9" t="s">
        <x:v>45</x:v>
      </x:c>
      <x:c r="R278" s="9"/>
      <x:c r="S278" s="8"/>
      <x:c r="T278" s="8" t="s">
        <x:v>27</x:v>
      </x:c>
      <x:c r="U278" s="8" t="s">
        <x:v>883</x:v>
      </x:c>
      <x:c r="V278" s="8" t="s">
        <x:v>884</x:v>
      </x:c>
    </x:row>
    <x:row r="279" ht="39" hidden="0" customHeight="1">
      <x:c r="A279" s="9" t="s">
        <x:v>933</x:v>
      </x:c>
      <x:c r="B279" s="9" t="s">
        <x:v>875</x:v>
      </x:c>
      <x:c r="C279" s="9" t="s">
        <x:v>876</x:v>
      </x:c>
      <x:c r="D279" s="9" t="s">
        <x:v>237</x:v>
      </x:c>
      <x:c r="E279" s="9" t="s">
        <x:v>934</x:v>
      </x:c>
      <x:c r="F279" s="9" t="s">
        <x:v>108</x:v>
      </x:c>
      <x:c r="G279" s="9" t="s">
        <x:v>109</x:v>
      </x:c>
      <x:c r="H279" s="9" t="s">
        <x:v>878</x:v>
      </x:c>
      <x:c r="I279" s="9" t="s">
        <x:v>879</x:v>
      </x:c>
      <x:c r="J279" s="9" t="s">
        <x:v>880</x:v>
      </x:c>
      <x:c r="K279" s="9" t="s">
        <x:v>928</x:v>
      </x:c>
      <x:c r="L279" s="9" t="s">
        <x:v>928</x:v>
      </x:c>
      <x:c r="M279" s="9"/>
      <x:c r="N279" s="9" t="n">
        <x:v>3</x:v>
      </x:c>
      <x:c r="O279" s="9" t="s">
        <x:v>882</x:v>
      </x:c>
      <x:c r="P279" s="9" t="s">
        <x:v>115</x:v>
      </x:c>
      <x:c r="Q279" s="9" t="s">
        <x:v>45</x:v>
      </x:c>
      <x:c r="R279" s="9"/>
      <x:c r="S279" s="8"/>
      <x:c r="T279" s="8" t="s">
        <x:v>27</x:v>
      </x:c>
      <x:c r="U279" s="8" t="s">
        <x:v>883</x:v>
      </x:c>
      <x:c r="V279" s="8" t="s">
        <x:v>884</x:v>
      </x:c>
    </x:row>
    <x:row r="280" ht="39" hidden="0" customHeight="1">
      <x:c r="A280" s="9" t="s">
        <x:v>935</x:v>
      </x:c>
      <x:c r="B280" s="9" t="s">
        <x:v>875</x:v>
      </x:c>
      <x:c r="C280" s="9" t="s">
        <x:v>936</x:v>
      </x:c>
      <x:c r="D280" s="9" t="s">
        <x:v>223</x:v>
      </x:c>
      <x:c r="E280" s="9" t="s">
        <x:v>937</x:v>
      </x:c>
      <x:c r="F280" s="9" t="s">
        <x:v>938</x:v>
      </x:c>
      <x:c r="G280" s="9" t="s">
        <x:v>109</x:v>
      </x:c>
      <x:c r="H280" s="9" t="s">
        <x:v>878</x:v>
      </x:c>
      <x:c r="I280" s="9" t="s">
        <x:v>879</x:v>
      </x:c>
      <x:c r="J280" s="9" t="s">
        <x:v>880</x:v>
      </x:c>
      <x:c r="K280" s="9" t="s">
        <x:v>939</x:v>
      </x:c>
      <x:c r="L280" s="9" t="s">
        <x:v>939</x:v>
      </x:c>
      <x:c r="M280" s="9"/>
      <x:c r="N280" s="9" t="n">
        <x:v>7</x:v>
      </x:c>
      <x:c r="O280" s="9" t="s">
        <x:v>882</x:v>
      </x:c>
      <x:c r="P280" s="9" t="s">
        <x:v>115</x:v>
      </x:c>
      <x:c r="Q280" s="9" t="s">
        <x:v>45</x:v>
      </x:c>
      <x:c r="R280" s="9"/>
      <x:c r="S280" s="8"/>
      <x:c r="T280" s="8" t="s">
        <x:v>27</x:v>
      </x:c>
      <x:c r="U280" s="8" t="s">
        <x:v>883</x:v>
      </x:c>
      <x:c r="V280" s="8" t="s">
        <x:v>884</x:v>
      </x:c>
    </x:row>
    <x:row r="281" ht="39" hidden="0" customHeight="1">
      <x:c r="A281" s="9" t="s">
        <x:v>940</x:v>
      </x:c>
      <x:c r="B281" s="9" t="s">
        <x:v>875</x:v>
      </x:c>
      <x:c r="C281" s="9" t="s">
        <x:v>936</x:v>
      </x:c>
      <x:c r="D281" s="9" t="s">
        <x:v>450</x:v>
      </x:c>
      <x:c r="E281" s="9" t="s">
        <x:v>941</x:v>
      </x:c>
      <x:c r="F281" s="9" t="s">
        <x:v>938</x:v>
      </x:c>
      <x:c r="G281" s="9" t="s">
        <x:v>109</x:v>
      </x:c>
      <x:c r="H281" s="9" t="s">
        <x:v>878</x:v>
      </x:c>
      <x:c r="I281" s="9" t="s">
        <x:v>879</x:v>
      </x:c>
      <x:c r="J281" s="9" t="s">
        <x:v>880</x:v>
      </x:c>
      <x:c r="K281" s="9" t="s">
        <x:v>939</x:v>
      </x:c>
      <x:c r="L281" s="9" t="s">
        <x:v>939</x:v>
      </x:c>
      <x:c r="M281" s="9"/>
      <x:c r="N281" s="9" t="n">
        <x:v>7</x:v>
      </x:c>
      <x:c r="O281" s="9" t="s">
        <x:v>882</x:v>
      </x:c>
      <x:c r="P281" s="9" t="s">
        <x:v>115</x:v>
      </x:c>
      <x:c r="Q281" s="9" t="s">
        <x:v>45</x:v>
      </x:c>
      <x:c r="R281" s="9"/>
      <x:c r="S281" s="8"/>
      <x:c r="T281" s="8" t="s">
        <x:v>27</x:v>
      </x:c>
      <x:c r="U281" s="8" t="s">
        <x:v>883</x:v>
      </x:c>
      <x:c r="V281" s="8" t="s">
        <x:v>884</x:v>
      </x:c>
    </x:row>
    <x:row r="282" ht="39" hidden="0" customHeight="1">
      <x:c r="A282" s="9" t="s">
        <x:v>942</x:v>
      </x:c>
      <x:c r="B282" s="9" t="s">
        <x:v>875</x:v>
      </x:c>
      <x:c r="C282" s="9" t="s">
        <x:v>936</x:v>
      </x:c>
      <x:c r="D282" s="9" t="s">
        <x:v>227</x:v>
      </x:c>
      <x:c r="E282" s="9" t="s">
        <x:v>943</x:v>
      </x:c>
      <x:c r="F282" s="9" t="s">
        <x:v>938</x:v>
      </x:c>
      <x:c r="G282" s="9" t="s">
        <x:v>109</x:v>
      </x:c>
      <x:c r="H282" s="9" t="s">
        <x:v>878</x:v>
      </x:c>
      <x:c r="I282" s="9" t="s">
        <x:v>879</x:v>
      </x:c>
      <x:c r="J282" s="9" t="s">
        <x:v>880</x:v>
      </x:c>
      <x:c r="K282" s="9" t="s">
        <x:v>939</x:v>
      </x:c>
      <x:c r="L282" s="9" t="s">
        <x:v>939</x:v>
      </x:c>
      <x:c r="M282" s="9"/>
      <x:c r="N282" s="9" t="n">
        <x:v>7</x:v>
      </x:c>
      <x:c r="O282" s="9" t="s">
        <x:v>882</x:v>
      </x:c>
      <x:c r="P282" s="9" t="s">
        <x:v>115</x:v>
      </x:c>
      <x:c r="Q282" s="9" t="s">
        <x:v>45</x:v>
      </x:c>
      <x:c r="R282" s="9"/>
      <x:c r="S282" s="8"/>
      <x:c r="T282" s="8" t="s">
        <x:v>27</x:v>
      </x:c>
      <x:c r="U282" s="8" t="s">
        <x:v>883</x:v>
      </x:c>
      <x:c r="V282" s="8" t="s">
        <x:v>884</x:v>
      </x:c>
    </x:row>
    <x:row r="283" ht="39" hidden="0" customHeight="1">
      <x:c r="A283" s="9" t="s">
        <x:v>944</x:v>
      </x:c>
      <x:c r="B283" s="9" t="s">
        <x:v>875</x:v>
      </x:c>
      <x:c r="C283" s="9" t="s">
        <x:v>936</x:v>
      </x:c>
      <x:c r="D283" s="9" t="s">
        <x:v>945</x:v>
      </x:c>
      <x:c r="E283" s="9" t="s">
        <x:v>946</x:v>
      </x:c>
      <x:c r="F283" s="9" t="s">
        <x:v>938</x:v>
      </x:c>
      <x:c r="G283" s="9" t="s">
        <x:v>109</x:v>
      </x:c>
      <x:c r="H283" s="9" t="s">
        <x:v>878</x:v>
      </x:c>
      <x:c r="I283" s="9" t="s">
        <x:v>879</x:v>
      </x:c>
      <x:c r="J283" s="9" t="s">
        <x:v>880</x:v>
      </x:c>
      <x:c r="K283" s="9" t="s">
        <x:v>939</x:v>
      </x:c>
      <x:c r="L283" s="9" t="s">
        <x:v>939</x:v>
      </x:c>
      <x:c r="M283" s="9"/>
      <x:c r="N283" s="9" t="n">
        <x:v>7</x:v>
      </x:c>
      <x:c r="O283" s="9" t="s">
        <x:v>882</x:v>
      </x:c>
      <x:c r="P283" s="9" t="s">
        <x:v>115</x:v>
      </x:c>
      <x:c r="Q283" s="9" t="s">
        <x:v>45</x:v>
      </x:c>
      <x:c r="R283" s="9"/>
      <x:c r="S283" s="8"/>
      <x:c r="T283" s="8" t="s">
        <x:v>27</x:v>
      </x:c>
      <x:c r="U283" s="8" t="s">
        <x:v>883</x:v>
      </x:c>
      <x:c r="V283" s="8" t="s">
        <x:v>884</x:v>
      </x:c>
    </x:row>
    <x:row r="284" ht="39" hidden="0" customHeight="1">
      <x:c r="A284" s="9" t="s">
        <x:v>947</x:v>
      </x:c>
      <x:c r="B284" s="9" t="s">
        <x:v>875</x:v>
      </x:c>
      <x:c r="C284" s="9" t="s">
        <x:v>936</x:v>
      </x:c>
      <x:c r="D284" s="9" t="s">
        <x:v>948</x:v>
      </x:c>
      <x:c r="E284" s="9" t="s">
        <x:v>946</x:v>
      </x:c>
      <x:c r="F284" s="9" t="s">
        <x:v>938</x:v>
      </x:c>
      <x:c r="G284" s="9" t="s">
        <x:v>109</x:v>
      </x:c>
      <x:c r="H284" s="9" t="s">
        <x:v>878</x:v>
      </x:c>
      <x:c r="I284" s="9" t="s">
        <x:v>879</x:v>
      </x:c>
      <x:c r="J284" s="9" t="s">
        <x:v>880</x:v>
      </x:c>
      <x:c r="K284" s="9" t="s">
        <x:v>939</x:v>
      </x:c>
      <x:c r="L284" s="9" t="s">
        <x:v>939</x:v>
      </x:c>
      <x:c r="M284" s="9"/>
      <x:c r="N284" s="9" t="n">
        <x:v>7</x:v>
      </x:c>
      <x:c r="O284" s="9" t="s">
        <x:v>882</x:v>
      </x:c>
      <x:c r="P284" s="9" t="s">
        <x:v>115</x:v>
      </x:c>
      <x:c r="Q284" s="9" t="s">
        <x:v>45</x:v>
      </x:c>
      <x:c r="R284" s="9"/>
      <x:c r="S284" s="8"/>
      <x:c r="T284" s="8" t="s">
        <x:v>27</x:v>
      </x:c>
      <x:c r="U284" s="8" t="s">
        <x:v>883</x:v>
      </x:c>
      <x:c r="V284" s="8" t="s">
        <x:v>884</x:v>
      </x:c>
    </x:row>
    <x:row r="285" ht="39" hidden="0" customHeight="1">
      <x:c r="A285" s="9" t="s">
        <x:v>949</x:v>
      </x:c>
      <x:c r="B285" s="9" t="s">
        <x:v>875</x:v>
      </x:c>
      <x:c r="C285" s="9" t="s">
        <x:v>936</x:v>
      </x:c>
      <x:c r="D285" s="9" t="s">
        <x:v>950</x:v>
      </x:c>
      <x:c r="E285" s="9" t="s">
        <x:v>951</x:v>
      </x:c>
      <x:c r="F285" s="9" t="s">
        <x:v>938</x:v>
      </x:c>
      <x:c r="G285" s="9" t="s">
        <x:v>109</x:v>
      </x:c>
      <x:c r="H285" s="9" t="s">
        <x:v>878</x:v>
      </x:c>
      <x:c r="I285" s="9" t="s">
        <x:v>879</x:v>
      </x:c>
      <x:c r="J285" s="9" t="s">
        <x:v>880</x:v>
      </x:c>
      <x:c r="K285" s="9" t="s">
        <x:v>939</x:v>
      </x:c>
      <x:c r="L285" s="9" t="s">
        <x:v>939</x:v>
      </x:c>
      <x:c r="M285" s="9"/>
      <x:c r="N285" s="9" t="n">
        <x:v>7</x:v>
      </x:c>
      <x:c r="O285" s="9" t="s">
        <x:v>882</x:v>
      </x:c>
      <x:c r="P285" s="9" t="s">
        <x:v>115</x:v>
      </x:c>
      <x:c r="Q285" s="9" t="s">
        <x:v>45</x:v>
      </x:c>
      <x:c r="R285" s="9"/>
      <x:c r="S285" s="8"/>
      <x:c r="T285" s="8" t="s">
        <x:v>27</x:v>
      </x:c>
      <x:c r="U285" s="8" t="s">
        <x:v>883</x:v>
      </x:c>
      <x:c r="V285" s="8" t="s">
        <x:v>884</x:v>
      </x:c>
    </x:row>
    <x:row r="286" ht="39" hidden="0" customHeight="1">
      <x:c r="A286" s="9" t="s">
        <x:v>952</x:v>
      </x:c>
      <x:c r="B286" s="9" t="s">
        <x:v>875</x:v>
      </x:c>
      <x:c r="C286" s="9" t="s">
        <x:v>936</x:v>
      </x:c>
      <x:c r="D286" s="9" t="s">
        <x:v>953</x:v>
      </x:c>
      <x:c r="E286" s="9" t="s">
        <x:v>954</x:v>
      </x:c>
      <x:c r="F286" s="9" t="s">
        <x:v>938</x:v>
      </x:c>
      <x:c r="G286" s="9" t="s">
        <x:v>109</x:v>
      </x:c>
      <x:c r="H286" s="9" t="s">
        <x:v>878</x:v>
      </x:c>
      <x:c r="I286" s="9" t="s">
        <x:v>879</x:v>
      </x:c>
      <x:c r="J286" s="9" t="s">
        <x:v>880</x:v>
      </x:c>
      <x:c r="K286" s="9" t="s">
        <x:v>939</x:v>
      </x:c>
      <x:c r="L286" s="9" t="s">
        <x:v>939</x:v>
      </x:c>
      <x:c r="M286" s="9"/>
      <x:c r="N286" s="9" t="n">
        <x:v>7</x:v>
      </x:c>
      <x:c r="O286" s="9" t="s">
        <x:v>882</x:v>
      </x:c>
      <x:c r="P286" s="9" t="s">
        <x:v>115</x:v>
      </x:c>
      <x:c r="Q286" s="9" t="s">
        <x:v>45</x:v>
      </x:c>
      <x:c r="R286" s="9"/>
      <x:c r="S286" s="8"/>
      <x:c r="T286" s="8" t="s">
        <x:v>27</x:v>
      </x:c>
      <x:c r="U286" s="8" t="s">
        <x:v>883</x:v>
      </x:c>
      <x:c r="V286" s="8" t="s">
        <x:v>884</x:v>
      </x:c>
    </x:row>
    <x:row r="287" ht="39" hidden="0" customHeight="1">
      <x:c r="A287" s="9" t="s">
        <x:v>955</x:v>
      </x:c>
      <x:c r="B287" s="9" t="s">
        <x:v>875</x:v>
      </x:c>
      <x:c r="C287" s="9" t="s">
        <x:v>936</x:v>
      </x:c>
      <x:c r="D287" s="9" t="s">
        <x:v>164</x:v>
      </x:c>
      <x:c r="E287" s="9" t="s">
        <x:v>956</x:v>
      </x:c>
      <x:c r="F287" s="9" t="s">
        <x:v>938</x:v>
      </x:c>
      <x:c r="G287" s="9" t="s">
        <x:v>109</x:v>
      </x:c>
      <x:c r="H287" s="9" t="s">
        <x:v>878</x:v>
      </x:c>
      <x:c r="I287" s="9" t="s">
        <x:v>879</x:v>
      </x:c>
      <x:c r="J287" s="9" t="s">
        <x:v>880</x:v>
      </x:c>
      <x:c r="K287" s="9" t="s">
        <x:v>939</x:v>
      </x:c>
      <x:c r="L287" s="9" t="s">
        <x:v>939</x:v>
      </x:c>
      <x:c r="M287" s="9"/>
      <x:c r="N287" s="9" t="n">
        <x:v>7</x:v>
      </x:c>
      <x:c r="O287" s="9" t="s">
        <x:v>882</x:v>
      </x:c>
      <x:c r="P287" s="9" t="s">
        <x:v>115</x:v>
      </x:c>
      <x:c r="Q287" s="9" t="s">
        <x:v>45</x:v>
      </x:c>
      <x:c r="R287" s="9"/>
      <x:c r="S287" s="8"/>
      <x:c r="T287" s="8" t="s">
        <x:v>27</x:v>
      </x:c>
      <x:c r="U287" s="8" t="s">
        <x:v>883</x:v>
      </x:c>
      <x:c r="V287" s="8" t="s">
        <x:v>884</x:v>
      </x:c>
    </x:row>
    <x:row r="288" ht="39" hidden="0" customHeight="1">
      <x:c r="A288" s="9" t="s">
        <x:v>957</x:v>
      </x:c>
      <x:c r="B288" s="9" t="s">
        <x:v>875</x:v>
      </x:c>
      <x:c r="C288" s="9" t="s">
        <x:v>936</x:v>
      </x:c>
      <x:c r="D288" s="9" t="s">
        <x:v>318</x:v>
      </x:c>
      <x:c r="E288" s="9" t="s">
        <x:v>958</x:v>
      </x:c>
      <x:c r="F288" s="9" t="s">
        <x:v>938</x:v>
      </x:c>
      <x:c r="G288" s="9" t="s">
        <x:v>109</x:v>
      </x:c>
      <x:c r="H288" s="9" t="s">
        <x:v>878</x:v>
      </x:c>
      <x:c r="I288" s="9" t="s">
        <x:v>879</x:v>
      </x:c>
      <x:c r="J288" s="9" t="s">
        <x:v>880</x:v>
      </x:c>
      <x:c r="K288" s="9" t="s">
        <x:v>939</x:v>
      </x:c>
      <x:c r="L288" s="9" t="s">
        <x:v>939</x:v>
      </x:c>
      <x:c r="M288" s="9"/>
      <x:c r="N288" s="9" t="n">
        <x:v>7</x:v>
      </x:c>
      <x:c r="O288" s="9" t="s">
        <x:v>882</x:v>
      </x:c>
      <x:c r="P288" s="9" t="s">
        <x:v>115</x:v>
      </x:c>
      <x:c r="Q288" s="9" t="s">
        <x:v>45</x:v>
      </x:c>
      <x:c r="R288" s="9"/>
      <x:c r="S288" s="8"/>
      <x:c r="T288" s="8" t="s">
        <x:v>27</x:v>
      </x:c>
      <x:c r="U288" s="8" t="s">
        <x:v>883</x:v>
      </x:c>
      <x:c r="V288" s="8" t="s">
        <x:v>884</x:v>
      </x:c>
    </x:row>
    <x:row r="289" ht="39" hidden="0" customHeight="1">
      <x:c r="A289" s="9" t="s">
        <x:v>959</x:v>
      </x:c>
      <x:c r="B289" s="9" t="s">
        <x:v>875</x:v>
      </x:c>
      <x:c r="C289" s="9" t="s">
        <x:v>936</x:v>
      </x:c>
      <x:c r="D289" s="9" t="s">
        <x:v>402</x:v>
      </x:c>
      <x:c r="E289" s="9" t="s">
        <x:v>960</x:v>
      </x:c>
      <x:c r="F289" s="9" t="s">
        <x:v>938</x:v>
      </x:c>
      <x:c r="G289" s="9" t="s">
        <x:v>109</x:v>
      </x:c>
      <x:c r="H289" s="9" t="s">
        <x:v>878</x:v>
      </x:c>
      <x:c r="I289" s="9" t="s">
        <x:v>879</x:v>
      </x:c>
      <x:c r="J289" s="9" t="s">
        <x:v>880</x:v>
      </x:c>
      <x:c r="K289" s="9" t="s">
        <x:v>939</x:v>
      </x:c>
      <x:c r="L289" s="9" t="s">
        <x:v>939</x:v>
      </x:c>
      <x:c r="M289" s="9"/>
      <x:c r="N289" s="9" t="n">
        <x:v>7</x:v>
      </x:c>
      <x:c r="O289" s="9" t="s">
        <x:v>882</x:v>
      </x:c>
      <x:c r="P289" s="9" t="s">
        <x:v>115</x:v>
      </x:c>
      <x:c r="Q289" s="9" t="s">
        <x:v>45</x:v>
      </x:c>
      <x:c r="R289" s="9"/>
      <x:c r="S289" s="8"/>
      <x:c r="T289" s="8" t="s">
        <x:v>27</x:v>
      </x:c>
      <x:c r="U289" s="8" t="s">
        <x:v>883</x:v>
      </x:c>
      <x:c r="V289" s="8" t="s">
        <x:v>884</x:v>
      </x:c>
    </x:row>
    <x:row r="290" ht="39" hidden="0" customHeight="1">
      <x:c r="A290" s="9" t="s">
        <x:v>961</x:v>
      </x:c>
      <x:c r="B290" s="9" t="s">
        <x:v>875</x:v>
      </x:c>
      <x:c r="C290" s="9" t="s">
        <x:v>936</x:v>
      </x:c>
      <x:c r="D290" s="9" t="s">
        <x:v>167</x:v>
      </x:c>
      <x:c r="E290" s="9" t="s">
        <x:v>962</x:v>
      </x:c>
      <x:c r="F290" s="9" t="s">
        <x:v>938</x:v>
      </x:c>
      <x:c r="G290" s="9" t="s">
        <x:v>109</x:v>
      </x:c>
      <x:c r="H290" s="9" t="s">
        <x:v>878</x:v>
      </x:c>
      <x:c r="I290" s="9" t="s">
        <x:v>879</x:v>
      </x:c>
      <x:c r="J290" s="9" t="s">
        <x:v>880</x:v>
      </x:c>
      <x:c r="K290" s="9" t="s">
        <x:v>939</x:v>
      </x:c>
      <x:c r="L290" s="9" t="s">
        <x:v>939</x:v>
      </x:c>
      <x:c r="M290" s="9"/>
      <x:c r="N290" s="9" t="n">
        <x:v>7</x:v>
      </x:c>
      <x:c r="O290" s="9" t="s">
        <x:v>882</x:v>
      </x:c>
      <x:c r="P290" s="9" t="s">
        <x:v>115</x:v>
      </x:c>
      <x:c r="Q290" s="9" t="s">
        <x:v>45</x:v>
      </x:c>
      <x:c r="R290" s="9"/>
      <x:c r="S290" s="8"/>
      <x:c r="T290" s="8" t="s">
        <x:v>27</x:v>
      </x:c>
      <x:c r="U290" s="8" t="s">
        <x:v>883</x:v>
      </x:c>
      <x:c r="V290" s="8" t="s">
        <x:v>884</x:v>
      </x:c>
    </x:row>
    <x:row r="291" ht="39" hidden="0" customHeight="1">
      <x:c r="A291" s="9" t="s">
        <x:v>963</x:v>
      </x:c>
      <x:c r="B291" s="9" t="s">
        <x:v>875</x:v>
      </x:c>
      <x:c r="C291" s="9" t="s">
        <x:v>936</x:v>
      </x:c>
      <x:c r="D291" s="9" t="s">
        <x:v>157</x:v>
      </x:c>
      <x:c r="E291" s="9" t="s">
        <x:v>964</x:v>
      </x:c>
      <x:c r="F291" s="9" t="s">
        <x:v>938</x:v>
      </x:c>
      <x:c r="G291" s="9" t="s">
        <x:v>109</x:v>
      </x:c>
      <x:c r="H291" s="9" t="s">
        <x:v>878</x:v>
      </x:c>
      <x:c r="I291" s="9" t="s">
        <x:v>879</x:v>
      </x:c>
      <x:c r="J291" s="9" t="s">
        <x:v>880</x:v>
      </x:c>
      <x:c r="K291" s="9" t="s">
        <x:v>939</x:v>
      </x:c>
      <x:c r="L291" s="9" t="s">
        <x:v>939</x:v>
      </x:c>
      <x:c r="M291" s="9"/>
      <x:c r="N291" s="9" t="n">
        <x:v>7</x:v>
      </x:c>
      <x:c r="O291" s="9" t="s">
        <x:v>882</x:v>
      </x:c>
      <x:c r="P291" s="9" t="s">
        <x:v>115</x:v>
      </x:c>
      <x:c r="Q291" s="9" t="s">
        <x:v>45</x:v>
      </x:c>
      <x:c r="R291" s="9"/>
      <x:c r="S291" s="8"/>
      <x:c r="T291" s="8" t="s">
        <x:v>27</x:v>
      </x:c>
      <x:c r="U291" s="8" t="s">
        <x:v>883</x:v>
      </x:c>
      <x:c r="V291" s="8" t="s">
        <x:v>884</x:v>
      </x:c>
    </x:row>
    <x:row r="292" ht="39" hidden="0" customHeight="1">
      <x:c r="A292" s="9" t="s">
        <x:v>965</x:v>
      </x:c>
      <x:c r="B292" s="9" t="s">
        <x:v>875</x:v>
      </x:c>
      <x:c r="C292" s="9" t="s">
        <x:v>876</x:v>
      </x:c>
      <x:c r="D292" s="9" t="s">
        <x:v>142</x:v>
      </x:c>
      <x:c r="E292" s="9" t="s">
        <x:v>966</x:v>
      </x:c>
      <x:c r="F292" s="9" t="s">
        <x:v>108</x:v>
      </x:c>
      <x:c r="G292" s="9" t="s">
        <x:v>109</x:v>
      </x:c>
      <x:c r="H292" s="9" t="s">
        <x:v>878</x:v>
      </x:c>
      <x:c r="I292" s="9" t="s">
        <x:v>879</x:v>
      </x:c>
      <x:c r="J292" s="9" t="s">
        <x:v>880</x:v>
      </x:c>
      <x:c r="K292" s="9" t="s">
        <x:v>967</x:v>
      </x:c>
      <x:c r="L292" s="9" t="s">
        <x:v>967</x:v>
      </x:c>
      <x:c r="M292" s="9"/>
      <x:c r="N292" s="9" t="n">
        <x:v>5</x:v>
      </x:c>
      <x:c r="O292" s="9" t="s">
        <x:v>882</x:v>
      </x:c>
      <x:c r="P292" s="9" t="s">
        <x:v>115</x:v>
      </x:c>
      <x:c r="Q292" s="9" t="s">
        <x:v>45</x:v>
      </x:c>
      <x:c r="R292" s="9"/>
      <x:c r="S292" s="8"/>
      <x:c r="T292" s="8" t="s">
        <x:v>27</x:v>
      </x:c>
      <x:c r="U292" s="8" t="s">
        <x:v>883</x:v>
      </x:c>
      <x:c r="V292" s="8" t="s">
        <x:v>884</x:v>
      </x:c>
    </x:row>
    <x:row r="293" ht="39" hidden="0" customHeight="1">
      <x:c r="A293" s="9" t="s">
        <x:v>968</x:v>
      </x:c>
      <x:c r="B293" s="9" t="s">
        <x:v>875</x:v>
      </x:c>
      <x:c r="C293" s="9" t="s">
        <x:v>876</x:v>
      </x:c>
      <x:c r="D293" s="9" t="s">
        <x:v>243</x:v>
      </x:c>
      <x:c r="E293" s="9" t="s">
        <x:v>969</x:v>
      </x:c>
      <x:c r="F293" s="9" t="s">
        <x:v>108</x:v>
      </x:c>
      <x:c r="G293" s="9" t="s">
        <x:v>109</x:v>
      </x:c>
      <x:c r="H293" s="9" t="s">
        <x:v>878</x:v>
      </x:c>
      <x:c r="I293" s="9" t="s">
        <x:v>879</x:v>
      </x:c>
      <x:c r="J293" s="9" t="s">
        <x:v>880</x:v>
      </x:c>
      <x:c r="K293" s="9" t="s">
        <x:v>967</x:v>
      </x:c>
      <x:c r="L293" s="9" t="s">
        <x:v>967</x:v>
      </x:c>
      <x:c r="M293" s="9"/>
      <x:c r="N293" s="9" t="n">
        <x:v>5</x:v>
      </x:c>
      <x:c r="O293" s="9" t="s">
        <x:v>882</x:v>
      </x:c>
      <x:c r="P293" s="9" t="s">
        <x:v>115</x:v>
      </x:c>
      <x:c r="Q293" s="9" t="s">
        <x:v>45</x:v>
      </x:c>
      <x:c r="R293" s="9"/>
      <x:c r="S293" s="8"/>
      <x:c r="T293" s="8" t="s">
        <x:v>27</x:v>
      </x:c>
      <x:c r="U293" s="8" t="s">
        <x:v>883</x:v>
      </x:c>
      <x:c r="V293" s="8" t="s">
        <x:v>884</x:v>
      </x:c>
    </x:row>
    <x:row r="294" ht="39" hidden="0" customHeight="1">
      <x:c r="A294" s="9" t="s">
        <x:v>970</x:v>
      </x:c>
      <x:c r="B294" s="9" t="s">
        <x:v>875</x:v>
      </x:c>
      <x:c r="C294" s="9" t="s">
        <x:v>876</x:v>
      </x:c>
      <x:c r="D294" s="9" t="s">
        <x:v>971</x:v>
      </x:c>
      <x:c r="E294" s="9" t="s">
        <x:v>972</x:v>
      </x:c>
      <x:c r="F294" s="9" t="s">
        <x:v>108</x:v>
      </x:c>
      <x:c r="G294" s="9" t="s">
        <x:v>109</x:v>
      </x:c>
      <x:c r="H294" s="9" t="s">
        <x:v>878</x:v>
      </x:c>
      <x:c r="I294" s="9" t="s">
        <x:v>879</x:v>
      </x:c>
      <x:c r="J294" s="9" t="s">
        <x:v>880</x:v>
      </x:c>
      <x:c r="K294" s="9" t="s">
        <x:v>967</x:v>
      </x:c>
      <x:c r="L294" s="9" t="s">
        <x:v>967</x:v>
      </x:c>
      <x:c r="M294" s="9"/>
      <x:c r="N294" s="9" t="n">
        <x:v>5</x:v>
      </x:c>
      <x:c r="O294" s="9" t="s">
        <x:v>882</x:v>
      </x:c>
      <x:c r="P294" s="9" t="s">
        <x:v>115</x:v>
      </x:c>
      <x:c r="Q294" s="9" t="s">
        <x:v>45</x:v>
      </x:c>
      <x:c r="R294" s="9"/>
      <x:c r="S294" s="8"/>
      <x:c r="T294" s="8" t="s">
        <x:v>27</x:v>
      </x:c>
      <x:c r="U294" s="8" t="s">
        <x:v>883</x:v>
      </x:c>
      <x:c r="V294" s="8" t="s">
        <x:v>884</x:v>
      </x:c>
    </x:row>
    <x:row r="295" ht="39" hidden="0" customHeight="1">
      <x:c r="A295" s="9" t="s">
        <x:v>973</x:v>
      </x:c>
      <x:c r="B295" s="9" t="s">
        <x:v>875</x:v>
      </x:c>
      <x:c r="C295" s="9" t="s">
        <x:v>876</x:v>
      </x:c>
      <x:c r="D295" s="9" t="s">
        <x:v>259</x:v>
      </x:c>
      <x:c r="E295" s="9" t="s">
        <x:v>974</x:v>
      </x:c>
      <x:c r="F295" s="9" t="s">
        <x:v>108</x:v>
      </x:c>
      <x:c r="G295" s="9" t="s">
        <x:v>109</x:v>
      </x:c>
      <x:c r="H295" s="9" t="s">
        <x:v>878</x:v>
      </x:c>
      <x:c r="I295" s="9" t="s">
        <x:v>879</x:v>
      </x:c>
      <x:c r="J295" s="9" t="s">
        <x:v>880</x:v>
      </x:c>
      <x:c r="K295" s="9" t="s">
        <x:v>967</x:v>
      </x:c>
      <x:c r="L295" s="9" t="s">
        <x:v>967</x:v>
      </x:c>
      <x:c r="M295" s="9"/>
      <x:c r="N295" s="9" t="n">
        <x:v>5</x:v>
      </x:c>
      <x:c r="O295" s="9" t="s">
        <x:v>882</x:v>
      </x:c>
      <x:c r="P295" s="9" t="s">
        <x:v>115</x:v>
      </x:c>
      <x:c r="Q295" s="9" t="s">
        <x:v>45</x:v>
      </x:c>
      <x:c r="R295" s="9"/>
      <x:c r="S295" s="8"/>
      <x:c r="T295" s="8" t="s">
        <x:v>27</x:v>
      </x:c>
      <x:c r="U295" s="8" t="s">
        <x:v>883</x:v>
      </x:c>
      <x:c r="V295" s="8" t="s">
        <x:v>884</x:v>
      </x:c>
    </x:row>
    <x:row r="296" ht="39" hidden="0" customHeight="1">
      <x:c r="A296" s="9" t="s">
        <x:v>975</x:v>
      </x:c>
      <x:c r="B296" s="9" t="s">
        <x:v>875</x:v>
      </x:c>
      <x:c r="C296" s="9" t="s">
        <x:v>976</x:v>
      </x:c>
      <x:c r="D296" s="9" t="s">
        <x:v>417</x:v>
      </x:c>
      <x:c r="E296" s="9" t="s">
        <x:v>977</x:v>
      </x:c>
      <x:c r="F296" s="9" t="s">
        <x:v>978</x:v>
      </x:c>
      <x:c r="G296" s="9" t="s">
        <x:v>109</x:v>
      </x:c>
      <x:c r="H296" s="9" t="s">
        <x:v>878</x:v>
      </x:c>
      <x:c r="I296" s="9" t="s">
        <x:v>879</x:v>
      </x:c>
      <x:c r="J296" s="9" t="s">
        <x:v>880</x:v>
      </x:c>
      <x:c r="K296" s="9" t="s">
        <x:v>979</x:v>
      </x:c>
      <x:c r="L296" s="9" t="s">
        <x:v>979</x:v>
      </x:c>
      <x:c r="M296" s="9"/>
      <x:c r="N296" s="9" t="n">
        <x:v>8</x:v>
      </x:c>
      <x:c r="O296" s="9" t="s">
        <x:v>882</x:v>
      </x:c>
      <x:c r="P296" s="9" t="s">
        <x:v>115</x:v>
      </x:c>
      <x:c r="Q296" s="9" t="s">
        <x:v>45</x:v>
      </x:c>
      <x:c r="R296" s="9"/>
      <x:c r="S296" s="8"/>
      <x:c r="T296" s="8" t="s">
        <x:v>27</x:v>
      </x:c>
      <x:c r="U296" s="8" t="s">
        <x:v>883</x:v>
      </x:c>
      <x:c r="V296" s="8" t="s">
        <x:v>884</x:v>
      </x:c>
    </x:row>
    <x:row r="297" ht="39" hidden="0" customHeight="1">
      <x:c r="A297" s="9" t="s">
        <x:v>980</x:v>
      </x:c>
      <x:c r="B297" s="9" t="s">
        <x:v>875</x:v>
      </x:c>
      <x:c r="C297" s="9" t="s">
        <x:v>976</x:v>
      </x:c>
      <x:c r="D297" s="9" t="s">
        <x:v>463</x:v>
      </x:c>
      <x:c r="E297" s="9" t="s">
        <x:v>981</x:v>
      </x:c>
      <x:c r="F297" s="9" t="s">
        <x:v>978</x:v>
      </x:c>
      <x:c r="G297" s="9" t="s">
        <x:v>109</x:v>
      </x:c>
      <x:c r="H297" s="9" t="s">
        <x:v>878</x:v>
      </x:c>
      <x:c r="I297" s="9" t="s">
        <x:v>879</x:v>
      </x:c>
      <x:c r="J297" s="9" t="s">
        <x:v>880</x:v>
      </x:c>
      <x:c r="K297" s="9" t="s">
        <x:v>979</x:v>
      </x:c>
      <x:c r="L297" s="9" t="s">
        <x:v>979</x:v>
      </x:c>
      <x:c r="M297" s="9"/>
      <x:c r="N297" s="9" t="n">
        <x:v>8</x:v>
      </x:c>
      <x:c r="O297" s="9" t="s">
        <x:v>882</x:v>
      </x:c>
      <x:c r="P297" s="9" t="s">
        <x:v>115</x:v>
      </x:c>
      <x:c r="Q297" s="9" t="s">
        <x:v>45</x:v>
      </x:c>
      <x:c r="R297" s="9"/>
      <x:c r="S297" s="8"/>
      <x:c r="T297" s="8" t="s">
        <x:v>27</x:v>
      </x:c>
      <x:c r="U297" s="8" t="s">
        <x:v>883</x:v>
      </x:c>
      <x:c r="V297" s="8" t="s">
        <x:v>884</x:v>
      </x:c>
    </x:row>
    <x:row r="298" ht="39" hidden="0" customHeight="1">
      <x:c r="A298" s="9" t="s">
        <x:v>982</x:v>
      </x:c>
      <x:c r="B298" s="9" t="s">
        <x:v>875</x:v>
      </x:c>
      <x:c r="C298" s="9" t="s">
        <x:v>976</x:v>
      </x:c>
      <x:c r="D298" s="9" t="s">
        <x:v>983</x:v>
      </x:c>
      <x:c r="E298" s="9" t="n">
        <x:v>20</x:v>
      </x:c>
      <x:c r="F298" s="9" t="s">
        <x:v>978</x:v>
      </x:c>
      <x:c r="G298" s="9" t="s">
        <x:v>109</x:v>
      </x:c>
      <x:c r="H298" s="9" t="s">
        <x:v>878</x:v>
      </x:c>
      <x:c r="I298" s="9" t="s">
        <x:v>879</x:v>
      </x:c>
      <x:c r="J298" s="9" t="s">
        <x:v>880</x:v>
      </x:c>
      <x:c r="K298" s="9" t="s">
        <x:v>979</x:v>
      </x:c>
      <x:c r="L298" s="9" t="s">
        <x:v>979</x:v>
      </x:c>
      <x:c r="M298" s="9"/>
      <x:c r="N298" s="9" t="n">
        <x:v>8</x:v>
      </x:c>
      <x:c r="O298" s="9" t="s">
        <x:v>882</x:v>
      </x:c>
      <x:c r="P298" s="9" t="s">
        <x:v>115</x:v>
      </x:c>
      <x:c r="Q298" s="9" t="s">
        <x:v>45</x:v>
      </x:c>
      <x:c r="R298" s="9"/>
      <x:c r="S298" s="8" t="s">
        <x:v>984</x:v>
      </x:c>
      <x:c r="T298" s="8" t="s">
        <x:v>27</x:v>
      </x:c>
      <x:c r="U298" s="8" t="s">
        <x:v>883</x:v>
      </x:c>
      <x:c r="V298" s="8" t="s">
        <x:v>884</x:v>
      </x:c>
    </x:row>
    <x:row r="299" ht="39" hidden="0" customHeight="1">
      <x:c r="A299" s="9" t="s">
        <x:v>985</x:v>
      </x:c>
      <x:c r="B299" s="9" t="s">
        <x:v>875</x:v>
      </x:c>
      <x:c r="C299" s="9" t="s">
        <x:v>976</x:v>
      </x:c>
      <x:c r="D299" s="9" t="s">
        <x:v>986</x:v>
      </x:c>
      <x:c r="E299" s="9" t="n">
        <x:v>4</x:v>
      </x:c>
      <x:c r="F299" s="9" t="s">
        <x:v>978</x:v>
      </x:c>
      <x:c r="G299" s="9" t="s">
        <x:v>109</x:v>
      </x:c>
      <x:c r="H299" s="9" t="s">
        <x:v>878</x:v>
      </x:c>
      <x:c r="I299" s="9" t="s">
        <x:v>879</x:v>
      </x:c>
      <x:c r="J299" s="9" t="s">
        <x:v>880</x:v>
      </x:c>
      <x:c r="K299" s="9" t="s">
        <x:v>979</x:v>
      </x:c>
      <x:c r="L299" s="9" t="s">
        <x:v>979</x:v>
      </x:c>
      <x:c r="M299" s="9"/>
      <x:c r="N299" s="9" t="n">
        <x:v>8</x:v>
      </x:c>
      <x:c r="O299" s="9" t="s">
        <x:v>882</x:v>
      </x:c>
      <x:c r="P299" s="9" t="s">
        <x:v>115</x:v>
      </x:c>
      <x:c r="Q299" s="9" t="s">
        <x:v>45</x:v>
      </x:c>
      <x:c r="R299" s="9"/>
      <x:c r="S299" s="8" t="s">
        <x:v>987</x:v>
      </x:c>
      <x:c r="T299" s="8" t="s">
        <x:v>27</x:v>
      </x:c>
      <x:c r="U299" s="8" t="s">
        <x:v>883</x:v>
      </x:c>
      <x:c r="V299" s="8" t="s">
        <x:v>884</x:v>
      </x:c>
    </x:row>
    <x:row r="300" ht="39" hidden="0" customHeight="1">
      <x:c r="A300" s="9" t="s">
        <x:v>988</x:v>
      </x:c>
      <x:c r="B300" s="9" t="s">
        <x:v>875</x:v>
      </x:c>
      <x:c r="C300" s="9" t="s">
        <x:v>976</x:v>
      </x:c>
      <x:c r="D300" s="9" t="s">
        <x:v>170</x:v>
      </x:c>
      <x:c r="E300" s="9" t="n">
        <x:v>30</x:v>
      </x:c>
      <x:c r="F300" s="9" t="s">
        <x:v>978</x:v>
      </x:c>
      <x:c r="G300" s="9" t="s">
        <x:v>109</x:v>
      </x:c>
      <x:c r="H300" s="9" t="s">
        <x:v>878</x:v>
      </x:c>
      <x:c r="I300" s="9" t="s">
        <x:v>879</x:v>
      </x:c>
      <x:c r="J300" s="9" t="s">
        <x:v>880</x:v>
      </x:c>
      <x:c r="K300" s="9" t="s">
        <x:v>979</x:v>
      </x:c>
      <x:c r="L300" s="9" t="s">
        <x:v>979</x:v>
      </x:c>
      <x:c r="M300" s="9"/>
      <x:c r="N300" s="9" t="n">
        <x:v>8</x:v>
      </x:c>
      <x:c r="O300" s="9" t="s">
        <x:v>882</x:v>
      </x:c>
      <x:c r="P300" s="9" t="s">
        <x:v>115</x:v>
      </x:c>
      <x:c r="Q300" s="9" t="s">
        <x:v>45</x:v>
      </x:c>
      <x:c r="R300" s="9" t="s">
        <x:v>989</x:v>
      </x:c>
      <x:c r="S300" s="8" t="s">
        <x:v>990</x:v>
      </x:c>
      <x:c r="T300" s="8" t="s">
        <x:v>27</x:v>
      </x:c>
      <x:c r="U300" s="8" t="s">
        <x:v>883</x:v>
      </x:c>
      <x:c r="V300" s="8" t="s">
        <x:v>884</x:v>
      </x:c>
    </x:row>
    <x:row r="301" ht="39" hidden="0" customHeight="1">
      <x:c r="A301" s="9" t="s">
        <x:v>991</x:v>
      </x:c>
      <x:c r="B301" s="9" t="s">
        <x:v>875</x:v>
      </x:c>
      <x:c r="C301" s="9" t="s">
        <x:v>976</x:v>
      </x:c>
      <x:c r="D301" s="9" t="s">
        <x:v>992</x:v>
      </x:c>
      <x:c r="E301" s="9" t="s">
        <x:v>993</x:v>
      </x:c>
      <x:c r="F301" s="9" t="s">
        <x:v>978</x:v>
      </x:c>
      <x:c r="G301" s="9" t="s">
        <x:v>109</x:v>
      </x:c>
      <x:c r="H301" s="9" t="s">
        <x:v>878</x:v>
      </x:c>
      <x:c r="I301" s="9" t="s">
        <x:v>879</x:v>
      </x:c>
      <x:c r="J301" s="9" t="s">
        <x:v>880</x:v>
      </x:c>
      <x:c r="K301" s="9" t="s">
        <x:v>979</x:v>
      </x:c>
      <x:c r="L301" s="9" t="s">
        <x:v>979</x:v>
      </x:c>
      <x:c r="M301" s="9"/>
      <x:c r="N301" s="9" t="n">
        <x:v>8</x:v>
      </x:c>
      <x:c r="O301" s="9" t="s">
        <x:v>882</x:v>
      </x:c>
      <x:c r="P301" s="9" t="s">
        <x:v>115</x:v>
      </x:c>
      <x:c r="Q301" s="9" t="s">
        <x:v>45</x:v>
      </x:c>
      <x:c r="R301" s="9"/>
      <x:c r="S301" s="8"/>
      <x:c r="T301" s="8" t="s">
        <x:v>27</x:v>
      </x:c>
      <x:c r="U301" s="8" t="s">
        <x:v>883</x:v>
      </x:c>
      <x:c r="V301" s="8" t="s">
        <x:v>884</x:v>
      </x:c>
    </x:row>
    <x:row r="302" ht="39" hidden="0" customHeight="1">
      <x:c r="A302" s="9" t="s">
        <x:v>994</x:v>
      </x:c>
      <x:c r="B302" s="9" t="s">
        <x:v>875</x:v>
      </x:c>
      <x:c r="C302" s="9" t="s">
        <x:v>976</x:v>
      </x:c>
      <x:c r="D302" s="9" t="s">
        <x:v>995</x:v>
      </x:c>
      <x:c r="E302" s="9" t="n">
        <x:v>100</x:v>
      </x:c>
      <x:c r="F302" s="9" t="s">
        <x:v>978</x:v>
      </x:c>
      <x:c r="G302" s="9" t="s">
        <x:v>109</x:v>
      </x:c>
      <x:c r="H302" s="9" t="s">
        <x:v>878</x:v>
      </x:c>
      <x:c r="I302" s="9" t="s">
        <x:v>879</x:v>
      </x:c>
      <x:c r="J302" s="9" t="s">
        <x:v>880</x:v>
      </x:c>
      <x:c r="K302" s="9" t="s">
        <x:v>979</x:v>
      </x:c>
      <x:c r="L302" s="9" t="s">
        <x:v>979</x:v>
      </x:c>
      <x:c r="M302" s="9"/>
      <x:c r="N302" s="9" t="n">
        <x:v>8</x:v>
      </x:c>
      <x:c r="O302" s="9" t="s">
        <x:v>882</x:v>
      </x:c>
      <x:c r="P302" s="9" t="s">
        <x:v>115</x:v>
      </x:c>
      <x:c r="Q302" s="9" t="s">
        <x:v>45</x:v>
      </x:c>
      <x:c r="R302" s="9"/>
      <x:c r="S302" s="8" t="s">
        <x:v>996</x:v>
      </x:c>
      <x:c r="T302" s="8" t="s">
        <x:v>27</x:v>
      </x:c>
      <x:c r="U302" s="8" t="s">
        <x:v>883</x:v>
      </x:c>
      <x:c r="V302" s="8" t="s">
        <x:v>884</x:v>
      </x:c>
    </x:row>
    <x:row r="303" ht="39" hidden="0" customHeight="1">
      <x:c r="A303" s="9" t="s">
        <x:v>997</x:v>
      </x:c>
      <x:c r="B303" s="9" t="s">
        <x:v>875</x:v>
      </x:c>
      <x:c r="C303" s="9" t="s">
        <x:v>998</x:v>
      </x:c>
      <x:c r="D303" s="9" t="s">
        <x:v>170</x:v>
      </x:c>
      <x:c r="E303" s="9" t="n">
        <x:v>100</x:v>
      </x:c>
      <x:c r="F303" s="9" t="s">
        <x:v>108</x:v>
      </x:c>
      <x:c r="G303" s="9" t="s">
        <x:v>109</x:v>
      </x:c>
      <x:c r="H303" s="9" t="s">
        <x:v>878</x:v>
      </x:c>
      <x:c r="I303" s="9" t="s">
        <x:v>879</x:v>
      </x:c>
      <x:c r="J303" s="9" t="s">
        <x:v>880</x:v>
      </x:c>
      <x:c r="K303" s="9" t="s">
        <x:v>979</x:v>
      </x:c>
      <x:c r="L303" s="9" t="s">
        <x:v>979</x:v>
      </x:c>
      <x:c r="M303" s="9"/>
      <x:c r="N303" s="9" t="n">
        <x:v>8</x:v>
      </x:c>
      <x:c r="O303" s="9" t="s">
        <x:v>882</x:v>
      </x:c>
      <x:c r="P303" s="9" t="s">
        <x:v>115</x:v>
      </x:c>
      <x:c r="Q303" s="9" t="s">
        <x:v>45</x:v>
      </x:c>
      <x:c r="R303" s="9"/>
      <x:c r="S303" s="8" t="s">
        <x:v>990</x:v>
      </x:c>
      <x:c r="T303" s="8" t="s">
        <x:v>27</x:v>
      </x:c>
      <x:c r="U303" s="8" t="s">
        <x:v>883</x:v>
      </x:c>
      <x:c r="V303" s="8" t="s">
        <x:v>884</x:v>
      </x:c>
    </x:row>
    <x:row r="304" ht="39" hidden="0" customHeight="1">
      <x:c r="A304" s="9" t="s">
        <x:v>999</x:v>
      </x:c>
      <x:c r="B304" s="9" t="s">
        <x:v>875</x:v>
      </x:c>
      <x:c r="C304" s="9" t="s">
        <x:v>876</x:v>
      </x:c>
      <x:c r="D304" s="9" t="s">
        <x:v>342</x:v>
      </x:c>
      <x:c r="E304" s="9" t="s">
        <x:v>1000</x:v>
      </x:c>
      <x:c r="F304" s="9" t="s">
        <x:v>108</x:v>
      </x:c>
      <x:c r="G304" s="9" t="s">
        <x:v>109</x:v>
      </x:c>
      <x:c r="H304" s="9" t="s">
        <x:v>878</x:v>
      </x:c>
      <x:c r="I304" s="9" t="s">
        <x:v>879</x:v>
      </x:c>
      <x:c r="J304" s="9" t="s">
        <x:v>880</x:v>
      </x:c>
      <x:c r="K304" s="9" t="s">
        <x:v>979</x:v>
      </x:c>
      <x:c r="L304" s="9" t="s">
        <x:v>979</x:v>
      </x:c>
      <x:c r="M304" s="9"/>
      <x:c r="N304" s="9" t="n">
        <x:v>8</x:v>
      </x:c>
      <x:c r="O304" s="9" t="s">
        <x:v>882</x:v>
      </x:c>
      <x:c r="P304" s="9" t="s">
        <x:v>115</x:v>
      </x:c>
      <x:c r="Q304" s="9" t="s">
        <x:v>45</x:v>
      </x:c>
      <x:c r="R304" s="9"/>
      <x:c r="S304" s="8"/>
      <x:c r="T304" s="8" t="s">
        <x:v>27</x:v>
      </x:c>
      <x:c r="U304" s="8" t="s">
        <x:v>883</x:v>
      </x:c>
      <x:c r="V304" s="8" t="s">
        <x:v>884</x:v>
      </x:c>
    </x:row>
    <x:row r="305" ht="39" hidden="0" customHeight="1">
      <x:c r="A305" s="9" t="s">
        <x:v>1001</x:v>
      </x:c>
      <x:c r="B305" s="9" t="s">
        <x:v>875</x:v>
      </x:c>
      <x:c r="C305" s="9" t="s">
        <x:v>1002</x:v>
      </x:c>
      <x:c r="D305" s="9" t="s">
        <x:v>1003</x:v>
      </x:c>
      <x:c r="E305" s="9" t="s">
        <x:v>1004</x:v>
      </x:c>
      <x:c r="F305" s="9" t="s">
        <x:v>108</x:v>
      </x:c>
      <x:c r="G305" s="9" t="s">
        <x:v>109</x:v>
      </x:c>
      <x:c r="H305" s="9" t="s">
        <x:v>878</x:v>
      </x:c>
      <x:c r="I305" s="9" t="s">
        <x:v>879</x:v>
      </x:c>
      <x:c r="J305" s="9" t="s">
        <x:v>880</x:v>
      </x:c>
      <x:c r="K305" s="9" t="s">
        <x:v>1005</x:v>
      </x:c>
      <x:c r="L305" s="9" t="s">
        <x:v>1005</x:v>
      </x:c>
      <x:c r="M305" s="9"/>
      <x:c r="N305" s="9" t="n">
        <x:v>9</x:v>
      </x:c>
      <x:c r="O305" s="9" t="s">
        <x:v>882</x:v>
      </x:c>
      <x:c r="P305" s="9" t="s">
        <x:v>115</x:v>
      </x:c>
      <x:c r="Q305" s="9" t="s">
        <x:v>45</x:v>
      </x:c>
      <x:c r="R305" s="9"/>
      <x:c r="S305" s="8"/>
      <x:c r="T305" s="8" t="s">
        <x:v>27</x:v>
      </x:c>
      <x:c r="U305" s="8" t="s">
        <x:v>883</x:v>
      </x:c>
      <x:c r="V305" s="8" t="s">
        <x:v>884</x:v>
      </x:c>
    </x:row>
    <x:row r="306" ht="39" hidden="0" customHeight="1">
      <x:c r="A306" s="9" t="s">
        <x:v>1006</x:v>
      </x:c>
      <x:c r="B306" s="9" t="s">
        <x:v>875</x:v>
      </x:c>
      <x:c r="C306" s="9" t="s">
        <x:v>1007</x:v>
      </x:c>
      <x:c r="D306" s="9" t="s">
        <x:v>157</x:v>
      </x:c>
      <x:c r="E306" s="9" t="s">
        <x:v>1008</x:v>
      </x:c>
      <x:c r="F306" s="9" t="s">
        <x:v>108</x:v>
      </x:c>
      <x:c r="G306" s="9" t="s">
        <x:v>109</x:v>
      </x:c>
      <x:c r="H306" s="9" t="s">
        <x:v>878</x:v>
      </x:c>
      <x:c r="I306" s="9" t="s">
        <x:v>879</x:v>
      </x:c>
      <x:c r="J306" s="9" t="s">
        <x:v>880</x:v>
      </x:c>
      <x:c r="K306" s="9" t="s">
        <x:v>1005</x:v>
      </x:c>
      <x:c r="L306" s="9" t="s">
        <x:v>1005</x:v>
      </x:c>
      <x:c r="M306" s="9"/>
      <x:c r="N306" s="9" t="n">
        <x:v>9</x:v>
      </x:c>
      <x:c r="O306" s="9" t="s">
        <x:v>882</x:v>
      </x:c>
      <x:c r="P306" s="9" t="s">
        <x:v>115</x:v>
      </x:c>
      <x:c r="Q306" s="9" t="s">
        <x:v>45</x:v>
      </x:c>
      <x:c r="R306" s="9"/>
      <x:c r="S306" s="8"/>
      <x:c r="T306" s="8" t="s">
        <x:v>27</x:v>
      </x:c>
      <x:c r="U306" s="8" t="s">
        <x:v>883</x:v>
      </x:c>
      <x:c r="V306" s="8" t="s">
        <x:v>884</x:v>
      </x:c>
    </x:row>
    <x:row r="307" ht="39" hidden="0" customHeight="1">
      <x:c r="A307" s="9" t="s">
        <x:v>1009</x:v>
      </x:c>
      <x:c r="B307" s="9" t="s">
        <x:v>875</x:v>
      </x:c>
      <x:c r="C307" s="9" t="s">
        <x:v>1010</x:v>
      </x:c>
      <x:c r="D307" s="9" t="s">
        <x:v>1011</x:v>
      </x:c>
      <x:c r="E307" s="9" t="n">
        <x:v>-2.498</x:v>
      </x:c>
      <x:c r="F307" s="9" t="s">
        <x:v>108</x:v>
      </x:c>
      <x:c r="G307" s="9" t="s">
        <x:v>109</x:v>
      </x:c>
      <x:c r="H307" s="9" t="s">
        <x:v>878</x:v>
      </x:c>
      <x:c r="I307" s="9" t="s">
        <x:v>879</x:v>
      </x:c>
      <x:c r="J307" s="9" t="s">
        <x:v>880</x:v>
      </x:c>
      <x:c r="K307" s="9" t="s">
        <x:v>1012</x:v>
      </x:c>
      <x:c r="L307" s="9" t="s">
        <x:v>1013</x:v>
      </x:c>
      <x:c r="M307" s="9"/>
      <x:c r="N307" s="9" t="n">
        <x:v>13</x:v>
      </x:c>
      <x:c r="O307" s="9" t="s">
        <x:v>882</x:v>
      </x:c>
      <x:c r="P307" s="9" t="s">
        <x:v>115</x:v>
      </x:c>
      <x:c r="Q307" s="9" t="s">
        <x:v>45</x:v>
      </x:c>
      <x:c r="R307" s="9"/>
      <x:c r="S307" s="8" t="s">
        <x:v>1014</x:v>
      </x:c>
      <x:c r="T307" s="8" t="s">
        <x:v>27</x:v>
      </x:c>
      <x:c r="U307" s="8" t="s">
        <x:v>883</x:v>
      </x:c>
      <x:c r="V307" s="8" t="s">
        <x:v>884</x:v>
      </x:c>
    </x:row>
    <x:row r="308" ht="39" hidden="0" customHeight="1">
      <x:c r="A308" s="9" t="s">
        <x:v>1015</x:v>
      </x:c>
      <x:c r="B308" s="9" t="s">
        <x:v>875</x:v>
      </x:c>
      <x:c r="C308" s="9" t="s">
        <x:v>1010</x:v>
      </x:c>
      <x:c r="D308" s="9" t="s">
        <x:v>1016</x:v>
      </x:c>
      <x:c r="E308" s="9" t="n">
        <x:v>-2.8</x:v>
      </x:c>
      <x:c r="F308" s="9" t="s">
        <x:v>108</x:v>
      </x:c>
      <x:c r="G308" s="9" t="s">
        <x:v>109</x:v>
      </x:c>
      <x:c r="H308" s="9" t="s">
        <x:v>878</x:v>
      </x:c>
      <x:c r="I308" s="9" t="s">
        <x:v>879</x:v>
      </x:c>
      <x:c r="J308" s="9" t="s">
        <x:v>880</x:v>
      </x:c>
      <x:c r="K308" s="9" t="s">
        <x:v>1012</x:v>
      </x:c>
      <x:c r="L308" s="9" t="s">
        <x:v>1017</x:v>
      </x:c>
      <x:c r="M308" s="9"/>
      <x:c r="N308" s="9" t="n">
        <x:v>13</x:v>
      </x:c>
      <x:c r="O308" s="9" t="s">
        <x:v>882</x:v>
      </x:c>
      <x:c r="P308" s="9" t="s">
        <x:v>115</x:v>
      </x:c>
      <x:c r="Q308" s="9" t="s">
        <x:v>45</x:v>
      </x:c>
      <x:c r="R308" s="9"/>
      <x:c r="S308" s="8" t="s">
        <x:v>1014</x:v>
      </x:c>
      <x:c r="T308" s="8" t="s">
        <x:v>27</x:v>
      </x:c>
      <x:c r="U308" s="8" t="s">
        <x:v>883</x:v>
      </x:c>
      <x:c r="V308" s="8" t="s">
        <x:v>884</x:v>
      </x:c>
    </x:row>
    <x:row r="309" ht="39" hidden="0" customHeight="1">
      <x:c r="A309" s="9" t="s">
        <x:v>1018</x:v>
      </x:c>
      <x:c r="B309" s="9" t="s">
        <x:v>875</x:v>
      </x:c>
      <x:c r="C309" s="9" t="s">
        <x:v>1019</x:v>
      </x:c>
      <x:c r="D309" s="9" t="s">
        <x:v>1011</x:v>
      </x:c>
      <x:c r="E309" s="9" t="n">
        <x:v>-3.143</x:v>
      </x:c>
      <x:c r="F309" s="9" t="s">
        <x:v>108</x:v>
      </x:c>
      <x:c r="G309" s="9" t="s">
        <x:v>109</x:v>
      </x:c>
      <x:c r="H309" s="9" t="s">
        <x:v>878</x:v>
      </x:c>
      <x:c r="I309" s="9" t="s">
        <x:v>879</x:v>
      </x:c>
      <x:c r="J309" s="9" t="s">
        <x:v>880</x:v>
      </x:c>
      <x:c r="K309" s="9" t="s">
        <x:v>1012</x:v>
      </x:c>
      <x:c r="L309" s="9" t="s">
        <x:v>1020</x:v>
      </x:c>
      <x:c r="M309" s="9"/>
      <x:c r="N309" s="9" t="n">
        <x:v>13</x:v>
      </x:c>
      <x:c r="O309" s="9" t="s">
        <x:v>882</x:v>
      </x:c>
      <x:c r="P309" s="9" t="s">
        <x:v>115</x:v>
      </x:c>
      <x:c r="Q309" s="9" t="s">
        <x:v>45</x:v>
      </x:c>
      <x:c r="R309" s="9"/>
      <x:c r="S309" s="8" t="s">
        <x:v>1014</x:v>
      </x:c>
      <x:c r="T309" s="8" t="s">
        <x:v>27</x:v>
      </x:c>
      <x:c r="U309" s="8" t="s">
        <x:v>883</x:v>
      </x:c>
      <x:c r="V309" s="8" t="s">
        <x:v>884</x:v>
      </x:c>
    </x:row>
    <x:row r="310" ht="39" hidden="0" customHeight="1">
      <x:c r="A310" s="9" t="s">
        <x:v>1021</x:v>
      </x:c>
      <x:c r="B310" s="9" t="s">
        <x:v>875</x:v>
      </x:c>
      <x:c r="C310" s="9" t="s">
        <x:v>1019</x:v>
      </x:c>
      <x:c r="D310" s="9" t="s">
        <x:v>1016</x:v>
      </x:c>
      <x:c r="E310" s="9" t="n">
        <x:v>-3.552</x:v>
      </x:c>
      <x:c r="F310" s="9" t="s">
        <x:v>108</x:v>
      </x:c>
      <x:c r="G310" s="9" t="s">
        <x:v>109</x:v>
      </x:c>
      <x:c r="H310" s="9" t="s">
        <x:v>878</x:v>
      </x:c>
      <x:c r="I310" s="9" t="s">
        <x:v>879</x:v>
      </x:c>
      <x:c r="J310" s="9" t="s">
        <x:v>880</x:v>
      </x:c>
      <x:c r="K310" s="9" t="s">
        <x:v>1012</x:v>
      </x:c>
      <x:c r="L310" s="9" t="s">
        <x:v>1022</x:v>
      </x:c>
      <x:c r="M310" s="9"/>
      <x:c r="N310" s="9" t="n">
        <x:v>13</x:v>
      </x:c>
      <x:c r="O310" s="9" t="s">
        <x:v>882</x:v>
      </x:c>
      <x:c r="P310" s="9" t="s">
        <x:v>115</x:v>
      </x:c>
      <x:c r="Q310" s="9" t="s">
        <x:v>45</x:v>
      </x:c>
      <x:c r="R310" s="9"/>
      <x:c r="S310" s="8" t="s">
        <x:v>1014</x:v>
      </x:c>
      <x:c r="T310" s="8" t="s">
        <x:v>27</x:v>
      </x:c>
      <x:c r="U310" s="8" t="s">
        <x:v>883</x:v>
      </x:c>
      <x:c r="V310" s="8" t="s">
        <x:v>884</x:v>
      </x:c>
    </x:row>
    <x:row r="311" ht="39" hidden="0" customHeight="1">
      <x:c r="A311" s="9" t="s">
        <x:v>1023</x:v>
      </x:c>
      <x:c r="B311" s="9" t="s">
        <x:v>875</x:v>
      </x:c>
      <x:c r="C311" s="9" t="s">
        <x:v>1010</x:v>
      </x:c>
      <x:c r="D311" s="9" t="s">
        <x:v>1024</x:v>
      </x:c>
      <x:c r="E311" s="9" t="n">
        <x:v>-3.061</x:v>
      </x:c>
      <x:c r="F311" s="9" t="s">
        <x:v>108</x:v>
      </x:c>
      <x:c r="G311" s="9" t="s">
        <x:v>109</x:v>
      </x:c>
      <x:c r="H311" s="9" t="s">
        <x:v>878</x:v>
      </x:c>
      <x:c r="I311" s="9" t="s">
        <x:v>879</x:v>
      </x:c>
      <x:c r="J311" s="9" t="s">
        <x:v>880</x:v>
      </x:c>
      <x:c r="K311" s="9" t="s">
        <x:v>1012</x:v>
      </x:c>
      <x:c r="L311" s="9" t="s">
        <x:v>1025</x:v>
      </x:c>
      <x:c r="M311" s="9"/>
      <x:c r="N311" s="9" t="n">
        <x:v>13</x:v>
      </x:c>
      <x:c r="O311" s="9" t="s">
        <x:v>882</x:v>
      </x:c>
      <x:c r="P311" s="9" t="s">
        <x:v>115</x:v>
      </x:c>
      <x:c r="Q311" s="9" t="s">
        <x:v>45</x:v>
      </x:c>
      <x:c r="R311" s="9"/>
      <x:c r="S311" s="8" t="s">
        <x:v>1014</x:v>
      </x:c>
      <x:c r="T311" s="8" t="s">
        <x:v>27</x:v>
      </x:c>
      <x:c r="U311" s="8" t="s">
        <x:v>883</x:v>
      </x:c>
      <x:c r="V311" s="8" t="s">
        <x:v>884</x:v>
      </x:c>
    </x:row>
    <x:row r="312" ht="39" hidden="0" customHeight="1">
      <x:c r="A312" s="9" t="s">
        <x:v>1026</x:v>
      </x:c>
      <x:c r="B312" s="9" t="s">
        <x:v>875</x:v>
      </x:c>
      <x:c r="C312" s="9" t="s">
        <x:v>1010</x:v>
      </x:c>
      <x:c r="D312" s="9" t="s">
        <x:v>1027</x:v>
      </x:c>
      <x:c r="E312" s="9" t="n">
        <x:v>-3.362</x:v>
      </x:c>
      <x:c r="F312" s="9" t="s">
        <x:v>108</x:v>
      </x:c>
      <x:c r="G312" s="9" t="s">
        <x:v>109</x:v>
      </x:c>
      <x:c r="H312" s="9" t="s">
        <x:v>878</x:v>
      </x:c>
      <x:c r="I312" s="9" t="s">
        <x:v>879</x:v>
      </x:c>
      <x:c r="J312" s="9" t="s">
        <x:v>880</x:v>
      </x:c>
      <x:c r="K312" s="9" t="s">
        <x:v>1012</x:v>
      </x:c>
      <x:c r="L312" s="9" t="s">
        <x:v>1028</x:v>
      </x:c>
      <x:c r="M312" s="9"/>
      <x:c r="N312" s="9" t="n">
        <x:v>13</x:v>
      </x:c>
      <x:c r="O312" s="9" t="s">
        <x:v>882</x:v>
      </x:c>
      <x:c r="P312" s="9" t="s">
        <x:v>115</x:v>
      </x:c>
      <x:c r="Q312" s="9" t="s">
        <x:v>45</x:v>
      </x:c>
      <x:c r="R312" s="9"/>
      <x:c r="S312" s="8" t="s">
        <x:v>1014</x:v>
      </x:c>
      <x:c r="T312" s="8" t="s">
        <x:v>27</x:v>
      </x:c>
      <x:c r="U312" s="8" t="s">
        <x:v>883</x:v>
      </x:c>
      <x:c r="V312" s="8" t="s">
        <x:v>884</x:v>
      </x:c>
    </x:row>
    <x:row r="313" ht="39" hidden="0" customHeight="1">
      <x:c r="A313" s="9" t="s">
        <x:v>1029</x:v>
      </x:c>
      <x:c r="B313" s="9" t="s">
        <x:v>875</x:v>
      </x:c>
      <x:c r="C313" s="9" t="s">
        <x:v>1019</x:v>
      </x:c>
      <x:c r="D313" s="9" t="s">
        <x:v>1024</x:v>
      </x:c>
      <x:c r="E313" s="9" t="n">
        <x:v>-3.984</x:v>
      </x:c>
      <x:c r="F313" s="9" t="s">
        <x:v>108</x:v>
      </x:c>
      <x:c r="G313" s="9" t="s">
        <x:v>109</x:v>
      </x:c>
      <x:c r="H313" s="9" t="s">
        <x:v>878</x:v>
      </x:c>
      <x:c r="I313" s="9" t="s">
        <x:v>879</x:v>
      </x:c>
      <x:c r="J313" s="9" t="s">
        <x:v>880</x:v>
      </x:c>
      <x:c r="K313" s="9" t="s">
        <x:v>1012</x:v>
      </x:c>
      <x:c r="L313" s="9" t="s">
        <x:v>1030</x:v>
      </x:c>
      <x:c r="M313" s="9"/>
      <x:c r="N313" s="9" t="n">
        <x:v>13</x:v>
      </x:c>
      <x:c r="O313" s="9" t="s">
        <x:v>882</x:v>
      </x:c>
      <x:c r="P313" s="9" t="s">
        <x:v>115</x:v>
      </x:c>
      <x:c r="Q313" s="9" t="s">
        <x:v>45</x:v>
      </x:c>
      <x:c r="R313" s="9"/>
      <x:c r="S313" s="8" t="s">
        <x:v>1014</x:v>
      </x:c>
      <x:c r="T313" s="8" t="s">
        <x:v>27</x:v>
      </x:c>
      <x:c r="U313" s="8" t="s">
        <x:v>883</x:v>
      </x:c>
      <x:c r="V313" s="8" t="s">
        <x:v>884</x:v>
      </x:c>
    </x:row>
    <x:row r="314" ht="39" hidden="0" customHeight="1">
      <x:c r="A314" s="9" t="s">
        <x:v>1031</x:v>
      </x:c>
      <x:c r="B314" s="9" t="s">
        <x:v>875</x:v>
      </x:c>
      <x:c r="C314" s="9" t="s">
        <x:v>1019</x:v>
      </x:c>
      <x:c r="D314" s="9" t="s">
        <x:v>1027</x:v>
      </x:c>
      <x:c r="E314" s="9" t="n">
        <x:v>-4.286</x:v>
      </x:c>
      <x:c r="F314" s="9" t="s">
        <x:v>108</x:v>
      </x:c>
      <x:c r="G314" s="9" t="s">
        <x:v>109</x:v>
      </x:c>
      <x:c r="H314" s="9" t="s">
        <x:v>878</x:v>
      </x:c>
      <x:c r="I314" s="9" t="s">
        <x:v>879</x:v>
      </x:c>
      <x:c r="J314" s="9" t="s">
        <x:v>880</x:v>
      </x:c>
      <x:c r="K314" s="9" t="s">
        <x:v>1012</x:v>
      </x:c>
      <x:c r="L314" s="9" t="s">
        <x:v>1032</x:v>
      </x:c>
      <x:c r="M314" s="9"/>
      <x:c r="N314" s="9" t="n">
        <x:v>13</x:v>
      </x:c>
      <x:c r="O314" s="9" t="s">
        <x:v>882</x:v>
      </x:c>
      <x:c r="P314" s="9" t="s">
        <x:v>115</x:v>
      </x:c>
      <x:c r="Q314" s="9" t="s">
        <x:v>45</x:v>
      </x:c>
      <x:c r="R314" s="9"/>
      <x:c r="S314" s="8" t="s">
        <x:v>1014</x:v>
      </x:c>
      <x:c r="T314" s="8" t="s">
        <x:v>27</x:v>
      </x:c>
      <x:c r="U314" s="8" t="s">
        <x:v>883</x:v>
      </x:c>
      <x:c r="V314" s="8" t="s">
        <x:v>884</x:v>
      </x:c>
    </x:row>
    <x:row r="315" ht="39" hidden="0" customHeight="1">
      <x:c r="A315" s="9" t="s">
        <x:v>1033</x:v>
      </x:c>
      <x:c r="B315" s="9" t="s">
        <x:v>875</x:v>
      </x:c>
      <x:c r="C315" s="9" t="s">
        <x:v>1010</x:v>
      </x:c>
      <x:c r="D315" s="9" t="s">
        <x:v>1034</x:v>
      </x:c>
      <x:c r="E315" s="9" t="n">
        <x:v>-2.067</x:v>
      </x:c>
      <x:c r="F315" s="9" t="s">
        <x:v>108</x:v>
      </x:c>
      <x:c r="G315" s="9" t="s">
        <x:v>109</x:v>
      </x:c>
      <x:c r="H315" s="9" t="s">
        <x:v>878</x:v>
      </x:c>
      <x:c r="I315" s="9" t="s">
        <x:v>879</x:v>
      </x:c>
      <x:c r="J315" s="9" t="s">
        <x:v>880</x:v>
      </x:c>
      <x:c r="K315" s="9" t="s">
        <x:v>1012</x:v>
      </x:c>
      <x:c r="L315" s="9" t="s">
        <x:v>1035</x:v>
      </x:c>
      <x:c r="M315" s="9"/>
      <x:c r="N315" s="9" t="n">
        <x:v>13</x:v>
      </x:c>
      <x:c r="O315" s="9" t="s">
        <x:v>882</x:v>
      </x:c>
      <x:c r="P315" s="9" t="s">
        <x:v>115</x:v>
      </x:c>
      <x:c r="Q315" s="9" t="s">
        <x:v>45</x:v>
      </x:c>
      <x:c r="R315" s="9"/>
      <x:c r="S315" s="8" t="s">
        <x:v>1014</x:v>
      </x:c>
      <x:c r="T315" s="8" t="s">
        <x:v>27</x:v>
      </x:c>
      <x:c r="U315" s="8" t="s">
        <x:v>883</x:v>
      </x:c>
      <x:c r="V315" s="8" t="s">
        <x:v>884</x:v>
      </x:c>
    </x:row>
    <x:row r="316" ht="39" hidden="0" customHeight="1">
      <x:c r="A316" s="9" t="s">
        <x:v>1036</x:v>
      </x:c>
      <x:c r="B316" s="9" t="s">
        <x:v>875</x:v>
      </x:c>
      <x:c r="C316" s="9" t="s">
        <x:v>1010</x:v>
      </x:c>
      <x:c r="D316" s="9" t="s">
        <x:v>1037</x:v>
      </x:c>
      <x:c r="E316" s="9" t="n">
        <x:v>-2.842</x:v>
      </x:c>
      <x:c r="F316" s="9" t="s">
        <x:v>108</x:v>
      </x:c>
      <x:c r="G316" s="9" t="s">
        <x:v>109</x:v>
      </x:c>
      <x:c r="H316" s="9" t="s">
        <x:v>878</x:v>
      </x:c>
      <x:c r="I316" s="9" t="s">
        <x:v>879</x:v>
      </x:c>
      <x:c r="J316" s="9" t="s">
        <x:v>880</x:v>
      </x:c>
      <x:c r="K316" s="9" t="s">
        <x:v>1012</x:v>
      </x:c>
      <x:c r="L316" s="9" t="s">
        <x:v>1038</x:v>
      </x:c>
      <x:c r="M316" s="9"/>
      <x:c r="N316" s="9" t="n">
        <x:v>13</x:v>
      </x:c>
      <x:c r="O316" s="9" t="s">
        <x:v>882</x:v>
      </x:c>
      <x:c r="P316" s="9" t="s">
        <x:v>115</x:v>
      </x:c>
      <x:c r="Q316" s="9" t="s">
        <x:v>45</x:v>
      </x:c>
      <x:c r="R316" s="9"/>
      <x:c r="S316" s="8" t="s">
        <x:v>1014</x:v>
      </x:c>
      <x:c r="T316" s="8" t="s">
        <x:v>27</x:v>
      </x:c>
      <x:c r="U316" s="8" t="s">
        <x:v>883</x:v>
      </x:c>
      <x:c r="V316" s="8" t="s">
        <x:v>884</x:v>
      </x:c>
    </x:row>
    <x:row r="317" ht="39" hidden="0" customHeight="1">
      <x:c r="A317" s="9" t="s">
        <x:v>1039</x:v>
      </x:c>
      <x:c r="B317" s="9" t="s">
        <x:v>875</x:v>
      </x:c>
      <x:c r="C317" s="9" t="s">
        <x:v>1019</x:v>
      </x:c>
      <x:c r="D317" s="9" t="s">
        <x:v>1034</x:v>
      </x:c>
      <x:c r="E317" s="9" t="n">
        <x:v>-2.921</x:v>
      </x:c>
      <x:c r="F317" s="9" t="s">
        <x:v>108</x:v>
      </x:c>
      <x:c r="G317" s="9" t="s">
        <x:v>109</x:v>
      </x:c>
      <x:c r="H317" s="9" t="s">
        <x:v>878</x:v>
      </x:c>
      <x:c r="I317" s="9" t="s">
        <x:v>879</x:v>
      </x:c>
      <x:c r="J317" s="9" t="s">
        <x:v>880</x:v>
      </x:c>
      <x:c r="K317" s="9" t="s">
        <x:v>1012</x:v>
      </x:c>
      <x:c r="L317" s="9" t="s">
        <x:v>1040</x:v>
      </x:c>
      <x:c r="M317" s="9"/>
      <x:c r="N317" s="9" t="n">
        <x:v>13</x:v>
      </x:c>
      <x:c r="O317" s="9" t="s">
        <x:v>882</x:v>
      </x:c>
      <x:c r="P317" s="9" t="s">
        <x:v>115</x:v>
      </x:c>
      <x:c r="Q317" s="9" t="s">
        <x:v>45</x:v>
      </x:c>
      <x:c r="R317" s="9"/>
      <x:c r="S317" s="8" t="s">
        <x:v>1014</x:v>
      </x:c>
      <x:c r="T317" s="8" t="s">
        <x:v>27</x:v>
      </x:c>
      <x:c r="U317" s="8" t="s">
        <x:v>883</x:v>
      </x:c>
      <x:c r="V317" s="8" t="s">
        <x:v>884</x:v>
      </x:c>
    </x:row>
    <x:row r="318" ht="39" hidden="0" customHeight="1">
      <x:c r="A318" s="9" t="s">
        <x:v>1041</x:v>
      </x:c>
      <x:c r="B318" s="9" t="s">
        <x:v>875</x:v>
      </x:c>
      <x:c r="C318" s="9" t="s">
        <x:v>1019</x:v>
      </x:c>
      <x:c r="D318" s="9" t="s">
        <x:v>1037</x:v>
      </x:c>
      <x:c r="E318" s="9" t="n">
        <x:v>-3.254</x:v>
      </x:c>
      <x:c r="F318" s="9" t="s">
        <x:v>108</x:v>
      </x:c>
      <x:c r="G318" s="9" t="s">
        <x:v>109</x:v>
      </x:c>
      <x:c r="H318" s="9" t="s">
        <x:v>878</x:v>
      </x:c>
      <x:c r="I318" s="9" t="s">
        <x:v>879</x:v>
      </x:c>
      <x:c r="J318" s="9" t="s">
        <x:v>880</x:v>
      </x:c>
      <x:c r="K318" s="9" t="s">
        <x:v>1012</x:v>
      </x:c>
      <x:c r="L318" s="9" t="s">
        <x:v>1042</x:v>
      </x:c>
      <x:c r="M318" s="9"/>
      <x:c r="N318" s="9" t="n">
        <x:v>13</x:v>
      </x:c>
      <x:c r="O318" s="9" t="s">
        <x:v>882</x:v>
      </x:c>
      <x:c r="P318" s="9" t="s">
        <x:v>115</x:v>
      </x:c>
      <x:c r="Q318" s="9" t="s">
        <x:v>45</x:v>
      </x:c>
      <x:c r="R318" s="9"/>
      <x:c r="S318" s="8" t="s">
        <x:v>1014</x:v>
      </x:c>
      <x:c r="T318" s="8" t="s">
        <x:v>27</x:v>
      </x:c>
      <x:c r="U318" s="8" t="s">
        <x:v>883</x:v>
      </x:c>
      <x:c r="V318" s="8" t="s">
        <x:v>884</x:v>
      </x:c>
    </x:row>
    <x:row r="319" ht="39" hidden="0" customHeight="1">
      <x:c r="A319" s="9" t="s">
        <x:v>1043</x:v>
      </x:c>
      <x:c r="B319" s="9" t="s">
        <x:v>875</x:v>
      </x:c>
      <x:c r="C319" s="9" t="s">
        <x:v>1010</x:v>
      </x:c>
      <x:c r="D319" s="9" t="s">
        <x:v>1044</x:v>
      </x:c>
      <x:c r="E319" s="9" t="n">
        <x:v>-2.303</x:v>
      </x:c>
      <x:c r="F319" s="9" t="s">
        <x:v>108</x:v>
      </x:c>
      <x:c r="G319" s="9" t="s">
        <x:v>109</x:v>
      </x:c>
      <x:c r="H319" s="9" t="s">
        <x:v>878</x:v>
      </x:c>
      <x:c r="I319" s="9" t="s">
        <x:v>879</x:v>
      </x:c>
      <x:c r="J319" s="9" t="s">
        <x:v>880</x:v>
      </x:c>
      <x:c r="K319" s="9" t="s">
        <x:v>1012</x:v>
      </x:c>
      <x:c r="L319" s="9" t="s">
        <x:v>1045</x:v>
      </x:c>
      <x:c r="M319" s="9"/>
      <x:c r="N319" s="9" t="n">
        <x:v>13</x:v>
      </x:c>
      <x:c r="O319" s="9" t="s">
        <x:v>882</x:v>
      </x:c>
      <x:c r="P319" s="9" t="s">
        <x:v>115</x:v>
      </x:c>
      <x:c r="Q319" s="9" t="s">
        <x:v>45</x:v>
      </x:c>
      <x:c r="R319" s="9"/>
      <x:c r="S319" s="8" t="s">
        <x:v>1014</x:v>
      </x:c>
      <x:c r="T319" s="8" t="s">
        <x:v>27</x:v>
      </x:c>
      <x:c r="U319" s="8" t="s">
        <x:v>883</x:v>
      </x:c>
      <x:c r="V319" s="8" t="s">
        <x:v>884</x:v>
      </x:c>
    </x:row>
    <x:row r="320" ht="39" hidden="0" customHeight="1">
      <x:c r="A320" s="9" t="s">
        <x:v>1046</x:v>
      </x:c>
      <x:c r="B320" s="9" t="s">
        <x:v>875</x:v>
      </x:c>
      <x:c r="C320" s="9" t="s">
        <x:v>1010</x:v>
      </x:c>
      <x:c r="D320" s="9" t="s">
        <x:v>1047</x:v>
      </x:c>
      <x:c r="E320" s="9" t="n">
        <x:v>-2.808</x:v>
      </x:c>
      <x:c r="F320" s="9" t="s">
        <x:v>108</x:v>
      </x:c>
      <x:c r="G320" s="9" t="s">
        <x:v>109</x:v>
      </x:c>
      <x:c r="H320" s="9" t="s">
        <x:v>878</x:v>
      </x:c>
      <x:c r="I320" s="9" t="s">
        <x:v>879</x:v>
      </x:c>
      <x:c r="J320" s="9" t="s">
        <x:v>880</x:v>
      </x:c>
      <x:c r="K320" s="9" t="s">
        <x:v>1012</x:v>
      </x:c>
      <x:c r="L320" s="9" t="s">
        <x:v>1048</x:v>
      </x:c>
      <x:c r="M320" s="9"/>
      <x:c r="N320" s="9" t="n">
        <x:v>13</x:v>
      </x:c>
      <x:c r="O320" s="9" t="s">
        <x:v>882</x:v>
      </x:c>
      <x:c r="P320" s="9" t="s">
        <x:v>115</x:v>
      </x:c>
      <x:c r="Q320" s="9" t="s">
        <x:v>45</x:v>
      </x:c>
      <x:c r="R320" s="9"/>
      <x:c r="S320" s="8" t="s">
        <x:v>1014</x:v>
      </x:c>
      <x:c r="T320" s="8" t="s">
        <x:v>27</x:v>
      </x:c>
      <x:c r="U320" s="8" t="s">
        <x:v>883</x:v>
      </x:c>
      <x:c r="V320" s="8" t="s">
        <x:v>884</x:v>
      </x:c>
    </x:row>
    <x:row r="321" ht="39" hidden="0" customHeight="1">
      <x:c r="A321" s="9" t="s">
        <x:v>1049</x:v>
      </x:c>
      <x:c r="B321" s="9" t="s">
        <x:v>875</x:v>
      </x:c>
      <x:c r="C321" s="9" t="s">
        <x:v>1019</x:v>
      </x:c>
      <x:c r="D321" s="9" t="s">
        <x:v>1044</x:v>
      </x:c>
      <x:c r="E321" s="9" t="n">
        <x:v>-3.013</x:v>
      </x:c>
      <x:c r="F321" s="9" t="s">
        <x:v>108</x:v>
      </x:c>
      <x:c r="G321" s="9" t="s">
        <x:v>109</x:v>
      </x:c>
      <x:c r="H321" s="9" t="s">
        <x:v>878</x:v>
      </x:c>
      <x:c r="I321" s="9" t="s">
        <x:v>879</x:v>
      </x:c>
      <x:c r="J321" s="9" t="s">
        <x:v>880</x:v>
      </x:c>
      <x:c r="K321" s="9" t="s">
        <x:v>1012</x:v>
      </x:c>
      <x:c r="L321" s="9" t="s">
        <x:v>1050</x:v>
      </x:c>
      <x:c r="M321" s="9"/>
      <x:c r="N321" s="9" t="n">
        <x:v>13</x:v>
      </x:c>
      <x:c r="O321" s="9" t="s">
        <x:v>882</x:v>
      </x:c>
      <x:c r="P321" s="9" t="s">
        <x:v>115</x:v>
      </x:c>
      <x:c r="Q321" s="9" t="s">
        <x:v>45</x:v>
      </x:c>
      <x:c r="R321" s="9"/>
      <x:c r="S321" s="8" t="s">
        <x:v>1014</x:v>
      </x:c>
      <x:c r="T321" s="8" t="s">
        <x:v>27</x:v>
      </x:c>
      <x:c r="U321" s="8" t="s">
        <x:v>883</x:v>
      </x:c>
      <x:c r="V321" s="8" t="s">
        <x:v>884</x:v>
      </x:c>
    </x:row>
    <x:row r="322" ht="39" hidden="0" customHeight="1">
      <x:c r="A322" s="9" t="s">
        <x:v>1051</x:v>
      </x:c>
      <x:c r="B322" s="9" t="s">
        <x:v>875</x:v>
      </x:c>
      <x:c r="C322" s="9" t="s">
        <x:v>1019</x:v>
      </x:c>
      <x:c r="D322" s="9" t="s">
        <x:v>1047</x:v>
      </x:c>
      <x:c r="E322" s="9" t="n">
        <x:v>-3.349</x:v>
      </x:c>
      <x:c r="F322" s="9" t="s">
        <x:v>108</x:v>
      </x:c>
      <x:c r="G322" s="9" t="s">
        <x:v>109</x:v>
      </x:c>
      <x:c r="H322" s="9" t="s">
        <x:v>878</x:v>
      </x:c>
      <x:c r="I322" s="9" t="s">
        <x:v>879</x:v>
      </x:c>
      <x:c r="J322" s="9" t="s">
        <x:v>880</x:v>
      </x:c>
      <x:c r="K322" s="9" t="s">
        <x:v>1012</x:v>
      </x:c>
      <x:c r="L322" s="9" t="s">
        <x:v>1052</x:v>
      </x:c>
      <x:c r="M322" s="9"/>
      <x:c r="N322" s="9" t="n">
        <x:v>13</x:v>
      </x:c>
      <x:c r="O322" s="9" t="s">
        <x:v>882</x:v>
      </x:c>
      <x:c r="P322" s="9" t="s">
        <x:v>115</x:v>
      </x:c>
      <x:c r="Q322" s="9" t="s">
        <x:v>45</x:v>
      </x:c>
      <x:c r="R322" s="9"/>
      <x:c r="S322" s="8" t="s">
        <x:v>1014</x:v>
      </x:c>
      <x:c r="T322" s="8" t="s">
        <x:v>27</x:v>
      </x:c>
      <x:c r="U322" s="8" t="s">
        <x:v>883</x:v>
      </x:c>
      <x:c r="V322" s="8" t="s">
        <x:v>884</x:v>
      </x:c>
    </x:row>
    <x:row r="323" ht="39" hidden="0" customHeight="1">
      <x:c r="A323" s="9" t="s">
        <x:v>1053</x:v>
      </x:c>
      <x:c r="B323" s="9" t="s">
        <x:v>875</x:v>
      </x:c>
      <x:c r="C323" s="9" t="s">
        <x:v>876</x:v>
      </x:c>
      <x:c r="D323" s="9" t="s">
        <x:v>1054</x:v>
      </x:c>
      <x:c r="E323" s="9" t="s">
        <x:v>1055</x:v>
      </x:c>
      <x:c r="F323" s="9" t="s">
        <x:v>108</x:v>
      </x:c>
      <x:c r="G323" s="9" t="s">
        <x:v>109</x:v>
      </x:c>
      <x:c r="H323" s="9" t="s">
        <x:v>878</x:v>
      </x:c>
      <x:c r="I323" s="9" t="s">
        <x:v>879</x:v>
      </x:c>
      <x:c r="J323" s="9" t="s">
        <x:v>880</x:v>
      </x:c>
      <x:c r="K323" s="9" t="s">
        <x:v>1056</x:v>
      </x:c>
      <x:c r="L323" s="9" t="s">
        <x:v>1056</x:v>
      </x:c>
      <x:c r="M323" s="9"/>
      <x:c r="N323" s="9" t="n">
        <x:v>12</x:v>
      </x:c>
      <x:c r="O323" s="9" t="s">
        <x:v>882</x:v>
      </x:c>
      <x:c r="P323" s="9" t="s">
        <x:v>115</x:v>
      </x:c>
      <x:c r="Q323" s="9" t="s">
        <x:v>45</x:v>
      </x:c>
      <x:c r="R323" s="9"/>
      <x:c r="S323" s="8"/>
      <x:c r="T323" s="8" t="s">
        <x:v>27</x:v>
      </x:c>
      <x:c r="U323" s="8" t="s">
        <x:v>883</x:v>
      </x:c>
      <x:c r="V323" s="8" t="s">
        <x:v>884</x:v>
      </x:c>
    </x:row>
    <x:row r="324" ht="39" hidden="0" customHeight="1">
      <x:c r="A324" s="9" t="s">
        <x:v>1057</x:v>
      </x:c>
      <x:c r="B324" s="9" t="s">
        <x:v>875</x:v>
      </x:c>
      <x:c r="C324" s="9" t="s">
        <x:v>876</x:v>
      </x:c>
      <x:c r="D324" s="9" t="s">
        <x:v>184</x:v>
      </x:c>
      <x:c r="E324" s="9" t="s">
        <x:v>1058</x:v>
      </x:c>
      <x:c r="F324" s="9" t="s">
        <x:v>108</x:v>
      </x:c>
      <x:c r="G324" s="9" t="s">
        <x:v>187</x:v>
      </x:c>
      <x:c r="H324" s="9" t="s">
        <x:v>878</x:v>
      </x:c>
      <x:c r="I324" s="9" t="s">
        <x:v>879</x:v>
      </x:c>
      <x:c r="J324" s="9" t="s">
        <x:v>880</x:v>
      </x:c>
      <x:c r="K324" s="9" t="s">
        <x:v>1059</x:v>
      </x:c>
      <x:c r="L324" s="9" t="s">
        <x:v>1059</x:v>
      </x:c>
      <x:c r="M324" s="9"/>
      <x:c r="N324" s="9" t="n">
        <x:v>14</x:v>
      </x:c>
      <x:c r="O324" s="9" t="s">
        <x:v>882</x:v>
      </x:c>
      <x:c r="P324" s="9" t="s">
        <x:v>115</x:v>
      </x:c>
      <x:c r="Q324" s="9" t="s">
        <x:v>45</x:v>
      </x:c>
      <x:c r="R324" s="9"/>
      <x:c r="S324" s="8"/>
      <x:c r="T324" s="8" t="s">
        <x:v>27</x:v>
      </x:c>
      <x:c r="U324" s="8" t="s">
        <x:v>883</x:v>
      </x:c>
      <x:c r="V324" s="8" t="s">
        <x:v>884</x:v>
      </x:c>
    </x:row>
    <x:row r="325" ht="39" hidden="0" customHeight="1">
      <x:c r="A325" s="9" t="s">
        <x:v>1060</x:v>
      </x:c>
      <x:c r="B325" s="9" t="s">
        <x:v>875</x:v>
      </x:c>
      <x:c r="C325" s="9" t="s">
        <x:v>876</x:v>
      </x:c>
      <x:c r="D325" s="9" t="s">
        <x:v>190</x:v>
      </x:c>
      <x:c r="E325" s="9" t="s">
        <x:v>1061</x:v>
      </x:c>
      <x:c r="F325" s="9" t="s">
        <x:v>108</x:v>
      </x:c>
      <x:c r="G325" s="9" t="s">
        <x:v>109</x:v>
      </x:c>
      <x:c r="H325" s="9" t="s">
        <x:v>878</x:v>
      </x:c>
      <x:c r="I325" s="9" t="s">
        <x:v>879</x:v>
      </x:c>
      <x:c r="J325" s="9" t="s">
        <x:v>880</x:v>
      </x:c>
      <x:c r="K325" s="9" t="s">
        <x:v>1062</x:v>
      </x:c>
      <x:c r="L325" s="9" t="s">
        <x:v>1062</x:v>
      </x:c>
      <x:c r="M325" s="9"/>
      <x:c r="N325" s="9" t="n">
        <x:v>15</x:v>
      </x:c>
      <x:c r="O325" s="9" t="s">
        <x:v>882</x:v>
      </x:c>
      <x:c r="P325" s="9" t="s">
        <x:v>115</x:v>
      </x:c>
      <x:c r="Q325" s="9" t="s">
        <x:v>45</x:v>
      </x:c>
      <x:c r="R325" s="9"/>
      <x:c r="S325" s="8"/>
      <x:c r="T325" s="8" t="s">
        <x:v>27</x:v>
      </x:c>
      <x:c r="U325" s="8" t="s">
        <x:v>883</x:v>
      </x:c>
      <x:c r="V325" s="8" t="s">
        <x:v>884</x:v>
      </x:c>
    </x:row>
    <x:row r="326" ht="39" hidden="0" customHeight="1">
      <x:c r="A326" s="9" t="s">
        <x:v>1063</x:v>
      </x:c>
      <x:c r="B326" s="9" t="s">
        <x:v>875</x:v>
      </x:c>
      <x:c r="C326" s="9" t="s">
        <x:v>876</x:v>
      </x:c>
      <x:c r="D326" s="9" t="s">
        <x:v>190</x:v>
      </x:c>
      <x:c r="E326" s="9" t="s">
        <x:v>1064</x:v>
      </x:c>
      <x:c r="F326" s="9" t="s">
        <x:v>108</x:v>
      </x:c>
      <x:c r="G326" s="9" t="s">
        <x:v>109</x:v>
      </x:c>
      <x:c r="H326" s="9" t="s">
        <x:v>878</x:v>
      </x:c>
      <x:c r="I326" s="9" t="s">
        <x:v>879</x:v>
      </x:c>
      <x:c r="J326" s="9" t="s">
        <x:v>880</x:v>
      </x:c>
      <x:c r="K326" s="9" t="s">
        <x:v>1062</x:v>
      </x:c>
      <x:c r="L326" s="9" t="s">
        <x:v>1062</x:v>
      </x:c>
      <x:c r="M326" s="9"/>
      <x:c r="N326" s="9" t="n">
        <x:v>15</x:v>
      </x:c>
      <x:c r="O326" s="9" t="s">
        <x:v>882</x:v>
      </x:c>
      <x:c r="P326" s="9" t="s">
        <x:v>115</x:v>
      </x:c>
      <x:c r="Q326" s="9" t="s">
        <x:v>45</x:v>
      </x:c>
      <x:c r="R326" s="9"/>
      <x:c r="S326" s="8"/>
      <x:c r="T326" s="8" t="s">
        <x:v>27</x:v>
      </x:c>
      <x:c r="U326" s="8" t="s">
        <x:v>883</x:v>
      </x:c>
      <x:c r="V326" s="8" t="s">
        <x:v>884</x:v>
      </x:c>
    </x:row>
    <x:row r="327" ht="39" hidden="0" customHeight="1">
      <x:c r="A327" s="9" t="s">
        <x:v>1065</x:v>
      </x:c>
      <x:c r="B327" s="9" t="s">
        <x:v>875</x:v>
      </x:c>
      <x:c r="C327" s="9" t="s">
        <x:v>876</x:v>
      </x:c>
      <x:c r="D327" s="9" t="s">
        <x:v>1066</x:v>
      </x:c>
      <x:c r="E327" s="9" t="s">
        <x:v>1067</x:v>
      </x:c>
      <x:c r="F327" s="9" t="s">
        <x:v>108</x:v>
      </x:c>
      <x:c r="G327" s="9" t="s">
        <x:v>109</x:v>
      </x:c>
      <x:c r="H327" s="9" t="s">
        <x:v>878</x:v>
      </x:c>
      <x:c r="I327" s="9" t="s">
        <x:v>879</x:v>
      </x:c>
      <x:c r="J327" s="9" t="s">
        <x:v>880</x:v>
      </x:c>
      <x:c r="K327" s="9" t="s">
        <x:v>1068</x:v>
      </x:c>
      <x:c r="L327" s="9" t="s">
        <x:v>1068</x:v>
      </x:c>
      <x:c r="M327" s="9"/>
      <x:c r="N327" s="9" t="n">
        <x:v>16</x:v>
      </x:c>
      <x:c r="O327" s="9" t="s">
        <x:v>882</x:v>
      </x:c>
      <x:c r="P327" s="9" t="s">
        <x:v>115</x:v>
      </x:c>
      <x:c r="Q327" s="9" t="s">
        <x:v>45</x:v>
      </x:c>
      <x:c r="R327" s="9"/>
      <x:c r="S327" s="8"/>
      <x:c r="T327" s="8" t="s">
        <x:v>27</x:v>
      </x:c>
      <x:c r="U327" s="8" t="s">
        <x:v>883</x:v>
      </x:c>
      <x:c r="V327" s="8" t="s">
        <x:v>884</x:v>
      </x:c>
    </x:row>
    <x:row r="328" ht="39" hidden="0" customHeight="1">
      <x:c r="A328" s="9" t="s">
        <x:v>1069</x:v>
      </x:c>
      <x:c r="B328" s="9" t="s">
        <x:v>875</x:v>
      </x:c>
      <x:c r="C328" s="9" t="s">
        <x:v>876</x:v>
      </x:c>
      <x:c r="D328" s="9" t="s">
        <x:v>445</x:v>
      </x:c>
      <x:c r="E328" s="9" t="s">
        <x:v>30</x:v>
      </x:c>
      <x:c r="F328" s="9" t="s">
        <x:v>1070</x:v>
      </x:c>
      <x:c r="G328" s="9" t="s">
        <x:v>181</x:v>
      </x:c>
      <x:c r="H328" s="9" t="s">
        <x:v>878</x:v>
      </x:c>
      <x:c r="I328" s="9" t="s">
        <x:v>879</x:v>
      </x:c>
      <x:c r="J328" s="9" t="s">
        <x:v>880</x:v>
      </x:c>
      <x:c r="K328" s="9" t="s">
        <x:v>1071</x:v>
      </x:c>
      <x:c r="L328" s="9" t="s">
        <x:v>1071</x:v>
      </x:c>
      <x:c r="M328" s="9"/>
      <x:c r="N328" s="9"/>
      <x:c r="O328" s="9" t="s">
        <x:v>882</x:v>
      </x:c>
      <x:c r="P328" s="9" t="s">
        <x:v>115</x:v>
      </x:c>
      <x:c r="Q328" s="9" t="s">
        <x:v>45</x:v>
      </x:c>
      <x:c r="R328" s="9" t="s">
        <x:v>1072</x:v>
      </x:c>
      <x:c r="S328" s="8"/>
      <x:c r="T328" s="8" t="s">
        <x:v>30</x:v>
      </x:c>
      <x:c r="U328" s="8" t="s">
        <x:v>883</x:v>
      </x:c>
      <x:c r="V328" s="8" t="s">
        <x:v>884</x:v>
      </x:c>
    </x:row>
    <x:row r="329" ht="39" hidden="0" customHeight="1">
      <x:c r="A329" s="9" t="s">
        <x:v>1073</x:v>
      </x:c>
      <x:c r="B329" s="9" t="s">
        <x:v>875</x:v>
      </x:c>
      <x:c r="C329" s="9" t="s">
        <x:v>876</x:v>
      </x:c>
      <x:c r="D329" s="9" t="s">
        <x:v>230</x:v>
      </x:c>
      <x:c r="E329" s="9" t="s">
        <x:v>30</x:v>
      </x:c>
      <x:c r="F329" s="9" t="s">
        <x:v>1070</x:v>
      </x:c>
      <x:c r="G329" s="9" t="s">
        <x:v>181</x:v>
      </x:c>
      <x:c r="H329" s="9" t="s">
        <x:v>878</x:v>
      </x:c>
      <x:c r="I329" s="9" t="s">
        <x:v>879</x:v>
      </x:c>
      <x:c r="J329" s="9" t="s">
        <x:v>880</x:v>
      </x:c>
      <x:c r="K329" s="9" t="s">
        <x:v>1071</x:v>
      </x:c>
      <x:c r="L329" s="9" t="s">
        <x:v>1071</x:v>
      </x:c>
      <x:c r="M329" s="9"/>
      <x:c r="N329" s="9"/>
      <x:c r="O329" s="9" t="s">
        <x:v>882</x:v>
      </x:c>
      <x:c r="P329" s="9" t="s">
        <x:v>115</x:v>
      </x:c>
      <x:c r="Q329" s="9" t="s">
        <x:v>45</x:v>
      </x:c>
      <x:c r="R329" s="9" t="s">
        <x:v>1072</x:v>
      </x:c>
      <x:c r="S329" s="8"/>
      <x:c r="T329" s="8" t="s">
        <x:v>30</x:v>
      </x:c>
      <x:c r="U329" s="8" t="s">
        <x:v>883</x:v>
      </x:c>
      <x:c r="V329" s="8" t="s">
        <x:v>884</x:v>
      </x:c>
    </x:row>
    <x:row r="330" ht="39" hidden="0" customHeight="1">
      <x:c r="A330" s="9" t="s">
        <x:v>1074</x:v>
      </x:c>
      <x:c r="B330" s="9" t="s">
        <x:v>875</x:v>
      </x:c>
      <x:c r="C330" s="9" t="s">
        <x:v>876</x:v>
      </x:c>
      <x:c r="D330" s="9" t="s">
        <x:v>164</x:v>
      </x:c>
      <x:c r="E330" s="9" t="s">
        <x:v>30</x:v>
      </x:c>
      <x:c r="F330" s="9" t="s">
        <x:v>1070</x:v>
      </x:c>
      <x:c r="G330" s="9" t="s">
        <x:v>181</x:v>
      </x:c>
      <x:c r="H330" s="9" t="s">
        <x:v>878</x:v>
      </x:c>
      <x:c r="I330" s="9" t="s">
        <x:v>879</x:v>
      </x:c>
      <x:c r="J330" s="9" t="s">
        <x:v>880</x:v>
      </x:c>
      <x:c r="K330" s="9" t="s">
        <x:v>1071</x:v>
      </x:c>
      <x:c r="L330" s="9" t="s">
        <x:v>1071</x:v>
      </x:c>
      <x:c r="M330" s="9"/>
      <x:c r="N330" s="9"/>
      <x:c r="O330" s="9" t="s">
        <x:v>882</x:v>
      </x:c>
      <x:c r="P330" s="9" t="s">
        <x:v>115</x:v>
      </x:c>
      <x:c r="Q330" s="9" t="s">
        <x:v>45</x:v>
      </x:c>
      <x:c r="R330" s="9" t="s">
        <x:v>1072</x:v>
      </x:c>
      <x:c r="S330" s="8"/>
      <x:c r="T330" s="8" t="s">
        <x:v>30</x:v>
      </x:c>
      <x:c r="U330" s="8" t="s">
        <x:v>883</x:v>
      </x:c>
      <x:c r="V330" s="8" t="s">
        <x:v>884</x:v>
      </x:c>
    </x:row>
    <x:row r="331" ht="39" hidden="0" customHeight="1">
      <x:c r="A331" s="9" t="s">
        <x:v>1075</x:v>
      </x:c>
      <x:c r="B331" s="9" t="s">
        <x:v>875</x:v>
      </x:c>
      <x:c r="C331" s="9" t="s">
        <x:v>876</x:v>
      </x:c>
      <x:c r="D331" s="9" t="s">
        <x:v>318</x:v>
      </x:c>
      <x:c r="E331" s="9" t="s">
        <x:v>30</x:v>
      </x:c>
      <x:c r="F331" s="9" t="s">
        <x:v>1070</x:v>
      </x:c>
      <x:c r="G331" s="9" t="s">
        <x:v>181</x:v>
      </x:c>
      <x:c r="H331" s="9" t="s">
        <x:v>878</x:v>
      </x:c>
      <x:c r="I331" s="9" t="s">
        <x:v>879</x:v>
      </x:c>
      <x:c r="J331" s="9" t="s">
        <x:v>880</x:v>
      </x:c>
      <x:c r="K331" s="9" t="s">
        <x:v>1071</x:v>
      </x:c>
      <x:c r="L331" s="9" t="s">
        <x:v>1071</x:v>
      </x:c>
      <x:c r="M331" s="9"/>
      <x:c r="N331" s="9"/>
      <x:c r="O331" s="9" t="s">
        <x:v>882</x:v>
      </x:c>
      <x:c r="P331" s="9" t="s">
        <x:v>115</x:v>
      </x:c>
      <x:c r="Q331" s="9" t="s">
        <x:v>45</x:v>
      </x:c>
      <x:c r="R331" s="9" t="s">
        <x:v>1072</x:v>
      </x:c>
      <x:c r="S331" s="8"/>
      <x:c r="T331" s="8" t="s">
        <x:v>30</x:v>
      </x:c>
      <x:c r="U331" s="8" t="s">
        <x:v>883</x:v>
      </x:c>
      <x:c r="V331" s="8" t="s">
        <x:v>884</x:v>
      </x:c>
    </x:row>
    <x:row r="332" ht="39" hidden="0" customHeight="1">
      <x:c r="A332" s="9" t="s">
        <x:v>1076</x:v>
      </x:c>
      <x:c r="B332" s="9" t="s">
        <x:v>875</x:v>
      </x:c>
      <x:c r="C332" s="9" t="s">
        <x:v>876</x:v>
      </x:c>
      <x:c r="D332" s="9" t="s">
        <x:v>167</x:v>
      </x:c>
      <x:c r="E332" s="9" t="s">
        <x:v>30</x:v>
      </x:c>
      <x:c r="F332" s="9" t="s">
        <x:v>1070</x:v>
      </x:c>
      <x:c r="G332" s="9" t="s">
        <x:v>181</x:v>
      </x:c>
      <x:c r="H332" s="9" t="s">
        <x:v>878</x:v>
      </x:c>
      <x:c r="I332" s="9" t="s">
        <x:v>879</x:v>
      </x:c>
      <x:c r="J332" s="9" t="s">
        <x:v>880</x:v>
      </x:c>
      <x:c r="K332" s="9" t="s">
        <x:v>1071</x:v>
      </x:c>
      <x:c r="L332" s="9" t="s">
        <x:v>1071</x:v>
      </x:c>
      <x:c r="M332" s="9"/>
      <x:c r="N332" s="9"/>
      <x:c r="O332" s="9" t="s">
        <x:v>882</x:v>
      </x:c>
      <x:c r="P332" s="9" t="s">
        <x:v>115</x:v>
      </x:c>
      <x:c r="Q332" s="9" t="s">
        <x:v>45</x:v>
      </x:c>
      <x:c r="R332" s="9" t="s">
        <x:v>1072</x:v>
      </x:c>
      <x:c r="S332" s="8"/>
      <x:c r="T332" s="8" t="s">
        <x:v>30</x:v>
      </x:c>
      <x:c r="U332" s="8" t="s">
        <x:v>883</x:v>
      </x:c>
      <x:c r="V332" s="8" t="s">
        <x:v>884</x:v>
      </x:c>
    </x:row>
    <x:row r="333" ht="39" hidden="0" customHeight="1">
      <x:c r="A333" s="9" t="s">
        <x:v>1077</x:v>
      </x:c>
      <x:c r="B333" s="9" t="s">
        <x:v>875</x:v>
      </x:c>
      <x:c r="C333" s="9" t="s">
        <x:v>876</x:v>
      </x:c>
      <x:c r="D333" s="9" t="s">
        <x:v>402</x:v>
      </x:c>
      <x:c r="E333" s="9" t="s">
        <x:v>30</x:v>
      </x:c>
      <x:c r="F333" s="9" t="s">
        <x:v>1070</x:v>
      </x:c>
      <x:c r="G333" s="9" t="s">
        <x:v>181</x:v>
      </x:c>
      <x:c r="H333" s="9" t="s">
        <x:v>878</x:v>
      </x:c>
      <x:c r="I333" s="9" t="s">
        <x:v>879</x:v>
      </x:c>
      <x:c r="J333" s="9" t="s">
        <x:v>880</x:v>
      </x:c>
      <x:c r="K333" s="9" t="s">
        <x:v>1071</x:v>
      </x:c>
      <x:c r="L333" s="9" t="s">
        <x:v>1071</x:v>
      </x:c>
      <x:c r="M333" s="9"/>
      <x:c r="N333" s="9"/>
      <x:c r="O333" s="9" t="s">
        <x:v>882</x:v>
      </x:c>
      <x:c r="P333" s="9" t="s">
        <x:v>115</x:v>
      </x:c>
      <x:c r="Q333" s="9" t="s">
        <x:v>45</x:v>
      </x:c>
      <x:c r="R333" s="9" t="s">
        <x:v>1072</x:v>
      </x:c>
      <x:c r="S333" s="8"/>
      <x:c r="T333" s="8" t="s">
        <x:v>30</x:v>
      </x:c>
      <x:c r="U333" s="8" t="s">
        <x:v>883</x:v>
      </x:c>
      <x:c r="V333" s="8" t="s">
        <x:v>884</x:v>
      </x:c>
    </x:row>
    <x:row r="334" ht="39" hidden="0" customHeight="1">
      <x:c r="A334" s="9" t="s">
        <x:v>1078</x:v>
      </x:c>
      <x:c r="B334" s="9" t="s">
        <x:v>875</x:v>
      </x:c>
      <x:c r="C334" s="9" t="s">
        <x:v>876</x:v>
      </x:c>
      <x:c r="D334" s="9" t="s">
        <x:v>157</x:v>
      </x:c>
      <x:c r="E334" s="9" t="s">
        <x:v>30</x:v>
      </x:c>
      <x:c r="F334" s="9" t="s">
        <x:v>1070</x:v>
      </x:c>
      <x:c r="G334" s="9" t="s">
        <x:v>181</x:v>
      </x:c>
      <x:c r="H334" s="9" t="s">
        <x:v>878</x:v>
      </x:c>
      <x:c r="I334" s="9" t="s">
        <x:v>879</x:v>
      </x:c>
      <x:c r="J334" s="9" t="s">
        <x:v>880</x:v>
      </x:c>
      <x:c r="K334" s="9" t="s">
        <x:v>1071</x:v>
      </x:c>
      <x:c r="L334" s="9" t="s">
        <x:v>1071</x:v>
      </x:c>
      <x:c r="M334" s="9"/>
      <x:c r="N334" s="9"/>
      <x:c r="O334" s="9" t="s">
        <x:v>882</x:v>
      </x:c>
      <x:c r="P334" s="9" t="s">
        <x:v>115</x:v>
      </x:c>
      <x:c r="Q334" s="9" t="s">
        <x:v>45</x:v>
      </x:c>
      <x:c r="R334" s="9" t="s">
        <x:v>1072</x:v>
      </x:c>
      <x:c r="S334" s="8"/>
      <x:c r="T334" s="8" t="s">
        <x:v>30</x:v>
      </x:c>
      <x:c r="U334" s="8" t="s">
        <x:v>883</x:v>
      </x:c>
      <x:c r="V334" s="8" t="s">
        <x:v>884</x:v>
      </x:c>
    </x:row>
    <x:row r="335" ht="39" hidden="0" customHeight="1">
      <x:c r="A335" s="9" t="s">
        <x:v>1079</x:v>
      </x:c>
      <x:c r="B335" s="9" t="s">
        <x:v>875</x:v>
      </x:c>
      <x:c r="C335" s="9" t="s">
        <x:v>876</x:v>
      </x:c>
      <x:c r="D335" s="9" t="s">
        <x:v>1080</x:v>
      </x:c>
      <x:c r="E335" s="9" t="s">
        <x:v>30</x:v>
      </x:c>
      <x:c r="F335" s="9" t="s">
        <x:v>1070</x:v>
      </x:c>
      <x:c r="G335" s="9" t="s">
        <x:v>181</x:v>
      </x:c>
      <x:c r="H335" s="9" t="s">
        <x:v>878</x:v>
      </x:c>
      <x:c r="I335" s="9" t="s">
        <x:v>879</x:v>
      </x:c>
      <x:c r="J335" s="9" t="s">
        <x:v>880</x:v>
      </x:c>
      <x:c r="K335" s="9" t="s">
        <x:v>1081</x:v>
      </x:c>
      <x:c r="L335" s="9" t="s">
        <x:v>1081</x:v>
      </x:c>
      <x:c r="M335" s="9"/>
      <x:c r="N335" s="9"/>
      <x:c r="O335" s="9" t="s">
        <x:v>882</x:v>
      </x:c>
      <x:c r="P335" s="9" t="s">
        <x:v>115</x:v>
      </x:c>
      <x:c r="Q335" s="9" t="s">
        <x:v>45</x:v>
      </x:c>
      <x:c r="R335" s="9" t="s">
        <x:v>1082</x:v>
      </x:c>
      <x:c r="S335" s="8"/>
      <x:c r="T335" s="8" t="s">
        <x:v>30</x:v>
      </x:c>
      <x:c r="U335" s="8" t="s">
        <x:v>883</x:v>
      </x:c>
      <x:c r="V335" s="8" t="s">
        <x:v>884</x:v>
      </x:c>
    </x:row>
    <x:row r="336" ht="39" hidden="0" customHeight="1">
      <x:c r="A336" s="9" t="s">
        <x:v>1083</x:v>
      </x:c>
      <x:c r="B336" s="9" t="s">
        <x:v>875</x:v>
      </x:c>
      <x:c r="C336" s="9" t="s">
        <x:v>876</x:v>
      </x:c>
      <x:c r="D336" s="9" t="s">
        <x:v>127</x:v>
      </x:c>
      <x:c r="E336" s="9" t="s">
        <x:v>30</x:v>
      </x:c>
      <x:c r="F336" s="9" t="s">
        <x:v>1070</x:v>
      </x:c>
      <x:c r="G336" s="9" t="s">
        <x:v>181</x:v>
      </x:c>
      <x:c r="H336" s="9" t="s">
        <x:v>878</x:v>
      </x:c>
      <x:c r="I336" s="9" t="s">
        <x:v>879</x:v>
      </x:c>
      <x:c r="J336" s="9" t="s">
        <x:v>880</x:v>
      </x:c>
      <x:c r="K336" s="9" t="s">
        <x:v>1081</x:v>
      </x:c>
      <x:c r="L336" s="9" t="s">
        <x:v>1081</x:v>
      </x:c>
      <x:c r="M336" s="9"/>
      <x:c r="N336" s="9"/>
      <x:c r="O336" s="9" t="s">
        <x:v>882</x:v>
      </x:c>
      <x:c r="P336" s="9" t="s">
        <x:v>115</x:v>
      </x:c>
      <x:c r="Q336" s="9" t="s">
        <x:v>45</x:v>
      </x:c>
      <x:c r="R336" s="9" t="s">
        <x:v>1082</x:v>
      </x:c>
      <x:c r="S336" s="8"/>
      <x:c r="T336" s="8" t="s">
        <x:v>30</x:v>
      </x:c>
      <x:c r="U336" s="8" t="s">
        <x:v>883</x:v>
      </x:c>
      <x:c r="V336" s="8" t="s">
        <x:v>884</x:v>
      </x:c>
    </x:row>
    <x:row r="337" ht="39" hidden="0" customHeight="1">
      <x:c r="A337" s="9" t="s">
        <x:v>1084</x:v>
      </x:c>
      <x:c r="B337" s="9" t="s">
        <x:v>875</x:v>
      </x:c>
      <x:c r="C337" s="9" t="s">
        <x:v>876</x:v>
      </x:c>
      <x:c r="D337" s="9" t="s">
        <x:v>1085</x:v>
      </x:c>
      <x:c r="E337" s="9" t="s">
        <x:v>30</x:v>
      </x:c>
      <x:c r="F337" s="9" t="s">
        <x:v>1070</x:v>
      </x:c>
      <x:c r="G337" s="9" t="s">
        <x:v>181</x:v>
      </x:c>
      <x:c r="H337" s="9" t="s">
        <x:v>878</x:v>
      </x:c>
      <x:c r="I337" s="9" t="s">
        <x:v>879</x:v>
      </x:c>
      <x:c r="J337" s="9" t="s">
        <x:v>880</x:v>
      </x:c>
      <x:c r="K337" s="9" t="s">
        <x:v>1081</x:v>
      </x:c>
      <x:c r="L337" s="9" t="s">
        <x:v>1081</x:v>
      </x:c>
      <x:c r="M337" s="9"/>
      <x:c r="N337" s="9"/>
      <x:c r="O337" s="9" t="s">
        <x:v>882</x:v>
      </x:c>
      <x:c r="P337" s="9" t="s">
        <x:v>115</x:v>
      </x:c>
      <x:c r="Q337" s="9" t="s">
        <x:v>45</x:v>
      </x:c>
      <x:c r="R337" s="9" t="s">
        <x:v>1082</x:v>
      </x:c>
      <x:c r="S337" s="8"/>
      <x:c r="T337" s="8" t="s">
        <x:v>30</x:v>
      </x:c>
      <x:c r="U337" s="8" t="s">
        <x:v>883</x:v>
      </x:c>
      <x:c r="V337" s="8" t="s">
        <x:v>884</x:v>
      </x:c>
    </x:row>
    <x:row r="338" ht="39" hidden="0" customHeight="1">
      <x:c r="A338" s="9" t="s">
        <x:v>1086</x:v>
      </x:c>
      <x:c r="B338" s="9" t="s">
        <x:v>875</x:v>
      </x:c>
      <x:c r="C338" s="9" t="s">
        <x:v>876</x:v>
      </x:c>
      <x:c r="D338" s="9" t="s">
        <x:v>408</x:v>
      </x:c>
      <x:c r="E338" s="9" t="s">
        <x:v>32</x:v>
      </x:c>
      <x:c r="F338" s="9" t="s">
        <x:v>1070</x:v>
      </x:c>
      <x:c r="G338" s="9" t="s">
        <x:v>181</x:v>
      </x:c>
      <x:c r="H338" s="9" t="s">
        <x:v>878</x:v>
      </x:c>
      <x:c r="I338" s="9" t="s">
        <x:v>879</x:v>
      </x:c>
      <x:c r="J338" s="9" t="s">
        <x:v>880</x:v>
      </x:c>
      <x:c r="K338" s="9" t="s">
        <x:v>1081</x:v>
      </x:c>
      <x:c r="L338" s="9" t="s">
        <x:v>1081</x:v>
      </x:c>
      <x:c r="M338" s="9"/>
      <x:c r="N338" s="9"/>
      <x:c r="O338" s="9" t="s">
        <x:v>882</x:v>
      </x:c>
      <x:c r="P338" s="9" t="s">
        <x:v>115</x:v>
      </x:c>
      <x:c r="Q338" s="9" t="s">
        <x:v>45</x:v>
      </x:c>
      <x:c r="R338" s="9" t="s">
        <x:v>1087</x:v>
      </x:c>
      <x:c r="S338" s="8"/>
      <x:c r="T338" s="8" t="s">
        <x:v>32</x:v>
      </x:c>
      <x:c r="U338" s="8" t="s">
        <x:v>883</x:v>
      </x:c>
      <x:c r="V338" s="8" t="s">
        <x:v>884</x:v>
      </x:c>
    </x:row>
    <x:row r="339" ht="39" hidden="0" customHeight="1">
      <x:c r="A339" s="9" t="s">
        <x:v>1088</x:v>
      </x:c>
      <x:c r="B339" s="9" t="s">
        <x:v>875</x:v>
      </x:c>
      <x:c r="C339" s="9" t="s">
        <x:v>876</x:v>
      </x:c>
      <x:c r="D339" s="9" t="s">
        <x:v>176</x:v>
      </x:c>
      <x:c r="E339" s="9" t="s">
        <x:v>32</x:v>
      </x:c>
      <x:c r="F339" s="9" t="s">
        <x:v>1070</x:v>
      </x:c>
      <x:c r="G339" s="9" t="s">
        <x:v>181</x:v>
      </x:c>
      <x:c r="H339" s="9" t="s">
        <x:v>878</x:v>
      </x:c>
      <x:c r="I339" s="9" t="s">
        <x:v>879</x:v>
      </x:c>
      <x:c r="J339" s="9" t="s">
        <x:v>880</x:v>
      </x:c>
      <x:c r="K339" s="9" t="s">
        <x:v>1081</x:v>
      </x:c>
      <x:c r="L339" s="9" t="s">
        <x:v>1081</x:v>
      </x:c>
      <x:c r="M339" s="9"/>
      <x:c r="N339" s="9"/>
      <x:c r="O339" s="9" t="s">
        <x:v>882</x:v>
      </x:c>
      <x:c r="P339" s="9" t="s">
        <x:v>115</x:v>
      </x:c>
      <x:c r="Q339" s="9" t="s">
        <x:v>45</x:v>
      </x:c>
      <x:c r="R339" s="9" t="s">
        <x:v>1087</x:v>
      </x:c>
      <x:c r="S339" s="8"/>
      <x:c r="T339" s="8" t="s">
        <x:v>32</x:v>
      </x:c>
      <x:c r="U339" s="8" t="s">
        <x:v>883</x:v>
      </x:c>
      <x:c r="V339" s="8" t="s">
        <x:v>884</x:v>
      </x:c>
    </x:row>
    <x:row r="340" ht="39" hidden="0" customHeight="1">
      <x:c r="A340" s="9" t="s">
        <x:v>1089</x:v>
      </x:c>
      <x:c r="B340" s="9" t="s">
        <x:v>875</x:v>
      </x:c>
      <x:c r="C340" s="9" t="s">
        <x:v>876</x:v>
      </x:c>
      <x:c r="D340" s="9" t="s">
        <x:v>1090</x:v>
      </x:c>
      <x:c r="E340" s="9" t="s">
        <x:v>30</x:v>
      </x:c>
      <x:c r="F340" s="9" t="s">
        <x:v>1070</x:v>
      </x:c>
      <x:c r="G340" s="9" t="s">
        <x:v>181</x:v>
      </x:c>
      <x:c r="H340" s="9" t="s">
        <x:v>878</x:v>
      </x:c>
      <x:c r="I340" s="9" t="s">
        <x:v>879</x:v>
      </x:c>
      <x:c r="J340" s="9" t="s">
        <x:v>880</x:v>
      </x:c>
      <x:c r="K340" s="9" t="s">
        <x:v>1081</x:v>
      </x:c>
      <x:c r="L340" s="9" t="s">
        <x:v>1081</x:v>
      </x:c>
      <x:c r="M340" s="9"/>
      <x:c r="N340" s="9"/>
      <x:c r="O340" s="9" t="s">
        <x:v>882</x:v>
      </x:c>
      <x:c r="P340" s="9" t="s">
        <x:v>115</x:v>
      </x:c>
      <x:c r="Q340" s="9" t="s">
        <x:v>45</x:v>
      </x:c>
      <x:c r="R340" s="9" t="s">
        <x:v>1082</x:v>
      </x:c>
      <x:c r="S340" s="8"/>
      <x:c r="T340" s="8" t="s">
        <x:v>30</x:v>
      </x:c>
      <x:c r="U340" s="8" t="s">
        <x:v>883</x:v>
      </x:c>
      <x:c r="V340" s="8" t="s">
        <x:v>884</x:v>
      </x:c>
    </x:row>
    <x:row r="341" ht="39" hidden="0" customHeight="1">
      <x:c r="A341" s="9" t="s">
        <x:v>1091</x:v>
      </x:c>
      <x:c r="B341" s="9" t="s">
        <x:v>875</x:v>
      </x:c>
      <x:c r="C341" s="9" t="s">
        <x:v>876</x:v>
      </x:c>
      <x:c r="D341" s="9" t="s">
        <x:v>1092</x:v>
      </x:c>
      <x:c r="E341" s="9" t="s">
        <x:v>30</x:v>
      </x:c>
      <x:c r="F341" s="9" t="s">
        <x:v>1070</x:v>
      </x:c>
      <x:c r="G341" s="9" t="s">
        <x:v>181</x:v>
      </x:c>
      <x:c r="H341" s="9" t="s">
        <x:v>878</x:v>
      </x:c>
      <x:c r="I341" s="9" t="s">
        <x:v>879</x:v>
      </x:c>
      <x:c r="J341" s="9" t="s">
        <x:v>880</x:v>
      </x:c>
      <x:c r="K341" s="9" t="s">
        <x:v>1081</x:v>
      </x:c>
      <x:c r="L341" s="9" t="s">
        <x:v>1081</x:v>
      </x:c>
      <x:c r="M341" s="9"/>
      <x:c r="N341" s="9"/>
      <x:c r="O341" s="9" t="s">
        <x:v>882</x:v>
      </x:c>
      <x:c r="P341" s="9" t="s">
        <x:v>115</x:v>
      </x:c>
      <x:c r="Q341" s="9" t="s">
        <x:v>45</x:v>
      </x:c>
      <x:c r="R341" s="9" t="s">
        <x:v>1082</x:v>
      </x:c>
      <x:c r="S341" s="8"/>
      <x:c r="T341" s="8" t="s">
        <x:v>30</x:v>
      </x:c>
      <x:c r="U341" s="8" t="s">
        <x:v>883</x:v>
      </x:c>
      <x:c r="V341" s="8" t="s">
        <x:v>884</x:v>
      </x:c>
    </x:row>
    <x:row r="342" ht="39" hidden="0" customHeight="1">
      <x:c r="A342" s="9" t="s">
        <x:v>1093</x:v>
      </x:c>
      <x:c r="B342" s="9" t="s">
        <x:v>875</x:v>
      </x:c>
      <x:c r="C342" s="9" t="s">
        <x:v>876</x:v>
      </x:c>
      <x:c r="D342" s="9" t="s">
        <x:v>505</x:v>
      </x:c>
      <x:c r="E342" s="9" t="s">
        <x:v>30</x:v>
      </x:c>
      <x:c r="F342" s="9" t="s">
        <x:v>1070</x:v>
      </x:c>
      <x:c r="G342" s="9" t="s">
        <x:v>181</x:v>
      </x:c>
      <x:c r="H342" s="9" t="s">
        <x:v>878</x:v>
      </x:c>
      <x:c r="I342" s="9" t="s">
        <x:v>879</x:v>
      </x:c>
      <x:c r="J342" s="9" t="s">
        <x:v>880</x:v>
      </x:c>
      <x:c r="K342" s="9" t="s">
        <x:v>1081</x:v>
      </x:c>
      <x:c r="L342" s="9" t="s">
        <x:v>1081</x:v>
      </x:c>
      <x:c r="M342" s="9"/>
      <x:c r="N342" s="9"/>
      <x:c r="O342" s="9" t="s">
        <x:v>882</x:v>
      </x:c>
      <x:c r="P342" s="9" t="s">
        <x:v>115</x:v>
      </x:c>
      <x:c r="Q342" s="9" t="s">
        <x:v>45</x:v>
      </x:c>
      <x:c r="R342" s="9" t="s">
        <x:v>1082</x:v>
      </x:c>
      <x:c r="S342" s="8"/>
      <x:c r="T342" s="8" t="s">
        <x:v>30</x:v>
      </x:c>
      <x:c r="U342" s="8" t="s">
        <x:v>883</x:v>
      </x:c>
      <x:c r="V342" s="8" t="s">
        <x:v>884</x:v>
      </x:c>
    </x:row>
    <x:row r="343" ht="39" hidden="0" customHeight="1">
      <x:c r="A343" s="9" t="s">
        <x:v>1094</x:v>
      </x:c>
      <x:c r="B343" s="9" t="s">
        <x:v>875</x:v>
      </x:c>
      <x:c r="C343" s="9" t="s">
        <x:v>876</x:v>
      </x:c>
      <x:c r="D343" s="9" t="s">
        <x:v>871</x:v>
      </x:c>
      <x:c r="E343" s="9" t="s">
        <x:v>30</x:v>
      </x:c>
      <x:c r="F343" s="9" t="s">
        <x:v>1070</x:v>
      </x:c>
      <x:c r="G343" s="9" t="s">
        <x:v>181</x:v>
      </x:c>
      <x:c r="H343" s="9" t="s">
        <x:v>878</x:v>
      </x:c>
      <x:c r="I343" s="9" t="s">
        <x:v>879</x:v>
      </x:c>
      <x:c r="J343" s="9" t="s">
        <x:v>880</x:v>
      </x:c>
      <x:c r="K343" s="9" t="s">
        <x:v>1081</x:v>
      </x:c>
      <x:c r="L343" s="9" t="s">
        <x:v>1081</x:v>
      </x:c>
      <x:c r="M343" s="9"/>
      <x:c r="N343" s="9"/>
      <x:c r="O343" s="9" t="s">
        <x:v>882</x:v>
      </x:c>
      <x:c r="P343" s="9" t="s">
        <x:v>115</x:v>
      </x:c>
      <x:c r="Q343" s="9" t="s">
        <x:v>45</x:v>
      </x:c>
      <x:c r="R343" s="9" t="s">
        <x:v>1082</x:v>
      </x:c>
      <x:c r="S343" s="8"/>
      <x:c r="T343" s="8" t="s">
        <x:v>30</x:v>
      </x:c>
      <x:c r="U343" s="8" t="s">
        <x:v>883</x:v>
      </x:c>
      <x:c r="V343" s="8" t="s">
        <x:v>884</x:v>
      </x:c>
    </x:row>
    <x:row r="344" ht="39" hidden="0" customHeight="1">
      <x:c r="A344" s="9" t="s">
        <x:v>1095</x:v>
      </x:c>
      <x:c r="B344" s="9" t="s">
        <x:v>875</x:v>
      </x:c>
      <x:c r="C344" s="9" t="s">
        <x:v>876</x:v>
      </x:c>
      <x:c r="D344" s="9" t="s">
        <x:v>1096</x:v>
      </x:c>
      <x:c r="E344" s="9" t="s">
        <x:v>30</x:v>
      </x:c>
      <x:c r="F344" s="9" t="s">
        <x:v>1070</x:v>
      </x:c>
      <x:c r="G344" s="9" t="s">
        <x:v>181</x:v>
      </x:c>
      <x:c r="H344" s="9" t="s">
        <x:v>878</x:v>
      </x:c>
      <x:c r="I344" s="9" t="s">
        <x:v>879</x:v>
      </x:c>
      <x:c r="J344" s="9" t="s">
        <x:v>880</x:v>
      </x:c>
      <x:c r="K344" s="9" t="s">
        <x:v>1081</x:v>
      </x:c>
      <x:c r="L344" s="9" t="s">
        <x:v>1081</x:v>
      </x:c>
      <x:c r="M344" s="9"/>
      <x:c r="N344" s="9"/>
      <x:c r="O344" s="9" t="s">
        <x:v>882</x:v>
      </x:c>
      <x:c r="P344" s="9" t="s">
        <x:v>115</x:v>
      </x:c>
      <x:c r="Q344" s="9" t="s">
        <x:v>45</x:v>
      </x:c>
      <x:c r="R344" s="9" t="s">
        <x:v>1082</x:v>
      </x:c>
      <x:c r="S344" s="8"/>
      <x:c r="T344" s="8" t="s">
        <x:v>30</x:v>
      </x:c>
      <x:c r="U344" s="8" t="s">
        <x:v>883</x:v>
      </x:c>
      <x:c r="V344" s="8" t="s">
        <x:v>884</x:v>
      </x:c>
    </x:row>
    <x:row r="345" ht="39" hidden="0" customHeight="1">
      <x:c r="A345" s="9" t="s">
        <x:v>1097</x:v>
      </x:c>
      <x:c r="B345" s="9" t="s">
        <x:v>875</x:v>
      </x:c>
      <x:c r="C345" s="9" t="s">
        <x:v>876</x:v>
      </x:c>
      <x:c r="D345" s="9" t="s">
        <x:v>764</x:v>
      </x:c>
      <x:c r="E345" s="9" t="s">
        <x:v>30</x:v>
      </x:c>
      <x:c r="F345" s="9" t="s">
        <x:v>1070</x:v>
      </x:c>
      <x:c r="G345" s="9" t="s">
        <x:v>181</x:v>
      </x:c>
      <x:c r="H345" s="9" t="s">
        <x:v>878</x:v>
      </x:c>
      <x:c r="I345" s="9" t="s">
        <x:v>879</x:v>
      </x:c>
      <x:c r="J345" s="9" t="s">
        <x:v>880</x:v>
      </x:c>
      <x:c r="K345" s="9" t="s">
        <x:v>1081</x:v>
      </x:c>
      <x:c r="L345" s="9" t="s">
        <x:v>1081</x:v>
      </x:c>
      <x:c r="M345" s="9"/>
      <x:c r="N345" s="9"/>
      <x:c r="O345" s="9" t="s">
        <x:v>882</x:v>
      </x:c>
      <x:c r="P345" s="9" t="s">
        <x:v>115</x:v>
      </x:c>
      <x:c r="Q345" s="9" t="s">
        <x:v>45</x:v>
      </x:c>
      <x:c r="R345" s="9" t="s">
        <x:v>1082</x:v>
      </x:c>
      <x:c r="S345" s="8"/>
      <x:c r="T345" s="8" t="s">
        <x:v>30</x:v>
      </x:c>
      <x:c r="U345" s="8" t="s">
        <x:v>883</x:v>
      </x:c>
      <x:c r="V345" s="8" t="s">
        <x:v>884</x:v>
      </x:c>
    </x:row>
    <x:row r="346" ht="39" hidden="0" customHeight="1">
      <x:c r="A346" s="9" t="s">
        <x:v>1098</x:v>
      </x:c>
      <x:c r="B346" s="9" t="s">
        <x:v>875</x:v>
      </x:c>
      <x:c r="C346" s="9" t="s">
        <x:v>876</x:v>
      </x:c>
      <x:c r="D346" s="9" t="s">
        <x:v>768</x:v>
      </x:c>
      <x:c r="E346" s="9" t="s">
        <x:v>30</x:v>
      </x:c>
      <x:c r="F346" s="9" t="s">
        <x:v>1070</x:v>
      </x:c>
      <x:c r="G346" s="9" t="s">
        <x:v>181</x:v>
      </x:c>
      <x:c r="H346" s="9" t="s">
        <x:v>878</x:v>
      </x:c>
      <x:c r="I346" s="9" t="s">
        <x:v>879</x:v>
      </x:c>
      <x:c r="J346" s="9" t="s">
        <x:v>880</x:v>
      </x:c>
      <x:c r="K346" s="9" t="s">
        <x:v>1081</x:v>
      </x:c>
      <x:c r="L346" s="9" t="s">
        <x:v>1081</x:v>
      </x:c>
      <x:c r="M346" s="9"/>
      <x:c r="N346" s="9"/>
      <x:c r="O346" s="9" t="s">
        <x:v>882</x:v>
      </x:c>
      <x:c r="P346" s="9" t="s">
        <x:v>115</x:v>
      </x:c>
      <x:c r="Q346" s="9" t="s">
        <x:v>45</x:v>
      </x:c>
      <x:c r="R346" s="9" t="s">
        <x:v>1082</x:v>
      </x:c>
      <x:c r="S346" s="8"/>
      <x:c r="T346" s="8" t="s">
        <x:v>30</x:v>
      </x:c>
      <x:c r="U346" s="8" t="s">
        <x:v>883</x:v>
      </x:c>
      <x:c r="V346" s="8" t="s">
        <x:v>884</x:v>
      </x:c>
    </x:row>
    <x:row r="347" ht="39" hidden="0" customHeight="1">
      <x:c r="A347" s="9" t="s">
        <x:v>1099</x:v>
      </x:c>
      <x:c r="B347" s="9" t="s">
        <x:v>875</x:v>
      </x:c>
      <x:c r="C347" s="9" t="s">
        <x:v>876</x:v>
      </x:c>
      <x:c r="D347" s="9" t="s">
        <x:v>549</x:v>
      </x:c>
      <x:c r="E347" s="9" t="s">
        <x:v>30</x:v>
      </x:c>
      <x:c r="F347" s="9" t="s">
        <x:v>1070</x:v>
      </x:c>
      <x:c r="G347" s="9" t="s">
        <x:v>181</x:v>
      </x:c>
      <x:c r="H347" s="9" t="s">
        <x:v>878</x:v>
      </x:c>
      <x:c r="I347" s="9" t="s">
        <x:v>879</x:v>
      </x:c>
      <x:c r="J347" s="9" t="s">
        <x:v>880</x:v>
      </x:c>
      <x:c r="K347" s="9" t="s">
        <x:v>1081</x:v>
      </x:c>
      <x:c r="L347" s="9" t="s">
        <x:v>1081</x:v>
      </x:c>
      <x:c r="M347" s="9"/>
      <x:c r="N347" s="9"/>
      <x:c r="O347" s="9" t="s">
        <x:v>882</x:v>
      </x:c>
      <x:c r="P347" s="9" t="s">
        <x:v>115</x:v>
      </x:c>
      <x:c r="Q347" s="9" t="s">
        <x:v>45</x:v>
      </x:c>
      <x:c r="R347" s="9" t="s">
        <x:v>1082</x:v>
      </x:c>
      <x:c r="S347" s="8"/>
      <x:c r="T347" s="8" t="s">
        <x:v>30</x:v>
      </x:c>
      <x:c r="U347" s="8" t="s">
        <x:v>883</x:v>
      </x:c>
      <x:c r="V347" s="8" t="s">
        <x:v>884</x:v>
      </x:c>
    </x:row>
    <x:row r="348" ht="39" hidden="0" customHeight="1">
      <x:c r="A348" s="9" t="s">
        <x:v>1100</x:v>
      </x:c>
      <x:c r="B348" s="9" t="s">
        <x:v>875</x:v>
      </x:c>
      <x:c r="C348" s="9" t="s">
        <x:v>876</x:v>
      </x:c>
      <x:c r="D348" s="9" t="s">
        <x:v>1101</x:v>
      </x:c>
      <x:c r="E348" s="9" t="s">
        <x:v>1102</x:v>
      </x:c>
      <x:c r="F348" s="9" t="s">
        <x:v>1103</x:v>
      </x:c>
      <x:c r="G348" s="9" t="s">
        <x:v>181</x:v>
      </x:c>
      <x:c r="H348" s="9" t="s">
        <x:v>878</x:v>
      </x:c>
      <x:c r="I348" s="9" t="s">
        <x:v>879</x:v>
      </x:c>
      <x:c r="J348" s="9" t="s">
        <x:v>880</x:v>
      </x:c>
      <x:c r="K348" s="9" t="s">
        <x:v>1104</x:v>
      </x:c>
      <x:c r="L348" s="9" t="s">
        <x:v>1104</x:v>
      </x:c>
      <x:c r="M348" s="9"/>
      <x:c r="N348" s="9"/>
      <x:c r="O348" s="9" t="s">
        <x:v>882</x:v>
      </x:c>
      <x:c r="P348" s="9" t="s">
        <x:v>115</x:v>
      </x:c>
      <x:c r="Q348" s="9" t="s">
        <x:v>45</x:v>
      </x:c>
      <x:c r="R348" s="9" t="s">
        <x:v>1105</x:v>
      </x:c>
      <x:c r="S348" s="8"/>
      <x:c r="T348" s="8" t="s">
        <x:v>27</x:v>
      </x:c>
      <x:c r="U348" s="8" t="s">
        <x:v>883</x:v>
      </x:c>
      <x:c r="V348" s="8" t="s">
        <x:v>884</x:v>
      </x:c>
    </x:row>
    <x:row r="349" ht="39" hidden="0" customHeight="1">
      <x:c r="A349" s="9" t="s">
        <x:v>1106</x:v>
      </x:c>
      <x:c r="B349" s="9" t="s">
        <x:v>1107</x:v>
      </x:c>
      <x:c r="C349" s="9" t="s">
        <x:v>1108</x:v>
      </x:c>
      <x:c r="D349" s="9" t="s">
        <x:v>106</x:v>
      </x:c>
      <x:c r="E349" s="9" t="s">
        <x:v>1109</x:v>
      </x:c>
      <x:c r="F349" s="9" t="s">
        <x:v>1110</x:v>
      </x:c>
      <x:c r="G349" s="9" t="s">
        <x:v>109</x:v>
      </x:c>
      <x:c r="H349" s="9" t="s">
        <x:v>1111</x:v>
      </x:c>
      <x:c r="I349" s="9" t="s">
        <x:v>1112</x:v>
      </x:c>
      <x:c r="J349" s="9" t="s">
        <x:v>1113</x:v>
      </x:c>
      <x:c r="K349" s="9" t="s">
        <x:v>1114</x:v>
      </x:c>
      <x:c r="L349" s="9" t="s">
        <x:v>1114</x:v>
      </x:c>
      <x:c r="M349" s="9"/>
      <x:c r="N349" s="9"/>
      <x:c r="O349" s="9" t="s">
        <x:v>1115</x:v>
      </x:c>
      <x:c r="P349" s="9" t="s">
        <x:v>115</x:v>
      </x:c>
      <x:c r="Q349" s="9" t="s">
        <x:v>45</x:v>
      </x:c>
      <x:c r="R349" s="9"/>
      <x:c r="S349" s="8"/>
      <x:c r="T349" s="8" t="s">
        <x:v>27</x:v>
      </x:c>
      <x:c r="U349" s="8" t="s">
        <x:v>883</x:v>
      </x:c>
      <x:c r="V349" s="8" t="s">
        <x:v>884</x:v>
      </x:c>
    </x:row>
    <x:row r="350" ht="39" hidden="0" customHeight="1">
      <x:c r="A350" s="9" t="s">
        <x:v>1116</x:v>
      </x:c>
      <x:c r="B350" s="9" t="s">
        <x:v>1107</x:v>
      </x:c>
      <x:c r="C350" s="9" t="s">
        <x:v>1108</x:v>
      </x:c>
      <x:c r="D350" s="9" t="s">
        <x:v>886</x:v>
      </x:c>
      <x:c r="E350" s="9" t="s">
        <x:v>1117</x:v>
      </x:c>
      <x:c r="F350" s="9" t="s">
        <x:v>1110</x:v>
      </x:c>
      <x:c r="G350" s="9" t="s">
        <x:v>109</x:v>
      </x:c>
      <x:c r="H350" s="9" t="s">
        <x:v>1111</x:v>
      </x:c>
      <x:c r="I350" s="9" t="s">
        <x:v>1112</x:v>
      </x:c>
      <x:c r="J350" s="9" t="s">
        <x:v>1113</x:v>
      </x:c>
      <x:c r="K350" s="9" t="s">
        <x:v>1114</x:v>
      </x:c>
      <x:c r="L350" s="9" t="s">
        <x:v>1114</x:v>
      </x:c>
      <x:c r="M350" s="9"/>
      <x:c r="N350" s="9"/>
      <x:c r="O350" s="9" t="s">
        <x:v>1115</x:v>
      </x:c>
      <x:c r="P350" s="9" t="s">
        <x:v>115</x:v>
      </x:c>
      <x:c r="Q350" s="9" t="s">
        <x:v>45</x:v>
      </x:c>
      <x:c r="R350" s="9"/>
      <x:c r="S350" s="8"/>
      <x:c r="T350" s="8" t="s">
        <x:v>27</x:v>
      </x:c>
      <x:c r="U350" s="8" t="s">
        <x:v>883</x:v>
      </x:c>
      <x:c r="V350" s="8" t="s">
        <x:v>884</x:v>
      </x:c>
    </x:row>
    <x:row r="351" ht="39" hidden="0" customHeight="1">
      <x:c r="A351" s="9" t="s">
        <x:v>1118</x:v>
      </x:c>
      <x:c r="B351" s="9" t="s">
        <x:v>1107</x:v>
      </x:c>
      <x:c r="C351" s="9" t="s">
        <x:v>1108</x:v>
      </x:c>
      <x:c r="D351" s="9" t="s">
        <x:v>1119</x:v>
      </x:c>
      <x:c r="E351" s="9" t="s">
        <x:v>1120</x:v>
      </x:c>
      <x:c r="F351" s="9" t="s">
        <x:v>1110</x:v>
      </x:c>
      <x:c r="G351" s="9" t="s">
        <x:v>109</x:v>
      </x:c>
      <x:c r="H351" s="9" t="s">
        <x:v>1111</x:v>
      </x:c>
      <x:c r="I351" s="9" t="s">
        <x:v>1112</x:v>
      </x:c>
      <x:c r="J351" s="9" t="s">
        <x:v>1113</x:v>
      </x:c>
      <x:c r="K351" s="9" t="s">
        <x:v>1114</x:v>
      </x:c>
      <x:c r="L351" s="9" t="s">
        <x:v>1114</x:v>
      </x:c>
      <x:c r="M351" s="9"/>
      <x:c r="N351" s="9"/>
      <x:c r="O351" s="9" t="s">
        <x:v>1115</x:v>
      </x:c>
      <x:c r="P351" s="9" t="s">
        <x:v>115</x:v>
      </x:c>
      <x:c r="Q351" s="9" t="s">
        <x:v>45</x:v>
      </x:c>
      <x:c r="R351" s="9"/>
      <x:c r="S351" s="8"/>
      <x:c r="T351" s="8" t="s">
        <x:v>27</x:v>
      </x:c>
      <x:c r="U351" s="8" t="s">
        <x:v>883</x:v>
      </x:c>
      <x:c r="V351" s="8" t="s">
        <x:v>884</x:v>
      </x:c>
    </x:row>
    <x:row r="352" ht="39" hidden="0" customHeight="1">
      <x:c r="A352" s="9" t="s">
        <x:v>1121</x:v>
      </x:c>
      <x:c r="B352" s="9" t="s">
        <x:v>1107</x:v>
      </x:c>
      <x:c r="C352" s="9" t="s">
        <x:v>1108</x:v>
      </x:c>
      <x:c r="D352" s="9" t="s">
        <x:v>1122</x:v>
      </x:c>
      <x:c r="E352" s="9" t="s">
        <x:v>1123</x:v>
      </x:c>
      <x:c r="F352" s="9" t="s">
        <x:v>1110</x:v>
      </x:c>
      <x:c r="G352" s="9" t="s">
        <x:v>109</x:v>
      </x:c>
      <x:c r="H352" s="9" t="s">
        <x:v>1111</x:v>
      </x:c>
      <x:c r="I352" s="9" t="s">
        <x:v>1112</x:v>
      </x:c>
      <x:c r="J352" s="9" t="s">
        <x:v>1113</x:v>
      </x:c>
      <x:c r="K352" s="9" t="s">
        <x:v>1114</x:v>
      </x:c>
      <x:c r="L352" s="9" t="s">
        <x:v>1114</x:v>
      </x:c>
      <x:c r="M352" s="9"/>
      <x:c r="N352" s="9"/>
      <x:c r="O352" s="9" t="s">
        <x:v>1115</x:v>
      </x:c>
      <x:c r="P352" s="9" t="s">
        <x:v>115</x:v>
      </x:c>
      <x:c r="Q352" s="9" t="s">
        <x:v>45</x:v>
      </x:c>
      <x:c r="R352" s="9"/>
      <x:c r="S352" s="8"/>
      <x:c r="T352" s="8" t="s">
        <x:v>27</x:v>
      </x:c>
      <x:c r="U352" s="8" t="s">
        <x:v>883</x:v>
      </x:c>
      <x:c r="V352" s="8" t="s">
        <x:v>884</x:v>
      </x:c>
    </x:row>
    <x:row r="353" ht="39" hidden="0" customHeight="1">
      <x:c r="A353" s="9" t="s">
        <x:v>1124</x:v>
      </x:c>
      <x:c r="B353" s="9" t="s">
        <x:v>1107</x:v>
      </x:c>
      <x:c r="C353" s="9" t="s">
        <x:v>1108</x:v>
      </x:c>
      <x:c r="D353" s="9" t="s">
        <x:v>1122</x:v>
      </x:c>
      <x:c r="E353" s="9" t="s">
        <x:v>1125</x:v>
      </x:c>
      <x:c r="F353" s="9" t="s">
        <x:v>1110</x:v>
      </x:c>
      <x:c r="G353" s="9" t="s">
        <x:v>109</x:v>
      </x:c>
      <x:c r="H353" s="9" t="s">
        <x:v>1111</x:v>
      </x:c>
      <x:c r="I353" s="9" t="s">
        <x:v>1112</x:v>
      </x:c>
      <x:c r="J353" s="9" t="s">
        <x:v>1113</x:v>
      </x:c>
      <x:c r="K353" s="9" t="s">
        <x:v>1114</x:v>
      </x:c>
      <x:c r="L353" s="9" t="s">
        <x:v>1114</x:v>
      </x:c>
      <x:c r="M353" s="9"/>
      <x:c r="N353" s="9"/>
      <x:c r="O353" s="9" t="s">
        <x:v>1115</x:v>
      </x:c>
      <x:c r="P353" s="9" t="s">
        <x:v>115</x:v>
      </x:c>
      <x:c r="Q353" s="9" t="s">
        <x:v>45</x:v>
      </x:c>
      <x:c r="R353" s="9"/>
      <x:c r="S353" s="8"/>
      <x:c r="T353" s="8" t="s">
        <x:v>27</x:v>
      </x:c>
      <x:c r="U353" s="8" t="s">
        <x:v>883</x:v>
      </x:c>
      <x:c r="V353" s="8" t="s">
        <x:v>884</x:v>
      </x:c>
    </x:row>
    <x:row r="354" ht="39" hidden="0" customHeight="1">
      <x:c r="A354" s="9" t="s">
        <x:v>1126</x:v>
      </x:c>
      <x:c r="B354" s="9" t="s">
        <x:v>1107</x:v>
      </x:c>
      <x:c r="C354" s="9" t="s">
        <x:v>1108</x:v>
      </x:c>
      <x:c r="D354" s="9" t="s">
        <x:v>1122</x:v>
      </x:c>
      <x:c r="E354" s="9" t="s">
        <x:v>1127</x:v>
      </x:c>
      <x:c r="F354" s="9" t="s">
        <x:v>1110</x:v>
      </x:c>
      <x:c r="G354" s="9" t="s">
        <x:v>109</x:v>
      </x:c>
      <x:c r="H354" s="9" t="s">
        <x:v>1111</x:v>
      </x:c>
      <x:c r="I354" s="9" t="s">
        <x:v>1112</x:v>
      </x:c>
      <x:c r="J354" s="9" t="s">
        <x:v>1113</x:v>
      </x:c>
      <x:c r="K354" s="9" t="s">
        <x:v>1114</x:v>
      </x:c>
      <x:c r="L354" s="9" t="s">
        <x:v>1114</x:v>
      </x:c>
      <x:c r="M354" s="9"/>
      <x:c r="N354" s="9"/>
      <x:c r="O354" s="9" t="s">
        <x:v>1115</x:v>
      </x:c>
      <x:c r="P354" s="9" t="s">
        <x:v>115</x:v>
      </x:c>
      <x:c r="Q354" s="9" t="s">
        <x:v>45</x:v>
      </x:c>
      <x:c r="R354" s="9"/>
      <x:c r="S354" s="8"/>
      <x:c r="T354" s="8" t="s">
        <x:v>27</x:v>
      </x:c>
      <x:c r="U354" s="8" t="s">
        <x:v>883</x:v>
      </x:c>
      <x:c r="V354" s="8" t="s">
        <x:v>884</x:v>
      </x:c>
    </x:row>
    <x:row r="355" ht="39" hidden="0" customHeight="1">
      <x:c r="A355" s="9" t="s">
        <x:v>1128</x:v>
      </x:c>
      <x:c r="B355" s="9" t="s">
        <x:v>1107</x:v>
      </x:c>
      <x:c r="C355" s="9" t="s">
        <x:v>1108</x:v>
      </x:c>
      <x:c r="D355" s="9" t="s">
        <x:v>1122</x:v>
      </x:c>
      <x:c r="E355" s="9" t="s">
        <x:v>1129</x:v>
      </x:c>
      <x:c r="F355" s="9" t="s">
        <x:v>1110</x:v>
      </x:c>
      <x:c r="G355" s="9" t="s">
        <x:v>109</x:v>
      </x:c>
      <x:c r="H355" s="9" t="s">
        <x:v>1111</x:v>
      </x:c>
      <x:c r="I355" s="9" t="s">
        <x:v>1112</x:v>
      </x:c>
      <x:c r="J355" s="9" t="s">
        <x:v>1113</x:v>
      </x:c>
      <x:c r="K355" s="9" t="s">
        <x:v>1114</x:v>
      </x:c>
      <x:c r="L355" s="9" t="s">
        <x:v>1114</x:v>
      </x:c>
      <x:c r="M355" s="9"/>
      <x:c r="N355" s="9"/>
      <x:c r="O355" s="9" t="s">
        <x:v>1115</x:v>
      </x:c>
      <x:c r="P355" s="9" t="s">
        <x:v>115</x:v>
      </x:c>
      <x:c r="Q355" s="9" t="s">
        <x:v>45</x:v>
      </x:c>
      <x:c r="R355" s="9"/>
      <x:c r="S355" s="8"/>
      <x:c r="T355" s="8" t="s">
        <x:v>27</x:v>
      </x:c>
      <x:c r="U355" s="8" t="s">
        <x:v>883</x:v>
      </x:c>
      <x:c r="V355" s="8" t="s">
        <x:v>884</x:v>
      </x:c>
    </x:row>
    <x:row r="356" ht="39" hidden="0" customHeight="1">
      <x:c r="A356" s="9" t="s">
        <x:v>1130</x:v>
      </x:c>
      <x:c r="B356" s="9" t="s">
        <x:v>1107</x:v>
      </x:c>
      <x:c r="C356" s="9" t="s">
        <x:v>1108</x:v>
      </x:c>
      <x:c r="D356" s="9" t="s">
        <x:v>131</x:v>
      </x:c>
      <x:c r="E356" s="9" t="s">
        <x:v>1131</x:v>
      </x:c>
      <x:c r="F356" s="9" t="s">
        <x:v>1110</x:v>
      </x:c>
      <x:c r="G356" s="9" t="s">
        <x:v>109</x:v>
      </x:c>
      <x:c r="H356" s="9" t="s">
        <x:v>1111</x:v>
      </x:c>
      <x:c r="I356" s="9" t="s">
        <x:v>1112</x:v>
      </x:c>
      <x:c r="J356" s="9" t="s">
        <x:v>1113</x:v>
      </x:c>
      <x:c r="K356" s="9" t="s">
        <x:v>1132</x:v>
      </x:c>
      <x:c r="L356" s="9" t="s">
        <x:v>1132</x:v>
      </x:c>
      <x:c r="M356" s="9"/>
      <x:c r="N356" s="9"/>
      <x:c r="O356" s="9" t="s">
        <x:v>1115</x:v>
      </x:c>
      <x:c r="P356" s="9" t="s">
        <x:v>115</x:v>
      </x:c>
      <x:c r="Q356" s="9" t="s">
        <x:v>45</x:v>
      </x:c>
      <x:c r="R356" s="9"/>
      <x:c r="S356" s="8"/>
      <x:c r="T356" s="8" t="s">
        <x:v>27</x:v>
      </x:c>
      <x:c r="U356" s="8" t="s">
        <x:v>883</x:v>
      </x:c>
      <x:c r="V356" s="8" t="s">
        <x:v>884</x:v>
      </x:c>
    </x:row>
    <x:row r="357" ht="39" hidden="0" customHeight="1">
      <x:c r="A357" s="9" t="s">
        <x:v>1133</x:v>
      </x:c>
      <x:c r="B357" s="9" t="s">
        <x:v>1107</x:v>
      </x:c>
      <x:c r="C357" s="9" t="s">
        <x:v>1108</x:v>
      </x:c>
      <x:c r="D357" s="9" t="s">
        <x:v>131</x:v>
      </x:c>
      <x:c r="E357" s="9" t="s">
        <x:v>1134</x:v>
      </x:c>
      <x:c r="F357" s="9" t="s">
        <x:v>1110</x:v>
      </x:c>
      <x:c r="G357" s="9" t="s">
        <x:v>109</x:v>
      </x:c>
      <x:c r="H357" s="9" t="s">
        <x:v>1111</x:v>
      </x:c>
      <x:c r="I357" s="9" t="s">
        <x:v>1112</x:v>
      </x:c>
      <x:c r="J357" s="9" t="s">
        <x:v>1113</x:v>
      </x:c>
      <x:c r="K357" s="9" t="s">
        <x:v>1132</x:v>
      </x:c>
      <x:c r="L357" s="9" t="s">
        <x:v>1132</x:v>
      </x:c>
      <x:c r="M357" s="9"/>
      <x:c r="N357" s="9"/>
      <x:c r="O357" s="9" t="s">
        <x:v>1115</x:v>
      </x:c>
      <x:c r="P357" s="9" t="s">
        <x:v>115</x:v>
      </x:c>
      <x:c r="Q357" s="9" t="s">
        <x:v>45</x:v>
      </x:c>
      <x:c r="R357" s="9"/>
      <x:c r="S357" s="8"/>
      <x:c r="T357" s="8" t="s">
        <x:v>27</x:v>
      </x:c>
      <x:c r="U357" s="8" t="s">
        <x:v>883</x:v>
      </x:c>
      <x:c r="V357" s="8" t="s">
        <x:v>884</x:v>
      </x:c>
    </x:row>
    <x:row r="358" ht="39" hidden="0" customHeight="1">
      <x:c r="A358" s="9" t="s">
        <x:v>1135</x:v>
      </x:c>
      <x:c r="B358" s="9" t="s">
        <x:v>1107</x:v>
      </x:c>
      <x:c r="C358" s="9" t="s">
        <x:v>1108</x:v>
      </x:c>
      <x:c r="D358" s="9" t="s">
        <x:v>131</x:v>
      </x:c>
      <x:c r="E358" s="9" t="s">
        <x:v>1136</x:v>
      </x:c>
      <x:c r="F358" s="9" t="s">
        <x:v>1110</x:v>
      </x:c>
      <x:c r="G358" s="9" t="s">
        <x:v>109</x:v>
      </x:c>
      <x:c r="H358" s="9" t="s">
        <x:v>1111</x:v>
      </x:c>
      <x:c r="I358" s="9" t="s">
        <x:v>1112</x:v>
      </x:c>
      <x:c r="J358" s="9" t="s">
        <x:v>1113</x:v>
      </x:c>
      <x:c r="K358" s="9" t="s">
        <x:v>1132</x:v>
      </x:c>
      <x:c r="L358" s="9" t="s">
        <x:v>1132</x:v>
      </x:c>
      <x:c r="M358" s="9"/>
      <x:c r="N358" s="9"/>
      <x:c r="O358" s="9" t="s">
        <x:v>1115</x:v>
      </x:c>
      <x:c r="P358" s="9" t="s">
        <x:v>115</x:v>
      </x:c>
      <x:c r="Q358" s="9" t="s">
        <x:v>45</x:v>
      </x:c>
      <x:c r="R358" s="9"/>
      <x:c r="S358" s="8"/>
      <x:c r="T358" s="8" t="s">
        <x:v>27</x:v>
      </x:c>
      <x:c r="U358" s="8" t="s">
        <x:v>883</x:v>
      </x:c>
      <x:c r="V358" s="8" t="s">
        <x:v>884</x:v>
      </x:c>
    </x:row>
    <x:row r="359" ht="39" hidden="0" customHeight="1">
      <x:c r="A359" s="9" t="s">
        <x:v>1137</x:v>
      </x:c>
      <x:c r="B359" s="9" t="s">
        <x:v>1107</x:v>
      </x:c>
      <x:c r="C359" s="9" t="s">
        <x:v>1108</x:v>
      </x:c>
      <x:c r="D359" s="9" t="s">
        <x:v>131</x:v>
      </x:c>
      <x:c r="E359" s="9" t="s">
        <x:v>1138</x:v>
      </x:c>
      <x:c r="F359" s="9" t="s">
        <x:v>1110</x:v>
      </x:c>
      <x:c r="G359" s="9" t="s">
        <x:v>109</x:v>
      </x:c>
      <x:c r="H359" s="9" t="s">
        <x:v>1111</x:v>
      </x:c>
      <x:c r="I359" s="9" t="s">
        <x:v>1112</x:v>
      </x:c>
      <x:c r="J359" s="9" t="s">
        <x:v>1113</x:v>
      </x:c>
      <x:c r="K359" s="9" t="s">
        <x:v>1132</x:v>
      </x:c>
      <x:c r="L359" s="9" t="s">
        <x:v>1132</x:v>
      </x:c>
      <x:c r="M359" s="9"/>
      <x:c r="N359" s="9"/>
      <x:c r="O359" s="9" t="s">
        <x:v>1115</x:v>
      </x:c>
      <x:c r="P359" s="9" t="s">
        <x:v>115</x:v>
      </x:c>
      <x:c r="Q359" s="9" t="s">
        <x:v>45</x:v>
      </x:c>
      <x:c r="R359" s="9"/>
      <x:c r="S359" s="8"/>
      <x:c r="T359" s="8" t="s">
        <x:v>27</x:v>
      </x:c>
      <x:c r="U359" s="8" t="s">
        <x:v>883</x:v>
      </x:c>
      <x:c r="V359" s="8" t="s">
        <x:v>884</x:v>
      </x:c>
    </x:row>
    <x:row r="360" ht="39" hidden="0" customHeight="1">
      <x:c r="A360" s="9" t="s">
        <x:v>1139</x:v>
      </x:c>
      <x:c r="B360" s="9" t="s">
        <x:v>1107</x:v>
      </x:c>
      <x:c r="C360" s="9" t="s">
        <x:v>1108</x:v>
      </x:c>
      <x:c r="D360" s="9" t="s">
        <x:v>131</x:v>
      </x:c>
      <x:c r="E360" s="9" t="s">
        <x:v>1140</x:v>
      </x:c>
      <x:c r="F360" s="9" t="s">
        <x:v>1110</x:v>
      </x:c>
      <x:c r="G360" s="9" t="s">
        <x:v>109</x:v>
      </x:c>
      <x:c r="H360" s="9" t="s">
        <x:v>1111</x:v>
      </x:c>
      <x:c r="I360" s="9" t="s">
        <x:v>1112</x:v>
      </x:c>
      <x:c r="J360" s="9" t="s">
        <x:v>1113</x:v>
      </x:c>
      <x:c r="K360" s="9" t="s">
        <x:v>1132</x:v>
      </x:c>
      <x:c r="L360" s="9" t="s">
        <x:v>1132</x:v>
      </x:c>
      <x:c r="M360" s="9"/>
      <x:c r="N360" s="9"/>
      <x:c r="O360" s="9" t="s">
        <x:v>1115</x:v>
      </x:c>
      <x:c r="P360" s="9" t="s">
        <x:v>115</x:v>
      </x:c>
      <x:c r="Q360" s="9" t="s">
        <x:v>45</x:v>
      </x:c>
      <x:c r="R360" s="9"/>
      <x:c r="S360" s="8"/>
      <x:c r="T360" s="8" t="s">
        <x:v>27</x:v>
      </x:c>
      <x:c r="U360" s="8" t="s">
        <x:v>883</x:v>
      </x:c>
      <x:c r="V360" s="8" t="s">
        <x:v>884</x:v>
      </x:c>
    </x:row>
    <x:row r="361" ht="39" hidden="0" customHeight="1">
      <x:c r="A361" s="9" t="s">
        <x:v>1141</x:v>
      </x:c>
      <x:c r="B361" s="9" t="s">
        <x:v>1107</x:v>
      </x:c>
      <x:c r="C361" s="9" t="s">
        <x:v>1108</x:v>
      </x:c>
      <x:c r="D361" s="9" t="s">
        <x:v>1142</x:v>
      </x:c>
      <x:c r="E361" s="9" t="s">
        <x:v>1143</x:v>
      </x:c>
      <x:c r="F361" s="9" t="s">
        <x:v>1144</x:v>
      </x:c>
      <x:c r="G361" s="9" t="s">
        <x:v>109</x:v>
      </x:c>
      <x:c r="H361" s="9" t="s">
        <x:v>1111</x:v>
      </x:c>
      <x:c r="I361" s="9" t="s">
        <x:v>1112</x:v>
      </x:c>
      <x:c r="J361" s="9" t="s">
        <x:v>1113</x:v>
      </x:c>
      <x:c r="K361" s="9" t="s">
        <x:v>1145</x:v>
      </x:c>
      <x:c r="L361" s="9" t="s">
        <x:v>1145</x:v>
      </x:c>
      <x:c r="M361" s="9"/>
      <x:c r="N361" s="9"/>
      <x:c r="O361" s="9" t="s">
        <x:v>1115</x:v>
      </x:c>
      <x:c r="P361" s="9" t="s">
        <x:v>115</x:v>
      </x:c>
      <x:c r="Q361" s="9" t="s">
        <x:v>45</x:v>
      </x:c>
      <x:c r="R361" s="9"/>
      <x:c r="S361" s="8"/>
      <x:c r="T361" s="8" t="s">
        <x:v>27</x:v>
      </x:c>
      <x:c r="U361" s="8" t="s">
        <x:v>883</x:v>
      </x:c>
      <x:c r="V361" s="8" t="s">
        <x:v>884</x:v>
      </x:c>
    </x:row>
    <x:row r="362" ht="39" hidden="0" customHeight="1">
      <x:c r="A362" s="9" t="s">
        <x:v>1146</x:v>
      </x:c>
      <x:c r="B362" s="9" t="s">
        <x:v>1107</x:v>
      </x:c>
      <x:c r="C362" s="9" t="s">
        <x:v>1108</x:v>
      </x:c>
      <x:c r="D362" s="9" t="s">
        <x:v>1147</x:v>
      </x:c>
      <x:c r="E362" s="9" t="s">
        <x:v>1148</x:v>
      </x:c>
      <x:c r="F362" s="9" t="s">
        <x:v>1144</x:v>
      </x:c>
      <x:c r="G362" s="9" t="s">
        <x:v>109</x:v>
      </x:c>
      <x:c r="H362" s="9" t="s">
        <x:v>1111</x:v>
      </x:c>
      <x:c r="I362" s="9" t="s">
        <x:v>1112</x:v>
      </x:c>
      <x:c r="J362" s="9" t="s">
        <x:v>1113</x:v>
      </x:c>
      <x:c r="K362" s="9" t="s">
        <x:v>1145</x:v>
      </x:c>
      <x:c r="L362" s="9" t="s">
        <x:v>1145</x:v>
      </x:c>
      <x:c r="M362" s="9"/>
      <x:c r="N362" s="9"/>
      <x:c r="O362" s="9" t="s">
        <x:v>1115</x:v>
      </x:c>
      <x:c r="P362" s="9" t="s">
        <x:v>115</x:v>
      </x:c>
      <x:c r="Q362" s="9" t="s">
        <x:v>45</x:v>
      </x:c>
      <x:c r="R362" s="9"/>
      <x:c r="S362" s="8"/>
      <x:c r="T362" s="8" t="s">
        <x:v>27</x:v>
      </x:c>
      <x:c r="U362" s="8" t="s">
        <x:v>883</x:v>
      </x:c>
      <x:c r="V362" s="8" t="s">
        <x:v>884</x:v>
      </x:c>
    </x:row>
    <x:row r="363" ht="39" hidden="0" customHeight="1">
      <x:c r="A363" s="9" t="s">
        <x:v>1149</x:v>
      </x:c>
      <x:c r="B363" s="9" t="s">
        <x:v>1107</x:v>
      </x:c>
      <x:c r="C363" s="9" t="s">
        <x:v>1108</x:v>
      </x:c>
      <x:c r="D363" s="9" t="s">
        <x:v>1150</x:v>
      </x:c>
      <x:c r="E363" s="9" t="s">
        <x:v>1151</x:v>
      </x:c>
      <x:c r="F363" s="9" t="s">
        <x:v>1144</x:v>
      </x:c>
      <x:c r="G363" s="9" t="s">
        <x:v>109</x:v>
      </x:c>
      <x:c r="H363" s="9" t="s">
        <x:v>1111</x:v>
      </x:c>
      <x:c r="I363" s="9" t="s">
        <x:v>1112</x:v>
      </x:c>
      <x:c r="J363" s="9" t="s">
        <x:v>1113</x:v>
      </x:c>
      <x:c r="K363" s="9" t="s">
        <x:v>1145</x:v>
      </x:c>
      <x:c r="L363" s="9" t="s">
        <x:v>1145</x:v>
      </x:c>
      <x:c r="M363" s="9"/>
      <x:c r="N363" s="9"/>
      <x:c r="O363" s="9" t="s">
        <x:v>1115</x:v>
      </x:c>
      <x:c r="P363" s="9" t="s">
        <x:v>115</x:v>
      </x:c>
      <x:c r="Q363" s="9" t="s">
        <x:v>45</x:v>
      </x:c>
      <x:c r="R363" s="9"/>
      <x:c r="S363" s="8"/>
      <x:c r="T363" s="8" t="s">
        <x:v>27</x:v>
      </x:c>
      <x:c r="U363" s="8" t="s">
        <x:v>883</x:v>
      </x:c>
      <x:c r="V363" s="8" t="s">
        <x:v>884</x:v>
      </x:c>
    </x:row>
    <x:row r="364" ht="39" hidden="0" customHeight="1">
      <x:c r="A364" s="9" t="s">
        <x:v>1152</x:v>
      </x:c>
      <x:c r="B364" s="9" t="s">
        <x:v>1107</x:v>
      </x:c>
      <x:c r="C364" s="9" t="s">
        <x:v>1108</x:v>
      </x:c>
      <x:c r="D364" s="9" t="s">
        <x:v>1153</x:v>
      </x:c>
      <x:c r="E364" s="9" t="s">
        <x:v>1154</x:v>
      </x:c>
      <x:c r="F364" s="9" t="s">
        <x:v>1144</x:v>
      </x:c>
      <x:c r="G364" s="9" t="s">
        <x:v>109</x:v>
      </x:c>
      <x:c r="H364" s="9" t="s">
        <x:v>1111</x:v>
      </x:c>
      <x:c r="I364" s="9" t="s">
        <x:v>1112</x:v>
      </x:c>
      <x:c r="J364" s="9" t="s">
        <x:v>1113</x:v>
      </x:c>
      <x:c r="K364" s="9" t="s">
        <x:v>1145</x:v>
      </x:c>
      <x:c r="L364" s="9" t="s">
        <x:v>1145</x:v>
      </x:c>
      <x:c r="M364" s="9"/>
      <x:c r="N364" s="9"/>
      <x:c r="O364" s="9" t="s">
        <x:v>1115</x:v>
      </x:c>
      <x:c r="P364" s="9" t="s">
        <x:v>115</x:v>
      </x:c>
      <x:c r="Q364" s="9" t="s">
        <x:v>45</x:v>
      </x:c>
      <x:c r="R364" s="9"/>
      <x:c r="S364" s="8"/>
      <x:c r="T364" s="8" t="s">
        <x:v>27</x:v>
      </x:c>
      <x:c r="U364" s="8" t="s">
        <x:v>883</x:v>
      </x:c>
      <x:c r="V364" s="8" t="s">
        <x:v>884</x:v>
      </x:c>
    </x:row>
    <x:row r="365" ht="39" hidden="0" customHeight="1">
      <x:c r="A365" s="9" t="s">
        <x:v>1155</x:v>
      </x:c>
      <x:c r="B365" s="9" t="s">
        <x:v>1107</x:v>
      </x:c>
      <x:c r="C365" s="9" t="s">
        <x:v>1108</x:v>
      </x:c>
      <x:c r="D365" s="9" t="s">
        <x:v>1156</x:v>
      </x:c>
      <x:c r="E365" s="9" t="s">
        <x:v>1157</x:v>
      </x:c>
      <x:c r="F365" s="9" t="s">
        <x:v>1144</x:v>
      </x:c>
      <x:c r="G365" s="9" t="s">
        <x:v>109</x:v>
      </x:c>
      <x:c r="H365" s="9" t="s">
        <x:v>1111</x:v>
      </x:c>
      <x:c r="I365" s="9" t="s">
        <x:v>1112</x:v>
      </x:c>
      <x:c r="J365" s="9" t="s">
        <x:v>1113</x:v>
      </x:c>
      <x:c r="K365" s="9" t="s">
        <x:v>1145</x:v>
      </x:c>
      <x:c r="L365" s="9" t="s">
        <x:v>1145</x:v>
      </x:c>
      <x:c r="M365" s="9"/>
      <x:c r="N365" s="9"/>
      <x:c r="O365" s="9" t="s">
        <x:v>1115</x:v>
      </x:c>
      <x:c r="P365" s="9" t="s">
        <x:v>115</x:v>
      </x:c>
      <x:c r="Q365" s="9" t="s">
        <x:v>45</x:v>
      </x:c>
      <x:c r="R365" s="9"/>
      <x:c r="S365" s="8"/>
      <x:c r="T365" s="8" t="s">
        <x:v>27</x:v>
      </x:c>
      <x:c r="U365" s="8" t="s">
        <x:v>883</x:v>
      </x:c>
      <x:c r="V365" s="8" t="s">
        <x:v>884</x:v>
      </x:c>
    </x:row>
    <x:row r="366" ht="39" hidden="0" customHeight="1">
      <x:c r="A366" s="9" t="s">
        <x:v>1158</x:v>
      </x:c>
      <x:c r="B366" s="9" t="s">
        <x:v>1107</x:v>
      </x:c>
      <x:c r="C366" s="9" t="s">
        <x:v>1108</x:v>
      </x:c>
      <x:c r="D366" s="9" t="s">
        <x:v>184</x:v>
      </x:c>
      <x:c r="E366" s="9" t="s">
        <x:v>1159</x:v>
      </x:c>
      <x:c r="F366" s="9" t="s">
        <x:v>1110</x:v>
      </x:c>
      <x:c r="G366" s="9" t="s">
        <x:v>187</x:v>
      </x:c>
      <x:c r="H366" s="9" t="s">
        <x:v>1111</x:v>
      </x:c>
      <x:c r="I366" s="9" t="s">
        <x:v>1112</x:v>
      </x:c>
      <x:c r="J366" s="9" t="s">
        <x:v>1113</x:v>
      </x:c>
      <x:c r="K366" s="9" t="s">
        <x:v>1160</x:v>
      </x:c>
      <x:c r="L366" s="9" t="s">
        <x:v>1160</x:v>
      </x:c>
      <x:c r="M366" s="9"/>
      <x:c r="N366" s="9"/>
      <x:c r="O366" s="9" t="s">
        <x:v>1115</x:v>
      </x:c>
      <x:c r="P366" s="9" t="s">
        <x:v>115</x:v>
      </x:c>
      <x:c r="Q366" s="9" t="s">
        <x:v>45</x:v>
      </x:c>
      <x:c r="R366" s="9"/>
      <x:c r="S366" s="8"/>
      <x:c r="T366" s="8" t="s">
        <x:v>27</x:v>
      </x:c>
      <x:c r="U366" s="8" t="s">
        <x:v>883</x:v>
      </x:c>
      <x:c r="V366" s="8" t="s">
        <x:v>884</x:v>
      </x:c>
    </x:row>
    <x:row r="367" ht="39" hidden="0" customHeight="1">
      <x:c r="A367" s="9" t="s">
        <x:v>1161</x:v>
      </x:c>
      <x:c r="B367" s="9" t="s">
        <x:v>1107</x:v>
      </x:c>
      <x:c r="C367" s="9" t="s">
        <x:v>1108</x:v>
      </x:c>
      <x:c r="D367" s="9" t="s">
        <x:v>184</x:v>
      </x:c>
      <x:c r="E367" s="9" t="s">
        <x:v>1162</x:v>
      </x:c>
      <x:c r="F367" s="9" t="s">
        <x:v>1110</x:v>
      </x:c>
      <x:c r="G367" s="9" t="s">
        <x:v>187</x:v>
      </x:c>
      <x:c r="H367" s="9" t="s">
        <x:v>1111</x:v>
      </x:c>
      <x:c r="I367" s="9" t="s">
        <x:v>1112</x:v>
      </x:c>
      <x:c r="J367" s="9" t="s">
        <x:v>1113</x:v>
      </x:c>
      <x:c r="K367" s="9" t="s">
        <x:v>1160</x:v>
      </x:c>
      <x:c r="L367" s="9" t="s">
        <x:v>1160</x:v>
      </x:c>
      <x:c r="M367" s="9"/>
      <x:c r="N367" s="9"/>
      <x:c r="O367" s="9" t="s">
        <x:v>1115</x:v>
      </x:c>
      <x:c r="P367" s="9" t="s">
        <x:v>115</x:v>
      </x:c>
      <x:c r="Q367" s="9" t="s">
        <x:v>45</x:v>
      </x:c>
      <x:c r="R367" s="9"/>
      <x:c r="S367" s="8"/>
      <x:c r="T367" s="8" t="s">
        <x:v>27</x:v>
      </x:c>
      <x:c r="U367" s="8" t="s">
        <x:v>883</x:v>
      </x:c>
      <x:c r="V367" s="8" t="s">
        <x:v>884</x:v>
      </x:c>
    </x:row>
    <x:row r="368" ht="39" hidden="0" customHeight="1">
      <x:c r="A368" s="9" t="s">
        <x:v>1163</x:v>
      </x:c>
      <x:c r="B368" s="9" t="s">
        <x:v>1107</x:v>
      </x:c>
      <x:c r="C368" s="9" t="s">
        <x:v>1108</x:v>
      </x:c>
      <x:c r="D368" s="9" t="s">
        <x:v>184</x:v>
      </x:c>
      <x:c r="E368" s="9" t="s">
        <x:v>1164</x:v>
      </x:c>
      <x:c r="F368" s="9" t="s">
        <x:v>1110</x:v>
      </x:c>
      <x:c r="G368" s="9" t="s">
        <x:v>187</x:v>
      </x:c>
      <x:c r="H368" s="9" t="s">
        <x:v>1111</x:v>
      </x:c>
      <x:c r="I368" s="9" t="s">
        <x:v>1112</x:v>
      </x:c>
      <x:c r="J368" s="9" t="s">
        <x:v>1113</x:v>
      </x:c>
      <x:c r="K368" s="9" t="s">
        <x:v>1160</x:v>
      </x:c>
      <x:c r="L368" s="9" t="s">
        <x:v>1160</x:v>
      </x:c>
      <x:c r="M368" s="9"/>
      <x:c r="N368" s="9"/>
      <x:c r="O368" s="9" t="s">
        <x:v>1115</x:v>
      </x:c>
      <x:c r="P368" s="9" t="s">
        <x:v>115</x:v>
      </x:c>
      <x:c r="Q368" s="9" t="s">
        <x:v>45</x:v>
      </x:c>
      <x:c r="R368" s="9"/>
      <x:c r="S368" s="8"/>
      <x:c r="T368" s="8" t="s">
        <x:v>27</x:v>
      </x:c>
      <x:c r="U368" s="8" t="s">
        <x:v>883</x:v>
      </x:c>
      <x:c r="V368" s="8" t="s">
        <x:v>884</x:v>
      </x:c>
    </x:row>
    <x:row r="369" ht="39" hidden="0" customHeight="1">
      <x:c r="A369" s="9" t="s">
        <x:v>1165</x:v>
      </x:c>
      <x:c r="B369" s="9" t="s">
        <x:v>1107</x:v>
      </x:c>
      <x:c r="C369" s="9" t="s">
        <x:v>1108</x:v>
      </x:c>
      <x:c r="D369" s="9" t="s">
        <x:v>184</x:v>
      </x:c>
      <x:c r="E369" s="9" t="s">
        <x:v>1166</x:v>
      </x:c>
      <x:c r="F369" s="9" t="s">
        <x:v>1110</x:v>
      </x:c>
      <x:c r="G369" s="9" t="s">
        <x:v>187</x:v>
      </x:c>
      <x:c r="H369" s="9" t="s">
        <x:v>1111</x:v>
      </x:c>
      <x:c r="I369" s="9" t="s">
        <x:v>1112</x:v>
      </x:c>
      <x:c r="J369" s="9" t="s">
        <x:v>1113</x:v>
      </x:c>
      <x:c r="K369" s="9" t="s">
        <x:v>1160</x:v>
      </x:c>
      <x:c r="L369" s="9" t="s">
        <x:v>1160</x:v>
      </x:c>
      <x:c r="M369" s="9"/>
      <x:c r="N369" s="9"/>
      <x:c r="O369" s="9" t="s">
        <x:v>1115</x:v>
      </x:c>
      <x:c r="P369" s="9" t="s">
        <x:v>115</x:v>
      </x:c>
      <x:c r="Q369" s="9" t="s">
        <x:v>45</x:v>
      </x:c>
      <x:c r="R369" s="9"/>
      <x:c r="S369" s="8"/>
      <x:c r="T369" s="8" t="s">
        <x:v>27</x:v>
      </x:c>
      <x:c r="U369" s="8" t="s">
        <x:v>883</x:v>
      </x:c>
      <x:c r="V369" s="8" t="s">
        <x:v>884</x:v>
      </x:c>
    </x:row>
    <x:row r="370" ht="39" hidden="0" customHeight="1">
      <x:c r="A370" s="9" t="s">
        <x:v>1167</x:v>
      </x:c>
      <x:c r="B370" s="9" t="s">
        <x:v>1107</x:v>
      </x:c>
      <x:c r="C370" s="9" t="s">
        <x:v>1108</x:v>
      </x:c>
      <x:c r="D370" s="9" t="s">
        <x:v>184</x:v>
      </x:c>
      <x:c r="E370" s="9" t="s">
        <x:v>1168</x:v>
      </x:c>
      <x:c r="F370" s="9" t="s">
        <x:v>1110</x:v>
      </x:c>
      <x:c r="G370" s="9" t="s">
        <x:v>187</x:v>
      </x:c>
      <x:c r="H370" s="9" t="s">
        <x:v>1111</x:v>
      </x:c>
      <x:c r="I370" s="9" t="s">
        <x:v>1112</x:v>
      </x:c>
      <x:c r="J370" s="9" t="s">
        <x:v>1113</x:v>
      </x:c>
      <x:c r="K370" s="9" t="s">
        <x:v>1160</x:v>
      </x:c>
      <x:c r="L370" s="9" t="s">
        <x:v>1160</x:v>
      </x:c>
      <x:c r="M370" s="9"/>
      <x:c r="N370" s="9"/>
      <x:c r="O370" s="9" t="s">
        <x:v>1115</x:v>
      </x:c>
      <x:c r="P370" s="9" t="s">
        <x:v>115</x:v>
      </x:c>
      <x:c r="Q370" s="9" t="s">
        <x:v>45</x:v>
      </x:c>
      <x:c r="R370" s="9"/>
      <x:c r="S370" s="8"/>
      <x:c r="T370" s="8" t="s">
        <x:v>27</x:v>
      </x:c>
      <x:c r="U370" s="8" t="s">
        <x:v>883</x:v>
      </x:c>
      <x:c r="V370" s="8" t="s">
        <x:v>884</x:v>
      </x:c>
    </x:row>
    <x:row r="371" ht="39" hidden="0" customHeight="1">
      <x:c r="A371" s="9" t="s">
        <x:v>1169</x:v>
      </x:c>
      <x:c r="B371" s="9" t="s">
        <x:v>1107</x:v>
      </x:c>
      <x:c r="C371" s="9" t="s">
        <x:v>1108</x:v>
      </x:c>
      <x:c r="D371" s="9" t="s">
        <x:v>184</x:v>
      </x:c>
      <x:c r="E371" s="9" t="s">
        <x:v>1170</x:v>
      </x:c>
      <x:c r="F371" s="9" t="s">
        <x:v>1110</x:v>
      </x:c>
      <x:c r="G371" s="9" t="s">
        <x:v>187</x:v>
      </x:c>
      <x:c r="H371" s="9" t="s">
        <x:v>1111</x:v>
      </x:c>
      <x:c r="I371" s="9" t="s">
        <x:v>1112</x:v>
      </x:c>
      <x:c r="J371" s="9" t="s">
        <x:v>1113</x:v>
      </x:c>
      <x:c r="K371" s="9" t="s">
        <x:v>1160</x:v>
      </x:c>
      <x:c r="L371" s="9" t="s">
        <x:v>1160</x:v>
      </x:c>
      <x:c r="M371" s="9"/>
      <x:c r="N371" s="9"/>
      <x:c r="O371" s="9" t="s">
        <x:v>1115</x:v>
      </x:c>
      <x:c r="P371" s="9" t="s">
        <x:v>115</x:v>
      </x:c>
      <x:c r="Q371" s="9" t="s">
        <x:v>45</x:v>
      </x:c>
      <x:c r="R371" s="9"/>
      <x:c r="S371" s="8"/>
      <x:c r="T371" s="8" t="s">
        <x:v>27</x:v>
      </x:c>
      <x:c r="U371" s="8" t="s">
        <x:v>883</x:v>
      </x:c>
      <x:c r="V371" s="8" t="s">
        <x:v>884</x:v>
      </x:c>
    </x:row>
    <x:row r="372" ht="39" hidden="0" customHeight="1">
      <x:c r="A372" s="9" t="s">
        <x:v>1171</x:v>
      </x:c>
      <x:c r="B372" s="9" t="s">
        <x:v>1107</x:v>
      </x:c>
      <x:c r="C372" s="9" t="s">
        <x:v>1108</x:v>
      </x:c>
      <x:c r="D372" s="9" t="s">
        <x:v>184</x:v>
      </x:c>
      <x:c r="E372" s="9" t="s">
        <x:v>1172</x:v>
      </x:c>
      <x:c r="F372" s="9" t="s">
        <x:v>1110</x:v>
      </x:c>
      <x:c r="G372" s="9" t="s">
        <x:v>187</x:v>
      </x:c>
      <x:c r="H372" s="9" t="s">
        <x:v>1111</x:v>
      </x:c>
      <x:c r="I372" s="9" t="s">
        <x:v>1112</x:v>
      </x:c>
      <x:c r="J372" s="9" t="s">
        <x:v>1113</x:v>
      </x:c>
      <x:c r="K372" s="9" t="s">
        <x:v>1160</x:v>
      </x:c>
      <x:c r="L372" s="9" t="s">
        <x:v>1160</x:v>
      </x:c>
      <x:c r="M372" s="9"/>
      <x:c r="N372" s="9"/>
      <x:c r="O372" s="9" t="s">
        <x:v>1115</x:v>
      </x:c>
      <x:c r="P372" s="9" t="s">
        <x:v>115</x:v>
      </x:c>
      <x:c r="Q372" s="9" t="s">
        <x:v>45</x:v>
      </x:c>
      <x:c r="R372" s="9"/>
      <x:c r="S372" s="8"/>
      <x:c r="T372" s="8" t="s">
        <x:v>27</x:v>
      </x:c>
      <x:c r="U372" s="8" t="s">
        <x:v>883</x:v>
      </x:c>
      <x:c r="V372" s="8" t="s">
        <x:v>884</x:v>
      </x:c>
    </x:row>
    <x:row r="373" ht="39" hidden="0" customHeight="1">
      <x:c r="A373" s="9" t="s">
        <x:v>1173</x:v>
      </x:c>
      <x:c r="B373" s="9" t="s">
        <x:v>1107</x:v>
      </x:c>
      <x:c r="C373" s="9" t="s">
        <x:v>1108</x:v>
      </x:c>
      <x:c r="D373" s="9" t="s">
        <x:v>190</x:v>
      </x:c>
      <x:c r="E373" s="9" t="s">
        <x:v>1174</x:v>
      </x:c>
      <x:c r="F373" s="9" t="s">
        <x:v>1110</x:v>
      </x:c>
      <x:c r="G373" s="9" t="s">
        <x:v>109</x:v>
      </x:c>
      <x:c r="H373" s="9" t="s">
        <x:v>1111</x:v>
      </x:c>
      <x:c r="I373" s="9" t="s">
        <x:v>1112</x:v>
      </x:c>
      <x:c r="J373" s="9" t="s">
        <x:v>1113</x:v>
      </x:c>
      <x:c r="K373" s="9" t="s">
        <x:v>1175</x:v>
      </x:c>
      <x:c r="L373" s="9" t="s">
        <x:v>1175</x:v>
      </x:c>
      <x:c r="M373" s="9"/>
      <x:c r="N373" s="9"/>
      <x:c r="O373" s="9" t="s">
        <x:v>1115</x:v>
      </x:c>
      <x:c r="P373" s="9" t="s">
        <x:v>115</x:v>
      </x:c>
      <x:c r="Q373" s="9" t="s">
        <x:v>45</x:v>
      </x:c>
      <x:c r="R373" s="9"/>
      <x:c r="S373" s="8"/>
      <x:c r="T373" s="8" t="s">
        <x:v>27</x:v>
      </x:c>
      <x:c r="U373" s="8" t="s">
        <x:v>883</x:v>
      </x:c>
      <x:c r="V373" s="8" t="s">
        <x:v>884</x:v>
      </x:c>
    </x:row>
    <x:row r="374" ht="39" hidden="0" customHeight="1">
      <x:c r="A374" s="9" t="s">
        <x:v>1176</x:v>
      </x:c>
      <x:c r="B374" s="9" t="s">
        <x:v>1107</x:v>
      </x:c>
      <x:c r="C374" s="9" t="s">
        <x:v>1108</x:v>
      </x:c>
      <x:c r="D374" s="9" t="s">
        <x:v>190</x:v>
      </x:c>
      <x:c r="E374" s="9" t="s">
        <x:v>1177</x:v>
      </x:c>
      <x:c r="F374" s="9" t="s">
        <x:v>1110</x:v>
      </x:c>
      <x:c r="G374" s="9" t="s">
        <x:v>109</x:v>
      </x:c>
      <x:c r="H374" s="9" t="s">
        <x:v>1111</x:v>
      </x:c>
      <x:c r="I374" s="9" t="s">
        <x:v>1112</x:v>
      </x:c>
      <x:c r="J374" s="9" t="s">
        <x:v>1113</x:v>
      </x:c>
      <x:c r="K374" s="9" t="s">
        <x:v>1175</x:v>
      </x:c>
      <x:c r="L374" s="9" t="s">
        <x:v>1175</x:v>
      </x:c>
      <x:c r="M374" s="9"/>
      <x:c r="N374" s="9"/>
      <x:c r="O374" s="9" t="s">
        <x:v>1115</x:v>
      </x:c>
      <x:c r="P374" s="9" t="s">
        <x:v>115</x:v>
      </x:c>
      <x:c r="Q374" s="9" t="s">
        <x:v>45</x:v>
      </x:c>
      <x:c r="R374" s="9"/>
      <x:c r="S374" s="8"/>
      <x:c r="T374" s="8" t="s">
        <x:v>27</x:v>
      </x:c>
      <x:c r="U374" s="8" t="s">
        <x:v>883</x:v>
      </x:c>
      <x:c r="V374" s="8" t="s">
        <x:v>884</x:v>
      </x:c>
    </x:row>
    <x:row r="375" ht="39" hidden="0" customHeight="1">
      <x:c r="A375" s="9" t="s">
        <x:v>1178</x:v>
      </x:c>
      <x:c r="B375" s="9" t="s">
        <x:v>1107</x:v>
      </x:c>
      <x:c r="C375" s="9" t="s">
        <x:v>1108</x:v>
      </x:c>
      <x:c r="D375" s="9" t="s">
        <x:v>190</x:v>
      </x:c>
      <x:c r="E375" s="9" t="s">
        <x:v>1179</x:v>
      </x:c>
      <x:c r="F375" s="9" t="s">
        <x:v>1110</x:v>
      </x:c>
      <x:c r="G375" s="9" t="s">
        <x:v>109</x:v>
      </x:c>
      <x:c r="H375" s="9" t="s">
        <x:v>1111</x:v>
      </x:c>
      <x:c r="I375" s="9" t="s">
        <x:v>1112</x:v>
      </x:c>
      <x:c r="J375" s="9" t="s">
        <x:v>1113</x:v>
      </x:c>
      <x:c r="K375" s="9" t="s">
        <x:v>1175</x:v>
      </x:c>
      <x:c r="L375" s="9" t="s">
        <x:v>1175</x:v>
      </x:c>
      <x:c r="M375" s="9"/>
      <x:c r="N375" s="9"/>
      <x:c r="O375" s="9" t="s">
        <x:v>1115</x:v>
      </x:c>
      <x:c r="P375" s="9" t="s">
        <x:v>115</x:v>
      </x:c>
      <x:c r="Q375" s="9" t="s">
        <x:v>45</x:v>
      </x:c>
      <x:c r="R375" s="9"/>
      <x:c r="S375" s="8"/>
      <x:c r="T375" s="8" t="s">
        <x:v>27</x:v>
      </x:c>
      <x:c r="U375" s="8" t="s">
        <x:v>883</x:v>
      </x:c>
      <x:c r="V375" s="8" t="s">
        <x:v>884</x:v>
      </x:c>
    </x:row>
    <x:row r="376" ht="39" hidden="0" customHeight="1">
      <x:c r="A376" s="9" t="s">
        <x:v>1180</x:v>
      </x:c>
      <x:c r="B376" s="9" t="s">
        <x:v>1107</x:v>
      </x:c>
      <x:c r="C376" s="9" t="s">
        <x:v>1108</x:v>
      </x:c>
      <x:c r="D376" s="9" t="s">
        <x:v>190</x:v>
      </x:c>
      <x:c r="E376" s="9" t="s">
        <x:v>1181</x:v>
      </x:c>
      <x:c r="F376" s="9" t="s">
        <x:v>1110</x:v>
      </x:c>
      <x:c r="G376" s="9" t="s">
        <x:v>109</x:v>
      </x:c>
      <x:c r="H376" s="9" t="s">
        <x:v>1111</x:v>
      </x:c>
      <x:c r="I376" s="9" t="s">
        <x:v>1112</x:v>
      </x:c>
      <x:c r="J376" s="9" t="s">
        <x:v>1113</x:v>
      </x:c>
      <x:c r="K376" s="9" t="s">
        <x:v>1175</x:v>
      </x:c>
      <x:c r="L376" s="9" t="s">
        <x:v>1175</x:v>
      </x:c>
      <x:c r="M376" s="9"/>
      <x:c r="N376" s="9"/>
      <x:c r="O376" s="9" t="s">
        <x:v>1115</x:v>
      </x:c>
      <x:c r="P376" s="9" t="s">
        <x:v>115</x:v>
      </x:c>
      <x:c r="Q376" s="9" t="s">
        <x:v>45</x:v>
      </x:c>
      <x:c r="R376" s="9"/>
      <x:c r="S376" s="8"/>
      <x:c r="T376" s="8" t="s">
        <x:v>27</x:v>
      </x:c>
      <x:c r="U376" s="8" t="s">
        <x:v>883</x:v>
      </x:c>
      <x:c r="V376" s="8" t="s">
        <x:v>884</x:v>
      </x:c>
    </x:row>
    <x:row r="377" ht="39" hidden="0" customHeight="1">
      <x:c r="A377" s="9" t="s">
        <x:v>1182</x:v>
      </x:c>
      <x:c r="B377" s="9" t="s">
        <x:v>1107</x:v>
      </x:c>
      <x:c r="C377" s="9" t="s">
        <x:v>1108</x:v>
      </x:c>
      <x:c r="D377" s="9" t="s">
        <x:v>190</x:v>
      </x:c>
      <x:c r="E377" s="9" t="s">
        <x:v>1183</x:v>
      </x:c>
      <x:c r="F377" s="9" t="s">
        <x:v>1110</x:v>
      </x:c>
      <x:c r="G377" s="9" t="s">
        <x:v>109</x:v>
      </x:c>
      <x:c r="H377" s="9" t="s">
        <x:v>1111</x:v>
      </x:c>
      <x:c r="I377" s="9" t="s">
        <x:v>1112</x:v>
      </x:c>
      <x:c r="J377" s="9" t="s">
        <x:v>1113</x:v>
      </x:c>
      <x:c r="K377" s="9" t="s">
        <x:v>1175</x:v>
      </x:c>
      <x:c r="L377" s="9" t="s">
        <x:v>1175</x:v>
      </x:c>
      <x:c r="M377" s="9"/>
      <x:c r="N377" s="9"/>
      <x:c r="O377" s="9" t="s">
        <x:v>1115</x:v>
      </x:c>
      <x:c r="P377" s="9" t="s">
        <x:v>115</x:v>
      </x:c>
      <x:c r="Q377" s="9" t="s">
        <x:v>45</x:v>
      </x:c>
      <x:c r="R377" s="9"/>
      <x:c r="S377" s="8"/>
      <x:c r="T377" s="8" t="s">
        <x:v>27</x:v>
      </x:c>
      <x:c r="U377" s="8" t="s">
        <x:v>883</x:v>
      </x:c>
      <x:c r="V377" s="8" t="s">
        <x:v>884</x:v>
      </x:c>
    </x:row>
    <x:row r="378" ht="39" hidden="0" customHeight="1">
      <x:c r="A378" s="9" t="s">
        <x:v>1184</x:v>
      </x:c>
      <x:c r="B378" s="9" t="s">
        <x:v>1107</x:v>
      </x:c>
      <x:c r="C378" s="9" t="s">
        <x:v>1108</x:v>
      </x:c>
      <x:c r="D378" s="9" t="s">
        <x:v>1185</x:v>
      </x:c>
      <x:c r="E378" s="9" t="s">
        <x:v>1186</x:v>
      </x:c>
      <x:c r="F378" s="9" t="s">
        <x:v>1110</x:v>
      </x:c>
      <x:c r="G378" s="9" t="s">
        <x:v>187</x:v>
      </x:c>
      <x:c r="H378" s="9" t="s">
        <x:v>1111</x:v>
      </x:c>
      <x:c r="I378" s="9" t="s">
        <x:v>1112</x:v>
      </x:c>
      <x:c r="J378" s="9" t="s">
        <x:v>1113</x:v>
      </x:c>
      <x:c r="K378" s="9" t="s">
        <x:v>1187</x:v>
      </x:c>
      <x:c r="L378" s="9" t="s">
        <x:v>1187</x:v>
      </x:c>
      <x:c r="M378" s="9"/>
      <x:c r="N378" s="9"/>
      <x:c r="O378" s="9" t="s">
        <x:v>1115</x:v>
      </x:c>
      <x:c r="P378" s="9" t="s">
        <x:v>115</x:v>
      </x:c>
      <x:c r="Q378" s="9" t="s">
        <x:v>45</x:v>
      </x:c>
      <x:c r="R378" s="9"/>
      <x:c r="S378" s="8"/>
      <x:c r="T378" s="8" t="s">
        <x:v>27</x:v>
      </x:c>
      <x:c r="U378" s="8" t="s">
        <x:v>883</x:v>
      </x:c>
      <x:c r="V378" s="8" t="s">
        <x:v>884</x:v>
      </x:c>
    </x:row>
    <x:row r="379" ht="39" hidden="0" customHeight="1">
      <x:c r="A379" s="9" t="s">
        <x:v>1188</x:v>
      </x:c>
      <x:c r="B379" s="9" t="s">
        <x:v>1107</x:v>
      </x:c>
      <x:c r="C379" s="9" t="s">
        <x:v>1108</x:v>
      </x:c>
      <x:c r="D379" s="9" t="s">
        <x:v>1189</x:v>
      </x:c>
      <x:c r="E379" s="9" t="s">
        <x:v>1190</x:v>
      </x:c>
      <x:c r="F379" s="9" t="s">
        <x:v>1070</x:v>
      </x:c>
      <x:c r="G379" s="9" t="s">
        <x:v>181</x:v>
      </x:c>
      <x:c r="H379" s="9" t="s">
        <x:v>1111</x:v>
      </x:c>
      <x:c r="I379" s="9" t="s">
        <x:v>1112</x:v>
      </x:c>
      <x:c r="J379" s="9" t="s">
        <x:v>1113</x:v>
      </x:c>
      <x:c r="K379" s="9" t="s">
        <x:v>1191</x:v>
      </x:c>
      <x:c r="L379" s="9" t="s">
        <x:v>1191</x:v>
      </x:c>
      <x:c r="M379" s="9"/>
      <x:c r="N379" s="9"/>
      <x:c r="O379" s="9" t="s">
        <x:v>1115</x:v>
      </x:c>
      <x:c r="P379" s="9" t="s">
        <x:v>115</x:v>
      </x:c>
      <x:c r="Q379" s="9" t="s">
        <x:v>45</x:v>
      </x:c>
      <x:c r="R379" s="9" t="s">
        <x:v>1192</x:v>
      </x:c>
      <x:c r="S379" s="8"/>
      <x:c r="T379" s="8" t="s">
        <x:v>27</x:v>
      </x:c>
      <x:c r="U379" s="8" t="s">
        <x:v>883</x:v>
      </x:c>
      <x:c r="V379" s="8" t="s">
        <x:v>884</x:v>
      </x:c>
    </x:row>
    <x:row r="380" ht="39" hidden="0" customHeight="1">
      <x:c r="A380" s="9" t="s">
        <x:v>1193</x:v>
      </x:c>
      <x:c r="B380" s="9" t="s">
        <x:v>1107</x:v>
      </x:c>
      <x:c r="C380" s="9" t="s">
        <x:v>1108</x:v>
      </x:c>
      <x:c r="D380" s="9" t="s">
        <x:v>1101</x:v>
      </x:c>
      <x:c r="E380" s="9" t="s">
        <x:v>1194</x:v>
      </x:c>
      <x:c r="F380" s="9" t="s">
        <x:v>1103</x:v>
      </x:c>
      <x:c r="G380" s="9" t="s">
        <x:v>181</x:v>
      </x:c>
      <x:c r="H380" s="9" t="s">
        <x:v>1111</x:v>
      </x:c>
      <x:c r="I380" s="9" t="s">
        <x:v>1112</x:v>
      </x:c>
      <x:c r="J380" s="9" t="s">
        <x:v>1113</x:v>
      </x:c>
      <x:c r="K380" s="9" t="s">
        <x:v>1195</x:v>
      </x:c>
      <x:c r="L380" s="9" t="s">
        <x:v>1195</x:v>
      </x:c>
      <x:c r="M380" s="9"/>
      <x:c r="N380" s="9"/>
      <x:c r="O380" s="9" t="s">
        <x:v>1115</x:v>
      </x:c>
      <x:c r="P380" s="9" t="s">
        <x:v>115</x:v>
      </x:c>
      <x:c r="Q380" s="9" t="s">
        <x:v>45</x:v>
      </x:c>
      <x:c r="R380" s="9" t="s">
        <x:v>1105</x:v>
      </x:c>
      <x:c r="S380" s="8"/>
      <x:c r="T380" s="8" t="s">
        <x:v>27</x:v>
      </x:c>
      <x:c r="U380" s="8" t="s">
        <x:v>883</x:v>
      </x:c>
      <x:c r="V380" s="8" t="s">
        <x:v>884</x:v>
      </x:c>
    </x:row>
    <x:row r="381" ht="52.5" hidden="0" customHeight="1">
      <x:c r="A381" s="9" t="s">
        <x:v>1196</x:v>
      </x:c>
      <x:c r="B381" s="9" t="s">
        <x:v>1197</x:v>
      </x:c>
      <x:c r="C381" s="9" t="s">
        <x:v>1198</x:v>
      </x:c>
      <x:c r="D381" s="9" t="s">
        <x:v>106</x:v>
      </x:c>
      <x:c r="E381" s="9" t="s">
        <x:v>1199</x:v>
      </x:c>
      <x:c r="F381" s="9" t="s">
        <x:v>1110</x:v>
      </x:c>
      <x:c r="G381" s="9" t="s">
        <x:v>109</x:v>
      </x:c>
      <x:c r="H381" s="9" t="s">
        <x:v>1200</x:v>
      </x:c>
      <x:c r="I381" s="9" t="s">
        <x:v>1201</x:v>
      </x:c>
      <x:c r="J381" s="9" t="s">
        <x:v>1202</x:v>
      </x:c>
      <x:c r="K381" s="9" t="s">
        <x:v>1203</x:v>
      </x:c>
      <x:c r="L381" s="9" t="s">
        <x:v>1203</x:v>
      </x:c>
      <x:c r="M381" s="9"/>
      <x:c r="N381" s="9"/>
      <x:c r="O381" s="9" t="s">
        <x:v>1204</x:v>
      </x:c>
      <x:c r="P381" s="9" t="s">
        <x:v>115</x:v>
      </x:c>
      <x:c r="Q381" s="9" t="s">
        <x:v>45</x:v>
      </x:c>
      <x:c r="R381" s="9"/>
      <x:c r="S381" s="8"/>
      <x:c r="T381" s="8" t="s">
        <x:v>27</x:v>
      </x:c>
      <x:c r="U381" s="8" t="s">
        <x:v>883</x:v>
      </x:c>
      <x:c r="V381" s="8" t="s">
        <x:v>884</x:v>
      </x:c>
    </x:row>
    <x:row r="382" ht="52.5" hidden="0" customHeight="1">
      <x:c r="A382" s="9" t="s">
        <x:v>1205</x:v>
      </x:c>
      <x:c r="B382" s="9" t="s">
        <x:v>1197</x:v>
      </x:c>
      <x:c r="C382" s="9" t="s">
        <x:v>1198</x:v>
      </x:c>
      <x:c r="D382" s="9" t="s">
        <x:v>886</x:v>
      </x:c>
      <x:c r="E382" s="9" t="s">
        <x:v>1206</x:v>
      </x:c>
      <x:c r="F382" s="9" t="s">
        <x:v>1110</x:v>
      </x:c>
      <x:c r="G382" s="9" t="s">
        <x:v>109</x:v>
      </x:c>
      <x:c r="H382" s="9" t="s">
        <x:v>1200</x:v>
      </x:c>
      <x:c r="I382" s="9" t="s">
        <x:v>1201</x:v>
      </x:c>
      <x:c r="J382" s="9" t="s">
        <x:v>1202</x:v>
      </x:c>
      <x:c r="K382" s="9" t="s">
        <x:v>1203</x:v>
      </x:c>
      <x:c r="L382" s="9" t="s">
        <x:v>1203</x:v>
      </x:c>
      <x:c r="M382" s="9"/>
      <x:c r="N382" s="9"/>
      <x:c r="O382" s="9" t="s">
        <x:v>1204</x:v>
      </x:c>
      <x:c r="P382" s="9" t="s">
        <x:v>115</x:v>
      </x:c>
      <x:c r="Q382" s="9" t="s">
        <x:v>45</x:v>
      </x:c>
      <x:c r="R382" s="9"/>
      <x:c r="S382" s="8"/>
      <x:c r="T382" s="8" t="s">
        <x:v>27</x:v>
      </x:c>
      <x:c r="U382" s="8" t="s">
        <x:v>883</x:v>
      </x:c>
      <x:c r="V382" s="8" t="s">
        <x:v>884</x:v>
      </x:c>
    </x:row>
    <x:row r="383" ht="52.5" hidden="0" customHeight="1">
      <x:c r="A383" s="9" t="s">
        <x:v>1207</x:v>
      </x:c>
      <x:c r="B383" s="9" t="s">
        <x:v>1197</x:v>
      </x:c>
      <x:c r="C383" s="9" t="s">
        <x:v>1198</x:v>
      </x:c>
      <x:c r="D383" s="9" t="s">
        <x:v>1208</x:v>
      </x:c>
      <x:c r="E383" s="9" t="s">
        <x:v>1209</x:v>
      </x:c>
      <x:c r="F383" s="9" t="s">
        <x:v>1110</x:v>
      </x:c>
      <x:c r="G383" s="9" t="s">
        <x:v>109</x:v>
      </x:c>
      <x:c r="H383" s="9" t="s">
        <x:v>1200</x:v>
      </x:c>
      <x:c r="I383" s="9" t="s">
        <x:v>1201</x:v>
      </x:c>
      <x:c r="J383" s="9" t="s">
        <x:v>1202</x:v>
      </x:c>
      <x:c r="K383" s="9" t="s">
        <x:v>1203</x:v>
      </x:c>
      <x:c r="L383" s="9" t="s">
        <x:v>1203</x:v>
      </x:c>
      <x:c r="M383" s="9"/>
      <x:c r="N383" s="9"/>
      <x:c r="O383" s="9" t="s">
        <x:v>1204</x:v>
      </x:c>
      <x:c r="P383" s="9" t="s">
        <x:v>115</x:v>
      </x:c>
      <x:c r="Q383" s="9" t="s">
        <x:v>45</x:v>
      </x:c>
      <x:c r="R383" s="9"/>
      <x:c r="S383" s="8"/>
      <x:c r="T383" s="8" t="s">
        <x:v>27</x:v>
      </x:c>
      <x:c r="U383" s="8" t="s">
        <x:v>883</x:v>
      </x:c>
      <x:c r="V383" s="8" t="s">
        <x:v>884</x:v>
      </x:c>
    </x:row>
    <x:row r="384" ht="52.5" hidden="0" customHeight="1">
      <x:c r="A384" s="9" t="s">
        <x:v>1210</x:v>
      </x:c>
      <x:c r="B384" s="9" t="s">
        <x:v>1197</x:v>
      </x:c>
      <x:c r="C384" s="9" t="s">
        <x:v>1198</x:v>
      </x:c>
      <x:c r="D384" s="9" t="s">
        <x:v>1211</x:v>
      </x:c>
      <x:c r="E384" s="9" t="s">
        <x:v>1212</x:v>
      </x:c>
      <x:c r="F384" s="9" t="s">
        <x:v>1110</x:v>
      </x:c>
      <x:c r="G384" s="9" t="s">
        <x:v>109</x:v>
      </x:c>
      <x:c r="H384" s="9" t="s">
        <x:v>1200</x:v>
      </x:c>
      <x:c r="I384" s="9" t="s">
        <x:v>1201</x:v>
      </x:c>
      <x:c r="J384" s="9" t="s">
        <x:v>1202</x:v>
      </x:c>
      <x:c r="K384" s="9" t="s">
        <x:v>1203</x:v>
      </x:c>
      <x:c r="L384" s="9" t="s">
        <x:v>1203</x:v>
      </x:c>
      <x:c r="M384" s="9"/>
      <x:c r="N384" s="9"/>
      <x:c r="O384" s="9" t="s">
        <x:v>1204</x:v>
      </x:c>
      <x:c r="P384" s="9" t="s">
        <x:v>115</x:v>
      </x:c>
      <x:c r="Q384" s="9" t="s">
        <x:v>45</x:v>
      </x:c>
      <x:c r="R384" s="9"/>
      <x:c r="S384" s="8"/>
      <x:c r="T384" s="8" t="s">
        <x:v>27</x:v>
      </x:c>
      <x:c r="U384" s="8" t="s">
        <x:v>883</x:v>
      </x:c>
      <x:c r="V384" s="8" t="s">
        <x:v>884</x:v>
      </x:c>
    </x:row>
    <x:row r="385" ht="52.5" hidden="0" customHeight="1">
      <x:c r="A385" s="9" t="s">
        <x:v>1213</x:v>
      </x:c>
      <x:c r="B385" s="9" t="s">
        <x:v>1197</x:v>
      </x:c>
      <x:c r="C385" s="9" t="s">
        <x:v>1198</x:v>
      </x:c>
      <x:c r="D385" s="9" t="s">
        <x:v>131</x:v>
      </x:c>
      <x:c r="E385" s="9" t="s">
        <x:v>1214</x:v>
      </x:c>
      <x:c r="F385" s="9" t="s">
        <x:v>1110</x:v>
      </x:c>
      <x:c r="G385" s="9" t="s">
        <x:v>109</x:v>
      </x:c>
      <x:c r="H385" s="9" t="s">
        <x:v>1200</x:v>
      </x:c>
      <x:c r="I385" s="9" t="s">
        <x:v>1201</x:v>
      </x:c>
      <x:c r="J385" s="9" t="s">
        <x:v>1202</x:v>
      </x:c>
      <x:c r="K385" s="9" t="s">
        <x:v>1203</x:v>
      </x:c>
      <x:c r="L385" s="9" t="s">
        <x:v>1203</x:v>
      </x:c>
      <x:c r="M385" s="9"/>
      <x:c r="N385" s="9"/>
      <x:c r="O385" s="9" t="s">
        <x:v>1204</x:v>
      </x:c>
      <x:c r="P385" s="9" t="s">
        <x:v>115</x:v>
      </x:c>
      <x:c r="Q385" s="9" t="s">
        <x:v>45</x:v>
      </x:c>
      <x:c r="R385" s="9"/>
      <x:c r="S385" s="8"/>
      <x:c r="T385" s="8" t="s">
        <x:v>27</x:v>
      </x:c>
      <x:c r="U385" s="8" t="s">
        <x:v>883</x:v>
      </x:c>
      <x:c r="V385" s="8" t="s">
        <x:v>884</x:v>
      </x:c>
    </x:row>
    <x:row r="386" ht="52.5" hidden="0" customHeight="1">
      <x:c r="A386" s="9" t="s">
        <x:v>1215</x:v>
      </x:c>
      <x:c r="B386" s="9" t="s">
        <x:v>1197</x:v>
      </x:c>
      <x:c r="C386" s="9" t="s">
        <x:v>1198</x:v>
      </x:c>
      <x:c r="D386" s="9" t="s">
        <x:v>131</x:v>
      </x:c>
      <x:c r="E386" s="9" t="s">
        <x:v>1216</x:v>
      </x:c>
      <x:c r="F386" s="9" t="s">
        <x:v>1110</x:v>
      </x:c>
      <x:c r="G386" s="9" t="s">
        <x:v>109</x:v>
      </x:c>
      <x:c r="H386" s="9" t="s">
        <x:v>1200</x:v>
      </x:c>
      <x:c r="I386" s="9" t="s">
        <x:v>1201</x:v>
      </x:c>
      <x:c r="J386" s="9" t="s">
        <x:v>1202</x:v>
      </x:c>
      <x:c r="K386" s="9" t="s">
        <x:v>1203</x:v>
      </x:c>
      <x:c r="L386" s="9" t="s">
        <x:v>1203</x:v>
      </x:c>
      <x:c r="M386" s="9"/>
      <x:c r="N386" s="9"/>
      <x:c r="O386" s="9" t="s">
        <x:v>1204</x:v>
      </x:c>
      <x:c r="P386" s="9" t="s">
        <x:v>115</x:v>
      </x:c>
      <x:c r="Q386" s="9" t="s">
        <x:v>45</x:v>
      </x:c>
      <x:c r="R386" s="9"/>
      <x:c r="S386" s="8"/>
      <x:c r="T386" s="8" t="s">
        <x:v>27</x:v>
      </x:c>
      <x:c r="U386" s="8" t="s">
        <x:v>883</x:v>
      </x:c>
      <x:c r="V386" s="8" t="s">
        <x:v>884</x:v>
      </x:c>
    </x:row>
    <x:row r="387" ht="52.5" hidden="0" customHeight="1">
      <x:c r="A387" s="9" t="s">
        <x:v>1217</x:v>
      </x:c>
      <x:c r="B387" s="9" t="s">
        <x:v>1197</x:v>
      </x:c>
      <x:c r="C387" s="9" t="s">
        <x:v>1198</x:v>
      </x:c>
      <x:c r="D387" s="9" t="s">
        <x:v>131</x:v>
      </x:c>
      <x:c r="E387" s="9" t="s">
        <x:v>1218</x:v>
      </x:c>
      <x:c r="F387" s="9" t="s">
        <x:v>1110</x:v>
      </x:c>
      <x:c r="G387" s="9" t="s">
        <x:v>109</x:v>
      </x:c>
      <x:c r="H387" s="9" t="s">
        <x:v>1200</x:v>
      </x:c>
      <x:c r="I387" s="9" t="s">
        <x:v>1201</x:v>
      </x:c>
      <x:c r="J387" s="9" t="s">
        <x:v>1202</x:v>
      </x:c>
      <x:c r="K387" s="9" t="s">
        <x:v>1203</x:v>
      </x:c>
      <x:c r="L387" s="9" t="s">
        <x:v>1203</x:v>
      </x:c>
      <x:c r="M387" s="9"/>
      <x:c r="N387" s="9"/>
      <x:c r="O387" s="9" t="s">
        <x:v>1204</x:v>
      </x:c>
      <x:c r="P387" s="9" t="s">
        <x:v>115</x:v>
      </x:c>
      <x:c r="Q387" s="9" t="s">
        <x:v>45</x:v>
      </x:c>
      <x:c r="R387" s="9"/>
      <x:c r="S387" s="8"/>
      <x:c r="T387" s="8" t="s">
        <x:v>27</x:v>
      </x:c>
      <x:c r="U387" s="8" t="s">
        <x:v>883</x:v>
      </x:c>
      <x:c r="V387" s="8" t="s">
        <x:v>884</x:v>
      </x:c>
    </x:row>
    <x:row r="388" ht="52.5" hidden="0" customHeight="1">
      <x:c r="A388" s="9" t="s">
        <x:v>1219</x:v>
      </x:c>
      <x:c r="B388" s="9" t="s">
        <x:v>1197</x:v>
      </x:c>
      <x:c r="C388" s="9" t="s">
        <x:v>1198</x:v>
      </x:c>
      <x:c r="D388" s="9" t="s">
        <x:v>131</x:v>
      </x:c>
      <x:c r="E388" s="9" t="s">
        <x:v>1220</x:v>
      </x:c>
      <x:c r="F388" s="9" t="s">
        <x:v>1221</x:v>
      </x:c>
      <x:c r="G388" s="9" t="s">
        <x:v>109</x:v>
      </x:c>
      <x:c r="H388" s="9" t="s">
        <x:v>1200</x:v>
      </x:c>
      <x:c r="I388" s="9" t="s">
        <x:v>1201</x:v>
      </x:c>
      <x:c r="J388" s="9" t="s">
        <x:v>1202</x:v>
      </x:c>
      <x:c r="K388" s="9" t="s">
        <x:v>1222</x:v>
      </x:c>
      <x:c r="L388" s="9" t="s">
        <x:v>1222</x:v>
      </x:c>
      <x:c r="M388" s="9"/>
      <x:c r="N388" s="9"/>
      <x:c r="O388" s="9" t="s">
        <x:v>1204</x:v>
      </x:c>
      <x:c r="P388" s="9" t="s">
        <x:v>115</x:v>
      </x:c>
      <x:c r="Q388" s="9" t="s">
        <x:v>45</x:v>
      </x:c>
      <x:c r="R388" s="9"/>
      <x:c r="S388" s="8"/>
      <x:c r="T388" s="8" t="s">
        <x:v>27</x:v>
      </x:c>
      <x:c r="U388" s="8" t="s">
        <x:v>883</x:v>
      </x:c>
      <x:c r="V388" s="8" t="s">
        <x:v>884</x:v>
      </x:c>
    </x:row>
    <x:row r="389" ht="52.5" hidden="0" customHeight="1">
      <x:c r="A389" s="9" t="s">
        <x:v>1223</x:v>
      </x:c>
      <x:c r="B389" s="9" t="s">
        <x:v>1197</x:v>
      </x:c>
      <x:c r="C389" s="9" t="s">
        <x:v>1198</x:v>
      </x:c>
      <x:c r="D389" s="9" t="s">
        <x:v>1224</x:v>
      </x:c>
      <x:c r="E389" s="9" t="s">
        <x:v>1225</x:v>
      </x:c>
      <x:c r="F389" s="9" t="s">
        <x:v>1221</x:v>
      </x:c>
      <x:c r="G389" s="9" t="s">
        <x:v>109</x:v>
      </x:c>
      <x:c r="H389" s="9" t="s">
        <x:v>1200</x:v>
      </x:c>
      <x:c r="I389" s="9" t="s">
        <x:v>1201</x:v>
      </x:c>
      <x:c r="J389" s="9" t="s">
        <x:v>1202</x:v>
      </x:c>
      <x:c r="K389" s="9" t="s">
        <x:v>1222</x:v>
      </x:c>
      <x:c r="L389" s="9" t="s">
        <x:v>1222</x:v>
      </x:c>
      <x:c r="M389" s="9"/>
      <x:c r="N389" s="9"/>
      <x:c r="O389" s="9" t="s">
        <x:v>1204</x:v>
      </x:c>
      <x:c r="P389" s="9" t="s">
        <x:v>115</x:v>
      </x:c>
      <x:c r="Q389" s="9" t="s">
        <x:v>45</x:v>
      </x:c>
      <x:c r="R389" s="9"/>
      <x:c r="S389" s="8"/>
      <x:c r="T389" s="8" t="s">
        <x:v>27</x:v>
      </x:c>
      <x:c r="U389" s="8" t="s">
        <x:v>883</x:v>
      </x:c>
      <x:c r="V389" s="8" t="s">
        <x:v>884</x:v>
      </x:c>
    </x:row>
    <x:row r="390" ht="52.5" hidden="0" customHeight="1">
      <x:c r="A390" s="9" t="s">
        <x:v>1226</x:v>
      </x:c>
      <x:c r="B390" s="9" t="s">
        <x:v>1197</x:v>
      </x:c>
      <x:c r="C390" s="9" t="s">
        <x:v>1198</x:v>
      </x:c>
      <x:c r="D390" s="9" t="s">
        <x:v>1227</x:v>
      </x:c>
      <x:c r="E390" s="9" t="s">
        <x:v>1228</x:v>
      </x:c>
      <x:c r="F390" s="9" t="s">
        <x:v>1221</x:v>
      </x:c>
      <x:c r="G390" s="9" t="s">
        <x:v>109</x:v>
      </x:c>
      <x:c r="H390" s="9" t="s">
        <x:v>1200</x:v>
      </x:c>
      <x:c r="I390" s="9" t="s">
        <x:v>1201</x:v>
      </x:c>
      <x:c r="J390" s="9" t="s">
        <x:v>1202</x:v>
      </x:c>
      <x:c r="K390" s="9" t="s">
        <x:v>1222</x:v>
      </x:c>
      <x:c r="L390" s="9" t="s">
        <x:v>1222</x:v>
      </x:c>
      <x:c r="M390" s="9"/>
      <x:c r="N390" s="9"/>
      <x:c r="O390" s="9" t="s">
        <x:v>1204</x:v>
      </x:c>
      <x:c r="P390" s="9" t="s">
        <x:v>115</x:v>
      </x:c>
      <x:c r="Q390" s="9" t="s">
        <x:v>45</x:v>
      </x:c>
      <x:c r="R390" s="9"/>
      <x:c r="S390" s="8"/>
      <x:c r="T390" s="8" t="s">
        <x:v>27</x:v>
      </x:c>
      <x:c r="U390" s="8" t="s">
        <x:v>883</x:v>
      </x:c>
      <x:c r="V390" s="8" t="s">
        <x:v>884</x:v>
      </x:c>
    </x:row>
    <x:row r="391" ht="52.5" hidden="0" customHeight="1">
      <x:c r="A391" s="9" t="s">
        <x:v>1229</x:v>
      </x:c>
      <x:c r="B391" s="9" t="s">
        <x:v>1197</x:v>
      </x:c>
      <x:c r="C391" s="9" t="s">
        <x:v>1198</x:v>
      </x:c>
      <x:c r="D391" s="9" t="s">
        <x:v>1230</x:v>
      </x:c>
      <x:c r="E391" s="9" t="s">
        <x:v>1231</x:v>
      </x:c>
      <x:c r="F391" s="9" t="s">
        <x:v>1221</x:v>
      </x:c>
      <x:c r="G391" s="9" t="s">
        <x:v>109</x:v>
      </x:c>
      <x:c r="H391" s="9" t="s">
        <x:v>1200</x:v>
      </x:c>
      <x:c r="I391" s="9" t="s">
        <x:v>1201</x:v>
      </x:c>
      <x:c r="J391" s="9" t="s">
        <x:v>1202</x:v>
      </x:c>
      <x:c r="K391" s="9" t="s">
        <x:v>1222</x:v>
      </x:c>
      <x:c r="L391" s="9" t="s">
        <x:v>1222</x:v>
      </x:c>
      <x:c r="M391" s="9"/>
      <x:c r="N391" s="9"/>
      <x:c r="O391" s="9" t="s">
        <x:v>1204</x:v>
      </x:c>
      <x:c r="P391" s="9" t="s">
        <x:v>115</x:v>
      </x:c>
      <x:c r="Q391" s="9" t="s">
        <x:v>45</x:v>
      </x:c>
      <x:c r="R391" s="9"/>
      <x:c r="S391" s="8"/>
      <x:c r="T391" s="8" t="s">
        <x:v>27</x:v>
      </x:c>
      <x:c r="U391" s="8" t="s">
        <x:v>883</x:v>
      </x:c>
      <x:c r="V391" s="8" t="s">
        <x:v>884</x:v>
      </x:c>
    </x:row>
    <x:row r="392" ht="52.5" hidden="0" customHeight="1">
      <x:c r="A392" s="9" t="s">
        <x:v>1232</x:v>
      </x:c>
      <x:c r="B392" s="9" t="s">
        <x:v>1197</x:v>
      </x:c>
      <x:c r="C392" s="9" t="s">
        <x:v>1198</x:v>
      </x:c>
      <x:c r="D392" s="9" t="s">
        <x:v>157</x:v>
      </x:c>
      <x:c r="E392" s="9" t="s">
        <x:v>1233</x:v>
      </x:c>
      <x:c r="F392" s="9" t="s">
        <x:v>1221</x:v>
      </x:c>
      <x:c r="G392" s="9" t="s">
        <x:v>109</x:v>
      </x:c>
      <x:c r="H392" s="9" t="s">
        <x:v>1200</x:v>
      </x:c>
      <x:c r="I392" s="9" t="s">
        <x:v>1201</x:v>
      </x:c>
      <x:c r="J392" s="9" t="s">
        <x:v>1202</x:v>
      </x:c>
      <x:c r="K392" s="9" t="s">
        <x:v>1222</x:v>
      </x:c>
      <x:c r="L392" s="9" t="s">
        <x:v>1222</x:v>
      </x:c>
      <x:c r="M392" s="9"/>
      <x:c r="N392" s="9"/>
      <x:c r="O392" s="9" t="s">
        <x:v>1204</x:v>
      </x:c>
      <x:c r="P392" s="9" t="s">
        <x:v>115</x:v>
      </x:c>
      <x:c r="Q392" s="9" t="s">
        <x:v>45</x:v>
      </x:c>
      <x:c r="R392" s="9"/>
      <x:c r="S392" s="8"/>
      <x:c r="T392" s="8" t="s">
        <x:v>27</x:v>
      </x:c>
      <x:c r="U392" s="8" t="s">
        <x:v>883</x:v>
      </x:c>
      <x:c r="V392" s="8" t="s">
        <x:v>884</x:v>
      </x:c>
    </x:row>
    <x:row r="393" ht="52.5" hidden="0" customHeight="1">
      <x:c r="A393" s="9" t="s">
        <x:v>1234</x:v>
      </x:c>
      <x:c r="B393" s="9" t="s">
        <x:v>1197</x:v>
      </x:c>
      <x:c r="C393" s="9" t="s">
        <x:v>1198</x:v>
      </x:c>
      <x:c r="D393" s="9" t="s">
        <x:v>131</x:v>
      </x:c>
      <x:c r="E393" s="9" t="s">
        <x:v>1235</x:v>
      </x:c>
      <x:c r="F393" s="9" t="s">
        <x:v>1110</x:v>
      </x:c>
      <x:c r="G393" s="9" t="s">
        <x:v>109</x:v>
      </x:c>
      <x:c r="H393" s="9" t="s">
        <x:v>1200</x:v>
      </x:c>
      <x:c r="I393" s="9" t="s">
        <x:v>1201</x:v>
      </x:c>
      <x:c r="J393" s="9" t="s">
        <x:v>1202</x:v>
      </x:c>
      <x:c r="K393" s="9" t="s">
        <x:v>1236</x:v>
      </x:c>
      <x:c r="L393" s="9" t="s">
        <x:v>1236</x:v>
      </x:c>
      <x:c r="M393" s="9"/>
      <x:c r="N393" s="9"/>
      <x:c r="O393" s="9" t="s">
        <x:v>1204</x:v>
      </x:c>
      <x:c r="P393" s="9" t="s">
        <x:v>115</x:v>
      </x:c>
      <x:c r="Q393" s="9" t="s">
        <x:v>45</x:v>
      </x:c>
      <x:c r="R393" s="9"/>
      <x:c r="S393" s="8"/>
      <x:c r="T393" s="8" t="s">
        <x:v>27</x:v>
      </x:c>
      <x:c r="U393" s="8" t="s">
        <x:v>883</x:v>
      </x:c>
      <x:c r="V393" s="8" t="s">
        <x:v>884</x:v>
      </x:c>
    </x:row>
    <x:row r="394" ht="52.5" hidden="0" customHeight="1">
      <x:c r="A394" s="9" t="s">
        <x:v>1237</x:v>
      </x:c>
      <x:c r="B394" s="9" t="s">
        <x:v>1197</x:v>
      </x:c>
      <x:c r="C394" s="9" t="s">
        <x:v>1198</x:v>
      </x:c>
      <x:c r="D394" s="9" t="s">
        <x:v>924</x:v>
      </x:c>
      <x:c r="E394" s="9" t="s">
        <x:v>1238</x:v>
      </x:c>
      <x:c r="F394" s="9" t="s">
        <x:v>1239</x:v>
      </x:c>
      <x:c r="G394" s="9" t="s">
        <x:v>109</x:v>
      </x:c>
      <x:c r="H394" s="9" t="s">
        <x:v>1200</x:v>
      </x:c>
      <x:c r="I394" s="9" t="s">
        <x:v>1201</x:v>
      </x:c>
      <x:c r="J394" s="9" t="s">
        <x:v>1202</x:v>
      </x:c>
      <x:c r="K394" s="9" t="s">
        <x:v>1240</x:v>
      </x:c>
      <x:c r="L394" s="9" t="s">
        <x:v>1240</x:v>
      </x:c>
      <x:c r="M394" s="9"/>
      <x:c r="N394" s="9"/>
      <x:c r="O394" s="9" t="s">
        <x:v>1204</x:v>
      </x:c>
      <x:c r="P394" s="9" t="s">
        <x:v>115</x:v>
      </x:c>
      <x:c r="Q394" s="9" t="s">
        <x:v>45</x:v>
      </x:c>
      <x:c r="R394" s="9"/>
      <x:c r="S394" s="8"/>
      <x:c r="T394" s="8" t="s">
        <x:v>27</x:v>
      </x:c>
      <x:c r="U394" s="8" t="s">
        <x:v>883</x:v>
      </x:c>
      <x:c r="V394" s="8" t="s">
        <x:v>884</x:v>
      </x:c>
    </x:row>
    <x:row r="395" ht="52.5" hidden="0" customHeight="1">
      <x:c r="A395" s="9" t="s">
        <x:v>1241</x:v>
      </x:c>
      <x:c r="B395" s="9" t="s">
        <x:v>1197</x:v>
      </x:c>
      <x:c r="C395" s="9" t="s">
        <x:v>1198</x:v>
      </x:c>
      <x:c r="D395" s="9" t="s">
        <x:v>1242</x:v>
      </x:c>
      <x:c r="E395" s="9" t="s">
        <x:v>1243</x:v>
      </x:c>
      <x:c r="F395" s="9" t="s">
        <x:v>1244</x:v>
      </x:c>
      <x:c r="G395" s="9" t="s">
        <x:v>109</x:v>
      </x:c>
      <x:c r="H395" s="9" t="s">
        <x:v>1200</x:v>
      </x:c>
      <x:c r="I395" s="9" t="s">
        <x:v>1201</x:v>
      </x:c>
      <x:c r="J395" s="9" t="s">
        <x:v>1202</x:v>
      </x:c>
      <x:c r="K395" s="9" t="s">
        <x:v>1245</x:v>
      </x:c>
      <x:c r="L395" s="9" t="s">
        <x:v>1245</x:v>
      </x:c>
      <x:c r="M395" s="9"/>
      <x:c r="N395" s="9"/>
      <x:c r="O395" s="9" t="s">
        <x:v>1204</x:v>
      </x:c>
      <x:c r="P395" s="9" t="s">
        <x:v>115</x:v>
      </x:c>
      <x:c r="Q395" s="9" t="s">
        <x:v>45</x:v>
      </x:c>
      <x:c r="R395" s="9"/>
      <x:c r="S395" s="8"/>
      <x:c r="T395" s="8" t="s">
        <x:v>27</x:v>
      </x:c>
      <x:c r="U395" s="8" t="s">
        <x:v>883</x:v>
      </x:c>
      <x:c r="V395" s="8" t="s">
        <x:v>884</x:v>
      </x:c>
    </x:row>
    <x:row r="396" ht="52.5" hidden="0" customHeight="1">
      <x:c r="A396" s="9" t="s">
        <x:v>1246</x:v>
      </x:c>
      <x:c r="B396" s="9" t="s">
        <x:v>1197</x:v>
      </x:c>
      <x:c r="C396" s="9" t="s">
        <x:v>1198</x:v>
      </x:c>
      <x:c r="D396" s="9" t="s">
        <x:v>184</x:v>
      </x:c>
      <x:c r="E396" s="9" t="s">
        <x:v>1247</x:v>
      </x:c>
      <x:c r="F396" s="9" t="s">
        <x:v>1239</x:v>
      </x:c>
      <x:c r="G396" s="9" t="s">
        <x:v>187</x:v>
      </x:c>
      <x:c r="H396" s="9" t="s">
        <x:v>1200</x:v>
      </x:c>
      <x:c r="I396" s="9" t="s">
        <x:v>1201</x:v>
      </x:c>
      <x:c r="J396" s="9" t="s">
        <x:v>1202</x:v>
      </x:c>
      <x:c r="K396" s="9" t="s">
        <x:v>1248</x:v>
      </x:c>
      <x:c r="L396" s="9" t="s">
        <x:v>1248</x:v>
      </x:c>
      <x:c r="M396" s="9"/>
      <x:c r="N396" s="9"/>
      <x:c r="O396" s="9" t="s">
        <x:v>1204</x:v>
      </x:c>
      <x:c r="P396" s="9" t="s">
        <x:v>115</x:v>
      </x:c>
      <x:c r="Q396" s="9" t="s">
        <x:v>45</x:v>
      </x:c>
      <x:c r="R396" s="9"/>
      <x:c r="S396" s="8"/>
      <x:c r="T396" s="8" t="s">
        <x:v>27</x:v>
      </x:c>
      <x:c r="U396" s="8" t="s">
        <x:v>883</x:v>
      </x:c>
      <x:c r="V396" s="8" t="s">
        <x:v>884</x:v>
      </x:c>
    </x:row>
    <x:row r="397" ht="52.5" hidden="0" customHeight="1">
      <x:c r="A397" s="9" t="s">
        <x:v>1249</x:v>
      </x:c>
      <x:c r="B397" s="9" t="s">
        <x:v>1197</x:v>
      </x:c>
      <x:c r="C397" s="9" t="s">
        <x:v>1198</x:v>
      </x:c>
      <x:c r="D397" s="9" t="s">
        <x:v>184</x:v>
      </x:c>
      <x:c r="E397" s="9" t="s">
        <x:v>1250</x:v>
      </x:c>
      <x:c r="F397" s="9" t="s">
        <x:v>1239</x:v>
      </x:c>
      <x:c r="G397" s="9" t="s">
        <x:v>187</x:v>
      </x:c>
      <x:c r="H397" s="9" t="s">
        <x:v>1200</x:v>
      </x:c>
      <x:c r="I397" s="9" t="s">
        <x:v>1201</x:v>
      </x:c>
      <x:c r="J397" s="9" t="s">
        <x:v>1202</x:v>
      </x:c>
      <x:c r="K397" s="9" t="s">
        <x:v>1248</x:v>
      </x:c>
      <x:c r="L397" s="9" t="s">
        <x:v>1248</x:v>
      </x:c>
      <x:c r="M397" s="9"/>
      <x:c r="N397" s="9"/>
      <x:c r="O397" s="9" t="s">
        <x:v>1204</x:v>
      </x:c>
      <x:c r="P397" s="9" t="s">
        <x:v>115</x:v>
      </x:c>
      <x:c r="Q397" s="9" t="s">
        <x:v>45</x:v>
      </x:c>
      <x:c r="R397" s="9"/>
      <x:c r="S397" s="8"/>
      <x:c r="T397" s="8" t="s">
        <x:v>27</x:v>
      </x:c>
      <x:c r="U397" s="8" t="s">
        <x:v>883</x:v>
      </x:c>
      <x:c r="V397" s="8" t="s">
        <x:v>884</x:v>
      </x:c>
    </x:row>
    <x:row r="398" ht="52.5" hidden="0" customHeight="1">
      <x:c r="A398" s="9" t="s">
        <x:v>1251</x:v>
      </x:c>
      <x:c r="B398" s="9" t="s">
        <x:v>1197</x:v>
      </x:c>
      <x:c r="C398" s="9" t="s">
        <x:v>1198</x:v>
      </x:c>
      <x:c r="D398" s="9" t="s">
        <x:v>184</x:v>
      </x:c>
      <x:c r="E398" s="9" t="s">
        <x:v>1252</x:v>
      </x:c>
      <x:c r="F398" s="9" t="s">
        <x:v>1110</x:v>
      </x:c>
      <x:c r="G398" s="9" t="s">
        <x:v>187</x:v>
      </x:c>
      <x:c r="H398" s="9" t="s">
        <x:v>1200</x:v>
      </x:c>
      <x:c r="I398" s="9" t="s">
        <x:v>1201</x:v>
      </x:c>
      <x:c r="J398" s="9" t="s">
        <x:v>1202</x:v>
      </x:c>
      <x:c r="K398" s="9" t="s">
        <x:v>1253</x:v>
      </x:c>
      <x:c r="L398" s="9" t="s">
        <x:v>1253</x:v>
      </x:c>
      <x:c r="M398" s="9"/>
      <x:c r="N398" s="9"/>
      <x:c r="O398" s="9" t="s">
        <x:v>1204</x:v>
      </x:c>
      <x:c r="P398" s="9" t="s">
        <x:v>115</x:v>
      </x:c>
      <x:c r="Q398" s="9" t="s">
        <x:v>45</x:v>
      </x:c>
      <x:c r="R398" s="9"/>
      <x:c r="S398" s="8"/>
      <x:c r="T398" s="8" t="s">
        <x:v>27</x:v>
      </x:c>
      <x:c r="U398" s="8" t="s">
        <x:v>883</x:v>
      </x:c>
      <x:c r="V398" s="8" t="s">
        <x:v>884</x:v>
      </x:c>
    </x:row>
    <x:row r="399" ht="52.5" hidden="0" customHeight="1">
      <x:c r="A399" s="9" t="s">
        <x:v>1254</x:v>
      </x:c>
      <x:c r="B399" s="9" t="s">
        <x:v>1197</x:v>
      </x:c>
      <x:c r="C399" s="9" t="s">
        <x:v>1198</x:v>
      </x:c>
      <x:c r="D399" s="9" t="s">
        <x:v>184</x:v>
      </x:c>
      <x:c r="E399" s="9" t="s">
        <x:v>1255</x:v>
      </x:c>
      <x:c r="F399" s="9" t="s">
        <x:v>1110</x:v>
      </x:c>
      <x:c r="G399" s="9" t="s">
        <x:v>187</x:v>
      </x:c>
      <x:c r="H399" s="9" t="s">
        <x:v>1200</x:v>
      </x:c>
      <x:c r="I399" s="9" t="s">
        <x:v>1201</x:v>
      </x:c>
      <x:c r="J399" s="9" t="s">
        <x:v>1202</x:v>
      </x:c>
      <x:c r="K399" s="9" t="s">
        <x:v>1253</x:v>
      </x:c>
      <x:c r="L399" s="9" t="s">
        <x:v>1253</x:v>
      </x:c>
      <x:c r="M399" s="9"/>
      <x:c r="N399" s="9"/>
      <x:c r="O399" s="9" t="s">
        <x:v>1204</x:v>
      </x:c>
      <x:c r="P399" s="9" t="s">
        <x:v>115</x:v>
      </x:c>
      <x:c r="Q399" s="9" t="s">
        <x:v>45</x:v>
      </x:c>
      <x:c r="R399" s="9"/>
      <x:c r="S399" s="8"/>
      <x:c r="T399" s="8" t="s">
        <x:v>27</x:v>
      </x:c>
      <x:c r="U399" s="8" t="s">
        <x:v>883</x:v>
      </x:c>
      <x:c r="V399" s="8" t="s">
        <x:v>884</x:v>
      </x:c>
    </x:row>
    <x:row r="400" ht="52.5" hidden="0" customHeight="1">
      <x:c r="A400" s="9" t="s">
        <x:v>1256</x:v>
      </x:c>
      <x:c r="B400" s="9" t="s">
        <x:v>1197</x:v>
      </x:c>
      <x:c r="C400" s="9" t="s">
        <x:v>1198</x:v>
      </x:c>
      <x:c r="D400" s="9" t="s">
        <x:v>184</x:v>
      </x:c>
      <x:c r="E400" s="9" t="s">
        <x:v>1257</x:v>
      </x:c>
      <x:c r="F400" s="9" t="s">
        <x:v>1110</x:v>
      </x:c>
      <x:c r="G400" s="9" t="s">
        <x:v>187</x:v>
      </x:c>
      <x:c r="H400" s="9" t="s">
        <x:v>1200</x:v>
      </x:c>
      <x:c r="I400" s="9" t="s">
        <x:v>1201</x:v>
      </x:c>
      <x:c r="J400" s="9" t="s">
        <x:v>1202</x:v>
      </x:c>
      <x:c r="K400" s="9" t="s">
        <x:v>1253</x:v>
      </x:c>
      <x:c r="L400" s="9" t="s">
        <x:v>1253</x:v>
      </x:c>
      <x:c r="M400" s="9"/>
      <x:c r="N400" s="9"/>
      <x:c r="O400" s="9" t="s">
        <x:v>1204</x:v>
      </x:c>
      <x:c r="P400" s="9" t="s">
        <x:v>115</x:v>
      </x:c>
      <x:c r="Q400" s="9" t="s">
        <x:v>45</x:v>
      </x:c>
      <x:c r="R400" s="9"/>
      <x:c r="S400" s="8"/>
      <x:c r="T400" s="8" t="s">
        <x:v>27</x:v>
      </x:c>
      <x:c r="U400" s="8" t="s">
        <x:v>883</x:v>
      </x:c>
      <x:c r="V400" s="8" t="s">
        <x:v>884</x:v>
      </x:c>
    </x:row>
    <x:row r="401" ht="52.5" hidden="0" customHeight="1">
      <x:c r="A401" s="9" t="s">
        <x:v>1258</x:v>
      </x:c>
      <x:c r="B401" s="9" t="s">
        <x:v>1197</x:v>
      </x:c>
      <x:c r="C401" s="9" t="s">
        <x:v>1198</x:v>
      </x:c>
      <x:c r="D401" s="9" t="s">
        <x:v>184</x:v>
      </x:c>
      <x:c r="E401" s="9" t="s">
        <x:v>1259</x:v>
      </x:c>
      <x:c r="F401" s="9" t="s">
        <x:v>1110</x:v>
      </x:c>
      <x:c r="G401" s="9" t="s">
        <x:v>187</x:v>
      </x:c>
      <x:c r="H401" s="9" t="s">
        <x:v>1200</x:v>
      </x:c>
      <x:c r="I401" s="9" t="s">
        <x:v>1201</x:v>
      </x:c>
      <x:c r="J401" s="9" t="s">
        <x:v>1202</x:v>
      </x:c>
      <x:c r="K401" s="9" t="s">
        <x:v>1253</x:v>
      </x:c>
      <x:c r="L401" s="9" t="s">
        <x:v>1253</x:v>
      </x:c>
      <x:c r="M401" s="9"/>
      <x:c r="N401" s="9"/>
      <x:c r="O401" s="9" t="s">
        <x:v>1204</x:v>
      </x:c>
      <x:c r="P401" s="9" t="s">
        <x:v>115</x:v>
      </x:c>
      <x:c r="Q401" s="9" t="s">
        <x:v>45</x:v>
      </x:c>
      <x:c r="R401" s="9"/>
      <x:c r="S401" s="8"/>
      <x:c r="T401" s="8" t="s">
        <x:v>27</x:v>
      </x:c>
      <x:c r="U401" s="8" t="s">
        <x:v>883</x:v>
      </x:c>
      <x:c r="V401" s="8" t="s">
        <x:v>884</x:v>
      </x:c>
    </x:row>
    <x:row r="402" ht="52.5" hidden="0" customHeight="1">
      <x:c r="A402" s="9" t="s">
        <x:v>1260</x:v>
      </x:c>
      <x:c r="B402" s="9" t="s">
        <x:v>1197</x:v>
      </x:c>
      <x:c r="C402" s="9" t="s">
        <x:v>1198</x:v>
      </x:c>
      <x:c r="D402" s="9" t="s">
        <x:v>184</x:v>
      </x:c>
      <x:c r="E402" s="9" t="s">
        <x:v>1261</x:v>
      </x:c>
      <x:c r="F402" s="9" t="s">
        <x:v>1110</x:v>
      </x:c>
      <x:c r="G402" s="9" t="s">
        <x:v>187</x:v>
      </x:c>
      <x:c r="H402" s="9" t="s">
        <x:v>1200</x:v>
      </x:c>
      <x:c r="I402" s="9" t="s">
        <x:v>1201</x:v>
      </x:c>
      <x:c r="J402" s="9" t="s">
        <x:v>1202</x:v>
      </x:c>
      <x:c r="K402" s="9" t="s">
        <x:v>1253</x:v>
      </x:c>
      <x:c r="L402" s="9" t="s">
        <x:v>1253</x:v>
      </x:c>
      <x:c r="M402" s="9"/>
      <x:c r="N402" s="9"/>
      <x:c r="O402" s="9" t="s">
        <x:v>1204</x:v>
      </x:c>
      <x:c r="P402" s="9" t="s">
        <x:v>115</x:v>
      </x:c>
      <x:c r="Q402" s="9" t="s">
        <x:v>45</x:v>
      </x:c>
      <x:c r="R402" s="9"/>
      <x:c r="S402" s="8"/>
      <x:c r="T402" s="8" t="s">
        <x:v>27</x:v>
      </x:c>
      <x:c r="U402" s="8" t="s">
        <x:v>883</x:v>
      </x:c>
      <x:c r="V402" s="8" t="s">
        <x:v>884</x:v>
      </x:c>
    </x:row>
    <x:row r="403" ht="52.5" hidden="0" customHeight="1">
      <x:c r="A403" s="9" t="s">
        <x:v>1262</x:v>
      </x:c>
      <x:c r="B403" s="9" t="s">
        <x:v>1197</x:v>
      </x:c>
      <x:c r="C403" s="9" t="s">
        <x:v>1198</x:v>
      </x:c>
      <x:c r="D403" s="9" t="s">
        <x:v>190</x:v>
      </x:c>
      <x:c r="E403" s="9" t="s">
        <x:v>1263</x:v>
      </x:c>
      <x:c r="F403" s="9" t="s">
        <x:v>1110</x:v>
      </x:c>
      <x:c r="G403" s="9" t="s">
        <x:v>109</x:v>
      </x:c>
      <x:c r="H403" s="9" t="s">
        <x:v>1200</x:v>
      </x:c>
      <x:c r="I403" s="9" t="s">
        <x:v>1201</x:v>
      </x:c>
      <x:c r="J403" s="9" t="s">
        <x:v>1202</x:v>
      </x:c>
      <x:c r="K403" s="9" t="s">
        <x:v>1264</x:v>
      </x:c>
      <x:c r="L403" s="9" t="s">
        <x:v>1264</x:v>
      </x:c>
      <x:c r="M403" s="9"/>
      <x:c r="N403" s="9"/>
      <x:c r="O403" s="9" t="s">
        <x:v>1204</x:v>
      </x:c>
      <x:c r="P403" s="9" t="s">
        <x:v>115</x:v>
      </x:c>
      <x:c r="Q403" s="9" t="s">
        <x:v>45</x:v>
      </x:c>
      <x:c r="R403" s="9"/>
      <x:c r="S403" s="8"/>
      <x:c r="T403" s="8" t="s">
        <x:v>27</x:v>
      </x:c>
      <x:c r="U403" s="8" t="s">
        <x:v>883</x:v>
      </x:c>
      <x:c r="V403" s="8" t="s">
        <x:v>884</x:v>
      </x:c>
    </x:row>
    <x:row r="404" ht="52.5" hidden="0" customHeight="1">
      <x:c r="A404" s="9" t="s">
        <x:v>1265</x:v>
      </x:c>
      <x:c r="B404" s="9" t="s">
        <x:v>1197</x:v>
      </x:c>
      <x:c r="C404" s="9" t="s">
        <x:v>1198</x:v>
      </x:c>
      <x:c r="D404" s="9" t="s">
        <x:v>190</x:v>
      </x:c>
      <x:c r="E404" s="9" t="s">
        <x:v>1266</x:v>
      </x:c>
      <x:c r="F404" s="9" t="s">
        <x:v>1110</x:v>
      </x:c>
      <x:c r="G404" s="9" t="s">
        <x:v>109</x:v>
      </x:c>
      <x:c r="H404" s="9" t="s">
        <x:v>1200</x:v>
      </x:c>
      <x:c r="I404" s="9" t="s">
        <x:v>1201</x:v>
      </x:c>
      <x:c r="J404" s="9" t="s">
        <x:v>1202</x:v>
      </x:c>
      <x:c r="K404" s="9" t="s">
        <x:v>1264</x:v>
      </x:c>
      <x:c r="L404" s="9" t="s">
        <x:v>1264</x:v>
      </x:c>
      <x:c r="M404" s="9"/>
      <x:c r="N404" s="9"/>
      <x:c r="O404" s="9" t="s">
        <x:v>1204</x:v>
      </x:c>
      <x:c r="P404" s="9" t="s">
        <x:v>115</x:v>
      </x:c>
      <x:c r="Q404" s="9" t="s">
        <x:v>45</x:v>
      </x:c>
      <x:c r="R404" s="9"/>
      <x:c r="S404" s="8"/>
      <x:c r="T404" s="8" t="s">
        <x:v>27</x:v>
      </x:c>
      <x:c r="U404" s="8" t="s">
        <x:v>883</x:v>
      </x:c>
      <x:c r="V404" s="8" t="s">
        <x:v>884</x:v>
      </x:c>
    </x:row>
    <x:row r="405" ht="52.5" hidden="0" customHeight="1">
      <x:c r="A405" s="9" t="s">
        <x:v>1267</x:v>
      </x:c>
      <x:c r="B405" s="9" t="s">
        <x:v>1197</x:v>
      </x:c>
      <x:c r="C405" s="9" t="s">
        <x:v>1198</x:v>
      </x:c>
      <x:c r="D405" s="9" t="s">
        <x:v>190</x:v>
      </x:c>
      <x:c r="E405" s="9" t="s">
        <x:v>1268</x:v>
      </x:c>
      <x:c r="F405" s="9" t="s">
        <x:v>1110</x:v>
      </x:c>
      <x:c r="G405" s="9" t="s">
        <x:v>109</x:v>
      </x:c>
      <x:c r="H405" s="9" t="s">
        <x:v>1200</x:v>
      </x:c>
      <x:c r="I405" s="9" t="s">
        <x:v>1201</x:v>
      </x:c>
      <x:c r="J405" s="9" t="s">
        <x:v>1202</x:v>
      </x:c>
      <x:c r="K405" s="9" t="s">
        <x:v>1264</x:v>
      </x:c>
      <x:c r="L405" s="9" t="s">
        <x:v>1264</x:v>
      </x:c>
      <x:c r="M405" s="9"/>
      <x:c r="N405" s="9"/>
      <x:c r="O405" s="9" t="s">
        <x:v>1204</x:v>
      </x:c>
      <x:c r="P405" s="9" t="s">
        <x:v>115</x:v>
      </x:c>
      <x:c r="Q405" s="9" t="s">
        <x:v>45</x:v>
      </x:c>
      <x:c r="R405" s="9"/>
      <x:c r="S405" s="8"/>
      <x:c r="T405" s="8" t="s">
        <x:v>27</x:v>
      </x:c>
      <x:c r="U405" s="8" t="s">
        <x:v>883</x:v>
      </x:c>
      <x:c r="V405" s="8" t="s">
        <x:v>884</x:v>
      </x:c>
    </x:row>
    <x:row r="406" ht="52.5" hidden="0" customHeight="1">
      <x:c r="A406" s="9" t="s">
        <x:v>1269</x:v>
      </x:c>
      <x:c r="B406" s="9" t="s">
        <x:v>1197</x:v>
      </x:c>
      <x:c r="C406" s="9" t="s">
        <x:v>1198</x:v>
      </x:c>
      <x:c r="D406" s="9" t="s">
        <x:v>190</x:v>
      </x:c>
      <x:c r="E406" s="9" t="s">
        <x:v>1270</x:v>
      </x:c>
      <x:c r="F406" s="9" t="s">
        <x:v>1110</x:v>
      </x:c>
      <x:c r="G406" s="9" t="s">
        <x:v>109</x:v>
      </x:c>
      <x:c r="H406" s="9" t="s">
        <x:v>1200</x:v>
      </x:c>
      <x:c r="I406" s="9" t="s">
        <x:v>1201</x:v>
      </x:c>
      <x:c r="J406" s="9" t="s">
        <x:v>1202</x:v>
      </x:c>
      <x:c r="K406" s="9" t="s">
        <x:v>1264</x:v>
      </x:c>
      <x:c r="L406" s="9" t="s">
        <x:v>1264</x:v>
      </x:c>
      <x:c r="M406" s="9"/>
      <x:c r="N406" s="9"/>
      <x:c r="O406" s="9" t="s">
        <x:v>1204</x:v>
      </x:c>
      <x:c r="P406" s="9" t="s">
        <x:v>115</x:v>
      </x:c>
      <x:c r="Q406" s="9" t="s">
        <x:v>45</x:v>
      </x:c>
      <x:c r="R406" s="9"/>
      <x:c r="S406" s="8"/>
      <x:c r="T406" s="8" t="s">
        <x:v>27</x:v>
      </x:c>
      <x:c r="U406" s="8" t="s">
        <x:v>883</x:v>
      </x:c>
      <x:c r="V406" s="8" t="s">
        <x:v>884</x:v>
      </x:c>
    </x:row>
    <x:row r="407" ht="52.5" hidden="0" customHeight="1">
      <x:c r="A407" s="9" t="s">
        <x:v>1271</x:v>
      </x:c>
      <x:c r="B407" s="9" t="s">
        <x:v>1197</x:v>
      </x:c>
      <x:c r="C407" s="9" t="s">
        <x:v>1198</x:v>
      </x:c>
      <x:c r="D407" s="9" t="s">
        <x:v>1189</x:v>
      </x:c>
      <x:c r="E407" s="9" t="s">
        <x:v>1272</x:v>
      </x:c>
      <x:c r="F407" s="9" t="s">
        <x:v>1070</x:v>
      </x:c>
      <x:c r="G407" s="9" t="s">
        <x:v>181</x:v>
      </x:c>
      <x:c r="H407" s="9" t="s">
        <x:v>1200</x:v>
      </x:c>
      <x:c r="I407" s="9" t="s">
        <x:v>1201</x:v>
      </x:c>
      <x:c r="J407" s="9" t="s">
        <x:v>1202</x:v>
      </x:c>
      <x:c r="K407" s="9" t="s">
        <x:v>1273</x:v>
      </x:c>
      <x:c r="L407" s="9" t="s">
        <x:v>1273</x:v>
      </x:c>
      <x:c r="M407" s="9"/>
      <x:c r="N407" s="9"/>
      <x:c r="O407" s="9" t="s">
        <x:v>1204</x:v>
      </x:c>
      <x:c r="P407" s="9" t="s">
        <x:v>115</x:v>
      </x:c>
      <x:c r="Q407" s="9" t="s">
        <x:v>45</x:v>
      </x:c>
      <x:c r="R407" s="9" t="s">
        <x:v>1274</x:v>
      </x:c>
      <x:c r="S407" s="8"/>
      <x:c r="T407" s="8" t="s">
        <x:v>27</x:v>
      </x:c>
      <x:c r="U407" s="8" t="s">
        <x:v>883</x:v>
      </x:c>
      <x:c r="V407" s="8" t="s">
        <x:v>884</x:v>
      </x:c>
    </x:row>
    <x:row r="408" ht="52.5" hidden="0" customHeight="1">
      <x:c r="A408" s="9" t="s">
        <x:v>1275</x:v>
      </x:c>
      <x:c r="B408" s="9" t="s">
        <x:v>1197</x:v>
      </x:c>
      <x:c r="C408" s="9" t="s">
        <x:v>1198</x:v>
      </x:c>
      <x:c r="D408" s="9" t="s">
        <x:v>1101</x:v>
      </x:c>
      <x:c r="E408" s="9" t="s">
        <x:v>1276</x:v>
      </x:c>
      <x:c r="F408" s="9" t="s">
        <x:v>1103</x:v>
      </x:c>
      <x:c r="G408" s="9" t="s">
        <x:v>181</x:v>
      </x:c>
      <x:c r="H408" s="9" t="s">
        <x:v>1200</x:v>
      </x:c>
      <x:c r="I408" s="9" t="s">
        <x:v>1201</x:v>
      </x:c>
      <x:c r="J408" s="9" t="s">
        <x:v>1202</x:v>
      </x:c>
      <x:c r="K408" s="9" t="s">
        <x:v>1277</x:v>
      </x:c>
      <x:c r="L408" s="9" t="s">
        <x:v>1277</x:v>
      </x:c>
      <x:c r="M408" s="9"/>
      <x:c r="N408" s="9"/>
      <x:c r="O408" s="9" t="s">
        <x:v>1204</x:v>
      </x:c>
      <x:c r="P408" s="9" t="s">
        <x:v>115</x:v>
      </x:c>
      <x:c r="Q408" s="9" t="s">
        <x:v>45</x:v>
      </x:c>
      <x:c r="R408" s="9" t="s">
        <x:v>1105</x:v>
      </x:c>
      <x:c r="S408" s="8"/>
      <x:c r="T408" s="8" t="s">
        <x:v>27</x:v>
      </x:c>
      <x:c r="U408" s="8" t="s">
        <x:v>883</x:v>
      </x:c>
      <x:c r="V408" s="8" t="s">
        <x:v>884</x:v>
      </x:c>
    </x:row>
    <x:row r="409" ht="39" hidden="0" customHeight="1">
      <x:c r="A409" s="9" t="s">
        <x:v>1278</x:v>
      </x:c>
      <x:c r="B409" s="9" t="s">
        <x:v>1279</x:v>
      </x:c>
      <x:c r="C409" s="9" t="s">
        <x:v>1280</x:v>
      </x:c>
      <x:c r="D409" s="9" t="s">
        <x:v>106</x:v>
      </x:c>
      <x:c r="E409" s="9" t="s">
        <x:v>1281</x:v>
      </x:c>
      <x:c r="F409" s="9" t="s">
        <x:v>108</x:v>
      </x:c>
      <x:c r="G409" s="9" t="s">
        <x:v>109</x:v>
      </x:c>
      <x:c r="H409" s="9" t="s">
        <x:v>1282</x:v>
      </x:c>
      <x:c r="I409" s="9"/>
      <x:c r="J409" s="9" t="s">
        <x:v>1283</x:v>
      </x:c>
      <x:c r="K409" s="9" t="s">
        <x:v>1284</x:v>
      </x:c>
      <x:c r="L409" s="9" t="s">
        <x:v>1284</x:v>
      </x:c>
      <x:c r="M409" s="9"/>
      <x:c r="N409" s="9" t="n">
        <x:v>4</x:v>
      </x:c>
      <x:c r="O409" s="9" t="s">
        <x:v>1285</x:v>
      </x:c>
      <x:c r="P409" s="9" t="s">
        <x:v>115</x:v>
      </x:c>
      <x:c r="Q409" s="9" t="s">
        <x:v>45</x:v>
      </x:c>
      <x:c r="R409" s="9"/>
      <x:c r="S409" s="8"/>
      <x:c r="T409" s="8" t="s">
        <x:v>27</x:v>
      </x:c>
      <x:c r="U409" s="8" t="s">
        <x:v>883</x:v>
      </x:c>
      <x:c r="V409" s="8" t="s">
        <x:v>884</x:v>
      </x:c>
    </x:row>
    <x:row r="410" ht="39" hidden="0" customHeight="1">
      <x:c r="A410" s="9" t="s">
        <x:v>1286</x:v>
      </x:c>
      <x:c r="B410" s="9" t="s">
        <x:v>1279</x:v>
      </x:c>
      <x:c r="C410" s="9" t="s">
        <x:v>1280</x:v>
      </x:c>
      <x:c r="D410" s="9" t="s">
        <x:v>886</x:v>
      </x:c>
      <x:c r="E410" s="9" t="s">
        <x:v>1287</x:v>
      </x:c>
      <x:c r="F410" s="9" t="s">
        <x:v>108</x:v>
      </x:c>
      <x:c r="G410" s="9" t="s">
        <x:v>109</x:v>
      </x:c>
      <x:c r="H410" s="9" t="s">
        <x:v>1282</x:v>
      </x:c>
      <x:c r="I410" s="9"/>
      <x:c r="J410" s="9" t="s">
        <x:v>1283</x:v>
      </x:c>
      <x:c r="K410" s="9" t="s">
        <x:v>1284</x:v>
      </x:c>
      <x:c r="L410" s="9" t="s">
        <x:v>1284</x:v>
      </x:c>
      <x:c r="M410" s="9"/>
      <x:c r="N410" s="9" t="n">
        <x:v>4</x:v>
      </x:c>
      <x:c r="O410" s="9" t="s">
        <x:v>1285</x:v>
      </x:c>
      <x:c r="P410" s="9" t="s">
        <x:v>115</x:v>
      </x:c>
      <x:c r="Q410" s="9" t="s">
        <x:v>45</x:v>
      </x:c>
      <x:c r="R410" s="9"/>
      <x:c r="S410" s="8"/>
      <x:c r="T410" s="8" t="s">
        <x:v>27</x:v>
      </x:c>
      <x:c r="U410" s="8" t="s">
        <x:v>883</x:v>
      </x:c>
      <x:c r="V410" s="8" t="s">
        <x:v>884</x:v>
      </x:c>
    </x:row>
    <x:row r="411" ht="39" hidden="0" customHeight="1">
      <x:c r="A411" s="9" t="s">
        <x:v>1288</x:v>
      </x:c>
      <x:c r="B411" s="9" t="s">
        <x:v>1279</x:v>
      </x:c>
      <x:c r="C411" s="9" t="s">
        <x:v>1280</x:v>
      </x:c>
      <x:c r="D411" s="9" t="s">
        <x:v>123</x:v>
      </x:c>
      <x:c r="E411" s="9" t="s">
        <x:v>1289</x:v>
      </x:c>
      <x:c r="F411" s="9" t="s">
        <x:v>108</x:v>
      </x:c>
      <x:c r="G411" s="9" t="s">
        <x:v>109</x:v>
      </x:c>
      <x:c r="H411" s="9" t="s">
        <x:v>1282</x:v>
      </x:c>
      <x:c r="I411" s="9"/>
      <x:c r="J411" s="9" t="s">
        <x:v>1283</x:v>
      </x:c>
      <x:c r="K411" s="9" t="s">
        <x:v>1284</x:v>
      </x:c>
      <x:c r="L411" s="9" t="s">
        <x:v>1284</x:v>
      </x:c>
      <x:c r="M411" s="9"/>
      <x:c r="N411" s="9" t="n">
        <x:v>4</x:v>
      </x:c>
      <x:c r="O411" s="9" t="s">
        <x:v>1285</x:v>
      </x:c>
      <x:c r="P411" s="9" t="s">
        <x:v>115</x:v>
      </x:c>
      <x:c r="Q411" s="9" t="s">
        <x:v>45</x:v>
      </x:c>
      <x:c r="R411" s="9"/>
      <x:c r="S411" s="8"/>
      <x:c r="T411" s="8" t="s">
        <x:v>27</x:v>
      </x:c>
      <x:c r="U411" s="8" t="s">
        <x:v>883</x:v>
      </x:c>
      <x:c r="V411" s="8" t="s">
        <x:v>884</x:v>
      </x:c>
    </x:row>
    <x:row r="412" ht="39" hidden="0" customHeight="1">
      <x:c r="A412" s="9" t="s">
        <x:v>1290</x:v>
      </x:c>
      <x:c r="B412" s="9" t="s">
        <x:v>1279</x:v>
      </x:c>
      <x:c r="C412" s="9" t="s">
        <x:v>1280</x:v>
      </x:c>
      <x:c r="D412" s="9" t="s">
        <x:v>208</x:v>
      </x:c>
      <x:c r="E412" s="9" t="s">
        <x:v>1291</x:v>
      </x:c>
      <x:c r="F412" s="9" t="s">
        <x:v>108</x:v>
      </x:c>
      <x:c r="G412" s="9" t="s">
        <x:v>109</x:v>
      </x:c>
      <x:c r="H412" s="9" t="s">
        <x:v>1282</x:v>
      </x:c>
      <x:c r="I412" s="9"/>
      <x:c r="J412" s="9" t="s">
        <x:v>1283</x:v>
      </x:c>
      <x:c r="K412" s="9" t="s">
        <x:v>1284</x:v>
      </x:c>
      <x:c r="L412" s="9" t="s">
        <x:v>1284</x:v>
      </x:c>
      <x:c r="M412" s="9"/>
      <x:c r="N412" s="9" t="n">
        <x:v>4</x:v>
      </x:c>
      <x:c r="O412" s="9" t="s">
        <x:v>1285</x:v>
      </x:c>
      <x:c r="P412" s="9" t="s">
        <x:v>115</x:v>
      </x:c>
      <x:c r="Q412" s="9" t="s">
        <x:v>45</x:v>
      </x:c>
      <x:c r="R412" s="9"/>
      <x:c r="S412" s="8"/>
      <x:c r="T412" s="8" t="s">
        <x:v>27</x:v>
      </x:c>
      <x:c r="U412" s="8" t="s">
        <x:v>883</x:v>
      </x:c>
      <x:c r="V412" s="8" t="s">
        <x:v>884</x:v>
      </x:c>
    </x:row>
    <x:row r="413" ht="39" hidden="0" customHeight="1">
      <x:c r="A413" s="9" t="s">
        <x:v>1292</x:v>
      </x:c>
      <x:c r="B413" s="9" t="s">
        <x:v>1279</x:v>
      </x:c>
      <x:c r="C413" s="9" t="s">
        <x:v>1280</x:v>
      </x:c>
      <x:c r="D413" s="9" t="s">
        <x:v>214</x:v>
      </x:c>
      <x:c r="E413" s="9" t="n">
        <x:v>6</x:v>
      </x:c>
      <x:c r="F413" s="9" t="s">
        <x:v>108</x:v>
      </x:c>
      <x:c r="G413" s="9" t="s">
        <x:v>109</x:v>
      </x:c>
      <x:c r="H413" s="9" t="s">
        <x:v>1282</x:v>
      </x:c>
      <x:c r="I413" s="9"/>
      <x:c r="J413" s="9" t="s">
        <x:v>1283</x:v>
      </x:c>
      <x:c r="K413" s="9" t="s">
        <x:v>1284</x:v>
      </x:c>
      <x:c r="L413" s="9" t="s">
        <x:v>1284</x:v>
      </x:c>
      <x:c r="M413" s="9"/>
      <x:c r="N413" s="9" t="n">
        <x:v>4</x:v>
      </x:c>
      <x:c r="O413" s="9" t="s">
        <x:v>1285</x:v>
      </x:c>
      <x:c r="P413" s="9" t="s">
        <x:v>115</x:v>
      </x:c>
      <x:c r="Q413" s="9" t="s">
        <x:v>45</x:v>
      </x:c>
      <x:c r="R413" s="9"/>
      <x:c r="S413" s="8" t="s">
        <x:v>1293</x:v>
      </x:c>
      <x:c r="T413" s="8" t="s">
        <x:v>27</x:v>
      </x:c>
      <x:c r="U413" s="8" t="s">
        <x:v>883</x:v>
      </x:c>
      <x:c r="V413" s="8" t="s">
        <x:v>884</x:v>
      </x:c>
    </x:row>
    <x:row r="414" ht="39" hidden="0" customHeight="1">
      <x:c r="A414" s="9" t="s">
        <x:v>1294</x:v>
      </x:c>
      <x:c r="B414" s="9" t="s">
        <x:v>1279</x:v>
      </x:c>
      <x:c r="C414" s="9" t="s">
        <x:v>1280</x:v>
      </x:c>
      <x:c r="D414" s="9" t="s">
        <x:v>898</x:v>
      </x:c>
      <x:c r="E414" s="9" t="s">
        <x:v>1295</x:v>
      </x:c>
      <x:c r="F414" s="9" t="s">
        <x:v>108</x:v>
      </x:c>
      <x:c r="G414" s="9" t="s">
        <x:v>109</x:v>
      </x:c>
      <x:c r="H414" s="9" t="s">
        <x:v>1282</x:v>
      </x:c>
      <x:c r="I414" s="9"/>
      <x:c r="J414" s="9" t="s">
        <x:v>1283</x:v>
      </x:c>
      <x:c r="K414" s="9" t="s">
        <x:v>1284</x:v>
      </x:c>
      <x:c r="L414" s="9" t="s">
        <x:v>1284</x:v>
      </x:c>
      <x:c r="M414" s="9"/>
      <x:c r="N414" s="9" t="n">
        <x:v>4</x:v>
      </x:c>
      <x:c r="O414" s="9" t="s">
        <x:v>1285</x:v>
      </x:c>
      <x:c r="P414" s="9" t="s">
        <x:v>115</x:v>
      </x:c>
      <x:c r="Q414" s="9" t="s">
        <x:v>45</x:v>
      </x:c>
      <x:c r="R414" s="9"/>
      <x:c r="S414" s="8"/>
      <x:c r="T414" s="8" t="s">
        <x:v>27</x:v>
      </x:c>
      <x:c r="U414" s="8" t="s">
        <x:v>883</x:v>
      </x:c>
      <x:c r="V414" s="8" t="s">
        <x:v>884</x:v>
      </x:c>
    </x:row>
    <x:row r="415" ht="39" hidden="0" customHeight="1">
      <x:c r="A415" s="9" t="s">
        <x:v>1296</x:v>
      </x:c>
      <x:c r="B415" s="9" t="s">
        <x:v>1279</x:v>
      </x:c>
      <x:c r="C415" s="9" t="s">
        <x:v>1280</x:v>
      </x:c>
      <x:c r="D415" s="9" t="s">
        <x:v>1297</x:v>
      </x:c>
      <x:c r="E415" s="9" t="s">
        <x:v>1298</x:v>
      </x:c>
      <x:c r="F415" s="9" t="s">
        <x:v>108</x:v>
      </x:c>
      <x:c r="G415" s="9" t="s">
        <x:v>109</x:v>
      </x:c>
      <x:c r="H415" s="9" t="s">
        <x:v>1282</x:v>
      </x:c>
      <x:c r="I415" s="9"/>
      <x:c r="J415" s="9" t="s">
        <x:v>1283</x:v>
      </x:c>
      <x:c r="K415" s="9" t="s">
        <x:v>1284</x:v>
      </x:c>
      <x:c r="L415" s="9" t="s">
        <x:v>1284</x:v>
      </x:c>
      <x:c r="M415" s="9"/>
      <x:c r="N415" s="9" t="n">
        <x:v>4</x:v>
      </x:c>
      <x:c r="O415" s="9" t="s">
        <x:v>1285</x:v>
      </x:c>
      <x:c r="P415" s="9" t="s">
        <x:v>115</x:v>
      </x:c>
      <x:c r="Q415" s="9" t="s">
        <x:v>45</x:v>
      </x:c>
      <x:c r="R415" s="9"/>
      <x:c r="S415" s="8"/>
      <x:c r="T415" s="8" t="s">
        <x:v>27</x:v>
      </x:c>
      <x:c r="U415" s="8" t="s">
        <x:v>883</x:v>
      </x:c>
      <x:c r="V415" s="8" t="s">
        <x:v>884</x:v>
      </x:c>
    </x:row>
    <x:row r="416" ht="39" hidden="0" customHeight="1">
      <x:c r="A416" s="9" t="s">
        <x:v>1299</x:v>
      </x:c>
      <x:c r="B416" s="9" t="s">
        <x:v>1279</x:v>
      </x:c>
      <x:c r="C416" s="9" t="s">
        <x:v>1300</x:v>
      </x:c>
      <x:c r="D416" s="9" t="s">
        <x:v>127</x:v>
      </x:c>
      <x:c r="E416" s="9" t="n">
        <x:v>5.625</x:v>
      </x:c>
      <x:c r="F416" s="9" t="s">
        <x:v>108</x:v>
      </x:c>
      <x:c r="G416" s="9" t="s">
        <x:v>109</x:v>
      </x:c>
      <x:c r="H416" s="9" t="s">
        <x:v>1282</x:v>
      </x:c>
      <x:c r="I416" s="9"/>
      <x:c r="J416" s="9" t="s">
        <x:v>1283</x:v>
      </x:c>
      <x:c r="K416" s="9" t="s">
        <x:v>1301</x:v>
      </x:c>
      <x:c r="L416" s="9" t="s">
        <x:v>1301</x:v>
      </x:c>
      <x:c r="M416" s="9"/>
      <x:c r="N416" s="9" t="n">
        <x:v>4</x:v>
      </x:c>
      <x:c r="O416" s="9" t="s">
        <x:v>1285</x:v>
      </x:c>
      <x:c r="P416" s="9" t="s">
        <x:v>115</x:v>
      </x:c>
      <x:c r="Q416" s="9" t="s">
        <x:v>45</x:v>
      </x:c>
      <x:c r="R416" s="9"/>
      <x:c r="S416" s="8" t="s">
        <x:v>1302</x:v>
      </x:c>
      <x:c r="T416" s="8" t="s">
        <x:v>27</x:v>
      </x:c>
      <x:c r="U416" s="8" t="s">
        <x:v>883</x:v>
      </x:c>
      <x:c r="V416" s="8" t="s">
        <x:v>884</x:v>
      </x:c>
    </x:row>
    <x:row r="417" ht="39" hidden="0" customHeight="1">
      <x:c r="A417" s="9" t="s">
        <x:v>1303</x:v>
      </x:c>
      <x:c r="B417" s="9" t="s">
        <x:v>1279</x:v>
      </x:c>
      <x:c r="C417" s="9" t="s">
        <x:v>1304</x:v>
      </x:c>
      <x:c r="D417" s="9" t="s">
        <x:v>127</x:v>
      </x:c>
      <x:c r="E417" s="9" t="n">
        <x:v>1.40625</x:v>
      </x:c>
      <x:c r="F417" s="9" t="s">
        <x:v>108</x:v>
      </x:c>
      <x:c r="G417" s="9" t="s">
        <x:v>109</x:v>
      </x:c>
      <x:c r="H417" s="9" t="s">
        <x:v>1282</x:v>
      </x:c>
      <x:c r="I417" s="9"/>
      <x:c r="J417" s="9" t="s">
        <x:v>1283</x:v>
      </x:c>
      <x:c r="K417" s="9" t="s">
        <x:v>1301</x:v>
      </x:c>
      <x:c r="L417" s="9" t="s">
        <x:v>1301</x:v>
      </x:c>
      <x:c r="M417" s="9"/>
      <x:c r="N417" s="9" t="n">
        <x:v>4</x:v>
      </x:c>
      <x:c r="O417" s="9" t="s">
        <x:v>1285</x:v>
      </x:c>
      <x:c r="P417" s="9" t="s">
        <x:v>115</x:v>
      </x:c>
      <x:c r="Q417" s="9" t="s">
        <x:v>45</x:v>
      </x:c>
      <x:c r="R417" s="9"/>
      <x:c r="S417" s="8" t="s">
        <x:v>1302</x:v>
      </x:c>
      <x:c r="T417" s="8" t="s">
        <x:v>27</x:v>
      </x:c>
      <x:c r="U417" s="8" t="s">
        <x:v>883</x:v>
      </x:c>
      <x:c r="V417" s="8" t="s">
        <x:v>884</x:v>
      </x:c>
    </x:row>
    <x:row r="418" ht="39" hidden="0" customHeight="1">
      <x:c r="A418" s="9" t="s">
        <x:v>1305</x:v>
      </x:c>
      <x:c r="B418" s="9" t="s">
        <x:v>1279</x:v>
      </x:c>
      <x:c r="C418" s="9" t="s">
        <x:v>1306</x:v>
      </x:c>
      <x:c r="D418" s="9" t="s">
        <x:v>123</x:v>
      </x:c>
      <x:c r="E418" s="9" t="s">
        <x:v>1307</x:v>
      </x:c>
      <x:c r="F418" s="9" t="s">
        <x:v>108</x:v>
      </x:c>
      <x:c r="G418" s="9" t="s">
        <x:v>109</x:v>
      </x:c>
      <x:c r="H418" s="9" t="s">
        <x:v>1282</x:v>
      </x:c>
      <x:c r="I418" s="9"/>
      <x:c r="J418" s="9" t="s">
        <x:v>1283</x:v>
      </x:c>
      <x:c r="K418" s="9" t="s">
        <x:v>1308</x:v>
      </x:c>
      <x:c r="L418" s="9" t="s">
        <x:v>1308</x:v>
      </x:c>
      <x:c r="M418" s="9"/>
      <x:c r="N418" s="9" t="n">
        <x:v>24</x:v>
      </x:c>
      <x:c r="O418" s="9" t="s">
        <x:v>1285</x:v>
      </x:c>
      <x:c r="P418" s="9" t="s">
        <x:v>115</x:v>
      </x:c>
      <x:c r="Q418" s="9" t="s">
        <x:v>45</x:v>
      </x:c>
      <x:c r="R418" s="9"/>
      <x:c r="S418" s="8"/>
      <x:c r="T418" s="8" t="s">
        <x:v>27</x:v>
      </x:c>
      <x:c r="U418" s="8" t="s">
        <x:v>883</x:v>
      </x:c>
      <x:c r="V418" s="8" t="s">
        <x:v>884</x:v>
      </x:c>
    </x:row>
    <x:row r="419" ht="39" hidden="0" customHeight="1">
      <x:c r="A419" s="9" t="s">
        <x:v>1309</x:v>
      </x:c>
      <x:c r="B419" s="9" t="s">
        <x:v>1279</x:v>
      </x:c>
      <x:c r="C419" s="9" t="s">
        <x:v>1310</x:v>
      </x:c>
      <x:c r="D419" s="9" t="s">
        <x:v>123</x:v>
      </x:c>
      <x:c r="E419" s="9" t="s">
        <x:v>1311</x:v>
      </x:c>
      <x:c r="F419" s="9" t="s">
        <x:v>108</x:v>
      </x:c>
      <x:c r="G419" s="9" t="s">
        <x:v>109</x:v>
      </x:c>
      <x:c r="H419" s="9" t="s">
        <x:v>1282</x:v>
      </x:c>
      <x:c r="I419" s="9"/>
      <x:c r="J419" s="9" t="s">
        <x:v>1283</x:v>
      </x:c>
      <x:c r="K419" s="9" t="s">
        <x:v>1301</x:v>
      </x:c>
      <x:c r="L419" s="9" t="s">
        <x:v>1301</x:v>
      </x:c>
      <x:c r="M419" s="9"/>
      <x:c r="N419" s="9" t="n">
        <x:v>4</x:v>
      </x:c>
      <x:c r="O419" s="9" t="s">
        <x:v>1285</x:v>
      </x:c>
      <x:c r="P419" s="9" t="s">
        <x:v>115</x:v>
      </x:c>
      <x:c r="Q419" s="9" t="s">
        <x:v>45</x:v>
      </x:c>
      <x:c r="R419" s="9"/>
      <x:c r="S419" s="8"/>
      <x:c r="T419" s="8" t="s">
        <x:v>27</x:v>
      </x:c>
      <x:c r="U419" s="8" t="s">
        <x:v>883</x:v>
      </x:c>
      <x:c r="V419" s="8" t="s">
        <x:v>884</x:v>
      </x:c>
    </x:row>
    <x:row r="420" ht="39" hidden="0" customHeight="1">
      <x:c r="A420" s="9" t="s">
        <x:v>1312</x:v>
      </x:c>
      <x:c r="B420" s="9" t="s">
        <x:v>1279</x:v>
      </x:c>
      <x:c r="C420" s="9" t="s">
        <x:v>1306</x:v>
      </x:c>
      <x:c r="D420" s="9" t="s">
        <x:v>117</x:v>
      </x:c>
      <x:c r="E420" s="9" t="s">
        <x:v>1313</x:v>
      </x:c>
      <x:c r="F420" s="9" t="s">
        <x:v>108</x:v>
      </x:c>
      <x:c r="G420" s="9" t="s">
        <x:v>109</x:v>
      </x:c>
      <x:c r="H420" s="9" t="s">
        <x:v>1282</x:v>
      </x:c>
      <x:c r="I420" s="9"/>
      <x:c r="J420" s="9" t="s">
        <x:v>1283</x:v>
      </x:c>
      <x:c r="K420" s="9" t="s">
        <x:v>1314</x:v>
      </x:c>
      <x:c r="L420" s="9" t="s">
        <x:v>1314</x:v>
      </x:c>
      <x:c r="M420" s="9"/>
      <x:c r="N420" s="9" t="n">
        <x:v>24</x:v>
      </x:c>
      <x:c r="O420" s="9" t="s">
        <x:v>1285</x:v>
      </x:c>
      <x:c r="P420" s="9" t="s">
        <x:v>115</x:v>
      </x:c>
      <x:c r="Q420" s="9" t="s">
        <x:v>45</x:v>
      </x:c>
      <x:c r="R420" s="9"/>
      <x:c r="S420" s="8"/>
      <x:c r="T420" s="8" t="s">
        <x:v>27</x:v>
      </x:c>
      <x:c r="U420" s="8" t="s">
        <x:v>883</x:v>
      </x:c>
      <x:c r="V420" s="8" t="s">
        <x:v>884</x:v>
      </x:c>
    </x:row>
    <x:row r="421" ht="39" hidden="0" customHeight="1">
      <x:c r="A421" s="9" t="s">
        <x:v>1315</x:v>
      </x:c>
      <x:c r="B421" s="9" t="s">
        <x:v>1279</x:v>
      </x:c>
      <x:c r="C421" s="9" t="s">
        <x:v>1316</x:v>
      </x:c>
      <x:c r="D421" s="9" t="s">
        <x:v>120</x:v>
      </x:c>
      <x:c r="E421" s="9" t="s">
        <x:v>1317</x:v>
      </x:c>
      <x:c r="F421" s="9" t="s">
        <x:v>108</x:v>
      </x:c>
      <x:c r="G421" s="9" t="s">
        <x:v>109</x:v>
      </x:c>
      <x:c r="H421" s="9" t="s">
        <x:v>1282</x:v>
      </x:c>
      <x:c r="I421" s="9"/>
      <x:c r="J421" s="9" t="s">
        <x:v>1283</x:v>
      </x:c>
      <x:c r="K421" s="9" t="s">
        <x:v>1132</x:v>
      </x:c>
      <x:c r="L421" s="9" t="s">
        <x:v>1132</x:v>
      </x:c>
      <x:c r="M421" s="9"/>
      <x:c r="N421" s="9" t="n">
        <x:v>5</x:v>
      </x:c>
      <x:c r="O421" s="9" t="s">
        <x:v>1285</x:v>
      </x:c>
      <x:c r="P421" s="9" t="s">
        <x:v>115</x:v>
      </x:c>
      <x:c r="Q421" s="9" t="s">
        <x:v>45</x:v>
      </x:c>
      <x:c r="R421" s="9"/>
      <x:c r="S421" s="8"/>
      <x:c r="T421" s="8" t="s">
        <x:v>27</x:v>
      </x:c>
      <x:c r="U421" s="8" t="s">
        <x:v>883</x:v>
      </x:c>
      <x:c r="V421" s="8" t="s">
        <x:v>884</x:v>
      </x:c>
    </x:row>
    <x:row r="422" ht="39" hidden="0" customHeight="1">
      <x:c r="A422" s="9" t="s">
        <x:v>1318</x:v>
      </x:c>
      <x:c r="B422" s="9" t="s">
        <x:v>1279</x:v>
      </x:c>
      <x:c r="C422" s="9" t="s">
        <x:v>1319</x:v>
      </x:c>
      <x:c r="D422" s="9" t="s">
        <x:v>1085</x:v>
      </x:c>
      <x:c r="E422" s="9" t="s">
        <x:v>1320</x:v>
      </x:c>
      <x:c r="F422" s="9" t="s">
        <x:v>108</x:v>
      </x:c>
      <x:c r="G422" s="9" t="s">
        <x:v>109</x:v>
      </x:c>
      <x:c r="H422" s="9" t="s">
        <x:v>1282</x:v>
      </x:c>
      <x:c r="I422" s="9"/>
      <x:c r="J422" s="9" t="s">
        <x:v>1283</x:v>
      </x:c>
      <x:c r="K422" s="9" t="s">
        <x:v>1321</x:v>
      </x:c>
      <x:c r="L422" s="9" t="s">
        <x:v>1321</x:v>
      </x:c>
      <x:c r="M422" s="9"/>
      <x:c r="N422" s="9" t="n">
        <x:v>20</x:v>
      </x:c>
      <x:c r="O422" s="9" t="s">
        <x:v>1285</x:v>
      </x:c>
      <x:c r="P422" s="9" t="s">
        <x:v>115</x:v>
      </x:c>
      <x:c r="Q422" s="9" t="s">
        <x:v>45</x:v>
      </x:c>
      <x:c r="R422" s="9"/>
      <x:c r="S422" s="8"/>
      <x:c r="T422" s="8" t="s">
        <x:v>27</x:v>
      </x:c>
      <x:c r="U422" s="8" t="s">
        <x:v>883</x:v>
      </x:c>
      <x:c r="V422" s="8" t="s">
        <x:v>884</x:v>
      </x:c>
    </x:row>
    <x:row r="423" ht="39" hidden="0" customHeight="1">
      <x:c r="A423" s="9" t="s">
        <x:v>1322</x:v>
      </x:c>
      <x:c r="B423" s="9" t="s">
        <x:v>1279</x:v>
      </x:c>
      <x:c r="C423" s="9" t="s">
        <x:v>1319</x:v>
      </x:c>
      <x:c r="D423" s="9" t="s">
        <x:v>135</x:v>
      </x:c>
      <x:c r="E423" s="9" t="s">
        <x:v>1323</x:v>
      </x:c>
      <x:c r="F423" s="9" t="s">
        <x:v>108</x:v>
      </x:c>
      <x:c r="G423" s="9" t="s">
        <x:v>109</x:v>
      </x:c>
      <x:c r="H423" s="9" t="s">
        <x:v>1282</x:v>
      </x:c>
      <x:c r="I423" s="9"/>
      <x:c r="J423" s="9" t="s">
        <x:v>1283</x:v>
      </x:c>
      <x:c r="K423" s="9" t="s">
        <x:v>1324</x:v>
      </x:c>
      <x:c r="L423" s="9" t="s">
        <x:v>1324</x:v>
      </x:c>
      <x:c r="M423" s="9"/>
      <x:c r="N423" s="9" t="n">
        <x:v>19</x:v>
      </x:c>
      <x:c r="O423" s="9" t="s">
        <x:v>1285</x:v>
      </x:c>
      <x:c r="P423" s="9" t="s">
        <x:v>115</x:v>
      </x:c>
      <x:c r="Q423" s="9" t="s">
        <x:v>45</x:v>
      </x:c>
      <x:c r="R423" s="9"/>
      <x:c r="S423" s="8"/>
      <x:c r="T423" s="8" t="s">
        <x:v>27</x:v>
      </x:c>
      <x:c r="U423" s="8" t="s">
        <x:v>883</x:v>
      </x:c>
      <x:c r="V423" s="8" t="s">
        <x:v>884</x:v>
      </x:c>
    </x:row>
    <x:row r="424" ht="39" hidden="0" customHeight="1">
      <x:c r="A424" s="9" t="s">
        <x:v>1325</x:v>
      </x:c>
      <x:c r="B424" s="9" t="s">
        <x:v>1279</x:v>
      </x:c>
      <x:c r="C424" s="9" t="s">
        <x:v>1319</x:v>
      </x:c>
      <x:c r="D424" s="9" t="s">
        <x:v>233</x:v>
      </x:c>
      <x:c r="E424" s="9" t="s">
        <x:v>1326</x:v>
      </x:c>
      <x:c r="F424" s="9" t="s">
        <x:v>108</x:v>
      </x:c>
      <x:c r="G424" s="9" t="s">
        <x:v>109</x:v>
      </x:c>
      <x:c r="H424" s="9" t="s">
        <x:v>1282</x:v>
      </x:c>
      <x:c r="I424" s="9"/>
      <x:c r="J424" s="9" t="s">
        <x:v>1283</x:v>
      </x:c>
      <x:c r="K424" s="9" t="s">
        <x:v>1324</x:v>
      </x:c>
      <x:c r="L424" s="9" t="s">
        <x:v>1324</x:v>
      </x:c>
      <x:c r="M424" s="9"/>
      <x:c r="N424" s="9" t="n">
        <x:v>19</x:v>
      </x:c>
      <x:c r="O424" s="9" t="s">
        <x:v>1285</x:v>
      </x:c>
      <x:c r="P424" s="9" t="s">
        <x:v>115</x:v>
      </x:c>
      <x:c r="Q424" s="9" t="s">
        <x:v>45</x:v>
      </x:c>
      <x:c r="R424" s="9"/>
      <x:c r="S424" s="8"/>
      <x:c r="T424" s="8" t="s">
        <x:v>27</x:v>
      </x:c>
      <x:c r="U424" s="8" t="s">
        <x:v>883</x:v>
      </x:c>
      <x:c r="V424" s="8" t="s">
        <x:v>884</x:v>
      </x:c>
    </x:row>
    <x:row r="425" ht="39" hidden="0" customHeight="1">
      <x:c r="A425" s="9" t="s">
        <x:v>1327</x:v>
      </x:c>
      <x:c r="B425" s="9" t="s">
        <x:v>1279</x:v>
      </x:c>
      <x:c r="C425" s="9" t="s">
        <x:v>1319</x:v>
      </x:c>
      <x:c r="D425" s="9" t="s">
        <x:v>1328</x:v>
      </x:c>
      <x:c r="E425" s="9" t="s">
        <x:v>1329</x:v>
      </x:c>
      <x:c r="F425" s="9" t="s">
        <x:v>108</x:v>
      </x:c>
      <x:c r="G425" s="9" t="s">
        <x:v>109</x:v>
      </x:c>
      <x:c r="H425" s="9" t="s">
        <x:v>1282</x:v>
      </x:c>
      <x:c r="I425" s="9"/>
      <x:c r="J425" s="9" t="s">
        <x:v>1283</x:v>
      </x:c>
      <x:c r="K425" s="9" t="s">
        <x:v>1324</x:v>
      </x:c>
      <x:c r="L425" s="9" t="s">
        <x:v>1324</x:v>
      </x:c>
      <x:c r="M425" s="9"/>
      <x:c r="N425" s="9" t="n">
        <x:v>19</x:v>
      </x:c>
      <x:c r="O425" s="9" t="s">
        <x:v>1285</x:v>
      </x:c>
      <x:c r="P425" s="9" t="s">
        <x:v>115</x:v>
      </x:c>
      <x:c r="Q425" s="9" t="s">
        <x:v>45</x:v>
      </x:c>
      <x:c r="R425" s="9"/>
      <x:c r="S425" s="8"/>
      <x:c r="T425" s="8" t="s">
        <x:v>27</x:v>
      </x:c>
      <x:c r="U425" s="8" t="s">
        <x:v>883</x:v>
      </x:c>
      <x:c r="V425" s="8" t="s">
        <x:v>884</x:v>
      </x:c>
    </x:row>
    <x:row r="426" ht="39" hidden="0" customHeight="1">
      <x:c r="A426" s="9" t="s">
        <x:v>1330</x:v>
      </x:c>
      <x:c r="B426" s="9" t="s">
        <x:v>1279</x:v>
      </x:c>
      <x:c r="C426" s="9" t="s">
        <x:v>1319</x:v>
      </x:c>
      <x:c r="D426" s="9" t="s">
        <x:v>223</x:v>
      </x:c>
      <x:c r="E426" s="9" t="n">
        <x:v>8</x:v>
      </x:c>
      <x:c r="F426" s="9" t="s">
        <x:v>108</x:v>
      </x:c>
      <x:c r="G426" s="9" t="s">
        <x:v>109</x:v>
      </x:c>
      <x:c r="H426" s="9" t="s">
        <x:v>1282</x:v>
      </x:c>
      <x:c r="I426" s="9"/>
      <x:c r="J426" s="9" t="s">
        <x:v>1283</x:v>
      </x:c>
      <x:c r="K426" s="9" t="s">
        <x:v>1324</x:v>
      </x:c>
      <x:c r="L426" s="9" t="s">
        <x:v>1324</x:v>
      </x:c>
      <x:c r="M426" s="9"/>
      <x:c r="N426" s="9" t="n">
        <x:v>19</x:v>
      </x:c>
      <x:c r="O426" s="9" t="s">
        <x:v>1285</x:v>
      </x:c>
      <x:c r="P426" s="9" t="s">
        <x:v>115</x:v>
      </x:c>
      <x:c r="Q426" s="9" t="s">
        <x:v>45</x:v>
      </x:c>
      <x:c r="R426" s="9"/>
      <x:c r="S426" s="8" t="s">
        <x:v>1331</x:v>
      </x:c>
      <x:c r="T426" s="8" t="s">
        <x:v>27</x:v>
      </x:c>
      <x:c r="U426" s="8" t="s">
        <x:v>883</x:v>
      </x:c>
      <x:c r="V426" s="8" t="s">
        <x:v>884</x:v>
      </x:c>
    </x:row>
    <x:row r="427" ht="39" hidden="0" customHeight="1">
      <x:c r="A427" s="9" t="s">
        <x:v>1332</x:v>
      </x:c>
      <x:c r="B427" s="9" t="s">
        <x:v>1279</x:v>
      </x:c>
      <x:c r="C427" s="9" t="s">
        <x:v>1319</x:v>
      </x:c>
      <x:c r="D427" s="9" t="s">
        <x:v>450</x:v>
      </x:c>
      <x:c r="E427" s="9" t="n">
        <x:v>1024</x:v>
      </x:c>
      <x:c r="F427" s="9" t="s">
        <x:v>108</x:v>
      </x:c>
      <x:c r="G427" s="9" t="s">
        <x:v>109</x:v>
      </x:c>
      <x:c r="H427" s="9" t="s">
        <x:v>1282</x:v>
      </x:c>
      <x:c r="I427" s="9"/>
      <x:c r="J427" s="9" t="s">
        <x:v>1283</x:v>
      </x:c>
      <x:c r="K427" s="9" t="s">
        <x:v>1324</x:v>
      </x:c>
      <x:c r="L427" s="9" t="s">
        <x:v>1324</x:v>
      </x:c>
      <x:c r="M427" s="9"/>
      <x:c r="N427" s="9" t="n">
        <x:v>19</x:v>
      </x:c>
      <x:c r="O427" s="9" t="s">
        <x:v>1285</x:v>
      </x:c>
      <x:c r="P427" s="9" t="s">
        <x:v>115</x:v>
      </x:c>
      <x:c r="Q427" s="9" t="s">
        <x:v>45</x:v>
      </x:c>
      <x:c r="R427" s="9"/>
      <x:c r="S427" s="8" t="s">
        <x:v>1333</x:v>
      </x:c>
      <x:c r="T427" s="8" t="s">
        <x:v>27</x:v>
      </x:c>
      <x:c r="U427" s="8" t="s">
        <x:v>883</x:v>
      </x:c>
      <x:c r="V427" s="8" t="s">
        <x:v>884</x:v>
      </x:c>
    </x:row>
    <x:row r="428" ht="39" hidden="0" customHeight="1">
      <x:c r="A428" s="9" t="s">
        <x:v>1334</x:v>
      </x:c>
      <x:c r="B428" s="9" t="s">
        <x:v>1279</x:v>
      </x:c>
      <x:c r="C428" s="9" t="s">
        <x:v>1319</x:v>
      </x:c>
      <x:c r="D428" s="9" t="s">
        <x:v>1335</x:v>
      </x:c>
      <x:c r="E428" s="9" t="n">
        <x:v>16</x:v>
      </x:c>
      <x:c r="F428" s="9" t="s">
        <x:v>108</x:v>
      </x:c>
      <x:c r="G428" s="9" t="s">
        <x:v>109</x:v>
      </x:c>
      <x:c r="H428" s="9" t="s">
        <x:v>1282</x:v>
      </x:c>
      <x:c r="I428" s="9"/>
      <x:c r="J428" s="9" t="s">
        <x:v>1283</x:v>
      </x:c>
      <x:c r="K428" s="9" t="s">
        <x:v>1324</x:v>
      </x:c>
      <x:c r="L428" s="9" t="s">
        <x:v>1324</x:v>
      </x:c>
      <x:c r="M428" s="9"/>
      <x:c r="N428" s="9" t="n">
        <x:v>19</x:v>
      </x:c>
      <x:c r="O428" s="9" t="s">
        <x:v>1285</x:v>
      </x:c>
      <x:c r="P428" s="9" t="s">
        <x:v>115</x:v>
      </x:c>
      <x:c r="Q428" s="9" t="s">
        <x:v>45</x:v>
      </x:c>
      <x:c r="R428" s="9"/>
      <x:c r="S428" s="8" t="s">
        <x:v>1336</x:v>
      </x:c>
      <x:c r="T428" s="8" t="s">
        <x:v>27</x:v>
      </x:c>
      <x:c r="U428" s="8" t="s">
        <x:v>883</x:v>
      </x:c>
      <x:c r="V428" s="8" t="s">
        <x:v>884</x:v>
      </x:c>
    </x:row>
    <x:row r="429" ht="39" hidden="0" customHeight="1">
      <x:c r="A429" s="9" t="s">
        <x:v>1337</x:v>
      </x:c>
      <x:c r="B429" s="9" t="s">
        <x:v>1279</x:v>
      </x:c>
      <x:c r="C429" s="9" t="s">
        <x:v>1319</x:v>
      </x:c>
      <x:c r="D429" s="9" t="s">
        <x:v>1338</x:v>
      </x:c>
      <x:c r="E429" s="9" t="n">
        <x:v>4</x:v>
      </x:c>
      <x:c r="F429" s="9" t="s">
        <x:v>108</x:v>
      </x:c>
      <x:c r="G429" s="9" t="s">
        <x:v>109</x:v>
      </x:c>
      <x:c r="H429" s="9" t="s">
        <x:v>1282</x:v>
      </x:c>
      <x:c r="I429" s="9"/>
      <x:c r="J429" s="9" t="s">
        <x:v>1283</x:v>
      </x:c>
      <x:c r="K429" s="9" t="s">
        <x:v>1324</x:v>
      </x:c>
      <x:c r="L429" s="9" t="s">
        <x:v>1324</x:v>
      </x:c>
      <x:c r="M429" s="9"/>
      <x:c r="N429" s="9" t="n">
        <x:v>19</x:v>
      </x:c>
      <x:c r="O429" s="9" t="s">
        <x:v>1285</x:v>
      </x:c>
      <x:c r="P429" s="9" t="s">
        <x:v>115</x:v>
      </x:c>
      <x:c r="Q429" s="9" t="s">
        <x:v>45</x:v>
      </x:c>
      <x:c r="R429" s="9"/>
      <x:c r="S429" s="8" t="s">
        <x:v>1339</x:v>
      </x:c>
      <x:c r="T429" s="8" t="s">
        <x:v>27</x:v>
      </x:c>
      <x:c r="U429" s="8" t="s">
        <x:v>883</x:v>
      </x:c>
      <x:c r="V429" s="8" t="s">
        <x:v>884</x:v>
      </x:c>
    </x:row>
    <x:row r="430" ht="39" hidden="0" customHeight="1">
      <x:c r="A430" s="9" t="s">
        <x:v>1340</x:v>
      </x:c>
      <x:c r="B430" s="9" t="s">
        <x:v>1279</x:v>
      </x:c>
      <x:c r="C430" s="9" t="s">
        <x:v>1319</x:v>
      </x:c>
      <x:c r="D430" s="9" t="s">
        <x:v>237</x:v>
      </x:c>
      <x:c r="E430" s="9" t="s">
        <x:v>1341</x:v>
      </x:c>
      <x:c r="F430" s="9" t="s">
        <x:v>108</x:v>
      </x:c>
      <x:c r="G430" s="9" t="s">
        <x:v>109</x:v>
      </x:c>
      <x:c r="H430" s="9" t="s">
        <x:v>1282</x:v>
      </x:c>
      <x:c r="I430" s="9"/>
      <x:c r="J430" s="9" t="s">
        <x:v>1283</x:v>
      </x:c>
      <x:c r="K430" s="9" t="s">
        <x:v>1324</x:v>
      </x:c>
      <x:c r="L430" s="9" t="s">
        <x:v>1324</x:v>
      </x:c>
      <x:c r="M430" s="9"/>
      <x:c r="N430" s="9" t="n">
        <x:v>19</x:v>
      </x:c>
      <x:c r="O430" s="9" t="s">
        <x:v>1285</x:v>
      </x:c>
      <x:c r="P430" s="9" t="s">
        <x:v>115</x:v>
      </x:c>
      <x:c r="Q430" s="9" t="s">
        <x:v>45</x:v>
      </x:c>
      <x:c r="R430" s="9"/>
      <x:c r="S430" s="8"/>
      <x:c r="T430" s="8" t="s">
        <x:v>27</x:v>
      </x:c>
      <x:c r="U430" s="8" t="s">
        <x:v>883</x:v>
      </x:c>
      <x:c r="V430" s="8" t="s">
        <x:v>884</x:v>
      </x:c>
    </x:row>
    <x:row r="431" ht="39" hidden="0" customHeight="1">
      <x:c r="A431" s="9" t="s">
        <x:v>1342</x:v>
      </x:c>
      <x:c r="B431" s="9" t="s">
        <x:v>1279</x:v>
      </x:c>
      <x:c r="C431" s="9" t="s">
        <x:v>1319</x:v>
      </x:c>
      <x:c r="D431" s="9" t="s">
        <x:v>945</x:v>
      </x:c>
      <x:c r="E431" s="9" t="n">
        <x:v>2</x:v>
      </x:c>
      <x:c r="F431" s="9" t="s">
        <x:v>108</x:v>
      </x:c>
      <x:c r="G431" s="9" t="s">
        <x:v>109</x:v>
      </x:c>
      <x:c r="H431" s="9" t="s">
        <x:v>1282</x:v>
      </x:c>
      <x:c r="I431" s="9"/>
      <x:c r="J431" s="9" t="s">
        <x:v>1283</x:v>
      </x:c>
      <x:c r="K431" s="9" t="s">
        <x:v>1324</x:v>
      </x:c>
      <x:c r="L431" s="9" t="s">
        <x:v>1324</x:v>
      </x:c>
      <x:c r="M431" s="9"/>
      <x:c r="N431" s="9" t="n">
        <x:v>19</x:v>
      </x:c>
      <x:c r="O431" s="9" t="s">
        <x:v>1285</x:v>
      </x:c>
      <x:c r="P431" s="9" t="s">
        <x:v>115</x:v>
      </x:c>
      <x:c r="Q431" s="9" t="s">
        <x:v>45</x:v>
      </x:c>
      <x:c r="R431" s="9"/>
      <x:c r="S431" s="8" t="s">
        <x:v>1343</x:v>
      </x:c>
      <x:c r="T431" s="8" t="s">
        <x:v>27</x:v>
      </x:c>
      <x:c r="U431" s="8" t="s">
        <x:v>883</x:v>
      </x:c>
      <x:c r="V431" s="8" t="s">
        <x:v>884</x:v>
      </x:c>
    </x:row>
    <x:row r="432" ht="39" hidden="0" customHeight="1">
      <x:c r="A432" s="9" t="s">
        <x:v>1344</x:v>
      </x:c>
      <x:c r="B432" s="9" t="s">
        <x:v>1279</x:v>
      </x:c>
      <x:c r="C432" s="9" t="s">
        <x:v>1319</x:v>
      </x:c>
      <x:c r="D432" s="9" t="s">
        <x:v>948</x:v>
      </x:c>
      <x:c r="E432" s="9" t="n">
        <x:v>1024</x:v>
      </x:c>
      <x:c r="F432" s="9" t="s">
        <x:v>108</x:v>
      </x:c>
      <x:c r="G432" s="9" t="s">
        <x:v>109</x:v>
      </x:c>
      <x:c r="H432" s="9" t="s">
        <x:v>1282</x:v>
      </x:c>
      <x:c r="I432" s="9"/>
      <x:c r="J432" s="9" t="s">
        <x:v>1283</x:v>
      </x:c>
      <x:c r="K432" s="9" t="s">
        <x:v>1324</x:v>
      </x:c>
      <x:c r="L432" s="9" t="s">
        <x:v>1324</x:v>
      </x:c>
      <x:c r="M432" s="9"/>
      <x:c r="N432" s="9" t="n">
        <x:v>19</x:v>
      </x:c>
      <x:c r="O432" s="9" t="s">
        <x:v>1285</x:v>
      </x:c>
      <x:c r="P432" s="9" t="s">
        <x:v>115</x:v>
      </x:c>
      <x:c r="Q432" s="9" t="s">
        <x:v>45</x:v>
      </x:c>
      <x:c r="R432" s="9"/>
      <x:c r="S432" s="8" t="s">
        <x:v>1345</x:v>
      </x:c>
      <x:c r="T432" s="8" t="s">
        <x:v>27</x:v>
      </x:c>
      <x:c r="U432" s="8" t="s">
        <x:v>883</x:v>
      </x:c>
      <x:c r="V432" s="8" t="s">
        <x:v>884</x:v>
      </x:c>
    </x:row>
    <x:row r="433" ht="39" hidden="0" customHeight="1">
      <x:c r="A433" s="9" t="s">
        <x:v>1346</x:v>
      </x:c>
      <x:c r="B433" s="9" t="s">
        <x:v>1279</x:v>
      </x:c>
      <x:c r="C433" s="9" t="s">
        <x:v>1319</x:v>
      </x:c>
      <x:c r="D433" s="9" t="s">
        <x:v>1347</x:v>
      </x:c>
      <x:c r="E433" s="9" t="n">
        <x:v>0.1</x:v>
      </x:c>
      <x:c r="F433" s="9" t="s">
        <x:v>108</x:v>
      </x:c>
      <x:c r="G433" s="9" t="s">
        <x:v>109</x:v>
      </x:c>
      <x:c r="H433" s="9" t="s">
        <x:v>1282</x:v>
      </x:c>
      <x:c r="I433" s="9"/>
      <x:c r="J433" s="9" t="s">
        <x:v>1283</x:v>
      </x:c>
      <x:c r="K433" s="9" t="s">
        <x:v>1324</x:v>
      </x:c>
      <x:c r="L433" s="9" t="s">
        <x:v>1324</x:v>
      </x:c>
      <x:c r="M433" s="9"/>
      <x:c r="N433" s="9" t="n">
        <x:v>19</x:v>
      </x:c>
      <x:c r="O433" s="9" t="s">
        <x:v>1285</x:v>
      </x:c>
      <x:c r="P433" s="9" t="s">
        <x:v>115</x:v>
      </x:c>
      <x:c r="Q433" s="9" t="s">
        <x:v>45</x:v>
      </x:c>
      <x:c r="R433" s="9"/>
      <x:c r="S433" s="8" t="s">
        <x:v>1348</x:v>
      </x:c>
      <x:c r="T433" s="8" t="s">
        <x:v>27</x:v>
      </x:c>
      <x:c r="U433" s="8" t="s">
        <x:v>883</x:v>
      </x:c>
      <x:c r="V433" s="8" t="s">
        <x:v>884</x:v>
      </x:c>
    </x:row>
    <x:row r="434" ht="39" hidden="0" customHeight="1">
      <x:c r="A434" s="9" t="s">
        <x:v>1349</x:v>
      </x:c>
      <x:c r="B434" s="9" t="s">
        <x:v>1279</x:v>
      </x:c>
      <x:c r="C434" s="9" t="s">
        <x:v>1319</x:v>
      </x:c>
      <x:c r="D434" s="9" t="s">
        <x:v>1350</x:v>
      </x:c>
      <x:c r="E434" s="9" t="n">
        <x:v>0.1</x:v>
      </x:c>
      <x:c r="F434" s="9" t="s">
        <x:v>108</x:v>
      </x:c>
      <x:c r="G434" s="9" t="s">
        <x:v>109</x:v>
      </x:c>
      <x:c r="H434" s="9" t="s">
        <x:v>1282</x:v>
      </x:c>
      <x:c r="I434" s="9"/>
      <x:c r="J434" s="9" t="s">
        <x:v>1283</x:v>
      </x:c>
      <x:c r="K434" s="9" t="s">
        <x:v>1324</x:v>
      </x:c>
      <x:c r="L434" s="9" t="s">
        <x:v>1324</x:v>
      </x:c>
      <x:c r="M434" s="9"/>
      <x:c r="N434" s="9" t="n">
        <x:v>19</x:v>
      </x:c>
      <x:c r="O434" s="9" t="s">
        <x:v>1285</x:v>
      </x:c>
      <x:c r="P434" s="9" t="s">
        <x:v>115</x:v>
      </x:c>
      <x:c r="Q434" s="9" t="s">
        <x:v>45</x:v>
      </x:c>
      <x:c r="R434" s="9"/>
      <x:c r="S434" s="8" t="s">
        <x:v>1348</x:v>
      </x:c>
      <x:c r="T434" s="8" t="s">
        <x:v>27</x:v>
      </x:c>
      <x:c r="U434" s="8" t="s">
        <x:v>883</x:v>
      </x:c>
      <x:c r="V434" s="8" t="s">
        <x:v>884</x:v>
      </x:c>
    </x:row>
    <x:row r="435" ht="39" hidden="0" customHeight="1">
      <x:c r="A435" s="9" t="s">
        <x:v>1351</x:v>
      </x:c>
      <x:c r="B435" s="9" t="s">
        <x:v>1279</x:v>
      </x:c>
      <x:c r="C435" s="9" t="s">
        <x:v>1319</x:v>
      </x:c>
      <x:c r="D435" s="9" t="s">
        <x:v>1352</x:v>
      </x:c>
      <x:c r="E435" s="9" t="n">
        <x:v>48</x:v>
      </x:c>
      <x:c r="F435" s="9" t="s">
        <x:v>108</x:v>
      </x:c>
      <x:c r="G435" s="9" t="s">
        <x:v>109</x:v>
      </x:c>
      <x:c r="H435" s="9" t="s">
        <x:v>1282</x:v>
      </x:c>
      <x:c r="I435" s="9"/>
      <x:c r="J435" s="9" t="s">
        <x:v>1283</x:v>
      </x:c>
      <x:c r="K435" s="9" t="s">
        <x:v>1324</x:v>
      </x:c>
      <x:c r="L435" s="9" t="s">
        <x:v>1324</x:v>
      </x:c>
      <x:c r="M435" s="9"/>
      <x:c r="N435" s="9" t="n">
        <x:v>19</x:v>
      </x:c>
      <x:c r="O435" s="9" t="s">
        <x:v>1285</x:v>
      </x:c>
      <x:c r="P435" s="9" t="s">
        <x:v>115</x:v>
      </x:c>
      <x:c r="Q435" s="9" t="s">
        <x:v>45</x:v>
      </x:c>
      <x:c r="R435" s="9"/>
      <x:c r="S435" s="8" t="s">
        <x:v>1353</x:v>
      </x:c>
      <x:c r="T435" s="8" t="s">
        <x:v>27</x:v>
      </x:c>
      <x:c r="U435" s="8" t="s">
        <x:v>883</x:v>
      </x:c>
      <x:c r="V435" s="8" t="s">
        <x:v>884</x:v>
      </x:c>
    </x:row>
    <x:row r="436" ht="39" hidden="0" customHeight="1">
      <x:c r="A436" s="9" t="s">
        <x:v>1354</x:v>
      </x:c>
      <x:c r="B436" s="9" t="s">
        <x:v>1279</x:v>
      </x:c>
      <x:c r="C436" s="9" t="s">
        <x:v>1319</x:v>
      </x:c>
      <x:c r="D436" s="9" t="s">
        <x:v>1355</x:v>
      </x:c>
      <x:c r="E436" s="9" t="n">
        <x:v>4096</x:v>
      </x:c>
      <x:c r="F436" s="9" t="s">
        <x:v>108</x:v>
      </x:c>
      <x:c r="G436" s="9" t="s">
        <x:v>109</x:v>
      </x:c>
      <x:c r="H436" s="9" t="s">
        <x:v>1282</x:v>
      </x:c>
      <x:c r="I436" s="9"/>
      <x:c r="J436" s="9" t="s">
        <x:v>1283</x:v>
      </x:c>
      <x:c r="K436" s="9" t="s">
        <x:v>1356</x:v>
      </x:c>
      <x:c r="L436" s="9" t="s">
        <x:v>1356</x:v>
      </x:c>
      <x:c r="M436" s="9"/>
      <x:c r="N436" s="9" t="n">
        <x:v>4</x:v>
      </x:c>
      <x:c r="O436" s="9" t="s">
        <x:v>1285</x:v>
      </x:c>
      <x:c r="P436" s="9" t="s">
        <x:v>115</x:v>
      </x:c>
      <x:c r="Q436" s="9" t="s">
        <x:v>45</x:v>
      </x:c>
      <x:c r="R436" s="9"/>
      <x:c r="S436" s="8" t="s">
        <x:v>1345</x:v>
      </x:c>
      <x:c r="T436" s="8" t="s">
        <x:v>27</x:v>
      </x:c>
      <x:c r="U436" s="8" t="s">
        <x:v>883</x:v>
      </x:c>
      <x:c r="V436" s="8" t="s">
        <x:v>884</x:v>
      </x:c>
    </x:row>
    <x:row r="437" ht="39" hidden="0" customHeight="1">
      <x:c r="A437" s="9" t="s">
        <x:v>1357</x:v>
      </x:c>
      <x:c r="B437" s="9" t="s">
        <x:v>1279</x:v>
      </x:c>
      <x:c r="C437" s="9" t="s">
        <x:v>1300</x:v>
      </x:c>
      <x:c r="D437" s="9" t="s">
        <x:v>1358</x:v>
      </x:c>
      <x:c r="E437" s="9" t="n">
        <x:v>2</x:v>
      </x:c>
      <x:c r="F437" s="9" t="s">
        <x:v>108</x:v>
      </x:c>
      <x:c r="G437" s="9" t="s">
        <x:v>109</x:v>
      </x:c>
      <x:c r="H437" s="9" t="s">
        <x:v>1282</x:v>
      </x:c>
      <x:c r="I437" s="9"/>
      <x:c r="J437" s="9" t="s">
        <x:v>1283</x:v>
      </x:c>
      <x:c r="K437" s="9" t="s">
        <x:v>1359</x:v>
      </x:c>
      <x:c r="L437" s="9" t="s">
        <x:v>1359</x:v>
      </x:c>
      <x:c r="M437" s="9"/>
      <x:c r="N437" s="9" t="n">
        <x:v>19</x:v>
      </x:c>
      <x:c r="O437" s="9" t="s">
        <x:v>1285</x:v>
      </x:c>
      <x:c r="P437" s="9" t="s">
        <x:v>115</x:v>
      </x:c>
      <x:c r="Q437" s="9" t="s">
        <x:v>45</x:v>
      </x:c>
      <x:c r="R437" s="9"/>
      <x:c r="S437" s="8" t="s">
        <x:v>1360</x:v>
      </x:c>
      <x:c r="T437" s="8" t="s">
        <x:v>27</x:v>
      </x:c>
      <x:c r="U437" s="8" t="s">
        <x:v>883</x:v>
      </x:c>
      <x:c r="V437" s="8" t="s">
        <x:v>884</x:v>
      </x:c>
    </x:row>
    <x:row r="438" ht="39" hidden="0" customHeight="1">
      <x:c r="A438" s="9" t="s">
        <x:v>1361</x:v>
      </x:c>
      <x:c r="B438" s="9" t="s">
        <x:v>1279</x:v>
      </x:c>
      <x:c r="C438" s="9" t="s">
        <x:v>1304</x:v>
      </x:c>
      <x:c r="D438" s="9" t="s">
        <x:v>1358</x:v>
      </x:c>
      <x:c r="E438" s="9" t="n">
        <x:v>4</x:v>
      </x:c>
      <x:c r="F438" s="9" t="s">
        <x:v>108</x:v>
      </x:c>
      <x:c r="G438" s="9" t="s">
        <x:v>109</x:v>
      </x:c>
      <x:c r="H438" s="9" t="s">
        <x:v>1282</x:v>
      </x:c>
      <x:c r="I438" s="9"/>
      <x:c r="J438" s="9" t="s">
        <x:v>1283</x:v>
      </x:c>
      <x:c r="K438" s="9" t="s">
        <x:v>1359</x:v>
      </x:c>
      <x:c r="L438" s="9" t="s">
        <x:v>1359</x:v>
      </x:c>
      <x:c r="M438" s="9"/>
      <x:c r="N438" s="9" t="n">
        <x:v>19</x:v>
      </x:c>
      <x:c r="O438" s="9" t="s">
        <x:v>1285</x:v>
      </x:c>
      <x:c r="P438" s="9" t="s">
        <x:v>115</x:v>
      </x:c>
      <x:c r="Q438" s="9" t="s">
        <x:v>45</x:v>
      </x:c>
      <x:c r="R438" s="9"/>
      <x:c r="S438" s="8" t="s">
        <x:v>1360</x:v>
      </x:c>
      <x:c r="T438" s="8" t="s">
        <x:v>27</x:v>
      </x:c>
      <x:c r="U438" s="8" t="s">
        <x:v>883</x:v>
      </x:c>
      <x:c r="V438" s="8" t="s">
        <x:v>884</x:v>
      </x:c>
    </x:row>
    <x:row r="439" ht="39" hidden="0" customHeight="1">
      <x:c r="A439" s="9" t="s">
        <x:v>1362</x:v>
      </x:c>
      <x:c r="B439" s="9" t="s">
        <x:v>1279</x:v>
      </x:c>
      <x:c r="C439" s="9" t="s">
        <x:v>1280</x:v>
      </x:c>
      <x:c r="D439" s="9" t="s">
        <x:v>164</x:v>
      </x:c>
      <x:c r="E439" s="9" t="s">
        <x:v>1363</x:v>
      </x:c>
      <x:c r="F439" s="9" t="s">
        <x:v>108</x:v>
      </x:c>
      <x:c r="G439" s="9" t="s">
        <x:v>109</x:v>
      </x:c>
      <x:c r="H439" s="9" t="s">
        <x:v>1282</x:v>
      </x:c>
      <x:c r="I439" s="9"/>
      <x:c r="J439" s="9" t="s">
        <x:v>1283</x:v>
      </x:c>
      <x:c r="K439" s="9" t="s">
        <x:v>1364</x:v>
      </x:c>
      <x:c r="L439" s="9" t="s">
        <x:v>1364</x:v>
      </x:c>
      <x:c r="M439" s="9"/>
      <x:c r="N439" s="9" t="n">
        <x:v>21</x:v>
      </x:c>
      <x:c r="O439" s="9" t="s">
        <x:v>1285</x:v>
      </x:c>
      <x:c r="P439" s="9" t="s">
        <x:v>115</x:v>
      </x:c>
      <x:c r="Q439" s="9" t="s">
        <x:v>45</x:v>
      </x:c>
      <x:c r="R439" s="9"/>
      <x:c r="S439" s="8"/>
      <x:c r="T439" s="8" t="s">
        <x:v>27</x:v>
      </x:c>
      <x:c r="U439" s="8" t="s">
        <x:v>883</x:v>
      </x:c>
      <x:c r="V439" s="8" t="s">
        <x:v>884</x:v>
      </x:c>
    </x:row>
    <x:row r="440" ht="39" hidden="0" customHeight="1">
      <x:c r="A440" s="9" t="s">
        <x:v>1365</x:v>
      </x:c>
      <x:c r="B440" s="9" t="s">
        <x:v>1279</x:v>
      </x:c>
      <x:c r="C440" s="9" t="s">
        <x:v>1280</x:v>
      </x:c>
      <x:c r="D440" s="9" t="s">
        <x:v>1366</x:v>
      </x:c>
      <x:c r="E440" s="9" t="n">
        <x:v>0.9</x:v>
      </x:c>
      <x:c r="F440" s="9" t="s">
        <x:v>108</x:v>
      </x:c>
      <x:c r="G440" s="9" t="s">
        <x:v>109</x:v>
      </x:c>
      <x:c r="H440" s="9" t="s">
        <x:v>1282</x:v>
      </x:c>
      <x:c r="I440" s="9"/>
      <x:c r="J440" s="9" t="s">
        <x:v>1283</x:v>
      </x:c>
      <x:c r="K440" s="9" t="s">
        <x:v>1364</x:v>
      </x:c>
      <x:c r="L440" s="9" t="s">
        <x:v>1364</x:v>
      </x:c>
      <x:c r="M440" s="9"/>
      <x:c r="N440" s="9" t="n">
        <x:v>21</x:v>
      </x:c>
      <x:c r="O440" s="9" t="s">
        <x:v>1285</x:v>
      </x:c>
      <x:c r="P440" s="9" t="s">
        <x:v>115</x:v>
      </x:c>
      <x:c r="Q440" s="9" t="s">
        <x:v>45</x:v>
      </x:c>
      <x:c r="R440" s="9"/>
      <x:c r="S440" s="8"/>
      <x:c r="T440" s="8" t="s">
        <x:v>27</x:v>
      </x:c>
      <x:c r="U440" s="8" t="s">
        <x:v>883</x:v>
      </x:c>
      <x:c r="V440" s="8" t="s">
        <x:v>884</x:v>
      </x:c>
    </x:row>
    <x:row r="441" ht="39" hidden="0" customHeight="1">
      <x:c r="A441" s="9" t="s">
        <x:v>1367</x:v>
      </x:c>
      <x:c r="B441" s="9" t="s">
        <x:v>1279</x:v>
      </x:c>
      <x:c r="C441" s="9" t="s">
        <x:v>1280</x:v>
      </x:c>
      <x:c r="D441" s="9" t="s">
        <x:v>1368</x:v>
      </x:c>
      <x:c r="E441" s="9" t="n">
        <x:v>0.95</x:v>
      </x:c>
      <x:c r="F441" s="9" t="s">
        <x:v>108</x:v>
      </x:c>
      <x:c r="G441" s="9" t="s">
        <x:v>109</x:v>
      </x:c>
      <x:c r="H441" s="9" t="s">
        <x:v>1282</x:v>
      </x:c>
      <x:c r="I441" s="9"/>
      <x:c r="J441" s="9" t="s">
        <x:v>1283</x:v>
      </x:c>
      <x:c r="K441" s="9" t="s">
        <x:v>1364</x:v>
      </x:c>
      <x:c r="L441" s="9" t="s">
        <x:v>1364</x:v>
      </x:c>
      <x:c r="M441" s="9"/>
      <x:c r="N441" s="9" t="n">
        <x:v>21</x:v>
      </x:c>
      <x:c r="O441" s="9" t="s">
        <x:v>1285</x:v>
      </x:c>
      <x:c r="P441" s="9" t="s">
        <x:v>115</x:v>
      </x:c>
      <x:c r="Q441" s="9" t="s">
        <x:v>45</x:v>
      </x:c>
      <x:c r="R441" s="9"/>
      <x:c r="S441" s="8"/>
      <x:c r="T441" s="8" t="s">
        <x:v>27</x:v>
      </x:c>
      <x:c r="U441" s="8" t="s">
        <x:v>883</x:v>
      </x:c>
      <x:c r="V441" s="8" t="s">
        <x:v>884</x:v>
      </x:c>
    </x:row>
    <x:row r="442" ht="39" hidden="0" customHeight="1">
      <x:c r="A442" s="9" t="s">
        <x:v>1369</x:v>
      </x:c>
      <x:c r="B442" s="9" t="s">
        <x:v>1279</x:v>
      </x:c>
      <x:c r="C442" s="9" t="s">
        <x:v>1280</x:v>
      </x:c>
      <x:c r="D442" s="9" t="s">
        <x:v>318</x:v>
      </x:c>
      <x:c r="E442" s="9" t="n">
        <x:v>0.0005</x:v>
      </x:c>
      <x:c r="F442" s="9" t="s">
        <x:v>108</x:v>
      </x:c>
      <x:c r="G442" s="9" t="s">
        <x:v>109</x:v>
      </x:c>
      <x:c r="H442" s="9" t="s">
        <x:v>1282</x:v>
      </x:c>
      <x:c r="I442" s="9"/>
      <x:c r="J442" s="9" t="s">
        <x:v>1283</x:v>
      </x:c>
      <x:c r="K442" s="9" t="s">
        <x:v>1364</x:v>
      </x:c>
      <x:c r="L442" s="9" t="s">
        <x:v>1364</x:v>
      </x:c>
      <x:c r="M442" s="9"/>
      <x:c r="N442" s="9" t="n">
        <x:v>21</x:v>
      </x:c>
      <x:c r="O442" s="9" t="s">
        <x:v>1285</x:v>
      </x:c>
      <x:c r="P442" s="9" t="s">
        <x:v>115</x:v>
      </x:c>
      <x:c r="Q442" s="9" t="s">
        <x:v>45</x:v>
      </x:c>
      <x:c r="R442" s="9"/>
      <x:c r="S442" s="8"/>
      <x:c r="T442" s="8" t="s">
        <x:v>27</x:v>
      </x:c>
      <x:c r="U442" s="8" t="s">
        <x:v>883</x:v>
      </x:c>
      <x:c r="V442" s="8" t="s">
        <x:v>884</x:v>
      </x:c>
    </x:row>
    <x:row r="443" ht="39" hidden="0" customHeight="1">
      <x:c r="A443" s="9" t="s">
        <x:v>1370</x:v>
      </x:c>
      <x:c r="B443" s="9" t="s">
        <x:v>1279</x:v>
      </x:c>
      <x:c r="C443" s="9" t="s">
        <x:v>1280</x:v>
      </x:c>
      <x:c r="D443" s="9" t="s">
        <x:v>402</x:v>
      </x:c>
      <x:c r="E443" s="9" t="n">
        <x:v>1E-005</x:v>
      </x:c>
      <x:c r="F443" s="9" t="s">
        <x:v>108</x:v>
      </x:c>
      <x:c r="G443" s="9" t="s">
        <x:v>109</x:v>
      </x:c>
      <x:c r="H443" s="9" t="s">
        <x:v>1282</x:v>
      </x:c>
      <x:c r="I443" s="9"/>
      <x:c r="J443" s="9" t="s">
        <x:v>1283</x:v>
      </x:c>
      <x:c r="K443" s="9" t="s">
        <x:v>1364</x:v>
      </x:c>
      <x:c r="L443" s="9" t="s">
        <x:v>1364</x:v>
      </x:c>
      <x:c r="M443" s="9"/>
      <x:c r="N443" s="9" t="n">
        <x:v>21</x:v>
      </x:c>
      <x:c r="O443" s="9" t="s">
        <x:v>1285</x:v>
      </x:c>
      <x:c r="P443" s="9" t="s">
        <x:v>115</x:v>
      </x:c>
      <x:c r="Q443" s="9" t="s">
        <x:v>45</x:v>
      </x:c>
      <x:c r="R443" s="9" t="s">
        <x:v>1371</x:v>
      </x:c>
      <x:c r="S443" s="8"/>
      <x:c r="T443" s="8" t="s">
        <x:v>27</x:v>
      </x:c>
      <x:c r="U443" s="8" t="s">
        <x:v>883</x:v>
      </x:c>
      <x:c r="V443" s="8" t="s">
        <x:v>884</x:v>
      </x:c>
    </x:row>
    <x:row r="444" ht="39" hidden="0" customHeight="1">
      <x:c r="A444" s="9" t="s">
        <x:v>1372</x:v>
      </x:c>
      <x:c r="B444" s="9" t="s">
        <x:v>1279</x:v>
      </x:c>
      <x:c r="C444" s="9" t="s">
        <x:v>1280</x:v>
      </x:c>
      <x:c r="D444" s="9" t="s">
        <x:v>408</x:v>
      </x:c>
      <x:c r="E444" s="9" t="s">
        <x:v>1373</x:v>
      </x:c>
      <x:c r="F444" s="9" t="s">
        <x:v>108</x:v>
      </x:c>
      <x:c r="G444" s="9" t="s">
        <x:v>109</x:v>
      </x:c>
      <x:c r="H444" s="9" t="s">
        <x:v>1282</x:v>
      </x:c>
      <x:c r="I444" s="9"/>
      <x:c r="J444" s="9" t="s">
        <x:v>1283</x:v>
      </x:c>
      <x:c r="K444" s="9" t="s">
        <x:v>1364</x:v>
      </x:c>
      <x:c r="L444" s="9" t="s">
        <x:v>1364</x:v>
      </x:c>
      <x:c r="M444" s="9"/>
      <x:c r="N444" s="9" t="n">
        <x:v>21</x:v>
      </x:c>
      <x:c r="O444" s="9" t="s">
        <x:v>1285</x:v>
      </x:c>
      <x:c r="P444" s="9" t="s">
        <x:v>115</x:v>
      </x:c>
      <x:c r="Q444" s="9" t="s">
        <x:v>45</x:v>
      </x:c>
      <x:c r="R444" s="9"/>
      <x:c r="S444" s="8"/>
      <x:c r="T444" s="8" t="s">
        <x:v>27</x:v>
      </x:c>
      <x:c r="U444" s="8" t="s">
        <x:v>883</x:v>
      </x:c>
      <x:c r="V444" s="8" t="s">
        <x:v>884</x:v>
      </x:c>
    </x:row>
    <x:row r="445" ht="39" hidden="0" customHeight="1">
      <x:c r="A445" s="9" t="s">
        <x:v>1374</x:v>
      </x:c>
      <x:c r="B445" s="9" t="s">
        <x:v>1279</x:v>
      </x:c>
      <x:c r="C445" s="9" t="s">
        <x:v>1280</x:v>
      </x:c>
      <x:c r="D445" s="9" t="s">
        <x:v>1375</x:v>
      </x:c>
      <x:c r="E445" s="9" t="n">
        <x:v>10000</x:v>
      </x:c>
      <x:c r="F445" s="9" t="s">
        <x:v>108</x:v>
      </x:c>
      <x:c r="G445" s="9" t="s">
        <x:v>109</x:v>
      </x:c>
      <x:c r="H445" s="9" t="s">
        <x:v>1282</x:v>
      </x:c>
      <x:c r="I445" s="9"/>
      <x:c r="J445" s="9" t="s">
        <x:v>1283</x:v>
      </x:c>
      <x:c r="K445" s="9" t="s">
        <x:v>1364</x:v>
      </x:c>
      <x:c r="L445" s="9" t="s">
        <x:v>1364</x:v>
      </x:c>
      <x:c r="M445" s="9"/>
      <x:c r="N445" s="9" t="n">
        <x:v>21</x:v>
      </x:c>
      <x:c r="O445" s="9" t="s">
        <x:v>1285</x:v>
      </x:c>
      <x:c r="P445" s="9" t="s">
        <x:v>115</x:v>
      </x:c>
      <x:c r="Q445" s="9" t="s">
        <x:v>45</x:v>
      </x:c>
      <x:c r="R445" s="9"/>
      <x:c r="S445" s="8" t="s">
        <x:v>1376</x:v>
      </x:c>
      <x:c r="T445" s="8" t="s">
        <x:v>27</x:v>
      </x:c>
      <x:c r="U445" s="8" t="s">
        <x:v>883</x:v>
      </x:c>
      <x:c r="V445" s="8" t="s">
        <x:v>884</x:v>
      </x:c>
    </x:row>
    <x:row r="446" ht="39" hidden="0" customHeight="1">
      <x:c r="A446" s="9" t="s">
        <x:v>1377</x:v>
      </x:c>
      <x:c r="B446" s="9" t="s">
        <x:v>1279</x:v>
      </x:c>
      <x:c r="C446" s="9" t="s">
        <x:v>1280</x:v>
      </x:c>
      <x:c r="D446" s="9" t="s">
        <x:v>1378</x:v>
      </x:c>
      <x:c r="E446" s="9" t="n">
        <x:v>190000</x:v>
      </x:c>
      <x:c r="F446" s="9" t="s">
        <x:v>108</x:v>
      </x:c>
      <x:c r="G446" s="9" t="s">
        <x:v>109</x:v>
      </x:c>
      <x:c r="H446" s="9" t="s">
        <x:v>1282</x:v>
      </x:c>
      <x:c r="I446" s="9"/>
      <x:c r="J446" s="9" t="s">
        <x:v>1283</x:v>
      </x:c>
      <x:c r="K446" s="9" t="s">
        <x:v>1364</x:v>
      </x:c>
      <x:c r="L446" s="9" t="s">
        <x:v>1364</x:v>
      </x:c>
      <x:c r="M446" s="9"/>
      <x:c r="N446" s="9" t="n">
        <x:v>21</x:v>
      </x:c>
      <x:c r="O446" s="9" t="s">
        <x:v>1285</x:v>
      </x:c>
      <x:c r="P446" s="9" t="s">
        <x:v>115</x:v>
      </x:c>
      <x:c r="Q446" s="9" t="s">
        <x:v>45</x:v>
      </x:c>
      <x:c r="R446" s="9"/>
      <x:c r="S446" s="8" t="s">
        <x:v>1376</x:v>
      </x:c>
      <x:c r="T446" s="8" t="s">
        <x:v>27</x:v>
      </x:c>
      <x:c r="U446" s="8" t="s">
        <x:v>883</x:v>
      </x:c>
      <x:c r="V446" s="8" t="s">
        <x:v>884</x:v>
      </x:c>
    </x:row>
    <x:row r="447" ht="39" hidden="0" customHeight="1">
      <x:c r="A447" s="9" t="s">
        <x:v>1379</x:v>
      </x:c>
      <x:c r="B447" s="9" t="s">
        <x:v>1279</x:v>
      </x:c>
      <x:c r="C447" s="9" t="s">
        <x:v>1280</x:v>
      </x:c>
      <x:c r="D447" s="9" t="s">
        <x:v>1380</x:v>
      </x:c>
      <x:c r="E447" s="9" t="n">
        <x:v>5</x:v>
      </x:c>
      <x:c r="F447" s="9" t="s">
        <x:v>108</x:v>
      </x:c>
      <x:c r="G447" s="9" t="s">
        <x:v>109</x:v>
      </x:c>
      <x:c r="H447" s="9" t="s">
        <x:v>1282</x:v>
      </x:c>
      <x:c r="I447" s="9"/>
      <x:c r="J447" s="9" t="s">
        <x:v>1283</x:v>
      </x:c>
      <x:c r="K447" s="9" t="s">
        <x:v>1364</x:v>
      </x:c>
      <x:c r="L447" s="9" t="s">
        <x:v>1364</x:v>
      </x:c>
      <x:c r="M447" s="9"/>
      <x:c r="N447" s="9" t="n">
        <x:v>21</x:v>
      </x:c>
      <x:c r="O447" s="9" t="s">
        <x:v>1285</x:v>
      </x:c>
      <x:c r="P447" s="9" t="s">
        <x:v>115</x:v>
      </x:c>
      <x:c r="Q447" s="9" t="s">
        <x:v>45</x:v>
      </x:c>
      <x:c r="R447" s="9"/>
      <x:c r="S447" s="8" t="s">
        <x:v>990</x:v>
      </x:c>
      <x:c r="T447" s="8" t="s">
        <x:v>27</x:v>
      </x:c>
      <x:c r="U447" s="8" t="s">
        <x:v>883</x:v>
      </x:c>
      <x:c r="V447" s="8" t="s">
        <x:v>884</x:v>
      </x:c>
    </x:row>
    <x:row r="448" ht="39" hidden="0" customHeight="1">
      <x:c r="A448" s="9" t="s">
        <x:v>1381</x:v>
      </x:c>
      <x:c r="B448" s="9" t="s">
        <x:v>1279</x:v>
      </x:c>
      <x:c r="C448" s="9" t="s">
        <x:v>1280</x:v>
      </x:c>
      <x:c r="D448" s="9" t="s">
        <x:v>1382</x:v>
      </x:c>
      <x:c r="E448" s="9" t="n">
        <x:v>95</x:v>
      </x:c>
      <x:c r="F448" s="9" t="s">
        <x:v>108</x:v>
      </x:c>
      <x:c r="G448" s="9" t="s">
        <x:v>109</x:v>
      </x:c>
      <x:c r="H448" s="9" t="s">
        <x:v>1282</x:v>
      </x:c>
      <x:c r="I448" s="9"/>
      <x:c r="J448" s="9" t="s">
        <x:v>1283</x:v>
      </x:c>
      <x:c r="K448" s="9" t="s">
        <x:v>1364</x:v>
      </x:c>
      <x:c r="L448" s="9" t="s">
        <x:v>1364</x:v>
      </x:c>
      <x:c r="M448" s="9"/>
      <x:c r="N448" s="9" t="n">
        <x:v>21</x:v>
      </x:c>
      <x:c r="O448" s="9" t="s">
        <x:v>1285</x:v>
      </x:c>
      <x:c r="P448" s="9" t="s">
        <x:v>115</x:v>
      </x:c>
      <x:c r="Q448" s="9" t="s">
        <x:v>45</x:v>
      </x:c>
      <x:c r="R448" s="9"/>
      <x:c r="S448" s="8" t="s">
        <x:v>990</x:v>
      </x:c>
      <x:c r="T448" s="8" t="s">
        <x:v>27</x:v>
      </x:c>
      <x:c r="U448" s="8" t="s">
        <x:v>883</x:v>
      </x:c>
      <x:c r="V448" s="8" t="s">
        <x:v>884</x:v>
      </x:c>
    </x:row>
    <x:row r="449" ht="39" hidden="0" customHeight="1">
      <x:c r="A449" s="9" t="s">
        <x:v>1383</x:v>
      </x:c>
      <x:c r="B449" s="9" t="s">
        <x:v>1279</x:v>
      </x:c>
      <x:c r="C449" s="9" t="s">
        <x:v>1280</x:v>
      </x:c>
      <x:c r="D449" s="9" t="s">
        <x:v>142</x:v>
      </x:c>
      <x:c r="E449" s="9" t="s">
        <x:v>1384</x:v>
      </x:c>
      <x:c r="F449" s="9" t="s">
        <x:v>108</x:v>
      </x:c>
      <x:c r="G449" s="9" t="s">
        <x:v>109</x:v>
      </x:c>
      <x:c r="H449" s="9" t="s">
        <x:v>1282</x:v>
      </x:c>
      <x:c r="I449" s="9"/>
      <x:c r="J449" s="9" t="s">
        <x:v>1283</x:v>
      </x:c>
      <x:c r="K449" s="9" t="s">
        <x:v>1364</x:v>
      </x:c>
      <x:c r="L449" s="9" t="s">
        <x:v>1364</x:v>
      </x:c>
      <x:c r="M449" s="9"/>
      <x:c r="N449" s="9" t="n">
        <x:v>21</x:v>
      </x:c>
      <x:c r="O449" s="9" t="s">
        <x:v>1285</x:v>
      </x:c>
      <x:c r="P449" s="9" t="s">
        <x:v>115</x:v>
      </x:c>
      <x:c r="Q449" s="9" t="s">
        <x:v>45</x:v>
      </x:c>
      <x:c r="R449" s="9"/>
      <x:c r="S449" s="8"/>
      <x:c r="T449" s="8" t="s">
        <x:v>27</x:v>
      </x:c>
      <x:c r="U449" s="8" t="s">
        <x:v>883</x:v>
      </x:c>
      <x:c r="V449" s="8" t="s">
        <x:v>884</x:v>
      </x:c>
    </x:row>
    <x:row r="450" ht="39" hidden="0" customHeight="1">
      <x:c r="A450" s="9" t="s">
        <x:v>1385</x:v>
      </x:c>
      <x:c r="B450" s="9" t="s">
        <x:v>1279</x:v>
      </x:c>
      <x:c r="C450" s="9" t="s">
        <x:v>1280</x:v>
      </x:c>
      <x:c r="D450" s="9" t="s">
        <x:v>157</x:v>
      </x:c>
      <x:c r="E450" s="9" t="s">
        <x:v>1386</x:v>
      </x:c>
      <x:c r="F450" s="9" t="s">
        <x:v>108</x:v>
      </x:c>
      <x:c r="G450" s="9" t="s">
        <x:v>109</x:v>
      </x:c>
      <x:c r="H450" s="9" t="s">
        <x:v>1282</x:v>
      </x:c>
      <x:c r="I450" s="9"/>
      <x:c r="J450" s="9" t="s">
        <x:v>1283</x:v>
      </x:c>
      <x:c r="K450" s="9" t="s">
        <x:v>1364</x:v>
      </x:c>
      <x:c r="L450" s="9" t="s">
        <x:v>1364</x:v>
      </x:c>
      <x:c r="M450" s="9"/>
      <x:c r="N450" s="9" t="n">
        <x:v>21</x:v>
      </x:c>
      <x:c r="O450" s="9" t="s">
        <x:v>1285</x:v>
      </x:c>
      <x:c r="P450" s="9" t="s">
        <x:v>115</x:v>
      </x:c>
      <x:c r="Q450" s="9" t="s">
        <x:v>45</x:v>
      </x:c>
      <x:c r="R450" s="9"/>
      <x:c r="S450" s="8"/>
      <x:c r="T450" s="8" t="s">
        <x:v>27</x:v>
      </x:c>
      <x:c r="U450" s="8" t="s">
        <x:v>883</x:v>
      </x:c>
      <x:c r="V450" s="8" t="s">
        <x:v>884</x:v>
      </x:c>
    </x:row>
    <x:row r="451" ht="39" hidden="0" customHeight="1">
      <x:c r="A451" s="9" t="s">
        <x:v>1387</x:v>
      </x:c>
      <x:c r="B451" s="9" t="s">
        <x:v>1279</x:v>
      </x:c>
      <x:c r="C451" s="9" t="s">
        <x:v>1280</x:v>
      </x:c>
      <x:c r="D451" s="9" t="s">
        <x:v>463</x:v>
      </x:c>
      <x:c r="E451" s="9" t="s">
        <x:v>1388</x:v>
      </x:c>
      <x:c r="F451" s="9" t="s">
        <x:v>108</x:v>
      </x:c>
      <x:c r="G451" s="9" t="s">
        <x:v>109</x:v>
      </x:c>
      <x:c r="H451" s="9" t="s">
        <x:v>1282</x:v>
      </x:c>
      <x:c r="I451" s="9"/>
      <x:c r="J451" s="9" t="s">
        <x:v>1283</x:v>
      </x:c>
      <x:c r="K451" s="9" t="s">
        <x:v>1321</x:v>
      </x:c>
      <x:c r="L451" s="9" t="s">
        <x:v>1321</x:v>
      </x:c>
      <x:c r="M451" s="9"/>
      <x:c r="N451" s="9" t="n">
        <x:v>20</x:v>
      </x:c>
      <x:c r="O451" s="9" t="s">
        <x:v>1285</x:v>
      </x:c>
      <x:c r="P451" s="9" t="s">
        <x:v>115</x:v>
      </x:c>
      <x:c r="Q451" s="9" t="s">
        <x:v>45</x:v>
      </x:c>
      <x:c r="R451" s="9"/>
      <x:c r="S451" s="8"/>
      <x:c r="T451" s="8" t="s">
        <x:v>27</x:v>
      </x:c>
      <x:c r="U451" s="8" t="s">
        <x:v>883</x:v>
      </x:c>
      <x:c r="V451" s="8" t="s">
        <x:v>884</x:v>
      </x:c>
    </x:row>
    <x:row r="452" ht="39" hidden="0" customHeight="1">
      <x:c r="A452" s="9" t="s">
        <x:v>1389</x:v>
      </x:c>
      <x:c r="B452" s="9" t="s">
        <x:v>1279</x:v>
      </x:c>
      <x:c r="C452" s="9" t="s">
        <x:v>1280</x:v>
      </x:c>
      <x:c r="D452" s="9" t="s">
        <x:v>173</x:v>
      </x:c>
      <x:c r="E452" s="9" t="n">
        <x:v>80</x:v>
      </x:c>
      <x:c r="F452" s="9" t="s">
        <x:v>108</x:v>
      </x:c>
      <x:c r="G452" s="9" t="s">
        <x:v>109</x:v>
      </x:c>
      <x:c r="H452" s="9" t="s">
        <x:v>1282</x:v>
      </x:c>
      <x:c r="I452" s="9"/>
      <x:c r="J452" s="9" t="s">
        <x:v>1283</x:v>
      </x:c>
      <x:c r="K452" s="9" t="s">
        <x:v>1321</x:v>
      </x:c>
      <x:c r="L452" s="9" t="s">
        <x:v>1321</x:v>
      </x:c>
      <x:c r="M452" s="9"/>
      <x:c r="N452" s="9" t="n">
        <x:v>20</x:v>
      </x:c>
      <x:c r="O452" s="9" t="s">
        <x:v>1285</x:v>
      </x:c>
      <x:c r="P452" s="9" t="s">
        <x:v>115</x:v>
      </x:c>
      <x:c r="Q452" s="9" t="s">
        <x:v>45</x:v>
      </x:c>
      <x:c r="R452" s="9"/>
      <x:c r="S452" s="8" t="s">
        <x:v>1390</x:v>
      </x:c>
      <x:c r="T452" s="8" t="s">
        <x:v>27</x:v>
      </x:c>
      <x:c r="U452" s="8" t="s">
        <x:v>883</x:v>
      </x:c>
      <x:c r="V452" s="8" t="s">
        <x:v>884</x:v>
      </x:c>
    </x:row>
    <x:row r="453" ht="39" hidden="0" customHeight="1">
      <x:c r="A453" s="9" t="s">
        <x:v>1391</x:v>
      </x:c>
      <x:c r="B453" s="9" t="s">
        <x:v>1279</x:v>
      </x:c>
      <x:c r="C453" s="9" t="s">
        <x:v>1280</x:v>
      </x:c>
      <x:c r="D453" s="9" t="s">
        <x:v>326</x:v>
      </x:c>
      <x:c r="E453" s="9" t="n">
        <x:v>32</x:v>
      </x:c>
      <x:c r="F453" s="9" t="s">
        <x:v>108</x:v>
      </x:c>
      <x:c r="G453" s="9" t="s">
        <x:v>109</x:v>
      </x:c>
      <x:c r="H453" s="9" t="s">
        <x:v>1282</x:v>
      </x:c>
      <x:c r="I453" s="9"/>
      <x:c r="J453" s="9" t="s">
        <x:v>1283</x:v>
      </x:c>
      <x:c r="K453" s="9" t="s">
        <x:v>1321</x:v>
      </x:c>
      <x:c r="L453" s="9" t="s">
        <x:v>1321</x:v>
      </x:c>
      <x:c r="M453" s="9"/>
      <x:c r="N453" s="9" t="n">
        <x:v>20</x:v>
      </x:c>
      <x:c r="O453" s="9" t="s">
        <x:v>1285</x:v>
      </x:c>
      <x:c r="P453" s="9" t="s">
        <x:v>115</x:v>
      </x:c>
      <x:c r="Q453" s="9" t="s">
        <x:v>45</x:v>
      </x:c>
      <x:c r="R453" s="9"/>
      <x:c r="S453" s="8" t="s">
        <x:v>1392</x:v>
      </x:c>
      <x:c r="T453" s="8" t="s">
        <x:v>27</x:v>
      </x:c>
      <x:c r="U453" s="8" t="s">
        <x:v>883</x:v>
      </x:c>
      <x:c r="V453" s="8" t="s">
        <x:v>884</x:v>
      </x:c>
    </x:row>
    <x:row r="454" ht="39" hidden="0" customHeight="1">
      <x:c r="A454" s="9" t="s">
        <x:v>1393</x:v>
      </x:c>
      <x:c r="B454" s="9" t="s">
        <x:v>1279</x:v>
      </x:c>
      <x:c r="C454" s="9" t="s">
        <x:v>1280</x:v>
      </x:c>
      <x:c r="D454" s="9" t="s">
        <x:v>1394</x:v>
      </x:c>
      <x:c r="E454" s="9" t="s">
        <x:v>1395</x:v>
      </x:c>
      <x:c r="F454" s="9" t="s">
        <x:v>108</x:v>
      </x:c>
      <x:c r="G454" s="9" t="s">
        <x:v>109</x:v>
      </x:c>
      <x:c r="H454" s="9" t="s">
        <x:v>1282</x:v>
      </x:c>
      <x:c r="I454" s="9"/>
      <x:c r="J454" s="9" t="s">
        <x:v>1283</x:v>
      </x:c>
      <x:c r="K454" s="9" t="s">
        <x:v>1321</x:v>
      </x:c>
      <x:c r="L454" s="9" t="s">
        <x:v>1321</x:v>
      </x:c>
      <x:c r="M454" s="9"/>
      <x:c r="N454" s="9" t="n">
        <x:v>20</x:v>
      </x:c>
      <x:c r="O454" s="9" t="s">
        <x:v>1285</x:v>
      </x:c>
      <x:c r="P454" s="9" t="s">
        <x:v>115</x:v>
      </x:c>
      <x:c r="Q454" s="9" t="s">
        <x:v>45</x:v>
      </x:c>
      <x:c r="R454" s="9"/>
      <x:c r="S454" s="8"/>
      <x:c r="T454" s="8" t="s">
        <x:v>27</x:v>
      </x:c>
      <x:c r="U454" s="8" t="s">
        <x:v>883</x:v>
      </x:c>
      <x:c r="V454" s="8" t="s">
        <x:v>884</x:v>
      </x:c>
    </x:row>
    <x:row r="455" ht="39" hidden="0" customHeight="1">
      <x:c r="A455" s="9" t="s">
        <x:v>1396</x:v>
      </x:c>
      <x:c r="B455" s="9" t="s">
        <x:v>1279</x:v>
      </x:c>
      <x:c r="C455" s="9" t="s">
        <x:v>1397</x:v>
      </x:c>
      <x:c r="D455" s="9" t="s">
        <x:v>164</x:v>
      </x:c>
      <x:c r="E455" s="9" t="s">
        <x:v>1363</x:v>
      </x:c>
      <x:c r="F455" s="9" t="s">
        <x:v>108</x:v>
      </x:c>
      <x:c r="G455" s="9" t="s">
        <x:v>109</x:v>
      </x:c>
      <x:c r="H455" s="9" t="s">
        <x:v>1282</x:v>
      </x:c>
      <x:c r="I455" s="9"/>
      <x:c r="J455" s="9" t="s">
        <x:v>1283</x:v>
      </x:c>
      <x:c r="K455" s="9" t="s">
        <x:v>1398</x:v>
      </x:c>
      <x:c r="L455" s="9" t="s">
        <x:v>1398</x:v>
      </x:c>
      <x:c r="M455" s="9"/>
      <x:c r="N455" s="9" t="n">
        <x:v>21</x:v>
      </x:c>
      <x:c r="O455" s="9" t="s">
        <x:v>1285</x:v>
      </x:c>
      <x:c r="P455" s="9" t="s">
        <x:v>115</x:v>
      </x:c>
      <x:c r="Q455" s="9" t="s">
        <x:v>45</x:v>
      </x:c>
      <x:c r="R455" s="9"/>
      <x:c r="S455" s="8"/>
      <x:c r="T455" s="8" t="s">
        <x:v>27</x:v>
      </x:c>
      <x:c r="U455" s="8" t="s">
        <x:v>883</x:v>
      </x:c>
      <x:c r="V455" s="8" t="s">
        <x:v>884</x:v>
      </x:c>
    </x:row>
    <x:row r="456" ht="39" hidden="0" customHeight="1">
      <x:c r="A456" s="9" t="s">
        <x:v>1399</x:v>
      </x:c>
      <x:c r="B456" s="9" t="s">
        <x:v>1279</x:v>
      </x:c>
      <x:c r="C456" s="9" t="s">
        <x:v>1397</x:v>
      </x:c>
      <x:c r="D456" s="9" t="s">
        <x:v>1366</x:v>
      </x:c>
      <x:c r="E456" s="9" t="n">
        <x:v>0.9</x:v>
      </x:c>
      <x:c r="F456" s="9" t="s">
        <x:v>108</x:v>
      </x:c>
      <x:c r="G456" s="9" t="s">
        <x:v>109</x:v>
      </x:c>
      <x:c r="H456" s="9" t="s">
        <x:v>1282</x:v>
      </x:c>
      <x:c r="I456" s="9"/>
      <x:c r="J456" s="9" t="s">
        <x:v>1283</x:v>
      </x:c>
      <x:c r="K456" s="9" t="s">
        <x:v>1398</x:v>
      </x:c>
      <x:c r="L456" s="9" t="s">
        <x:v>1398</x:v>
      </x:c>
      <x:c r="M456" s="9"/>
      <x:c r="N456" s="9" t="n">
        <x:v>21</x:v>
      </x:c>
      <x:c r="O456" s="9" t="s">
        <x:v>1285</x:v>
      </x:c>
      <x:c r="P456" s="9" t="s">
        <x:v>115</x:v>
      </x:c>
      <x:c r="Q456" s="9" t="s">
        <x:v>45</x:v>
      </x:c>
      <x:c r="R456" s="9"/>
      <x:c r="S456" s="8"/>
      <x:c r="T456" s="8" t="s">
        <x:v>27</x:v>
      </x:c>
      <x:c r="U456" s="8" t="s">
        <x:v>883</x:v>
      </x:c>
      <x:c r="V456" s="8" t="s">
        <x:v>884</x:v>
      </x:c>
    </x:row>
    <x:row r="457" ht="39" hidden="0" customHeight="1">
      <x:c r="A457" s="9" t="s">
        <x:v>1400</x:v>
      </x:c>
      <x:c r="B457" s="9" t="s">
        <x:v>1279</x:v>
      </x:c>
      <x:c r="C457" s="9" t="s">
        <x:v>1397</x:v>
      </x:c>
      <x:c r="D457" s="9" t="s">
        <x:v>1368</x:v>
      </x:c>
      <x:c r="E457" s="9" t="n">
        <x:v>0.999</x:v>
      </x:c>
      <x:c r="F457" s="9" t="s">
        <x:v>108</x:v>
      </x:c>
      <x:c r="G457" s="9" t="s">
        <x:v>109</x:v>
      </x:c>
      <x:c r="H457" s="9" t="s">
        <x:v>1282</x:v>
      </x:c>
      <x:c r="I457" s="9"/>
      <x:c r="J457" s="9" t="s">
        <x:v>1283</x:v>
      </x:c>
      <x:c r="K457" s="9" t="s">
        <x:v>1398</x:v>
      </x:c>
      <x:c r="L457" s="9" t="s">
        <x:v>1398</x:v>
      </x:c>
      <x:c r="M457" s="9"/>
      <x:c r="N457" s="9" t="n">
        <x:v>21</x:v>
      </x:c>
      <x:c r="O457" s="9" t="s">
        <x:v>1285</x:v>
      </x:c>
      <x:c r="P457" s="9" t="s">
        <x:v>115</x:v>
      </x:c>
      <x:c r="Q457" s="9" t="s">
        <x:v>45</x:v>
      </x:c>
      <x:c r="R457" s="9"/>
      <x:c r="S457" s="8"/>
      <x:c r="T457" s="8" t="s">
        <x:v>27</x:v>
      </x:c>
      <x:c r="U457" s="8" t="s">
        <x:v>883</x:v>
      </x:c>
      <x:c r="V457" s="8" t="s">
        <x:v>884</x:v>
      </x:c>
    </x:row>
    <x:row r="458" ht="39" hidden="0" customHeight="1">
      <x:c r="A458" s="9" t="s">
        <x:v>1401</x:v>
      </x:c>
      <x:c r="B458" s="9" t="s">
        <x:v>1279</x:v>
      </x:c>
      <x:c r="C458" s="9" t="s">
        <x:v>1397</x:v>
      </x:c>
      <x:c r="D458" s="9" t="s">
        <x:v>402</x:v>
      </x:c>
      <x:c r="E458" s="9" t="n">
        <x:v>1E-005</x:v>
      </x:c>
      <x:c r="F458" s="9" t="s">
        <x:v>108</x:v>
      </x:c>
      <x:c r="G458" s="9" t="s">
        <x:v>109</x:v>
      </x:c>
      <x:c r="H458" s="9" t="s">
        <x:v>1282</x:v>
      </x:c>
      <x:c r="I458" s="9"/>
      <x:c r="J458" s="9" t="s">
        <x:v>1283</x:v>
      </x:c>
      <x:c r="K458" s="9" t="s">
        <x:v>1398</x:v>
      </x:c>
      <x:c r="L458" s="9" t="s">
        <x:v>1398</x:v>
      </x:c>
      <x:c r="M458" s="9"/>
      <x:c r="N458" s="9" t="n">
        <x:v>21</x:v>
      </x:c>
      <x:c r="O458" s="9" t="s">
        <x:v>1285</x:v>
      </x:c>
      <x:c r="P458" s="9" t="s">
        <x:v>115</x:v>
      </x:c>
      <x:c r="Q458" s="9" t="s">
        <x:v>45</x:v>
      </x:c>
      <x:c r="R458" s="9" t="s">
        <x:v>1371</x:v>
      </x:c>
      <x:c r="S458" s="8"/>
      <x:c r="T458" s="8" t="s">
        <x:v>27</x:v>
      </x:c>
      <x:c r="U458" s="8" t="s">
        <x:v>883</x:v>
      </x:c>
      <x:c r="V458" s="8" t="s">
        <x:v>884</x:v>
      </x:c>
    </x:row>
    <x:row r="459" ht="39" hidden="0" customHeight="1">
      <x:c r="A459" s="9" t="s">
        <x:v>1402</x:v>
      </x:c>
      <x:c r="B459" s="9" t="s">
        <x:v>1279</x:v>
      </x:c>
      <x:c r="C459" s="9" t="s">
        <x:v>1397</x:v>
      </x:c>
      <x:c r="D459" s="9" t="s">
        <x:v>1380</x:v>
      </x:c>
      <x:c r="E459" s="9" t="n">
        <x:v>5</x:v>
      </x:c>
      <x:c r="F459" s="9" t="s">
        <x:v>108</x:v>
      </x:c>
      <x:c r="G459" s="9" t="s">
        <x:v>109</x:v>
      </x:c>
      <x:c r="H459" s="9" t="s">
        <x:v>1282</x:v>
      </x:c>
      <x:c r="I459" s="9"/>
      <x:c r="J459" s="9" t="s">
        <x:v>1283</x:v>
      </x:c>
      <x:c r="K459" s="9" t="s">
        <x:v>1398</x:v>
      </x:c>
      <x:c r="L459" s="9" t="s">
        <x:v>1398</x:v>
      </x:c>
      <x:c r="M459" s="9"/>
      <x:c r="N459" s="9" t="n">
        <x:v>21</x:v>
      </x:c>
      <x:c r="O459" s="9" t="s">
        <x:v>1285</x:v>
      </x:c>
      <x:c r="P459" s="9" t="s">
        <x:v>115</x:v>
      </x:c>
      <x:c r="Q459" s="9" t="s">
        <x:v>45</x:v>
      </x:c>
      <x:c r="R459" s="9"/>
      <x:c r="S459" s="8" t="s">
        <x:v>990</x:v>
      </x:c>
      <x:c r="T459" s="8" t="s">
        <x:v>27</x:v>
      </x:c>
      <x:c r="U459" s="8" t="s">
        <x:v>883</x:v>
      </x:c>
      <x:c r="V459" s="8" t="s">
        <x:v>884</x:v>
      </x:c>
    </x:row>
    <x:row r="460" ht="39" hidden="0" customHeight="1">
      <x:c r="A460" s="9" t="s">
        <x:v>1403</x:v>
      </x:c>
      <x:c r="B460" s="9" t="s">
        <x:v>1279</x:v>
      </x:c>
      <x:c r="C460" s="9" t="s">
        <x:v>1397</x:v>
      </x:c>
      <x:c r="D460" s="9" t="s">
        <x:v>1382</x:v>
      </x:c>
      <x:c r="E460" s="9" t="n">
        <x:v>45</x:v>
      </x:c>
      <x:c r="F460" s="9" t="s">
        <x:v>108</x:v>
      </x:c>
      <x:c r="G460" s="9" t="s">
        <x:v>109</x:v>
      </x:c>
      <x:c r="H460" s="9" t="s">
        <x:v>1282</x:v>
      </x:c>
      <x:c r="I460" s="9"/>
      <x:c r="J460" s="9" t="s">
        <x:v>1283</x:v>
      </x:c>
      <x:c r="K460" s="9" t="s">
        <x:v>1398</x:v>
      </x:c>
      <x:c r="L460" s="9" t="s">
        <x:v>1398</x:v>
      </x:c>
      <x:c r="M460" s="9"/>
      <x:c r="N460" s="9" t="n">
        <x:v>21</x:v>
      </x:c>
      <x:c r="O460" s="9" t="s">
        <x:v>1285</x:v>
      </x:c>
      <x:c r="P460" s="9" t="s">
        <x:v>115</x:v>
      </x:c>
      <x:c r="Q460" s="9" t="s">
        <x:v>45</x:v>
      </x:c>
      <x:c r="R460" s="9"/>
      <x:c r="S460" s="8" t="s">
        <x:v>990</x:v>
      </x:c>
      <x:c r="T460" s="8" t="s">
        <x:v>27</x:v>
      </x:c>
      <x:c r="U460" s="8" t="s">
        <x:v>883</x:v>
      </x:c>
      <x:c r="V460" s="8" t="s">
        <x:v>884</x:v>
      </x:c>
    </x:row>
    <x:row r="461" ht="39" hidden="0" customHeight="1">
      <x:c r="A461" s="9" t="s">
        <x:v>1404</x:v>
      </x:c>
      <x:c r="B461" s="9" t="s">
        <x:v>1279</x:v>
      </x:c>
      <x:c r="C461" s="9" t="s">
        <x:v>1397</x:v>
      </x:c>
      <x:c r="D461" s="9" t="s">
        <x:v>408</x:v>
      </x:c>
      <x:c r="E461" s="9" t="s">
        <x:v>1373</x:v>
      </x:c>
      <x:c r="F461" s="9" t="s">
        <x:v>108</x:v>
      </x:c>
      <x:c r="G461" s="9" t="s">
        <x:v>109</x:v>
      </x:c>
      <x:c r="H461" s="9" t="s">
        <x:v>1282</x:v>
      </x:c>
      <x:c r="I461" s="9"/>
      <x:c r="J461" s="9" t="s">
        <x:v>1283</x:v>
      </x:c>
      <x:c r="K461" s="9" t="s">
        <x:v>1398</x:v>
      </x:c>
      <x:c r="L461" s="9" t="s">
        <x:v>1398</x:v>
      </x:c>
      <x:c r="M461" s="9"/>
      <x:c r="N461" s="9" t="n">
        <x:v>21</x:v>
      </x:c>
      <x:c r="O461" s="9" t="s">
        <x:v>1285</x:v>
      </x:c>
      <x:c r="P461" s="9" t="s">
        <x:v>115</x:v>
      </x:c>
      <x:c r="Q461" s="9" t="s">
        <x:v>45</x:v>
      </x:c>
      <x:c r="R461" s="9"/>
      <x:c r="S461" s="8"/>
      <x:c r="T461" s="8" t="s">
        <x:v>27</x:v>
      </x:c>
      <x:c r="U461" s="8" t="s">
        <x:v>883</x:v>
      </x:c>
      <x:c r="V461" s="8" t="s">
        <x:v>884</x:v>
      </x:c>
    </x:row>
    <x:row r="462" ht="39" hidden="0" customHeight="1">
      <x:c r="A462" s="9" t="s">
        <x:v>1405</x:v>
      </x:c>
      <x:c r="B462" s="9" t="s">
        <x:v>1279</x:v>
      </x:c>
      <x:c r="C462" s="9" t="s">
        <x:v>1306</x:v>
      </x:c>
      <x:c r="D462" s="9" t="s">
        <x:v>318</x:v>
      </x:c>
      <x:c r="E462" s="9" t="n">
        <x:v>5E-007</x:v>
      </x:c>
      <x:c r="F462" s="9" t="s">
        <x:v>108</x:v>
      </x:c>
      <x:c r="G462" s="9" t="s">
        <x:v>109</x:v>
      </x:c>
      <x:c r="H462" s="9" t="s">
        <x:v>1282</x:v>
      </x:c>
      <x:c r="I462" s="9"/>
      <x:c r="J462" s="9" t="s">
        <x:v>1283</x:v>
      </x:c>
      <x:c r="K462" s="9" t="s">
        <x:v>1406</x:v>
      </x:c>
      <x:c r="L462" s="9" t="s">
        <x:v>1406</x:v>
      </x:c>
      <x:c r="M462" s="9"/>
      <x:c r="N462" s="9" t="n">
        <x:v>21</x:v>
      </x:c>
      <x:c r="O462" s="9" t="s">
        <x:v>1285</x:v>
      </x:c>
      <x:c r="P462" s="9" t="s">
        <x:v>115</x:v>
      </x:c>
      <x:c r="Q462" s="9" t="s">
        <x:v>45</x:v>
      </x:c>
      <x:c r="R462" s="9"/>
      <x:c r="S462" s="8"/>
      <x:c r="T462" s="8" t="s">
        <x:v>27</x:v>
      </x:c>
      <x:c r="U462" s="8" t="s">
        <x:v>883</x:v>
      </x:c>
      <x:c r="V462" s="8" t="s">
        <x:v>884</x:v>
      </x:c>
    </x:row>
    <x:row r="463" ht="39" hidden="0" customHeight="1">
      <x:c r="A463" s="9" t="s">
        <x:v>1407</x:v>
      </x:c>
      <x:c r="B463" s="9" t="s">
        <x:v>1279</x:v>
      </x:c>
      <x:c r="C463" s="9" t="s">
        <x:v>1310</x:v>
      </x:c>
      <x:c r="D463" s="9" t="s">
        <x:v>318</x:v>
      </x:c>
      <x:c r="E463" s="9" t="n">
        <x:v>0.0005</x:v>
      </x:c>
      <x:c r="F463" s="9" t="s">
        <x:v>108</x:v>
      </x:c>
      <x:c r="G463" s="9" t="s">
        <x:v>109</x:v>
      </x:c>
      <x:c r="H463" s="9" t="s">
        <x:v>1282</x:v>
      </x:c>
      <x:c r="I463" s="9"/>
      <x:c r="J463" s="9" t="s">
        <x:v>1283</x:v>
      </x:c>
      <x:c r="K463" s="9" t="s">
        <x:v>1406</x:v>
      </x:c>
      <x:c r="L463" s="9" t="s">
        <x:v>1406</x:v>
      </x:c>
      <x:c r="M463" s="9"/>
      <x:c r="N463" s="9" t="n">
        <x:v>21</x:v>
      </x:c>
      <x:c r="O463" s="9" t="s">
        <x:v>1285</x:v>
      </x:c>
      <x:c r="P463" s="9" t="s">
        <x:v>115</x:v>
      </x:c>
      <x:c r="Q463" s="9" t="s">
        <x:v>45</x:v>
      </x:c>
      <x:c r="R463" s="9"/>
      <x:c r="S463" s="8"/>
      <x:c r="T463" s="8" t="s">
        <x:v>27</x:v>
      </x:c>
      <x:c r="U463" s="8" t="s">
        <x:v>883</x:v>
      </x:c>
      <x:c r="V463" s="8" t="s">
        <x:v>884</x:v>
      </x:c>
    </x:row>
    <x:row r="464" ht="39" hidden="0" customHeight="1">
      <x:c r="A464" s="9" t="s">
        <x:v>1408</x:v>
      </x:c>
      <x:c r="B464" s="9" t="s">
        <x:v>1279</x:v>
      </x:c>
      <x:c r="C464" s="9" t="s">
        <x:v>1409</x:v>
      </x:c>
      <x:c r="D464" s="9" t="s">
        <x:v>318</x:v>
      </x:c>
      <x:c r="E464" s="9" t="n">
        <x:v>5E-005</x:v>
      </x:c>
      <x:c r="F464" s="9" t="s">
        <x:v>108</x:v>
      </x:c>
      <x:c r="G464" s="9" t="s">
        <x:v>109</x:v>
      </x:c>
      <x:c r="H464" s="9" t="s">
        <x:v>1282</x:v>
      </x:c>
      <x:c r="I464" s="9"/>
      <x:c r="J464" s="9" t="s">
        <x:v>1283</x:v>
      </x:c>
      <x:c r="K464" s="9" t="s">
        <x:v>1406</x:v>
      </x:c>
      <x:c r="L464" s="9" t="s">
        <x:v>1406</x:v>
      </x:c>
      <x:c r="M464" s="9"/>
      <x:c r="N464" s="9" t="n">
        <x:v>21</x:v>
      </x:c>
      <x:c r="O464" s="9" t="s">
        <x:v>1285</x:v>
      </x:c>
      <x:c r="P464" s="9" t="s">
        <x:v>115</x:v>
      </x:c>
      <x:c r="Q464" s="9" t="s">
        <x:v>45</x:v>
      </x:c>
      <x:c r="R464" s="9"/>
      <x:c r="S464" s="8"/>
      <x:c r="T464" s="8" t="s">
        <x:v>27</x:v>
      </x:c>
      <x:c r="U464" s="8" t="s">
        <x:v>883</x:v>
      </x:c>
      <x:c r="V464" s="8" t="s">
        <x:v>884</x:v>
      </x:c>
    </x:row>
    <x:row r="465" ht="39" hidden="0" customHeight="1">
      <x:c r="A465" s="9" t="s">
        <x:v>1410</x:v>
      </x:c>
      <x:c r="B465" s="9" t="s">
        <x:v>1279</x:v>
      </x:c>
      <x:c r="C465" s="9" t="s">
        <x:v>1310</x:v>
      </x:c>
      <x:c r="D465" s="9" t="s">
        <x:v>142</x:v>
      </x:c>
      <x:c r="E465" s="9" t="s">
        <x:v>1411</x:v>
      </x:c>
      <x:c r="F465" s="9" t="s">
        <x:v>108</x:v>
      </x:c>
      <x:c r="G465" s="9" t="s">
        <x:v>109</x:v>
      </x:c>
      <x:c r="H465" s="9" t="s">
        <x:v>1282</x:v>
      </x:c>
      <x:c r="I465" s="9"/>
      <x:c r="J465" s="9" t="s">
        <x:v>1283</x:v>
      </x:c>
      <x:c r="K465" s="9" t="s">
        <x:v>1412</x:v>
      </x:c>
      <x:c r="L465" s="9" t="s">
        <x:v>1412</x:v>
      </x:c>
      <x:c r="M465" s="9"/>
      <x:c r="N465" s="9" t="n">
        <x:v>21</x:v>
      </x:c>
      <x:c r="O465" s="9" t="s">
        <x:v>1285</x:v>
      </x:c>
      <x:c r="P465" s="9" t="s">
        <x:v>115</x:v>
      </x:c>
      <x:c r="Q465" s="9" t="s">
        <x:v>45</x:v>
      </x:c>
      <x:c r="R465" s="9"/>
      <x:c r="S465" s="8"/>
      <x:c r="T465" s="8" t="s">
        <x:v>27</x:v>
      </x:c>
      <x:c r="U465" s="8" t="s">
        <x:v>883</x:v>
      </x:c>
      <x:c r="V465" s="8" t="s">
        <x:v>884</x:v>
      </x:c>
    </x:row>
    <x:row r="466" ht="39" hidden="0" customHeight="1">
      <x:c r="A466" s="9" t="s">
        <x:v>1413</x:v>
      </x:c>
      <x:c r="B466" s="9" t="s">
        <x:v>1279</x:v>
      </x:c>
      <x:c r="C466" s="9" t="s">
        <x:v>1306</x:v>
      </x:c>
      <x:c r="D466" s="9" t="s">
        <x:v>176</x:v>
      </x:c>
      <x:c r="E466" s="9" t="n">
        <x:v>15</x:v>
      </x:c>
      <x:c r="F466" s="9" t="s">
        <x:v>108</x:v>
      </x:c>
      <x:c r="G466" s="9" t="s">
        <x:v>109</x:v>
      </x:c>
      <x:c r="H466" s="9" t="s">
        <x:v>1282</x:v>
      </x:c>
      <x:c r="I466" s="9"/>
      <x:c r="J466" s="9" t="s">
        <x:v>1283</x:v>
      </x:c>
      <x:c r="K466" s="9" t="s">
        <x:v>1414</x:v>
      </x:c>
      <x:c r="L466" s="9" t="s">
        <x:v>1414</x:v>
      </x:c>
      <x:c r="M466" s="9"/>
      <x:c r="N466" s="9" t="n">
        <x:v>28</x:v>
      </x:c>
      <x:c r="O466" s="9" t="s">
        <x:v>1285</x:v>
      </x:c>
      <x:c r="P466" s="9" t="s">
        <x:v>115</x:v>
      </x:c>
      <x:c r="Q466" s="9" t="s">
        <x:v>45</x:v>
      </x:c>
      <x:c r="R466" s="9" t="s">
        <x:v>1415</x:v>
      </x:c>
      <x:c r="S466" s="8" t="s">
        <x:v>1416</x:v>
      </x:c>
      <x:c r="T466" s="8" t="s">
        <x:v>27</x:v>
      </x:c>
      <x:c r="U466" s="8" t="s">
        <x:v>883</x:v>
      </x:c>
      <x:c r="V466" s="8" t="s">
        <x:v>884</x:v>
      </x:c>
    </x:row>
    <x:row r="467" ht="39" hidden="0" customHeight="1">
      <x:c r="A467" s="9" t="s">
        <x:v>1417</x:v>
      </x:c>
      <x:c r="B467" s="9" t="s">
        <x:v>1279</x:v>
      </x:c>
      <x:c r="C467" s="9" t="s">
        <x:v>1316</x:v>
      </x:c>
      <x:c r="D467" s="9" t="s">
        <x:v>342</x:v>
      </x:c>
      <x:c r="E467" s="9" t="s">
        <x:v>1418</x:v>
      </x:c>
      <x:c r="F467" s="9" t="s">
        <x:v>108</x:v>
      </x:c>
      <x:c r="G467" s="9" t="s">
        <x:v>109</x:v>
      </x:c>
      <x:c r="H467" s="9" t="s">
        <x:v>1282</x:v>
      </x:c>
      <x:c r="I467" s="9"/>
      <x:c r="J467" s="9" t="s">
        <x:v>1283</x:v>
      </x:c>
      <x:c r="K467" s="9" t="s">
        <x:v>1132</x:v>
      </x:c>
      <x:c r="L467" s="9" t="s">
        <x:v>1132</x:v>
      </x:c>
      <x:c r="M467" s="9"/>
      <x:c r="N467" s="9" t="n">
        <x:v>5</x:v>
      </x:c>
      <x:c r="O467" s="9" t="s">
        <x:v>1285</x:v>
      </x:c>
      <x:c r="P467" s="9" t="s">
        <x:v>115</x:v>
      </x:c>
      <x:c r="Q467" s="9" t="s">
        <x:v>45</x:v>
      </x:c>
      <x:c r="R467" s="9"/>
      <x:c r="S467" s="8"/>
      <x:c r="T467" s="8" t="s">
        <x:v>27</x:v>
      </x:c>
      <x:c r="U467" s="8" t="s">
        <x:v>883</x:v>
      </x:c>
      <x:c r="V467" s="8" t="s">
        <x:v>884</x:v>
      </x:c>
    </x:row>
    <x:row r="468" ht="39" hidden="0" customHeight="1">
      <x:c r="A468" s="9" t="s">
        <x:v>1419</x:v>
      </x:c>
      <x:c r="B468" s="9" t="s">
        <x:v>1279</x:v>
      </x:c>
      <x:c r="C468" s="9" t="s">
        <x:v>1316</x:v>
      </x:c>
      <x:c r="D468" s="9" t="s">
        <x:v>266</x:v>
      </x:c>
      <x:c r="E468" s="9" t="s">
        <x:v>1420</x:v>
      </x:c>
      <x:c r="F468" s="9" t="s">
        <x:v>108</x:v>
      </x:c>
      <x:c r="G468" s="9" t="s">
        <x:v>109</x:v>
      </x:c>
      <x:c r="H468" s="9" t="s">
        <x:v>1282</x:v>
      </x:c>
      <x:c r="I468" s="9"/>
      <x:c r="J468" s="9" t="s">
        <x:v>1283</x:v>
      </x:c>
      <x:c r="K468" s="9" t="s">
        <x:v>1421</x:v>
      </x:c>
      <x:c r="L468" s="9" t="s">
        <x:v>1421</x:v>
      </x:c>
      <x:c r="M468" s="9"/>
      <x:c r="N468" s="9" t="n">
        <x:v>25</x:v>
      </x:c>
      <x:c r="O468" s="9" t="s">
        <x:v>1285</x:v>
      </x:c>
      <x:c r="P468" s="9" t="s">
        <x:v>115</x:v>
      </x:c>
      <x:c r="Q468" s="9" t="s">
        <x:v>45</x:v>
      </x:c>
      <x:c r="R468" s="9"/>
      <x:c r="S468" s="8"/>
      <x:c r="T468" s="8" t="s">
        <x:v>27</x:v>
      </x:c>
      <x:c r="U468" s="8" t="s">
        <x:v>883</x:v>
      </x:c>
      <x:c r="V468" s="8" t="s">
        <x:v>884</x:v>
      </x:c>
    </x:row>
    <x:row r="469" ht="39" hidden="0" customHeight="1">
      <x:c r="A469" s="9" t="s">
        <x:v>1422</x:v>
      </x:c>
      <x:c r="B469" s="9" t="s">
        <x:v>1279</x:v>
      </x:c>
      <x:c r="C469" s="9" t="s">
        <x:v>1423</x:v>
      </x:c>
      <x:c r="D469" s="9" t="s">
        <x:v>1424</x:v>
      </x:c>
      <x:c r="E469" s="9" t="n">
        <x:v>244.08</x:v>
      </x:c>
      <x:c r="F469" s="9" t="s">
        <x:v>108</x:v>
      </x:c>
      <x:c r="G469" s="9" t="s">
        <x:v>109</x:v>
      </x:c>
      <x:c r="H469" s="9" t="s">
        <x:v>1282</x:v>
      </x:c>
      <x:c r="I469" s="9"/>
      <x:c r="J469" s="9" t="s">
        <x:v>1283</x:v>
      </x:c>
      <x:c r="K469" s="9" t="s">
        <x:v>1425</x:v>
      </x:c>
      <x:c r="L469" s="9" t="s">
        <x:v>1426</x:v>
      </x:c>
      <x:c r="M469" s="9"/>
      <x:c r="N469" s="9" t="n">
        <x:v>29</x:v>
      </x:c>
      <x:c r="O469" s="9" t="s">
        <x:v>1285</x:v>
      </x:c>
      <x:c r="P469" s="9" t="s">
        <x:v>115</x:v>
      </x:c>
      <x:c r="Q469" s="9" t="s">
        <x:v>45</x:v>
      </x:c>
      <x:c r="R469" s="9"/>
      <x:c r="S469" s="8" t="s">
        <x:v>1427</x:v>
      </x:c>
      <x:c r="T469" s="8" t="s">
        <x:v>27</x:v>
      </x:c>
      <x:c r="U469" s="8" t="s">
        <x:v>883</x:v>
      </x:c>
      <x:c r="V469" s="8" t="s">
        <x:v>884</x:v>
      </x:c>
    </x:row>
    <x:row r="470" ht="39" hidden="0" customHeight="1">
      <x:c r="A470" s="9" t="s">
        <x:v>1428</x:v>
      </x:c>
      <x:c r="B470" s="9" t="s">
        <x:v>1279</x:v>
      </x:c>
      <x:c r="C470" s="9" t="s">
        <x:v>1429</x:v>
      </x:c>
      <x:c r="D470" s="9" t="s">
        <x:v>1424</x:v>
      </x:c>
      <x:c r="E470" s="9" t="n">
        <x:v>201</x:v>
      </x:c>
      <x:c r="F470" s="9" t="s">
        <x:v>108</x:v>
      </x:c>
      <x:c r="G470" s="9" t="s">
        <x:v>109</x:v>
      </x:c>
      <x:c r="H470" s="9" t="s">
        <x:v>1282</x:v>
      </x:c>
      <x:c r="I470" s="9"/>
      <x:c r="J470" s="9" t="s">
        <x:v>1283</x:v>
      </x:c>
      <x:c r="K470" s="9" t="s">
        <x:v>1425</x:v>
      </x:c>
      <x:c r="L470" s="9" t="s">
        <x:v>1430</x:v>
      </x:c>
      <x:c r="M470" s="9"/>
      <x:c r="N470" s="9" t="n">
        <x:v>29</x:v>
      </x:c>
      <x:c r="O470" s="9" t="s">
        <x:v>1285</x:v>
      </x:c>
      <x:c r="P470" s="9" t="s">
        <x:v>115</x:v>
      </x:c>
      <x:c r="Q470" s="9" t="s">
        <x:v>45</x:v>
      </x:c>
      <x:c r="R470" s="9"/>
      <x:c r="S470" s="8" t="s">
        <x:v>1427</x:v>
      </x:c>
      <x:c r="T470" s="8" t="s">
        <x:v>27</x:v>
      </x:c>
      <x:c r="U470" s="8" t="s">
        <x:v>883</x:v>
      </x:c>
      <x:c r="V470" s="8" t="s">
        <x:v>884</x:v>
      </x:c>
    </x:row>
    <x:row r="471" ht="39" hidden="0" customHeight="1">
      <x:c r="A471" s="9" t="s">
        <x:v>1431</x:v>
      </x:c>
      <x:c r="B471" s="9" t="s">
        <x:v>1279</x:v>
      </x:c>
      <x:c r="C471" s="9" t="s">
        <x:v>1432</x:v>
      </x:c>
      <x:c r="D471" s="9" t="s">
        <x:v>1424</x:v>
      </x:c>
      <x:c r="E471" s="9" t="n">
        <x:v>305.22</x:v>
      </x:c>
      <x:c r="F471" s="9" t="s">
        <x:v>108</x:v>
      </x:c>
      <x:c r="G471" s="9" t="s">
        <x:v>109</x:v>
      </x:c>
      <x:c r="H471" s="9" t="s">
        <x:v>1282</x:v>
      </x:c>
      <x:c r="I471" s="9"/>
      <x:c r="J471" s="9" t="s">
        <x:v>1283</x:v>
      </x:c>
      <x:c r="K471" s="9" t="s">
        <x:v>1425</x:v>
      </x:c>
      <x:c r="L471" s="9" t="s">
        <x:v>1433</x:v>
      </x:c>
      <x:c r="M471" s="9"/>
      <x:c r="N471" s="9" t="n">
        <x:v>29</x:v>
      </x:c>
      <x:c r="O471" s="9" t="s">
        <x:v>1285</x:v>
      </x:c>
      <x:c r="P471" s="9" t="s">
        <x:v>115</x:v>
      </x:c>
      <x:c r="Q471" s="9" t="s">
        <x:v>45</x:v>
      </x:c>
      <x:c r="R471" s="9"/>
      <x:c r="S471" s="8" t="s">
        <x:v>1427</x:v>
      </x:c>
      <x:c r="T471" s="8" t="s">
        <x:v>27</x:v>
      </x:c>
      <x:c r="U471" s="8" t="s">
        <x:v>883</x:v>
      </x:c>
      <x:c r="V471" s="8" t="s">
        <x:v>884</x:v>
      </x:c>
    </x:row>
    <x:row r="472" ht="39" hidden="0" customHeight="1">
      <x:c r="A472" s="9" t="s">
        <x:v>1434</x:v>
      </x:c>
      <x:c r="B472" s="9" t="s">
        <x:v>1279</x:v>
      </x:c>
      <x:c r="C472" s="9" t="s">
        <x:v>1435</x:v>
      </x:c>
      <x:c r="D472" s="9" t="s">
        <x:v>1424</x:v>
      </x:c>
      <x:c r="E472" s="9" t="n">
        <x:v>458.84</x:v>
      </x:c>
      <x:c r="F472" s="9" t="s">
        <x:v>108</x:v>
      </x:c>
      <x:c r="G472" s="9" t="s">
        <x:v>109</x:v>
      </x:c>
      <x:c r="H472" s="9" t="s">
        <x:v>1282</x:v>
      </x:c>
      <x:c r="I472" s="9"/>
      <x:c r="J472" s="9" t="s">
        <x:v>1283</x:v>
      </x:c>
      <x:c r="K472" s="9" t="s">
        <x:v>1425</x:v>
      </x:c>
      <x:c r="L472" s="9" t="s">
        <x:v>1436</x:v>
      </x:c>
      <x:c r="M472" s="9"/>
      <x:c r="N472" s="9" t="n">
        <x:v>29</x:v>
      </x:c>
      <x:c r="O472" s="9" t="s">
        <x:v>1285</x:v>
      </x:c>
      <x:c r="P472" s="9" t="s">
        <x:v>115</x:v>
      </x:c>
      <x:c r="Q472" s="9" t="s">
        <x:v>45</x:v>
      </x:c>
      <x:c r="R472" s="9"/>
      <x:c r="S472" s="8" t="s">
        <x:v>1427</x:v>
      </x:c>
      <x:c r="T472" s="8" t="s">
        <x:v>27</x:v>
      </x:c>
      <x:c r="U472" s="8" t="s">
        <x:v>883</x:v>
      </x:c>
      <x:c r="V472" s="8" t="s">
        <x:v>884</x:v>
      </x:c>
    </x:row>
    <x:row r="473" ht="39" hidden="0" customHeight="1">
      <x:c r="A473" s="9" t="s">
        <x:v>1437</x:v>
      </x:c>
      <x:c r="B473" s="9" t="s">
        <x:v>1279</x:v>
      </x:c>
      <x:c r="C473" s="9" t="s">
        <x:v>1319</x:v>
      </x:c>
      <x:c r="D473" s="9" t="s">
        <x:v>871</x:v>
      </x:c>
      <x:c r="E473" s="9" t="s">
        <x:v>1438</x:v>
      </x:c>
      <x:c r="F473" s="9" t="s">
        <x:v>108</x:v>
      </x:c>
      <x:c r="G473" s="9" t="s">
        <x:v>109</x:v>
      </x:c>
      <x:c r="H473" s="9" t="s">
        <x:v>1282</x:v>
      </x:c>
      <x:c r="I473" s="9"/>
      <x:c r="J473" s="9" t="s">
        <x:v>1283</x:v>
      </x:c>
      <x:c r="K473" s="9" t="s">
        <x:v>1439</x:v>
      </x:c>
      <x:c r="L473" s="9" t="s">
        <x:v>1439</x:v>
      </x:c>
      <x:c r="M473" s="9"/>
      <x:c r="N473" s="9" t="n">
        <x:v>1</x:v>
      </x:c>
      <x:c r="O473" s="9" t="s">
        <x:v>1285</x:v>
      </x:c>
      <x:c r="P473" s="9" t="s">
        <x:v>115</x:v>
      </x:c>
      <x:c r="Q473" s="9" t="s">
        <x:v>45</x:v>
      </x:c>
      <x:c r="R473" s="9" t="s">
        <x:v>1440</x:v>
      </x:c>
      <x:c r="S473" s="8"/>
      <x:c r="T473" s="8" t="s">
        <x:v>27</x:v>
      </x:c>
      <x:c r="U473" s="8" t="s">
        <x:v>883</x:v>
      </x:c>
      <x:c r="V473" s="8" t="s">
        <x:v>884</x:v>
      </x:c>
    </x:row>
    <x:row r="474" ht="39" hidden="0" customHeight="1">
      <x:c r="A474" s="9" t="s">
        <x:v>1441</x:v>
      </x:c>
      <x:c r="B474" s="9" t="s">
        <x:v>1279</x:v>
      </x:c>
      <x:c r="C474" s="9" t="s">
        <x:v>1319</x:v>
      </x:c>
      <x:c r="D474" s="9" t="s">
        <x:v>184</x:v>
      </x:c>
      <x:c r="E474" s="9" t="s">
        <x:v>1442</x:v>
      </x:c>
      <x:c r="F474" s="9" t="s">
        <x:v>108</x:v>
      </x:c>
      <x:c r="G474" s="9" t="s">
        <x:v>187</x:v>
      </x:c>
      <x:c r="H474" s="9" t="s">
        <x:v>1282</x:v>
      </x:c>
      <x:c r="I474" s="9"/>
      <x:c r="J474" s="9" t="s">
        <x:v>1283</x:v>
      </x:c>
      <x:c r="K474" s="9" t="s">
        <x:v>1443</x:v>
      </x:c>
      <x:c r="L474" s="9" t="s">
        <x:v>1443</x:v>
      </x:c>
      <x:c r="M474" s="9"/>
      <x:c r="N474" s="9" t="n">
        <x:v>9</x:v>
      </x:c>
      <x:c r="O474" s="9" t="s">
        <x:v>1285</x:v>
      </x:c>
      <x:c r="P474" s="9" t="s">
        <x:v>115</x:v>
      </x:c>
      <x:c r="Q474" s="9" t="s">
        <x:v>45</x:v>
      </x:c>
      <x:c r="R474" s="9"/>
      <x:c r="S474" s="8"/>
      <x:c r="T474" s="8" t="s">
        <x:v>27</x:v>
      </x:c>
      <x:c r="U474" s="8" t="s">
        <x:v>883</x:v>
      </x:c>
      <x:c r="V474" s="8" t="s">
        <x:v>884</x:v>
      </x:c>
    </x:row>
    <x:row r="475" ht="39" hidden="0" customHeight="1">
      <x:c r="A475" s="9" t="s">
        <x:v>1444</x:v>
      </x:c>
      <x:c r="B475" s="9" t="s">
        <x:v>1279</x:v>
      </x:c>
      <x:c r="C475" s="9" t="s">
        <x:v>1319</x:v>
      </x:c>
      <x:c r="D475" s="9" t="s">
        <x:v>427</x:v>
      </x:c>
      <x:c r="E475" s="9" t="s">
        <x:v>1445</x:v>
      </x:c>
      <x:c r="F475" s="9" t="s">
        <x:v>108</x:v>
      </x:c>
      <x:c r="G475" s="9" t="s">
        <x:v>187</x:v>
      </x:c>
      <x:c r="H475" s="9" t="s">
        <x:v>1282</x:v>
      </x:c>
      <x:c r="I475" s="9"/>
      <x:c r="J475" s="9" t="s">
        <x:v>1283</x:v>
      </x:c>
      <x:c r="K475" s="9" t="s">
        <x:v>1446</x:v>
      </x:c>
      <x:c r="L475" s="9" t="s">
        <x:v>1446</x:v>
      </x:c>
      <x:c r="M475" s="9"/>
      <x:c r="N475" s="9" t="n">
        <x:v>23</x:v>
      </x:c>
      <x:c r="O475" s="9" t="s">
        <x:v>1285</x:v>
      </x:c>
      <x:c r="P475" s="9" t="s">
        <x:v>115</x:v>
      </x:c>
      <x:c r="Q475" s="9" t="s">
        <x:v>45</x:v>
      </x:c>
      <x:c r="R475" s="9"/>
      <x:c r="S475" s="8"/>
      <x:c r="T475" s="8" t="s">
        <x:v>27</x:v>
      </x:c>
      <x:c r="U475" s="8" t="s">
        <x:v>883</x:v>
      </x:c>
      <x:c r="V475" s="8" t="s">
        <x:v>884</x:v>
      </x:c>
    </x:row>
    <x:row r="476" ht="39" hidden="0" customHeight="1">
      <x:c r="A476" s="9" t="s">
        <x:v>1447</x:v>
      </x:c>
      <x:c r="B476" s="9" t="s">
        <x:v>1279</x:v>
      </x:c>
      <x:c r="C476" s="9" t="s">
        <x:v>1319</x:v>
      </x:c>
      <x:c r="D476" s="9" t="s">
        <x:v>1003</x:v>
      </x:c>
      <x:c r="E476" s="9" t="s">
        <x:v>1448</x:v>
      </x:c>
      <x:c r="F476" s="9" t="s">
        <x:v>108</x:v>
      </x:c>
      <x:c r="G476" s="9" t="s">
        <x:v>109</x:v>
      </x:c>
      <x:c r="H476" s="9" t="s">
        <x:v>1282</x:v>
      </x:c>
      <x:c r="I476" s="9"/>
      <x:c r="J476" s="9" t="s">
        <x:v>1283</x:v>
      </x:c>
      <x:c r="K476" s="9" t="s">
        <x:v>1449</x:v>
      </x:c>
      <x:c r="L476" s="9" t="s">
        <x:v>1449</x:v>
      </x:c>
      <x:c r="M476" s="9"/>
      <x:c r="N476" s="9" t="n">
        <x:v>8</x:v>
      </x:c>
      <x:c r="O476" s="9" t="s">
        <x:v>1285</x:v>
      </x:c>
      <x:c r="P476" s="9" t="s">
        <x:v>115</x:v>
      </x:c>
      <x:c r="Q476" s="9" t="s">
        <x:v>45</x:v>
      </x:c>
      <x:c r="R476" s="9"/>
      <x:c r="S476" s="8"/>
      <x:c r="T476" s="8" t="s">
        <x:v>27</x:v>
      </x:c>
      <x:c r="U476" s="8" t="s">
        <x:v>883</x:v>
      </x:c>
      <x:c r="V476" s="8" t="s">
        <x:v>884</x:v>
      </x:c>
    </x:row>
    <x:row r="477" ht="39" hidden="0" customHeight="1">
      <x:c r="A477" s="9" t="s">
        <x:v>1450</x:v>
      </x:c>
      <x:c r="B477" s="9" t="s">
        <x:v>1279</x:v>
      </x:c>
      <x:c r="C477" s="9" t="s">
        <x:v>1319</x:v>
      </x:c>
      <x:c r="D477" s="9" t="s">
        <x:v>445</x:v>
      </x:c>
      <x:c r="E477" s="9" t="s">
        <x:v>32</x:v>
      </x:c>
      <x:c r="F477" s="9" t="s">
        <x:v>1070</x:v>
      </x:c>
      <x:c r="G477" s="9" t="s">
        <x:v>181</x:v>
      </x:c>
      <x:c r="H477" s="9" t="s">
        <x:v>1282</x:v>
      </x:c>
      <x:c r="I477" s="9"/>
      <x:c r="J477" s="9" t="s">
        <x:v>1283</x:v>
      </x:c>
      <x:c r="K477" s="9" t="s">
        <x:v>1451</x:v>
      </x:c>
      <x:c r="L477" s="9" t="s">
        <x:v>1451</x:v>
      </x:c>
      <x:c r="M477" s="9"/>
      <x:c r="N477" s="9"/>
      <x:c r="O477" s="9" t="s">
        <x:v>1285</x:v>
      </x:c>
      <x:c r="P477" s="9" t="s">
        <x:v>115</x:v>
      </x:c>
      <x:c r="Q477" s="9" t="s">
        <x:v>45</x:v>
      </x:c>
      <x:c r="R477" s="9" t="s">
        <x:v>1087</x:v>
      </x:c>
      <x:c r="S477" s="8"/>
      <x:c r="T477" s="8" t="s">
        <x:v>32</x:v>
      </x:c>
      <x:c r="U477" s="8" t="s">
        <x:v>883</x:v>
      </x:c>
      <x:c r="V477" s="8" t="s">
        <x:v>884</x:v>
      </x:c>
    </x:row>
    <x:row r="478" ht="39" hidden="0" customHeight="1">
      <x:c r="A478" s="9" t="s">
        <x:v>1452</x:v>
      </x:c>
      <x:c r="B478" s="9" t="s">
        <x:v>1279</x:v>
      </x:c>
      <x:c r="C478" s="9" t="s">
        <x:v>1319</x:v>
      </x:c>
      <x:c r="D478" s="9" t="s">
        <x:v>230</x:v>
      </x:c>
      <x:c r="E478" s="9" t="s">
        <x:v>32</x:v>
      </x:c>
      <x:c r="F478" s="9" t="s">
        <x:v>1070</x:v>
      </x:c>
      <x:c r="G478" s="9" t="s">
        <x:v>181</x:v>
      </x:c>
      <x:c r="H478" s="9" t="s">
        <x:v>1282</x:v>
      </x:c>
      <x:c r="I478" s="9"/>
      <x:c r="J478" s="9" t="s">
        <x:v>1283</x:v>
      </x:c>
      <x:c r="K478" s="9" t="s">
        <x:v>1451</x:v>
      </x:c>
      <x:c r="L478" s="9" t="s">
        <x:v>1451</x:v>
      </x:c>
      <x:c r="M478" s="9"/>
      <x:c r="N478" s="9"/>
      <x:c r="O478" s="9" t="s">
        <x:v>1285</x:v>
      </x:c>
      <x:c r="P478" s="9" t="s">
        <x:v>115</x:v>
      </x:c>
      <x:c r="Q478" s="9" t="s">
        <x:v>45</x:v>
      </x:c>
      <x:c r="R478" s="9" t="s">
        <x:v>1087</x:v>
      </x:c>
      <x:c r="S478" s="8"/>
      <x:c r="T478" s="8" t="s">
        <x:v>32</x:v>
      </x:c>
      <x:c r="U478" s="8" t="s">
        <x:v>883</x:v>
      </x:c>
      <x:c r="V478" s="8" t="s">
        <x:v>884</x:v>
      </x:c>
    </x:row>
    <x:row r="479" ht="39" hidden="0" customHeight="1">
      <x:c r="A479" s="9" t="s">
        <x:v>1453</x:v>
      </x:c>
      <x:c r="B479" s="9" t="s">
        <x:v>1279</x:v>
      </x:c>
      <x:c r="C479" s="9" t="s">
        <x:v>1319</x:v>
      </x:c>
      <x:c r="D479" s="9" t="s">
        <x:v>167</x:v>
      </x:c>
      <x:c r="E479" s="9" t="s">
        <x:v>32</x:v>
      </x:c>
      <x:c r="F479" s="9" t="s">
        <x:v>1070</x:v>
      </x:c>
      <x:c r="G479" s="9" t="s">
        <x:v>181</x:v>
      </x:c>
      <x:c r="H479" s="9" t="s">
        <x:v>1282</x:v>
      </x:c>
      <x:c r="I479" s="9"/>
      <x:c r="J479" s="9" t="s">
        <x:v>1283</x:v>
      </x:c>
      <x:c r="K479" s="9" t="s">
        <x:v>1451</x:v>
      </x:c>
      <x:c r="L479" s="9" t="s">
        <x:v>1451</x:v>
      </x:c>
      <x:c r="M479" s="9"/>
      <x:c r="N479" s="9"/>
      <x:c r="O479" s="9" t="s">
        <x:v>1285</x:v>
      </x:c>
      <x:c r="P479" s="9" t="s">
        <x:v>115</x:v>
      </x:c>
      <x:c r="Q479" s="9" t="s">
        <x:v>45</x:v>
      </x:c>
      <x:c r="R479" s="9" t="s">
        <x:v>1087</x:v>
      </x:c>
      <x:c r="S479" s="8"/>
      <x:c r="T479" s="8" t="s">
        <x:v>32</x:v>
      </x:c>
      <x:c r="U479" s="8" t="s">
        <x:v>883</x:v>
      </x:c>
      <x:c r="V479" s="8" t="s">
        <x:v>884</x:v>
      </x:c>
    </x:row>
    <x:row r="480" ht="52.5" hidden="0" customHeight="1">
      <x:c r="A480" s="9" t="s">
        <x:v>1454</x:v>
      </x:c>
      <x:c r="B480" s="9" t="s">
        <x:v>1279</x:v>
      </x:c>
      <x:c r="C480" s="9" t="s">
        <x:v>1280</x:v>
      </x:c>
      <x:c r="D480" s="9" t="s">
        <x:v>176</x:v>
      </x:c>
      <x:c r="E480" s="9" t="s">
        <x:v>32</x:v>
      </x:c>
      <x:c r="F480" s="9" t="s">
        <x:v>1070</x:v>
      </x:c>
      <x:c r="G480" s="9" t="s">
        <x:v>181</x:v>
      </x:c>
      <x:c r="H480" s="9" t="s">
        <x:v>1282</x:v>
      </x:c>
      <x:c r="I480" s="9"/>
      <x:c r="J480" s="9" t="s">
        <x:v>1283</x:v>
      </x:c>
      <x:c r="K480" s="9" t="s">
        <x:v>1451</x:v>
      </x:c>
      <x:c r="L480" s="9" t="s">
        <x:v>1451</x:v>
      </x:c>
      <x:c r="M480" s="9"/>
      <x:c r="N480" s="9"/>
      <x:c r="O480" s="9" t="s">
        <x:v>1285</x:v>
      </x:c>
      <x:c r="P480" s="9" t="s">
        <x:v>115</x:v>
      </x:c>
      <x:c r="Q480" s="9" t="s">
        <x:v>45</x:v>
      </x:c>
      <x:c r="R480" s="9" t="s">
        <x:v>1455</x:v>
      </x:c>
      <x:c r="S480" s="8"/>
      <x:c r="T480" s="8" t="s">
        <x:v>32</x:v>
      </x:c>
      <x:c r="U480" s="8" t="s">
        <x:v>883</x:v>
      </x:c>
      <x:c r="V480" s="8" t="s">
        <x:v>884</x:v>
      </x:c>
    </x:row>
    <x:row r="481" ht="39" hidden="0" customHeight="1">
      <x:c r="A481" s="9" t="s">
        <x:v>1456</x:v>
      </x:c>
      <x:c r="B481" s="9" t="s">
        <x:v>1279</x:v>
      </x:c>
      <x:c r="C481" s="9" t="s">
        <x:v>1319</x:v>
      </x:c>
      <x:c r="D481" s="9" t="s">
        <x:v>1092</x:v>
      </x:c>
      <x:c r="E481" s="9" t="s">
        <x:v>30</x:v>
      </x:c>
      <x:c r="F481" s="9" t="s">
        <x:v>1070</x:v>
      </x:c>
      <x:c r="G481" s="9" t="s">
        <x:v>181</x:v>
      </x:c>
      <x:c r="H481" s="9" t="s">
        <x:v>1282</x:v>
      </x:c>
      <x:c r="I481" s="9"/>
      <x:c r="J481" s="9" t="s">
        <x:v>1283</x:v>
      </x:c>
      <x:c r="K481" s="9" t="s">
        <x:v>1451</x:v>
      </x:c>
      <x:c r="L481" s="9" t="s">
        <x:v>1451</x:v>
      </x:c>
      <x:c r="M481" s="9"/>
      <x:c r="N481" s="9"/>
      <x:c r="O481" s="9" t="s">
        <x:v>1285</x:v>
      </x:c>
      <x:c r="P481" s="9" t="s">
        <x:v>115</x:v>
      </x:c>
      <x:c r="Q481" s="9" t="s">
        <x:v>45</x:v>
      </x:c>
      <x:c r="R481" s="9" t="s">
        <x:v>1082</x:v>
      </x:c>
      <x:c r="S481" s="8"/>
      <x:c r="T481" s="8" t="s">
        <x:v>30</x:v>
      </x:c>
      <x:c r="U481" s="8" t="s">
        <x:v>883</x:v>
      </x:c>
      <x:c r="V481" s="8" t="s">
        <x:v>884</x:v>
      </x:c>
    </x:row>
    <x:row r="482" ht="39" hidden="0" customHeight="1">
      <x:c r="A482" s="9" t="s">
        <x:v>1457</x:v>
      </x:c>
      <x:c r="B482" s="9" t="s">
        <x:v>1279</x:v>
      </x:c>
      <x:c r="C482" s="9" t="s">
        <x:v>1319</x:v>
      </x:c>
      <x:c r="D482" s="9" t="s">
        <x:v>1090</x:v>
      </x:c>
      <x:c r="E482" s="9" t="s">
        <x:v>30</x:v>
      </x:c>
      <x:c r="F482" s="9" t="s">
        <x:v>1070</x:v>
      </x:c>
      <x:c r="G482" s="9" t="s">
        <x:v>181</x:v>
      </x:c>
      <x:c r="H482" s="9" t="s">
        <x:v>1282</x:v>
      </x:c>
      <x:c r="I482" s="9"/>
      <x:c r="J482" s="9" t="s">
        <x:v>1283</x:v>
      </x:c>
      <x:c r="K482" s="9" t="s">
        <x:v>1451</x:v>
      </x:c>
      <x:c r="L482" s="9" t="s">
        <x:v>1451</x:v>
      </x:c>
      <x:c r="M482" s="9"/>
      <x:c r="N482" s="9"/>
      <x:c r="O482" s="9" t="s">
        <x:v>1285</x:v>
      </x:c>
      <x:c r="P482" s="9" t="s">
        <x:v>115</x:v>
      </x:c>
      <x:c r="Q482" s="9" t="s">
        <x:v>45</x:v>
      </x:c>
      <x:c r="R482" s="9" t="s">
        <x:v>1082</x:v>
      </x:c>
      <x:c r="S482" s="8"/>
      <x:c r="T482" s="8" t="s">
        <x:v>30</x:v>
      </x:c>
      <x:c r="U482" s="8" t="s">
        <x:v>883</x:v>
      </x:c>
      <x:c r="V482" s="8" t="s">
        <x:v>884</x:v>
      </x:c>
    </x:row>
    <x:row r="483" ht="39" hidden="0" customHeight="1">
      <x:c r="A483" s="9" t="s">
        <x:v>1458</x:v>
      </x:c>
      <x:c r="B483" s="9" t="s">
        <x:v>1279</x:v>
      </x:c>
      <x:c r="C483" s="9" t="s">
        <x:v>1319</x:v>
      </x:c>
      <x:c r="D483" s="9" t="s">
        <x:v>1096</x:v>
      </x:c>
      <x:c r="E483" s="9" t="s">
        <x:v>30</x:v>
      </x:c>
      <x:c r="F483" s="9" t="s">
        <x:v>1070</x:v>
      </x:c>
      <x:c r="G483" s="9" t="s">
        <x:v>181</x:v>
      </x:c>
      <x:c r="H483" s="9" t="s">
        <x:v>1282</x:v>
      </x:c>
      <x:c r="I483" s="9"/>
      <x:c r="J483" s="9" t="s">
        <x:v>1283</x:v>
      </x:c>
      <x:c r="K483" s="9" t="s">
        <x:v>1451</x:v>
      </x:c>
      <x:c r="L483" s="9" t="s">
        <x:v>1451</x:v>
      </x:c>
      <x:c r="M483" s="9"/>
      <x:c r="N483" s="9"/>
      <x:c r="O483" s="9" t="s">
        <x:v>1285</x:v>
      </x:c>
      <x:c r="P483" s="9" t="s">
        <x:v>115</x:v>
      </x:c>
      <x:c r="Q483" s="9" t="s">
        <x:v>45</x:v>
      </x:c>
      <x:c r="R483" s="9" t="s">
        <x:v>1082</x:v>
      </x:c>
      <x:c r="S483" s="8"/>
      <x:c r="T483" s="8" t="s">
        <x:v>30</x:v>
      </x:c>
      <x:c r="U483" s="8" t="s">
        <x:v>883</x:v>
      </x:c>
      <x:c r="V483" s="8" t="s">
        <x:v>884</x:v>
      </x:c>
    </x:row>
    <x:row r="484" ht="39" hidden="0" customHeight="1">
      <x:c r="A484" s="9" t="s">
        <x:v>1459</x:v>
      </x:c>
      <x:c r="B484" s="9" t="s">
        <x:v>1279</x:v>
      </x:c>
      <x:c r="C484" s="9" t="s">
        <x:v>1319</x:v>
      </x:c>
      <x:c r="D484" s="9" t="s">
        <x:v>764</x:v>
      </x:c>
      <x:c r="E484" s="9" t="s">
        <x:v>30</x:v>
      </x:c>
      <x:c r="F484" s="9" t="s">
        <x:v>1070</x:v>
      </x:c>
      <x:c r="G484" s="9" t="s">
        <x:v>181</x:v>
      </x:c>
      <x:c r="H484" s="9" t="s">
        <x:v>1282</x:v>
      </x:c>
      <x:c r="I484" s="9"/>
      <x:c r="J484" s="9" t="s">
        <x:v>1283</x:v>
      </x:c>
      <x:c r="K484" s="9" t="s">
        <x:v>1451</x:v>
      </x:c>
      <x:c r="L484" s="9" t="s">
        <x:v>1451</x:v>
      </x:c>
      <x:c r="M484" s="9"/>
      <x:c r="N484" s="9"/>
      <x:c r="O484" s="9" t="s">
        <x:v>1285</x:v>
      </x:c>
      <x:c r="P484" s="9" t="s">
        <x:v>115</x:v>
      </x:c>
      <x:c r="Q484" s="9" t="s">
        <x:v>45</x:v>
      </x:c>
      <x:c r="R484" s="9" t="s">
        <x:v>1082</x:v>
      </x:c>
      <x:c r="S484" s="8"/>
      <x:c r="T484" s="8" t="s">
        <x:v>30</x:v>
      </x:c>
      <x:c r="U484" s="8" t="s">
        <x:v>883</x:v>
      </x:c>
      <x:c r="V484" s="8" t="s">
        <x:v>884</x:v>
      </x:c>
    </x:row>
    <x:row r="485" ht="39" hidden="0" customHeight="1">
      <x:c r="A485" s="9" t="s">
        <x:v>1460</x:v>
      </x:c>
      <x:c r="B485" s="9" t="s">
        <x:v>1279</x:v>
      </x:c>
      <x:c r="C485" s="9" t="s">
        <x:v>1319</x:v>
      </x:c>
      <x:c r="D485" s="9" t="s">
        <x:v>768</x:v>
      </x:c>
      <x:c r="E485" s="9" t="s">
        <x:v>30</x:v>
      </x:c>
      <x:c r="F485" s="9" t="s">
        <x:v>1070</x:v>
      </x:c>
      <x:c r="G485" s="9" t="s">
        <x:v>181</x:v>
      </x:c>
      <x:c r="H485" s="9" t="s">
        <x:v>1282</x:v>
      </x:c>
      <x:c r="I485" s="9"/>
      <x:c r="J485" s="9" t="s">
        <x:v>1283</x:v>
      </x:c>
      <x:c r="K485" s="9" t="s">
        <x:v>1451</x:v>
      </x:c>
      <x:c r="L485" s="9" t="s">
        <x:v>1451</x:v>
      </x:c>
      <x:c r="M485" s="9"/>
      <x:c r="N485" s="9"/>
      <x:c r="O485" s="9" t="s">
        <x:v>1285</x:v>
      </x:c>
      <x:c r="P485" s="9" t="s">
        <x:v>115</x:v>
      </x:c>
      <x:c r="Q485" s="9" t="s">
        <x:v>45</x:v>
      </x:c>
      <x:c r="R485" s="9" t="s">
        <x:v>1082</x:v>
      </x:c>
      <x:c r="S485" s="8"/>
      <x:c r="T485" s="8" t="s">
        <x:v>30</x:v>
      </x:c>
      <x:c r="U485" s="8" t="s">
        <x:v>883</x:v>
      </x:c>
      <x:c r="V485" s="8" t="s">
        <x:v>884</x:v>
      </x:c>
    </x:row>
    <x:row r="486" ht="39" hidden="0" customHeight="1">
      <x:c r="A486" s="9" t="s">
        <x:v>1461</x:v>
      </x:c>
      <x:c r="B486" s="9" t="s">
        <x:v>1279</x:v>
      </x:c>
      <x:c r="C486" s="9" t="s">
        <x:v>1319</x:v>
      </x:c>
      <x:c r="D486" s="9" t="s">
        <x:v>549</x:v>
      </x:c>
      <x:c r="E486" s="9" t="s">
        <x:v>30</x:v>
      </x:c>
      <x:c r="F486" s="9" t="s">
        <x:v>1070</x:v>
      </x:c>
      <x:c r="G486" s="9" t="s">
        <x:v>181</x:v>
      </x:c>
      <x:c r="H486" s="9" t="s">
        <x:v>1282</x:v>
      </x:c>
      <x:c r="I486" s="9"/>
      <x:c r="J486" s="9" t="s">
        <x:v>1283</x:v>
      </x:c>
      <x:c r="K486" s="9" t="s">
        <x:v>1451</x:v>
      </x:c>
      <x:c r="L486" s="9" t="s">
        <x:v>1451</x:v>
      </x:c>
      <x:c r="M486" s="9"/>
      <x:c r="N486" s="9"/>
      <x:c r="O486" s="9" t="s">
        <x:v>1285</x:v>
      </x:c>
      <x:c r="P486" s="9" t="s">
        <x:v>115</x:v>
      </x:c>
      <x:c r="Q486" s="9" t="s">
        <x:v>45</x:v>
      </x:c>
      <x:c r="R486" s="9" t="s">
        <x:v>1082</x:v>
      </x:c>
      <x:c r="S486" s="8"/>
      <x:c r="T486" s="8" t="s">
        <x:v>30</x:v>
      </x:c>
      <x:c r="U486" s="8" t="s">
        <x:v>883</x:v>
      </x:c>
      <x:c r="V486" s="8" t="s">
        <x:v>884</x:v>
      </x:c>
    </x:row>
    <x:row r="487" ht="39" hidden="0" customHeight="1">
      <x:c r="A487" s="9" t="s">
        <x:v>1462</x:v>
      </x:c>
      <x:c r="B487" s="9" t="s">
        <x:v>1279</x:v>
      </x:c>
      <x:c r="C487" s="9" t="s">
        <x:v>1319</x:v>
      </x:c>
      <x:c r="D487" s="9" t="s">
        <x:v>1101</x:v>
      </x:c>
      <x:c r="E487" s="9" t="s">
        <x:v>1463</x:v>
      </x:c>
      <x:c r="F487" s="9" t="s">
        <x:v>1103</x:v>
      </x:c>
      <x:c r="G487" s="9" t="s">
        <x:v>181</x:v>
      </x:c>
      <x:c r="H487" s="9" t="s">
        <x:v>1282</x:v>
      </x:c>
      <x:c r="I487" s="9"/>
      <x:c r="J487" s="9" t="s">
        <x:v>1283</x:v>
      </x:c>
      <x:c r="K487" s="9" t="s">
        <x:v>1464</x:v>
      </x:c>
      <x:c r="L487" s="9" t="s">
        <x:v>1464</x:v>
      </x:c>
      <x:c r="M487" s="9"/>
      <x:c r="N487" s="9"/>
      <x:c r="O487" s="9" t="s">
        <x:v>1285</x:v>
      </x:c>
      <x:c r="P487" s="9" t="s">
        <x:v>115</x:v>
      </x:c>
      <x:c r="Q487" s="9" t="s">
        <x:v>45</x:v>
      </x:c>
      <x:c r="R487" s="9" t="s">
        <x:v>1105</x:v>
      </x:c>
      <x:c r="S487" s="8"/>
      <x:c r="T487" s="8" t="s">
        <x:v>27</x:v>
      </x:c>
      <x:c r="U487" s="8" t="s">
        <x:v>883</x:v>
      </x:c>
      <x:c r="V487" s="8" t="s">
        <x:v>884</x:v>
      </x:c>
    </x:row>
    <x:row r="488" ht="39" hidden="0" customHeight="1">
      <x:c r="A488" s="9" t="s">
        <x:v>1465</x:v>
      </x:c>
      <x:c r="B488" s="9" t="s">
        <x:v>1466</x:v>
      </x:c>
      <x:c r="C488" s="9" t="s">
        <x:v>1467</x:v>
      </x:c>
      <x:c r="D488" s="9" t="s">
        <x:v>106</x:v>
      </x:c>
      <x:c r="E488" s="9" t="s">
        <x:v>1468</x:v>
      </x:c>
      <x:c r="F488" s="9" t="s">
        <x:v>108</x:v>
      </x:c>
      <x:c r="G488" s="9" t="s">
        <x:v>109</x:v>
      </x:c>
      <x:c r="H488" s="9" t="s">
        <x:v>1469</x:v>
      </x:c>
      <x:c r="I488" s="9" t="s">
        <x:v>1470</x:v>
      </x:c>
      <x:c r="J488" s="9" t="s">
        <x:v>1471</x:v>
      </x:c>
      <x:c r="K488" s="9" t="s">
        <x:v>1472</x:v>
      </x:c>
      <x:c r="L488" s="9" t="s">
        <x:v>1472</x:v>
      </x:c>
      <x:c r="M488" s="9"/>
      <x:c r="N488" s="9"/>
      <x:c r="O488" s="9" t="s">
        <x:v>1473</x:v>
      </x:c>
      <x:c r="P488" s="9" t="s">
        <x:v>115</x:v>
      </x:c>
      <x:c r="Q488" s="9" t="s">
        <x:v>45</x:v>
      </x:c>
      <x:c r="R488" s="9"/>
      <x:c r="S488" s="8"/>
      <x:c r="T488" s="8" t="s">
        <x:v>27</x:v>
      </x:c>
      <x:c r="U488" s="8" t="s">
        <x:v>883</x:v>
      </x:c>
      <x:c r="V488" s="8" t="s">
        <x:v>884</x:v>
      </x:c>
    </x:row>
    <x:row r="489" ht="39" hidden="0" customHeight="1">
      <x:c r="A489" s="9" t="s">
        <x:v>1474</x:v>
      </x:c>
      <x:c r="B489" s="9" t="s">
        <x:v>1466</x:v>
      </x:c>
      <x:c r="C489" s="9" t="s">
        <x:v>1467</x:v>
      </x:c>
      <x:c r="D489" s="9" t="s">
        <x:v>886</x:v>
      </x:c>
      <x:c r="E489" s="9" t="s">
        <x:v>1475</x:v>
      </x:c>
      <x:c r="F489" s="9" t="s">
        <x:v>108</x:v>
      </x:c>
      <x:c r="G489" s="9" t="s">
        <x:v>109</x:v>
      </x:c>
      <x:c r="H489" s="9" t="s">
        <x:v>1469</x:v>
      </x:c>
      <x:c r="I489" s="9" t="s">
        <x:v>1470</x:v>
      </x:c>
      <x:c r="J489" s="9" t="s">
        <x:v>1471</x:v>
      </x:c>
      <x:c r="K489" s="9" t="s">
        <x:v>1472</x:v>
      </x:c>
      <x:c r="L489" s="9" t="s">
        <x:v>1472</x:v>
      </x:c>
      <x:c r="M489" s="9"/>
      <x:c r="N489" s="9"/>
      <x:c r="O489" s="9" t="s">
        <x:v>1473</x:v>
      </x:c>
      <x:c r="P489" s="9" t="s">
        <x:v>115</x:v>
      </x:c>
      <x:c r="Q489" s="9" t="s">
        <x:v>45</x:v>
      </x:c>
      <x:c r="R489" s="9"/>
      <x:c r="S489" s="8"/>
      <x:c r="T489" s="8" t="s">
        <x:v>27</x:v>
      </x:c>
      <x:c r="U489" s="8" t="s">
        <x:v>883</x:v>
      </x:c>
      <x:c r="V489" s="8" t="s">
        <x:v>884</x:v>
      </x:c>
    </x:row>
    <x:row r="490" ht="39" hidden="0" customHeight="1">
      <x:c r="A490" s="9" t="s">
        <x:v>1476</x:v>
      </x:c>
      <x:c r="B490" s="9" t="s">
        <x:v>1466</x:v>
      </x:c>
      <x:c r="C490" s="9" t="s">
        <x:v>1467</x:v>
      </x:c>
      <x:c r="D490" s="9" t="s">
        <x:v>135</x:v>
      </x:c>
      <x:c r="E490" s="9" t="s">
        <x:v>1477</x:v>
      </x:c>
      <x:c r="F490" s="9" t="s">
        <x:v>108</x:v>
      </x:c>
      <x:c r="G490" s="9" t="s">
        <x:v>109</x:v>
      </x:c>
      <x:c r="H490" s="9" t="s">
        <x:v>1469</x:v>
      </x:c>
      <x:c r="I490" s="9" t="s">
        <x:v>1470</x:v>
      </x:c>
      <x:c r="J490" s="9" t="s">
        <x:v>1471</x:v>
      </x:c>
      <x:c r="K490" s="9" t="s">
        <x:v>1472</x:v>
      </x:c>
      <x:c r="L490" s="9" t="s">
        <x:v>1472</x:v>
      </x:c>
      <x:c r="M490" s="9"/>
      <x:c r="N490" s="9"/>
      <x:c r="O490" s="9" t="s">
        <x:v>1473</x:v>
      </x:c>
      <x:c r="P490" s="9" t="s">
        <x:v>115</x:v>
      </x:c>
      <x:c r="Q490" s="9" t="s">
        <x:v>45</x:v>
      </x:c>
      <x:c r="R490" s="9"/>
      <x:c r="S490" s="8"/>
      <x:c r="T490" s="8" t="s">
        <x:v>27</x:v>
      </x:c>
      <x:c r="U490" s="8" t="s">
        <x:v>883</x:v>
      </x:c>
      <x:c r="V490" s="8" t="s">
        <x:v>884</x:v>
      </x:c>
    </x:row>
    <x:row r="491" ht="39" hidden="0" customHeight="1">
      <x:c r="A491" s="9" t="s">
        <x:v>1478</x:v>
      </x:c>
      <x:c r="B491" s="9" t="s">
        <x:v>1466</x:v>
      </x:c>
      <x:c r="C491" s="9" t="s">
        <x:v>1467</x:v>
      </x:c>
      <x:c r="D491" s="9" t="s">
        <x:v>1479</x:v>
      </x:c>
      <x:c r="E491" s="9" t="s">
        <x:v>1480</x:v>
      </x:c>
      <x:c r="F491" s="9" t="s">
        <x:v>108</x:v>
      </x:c>
      <x:c r="G491" s="9" t="s">
        <x:v>109</x:v>
      </x:c>
      <x:c r="H491" s="9" t="s">
        <x:v>1469</x:v>
      </x:c>
      <x:c r="I491" s="9" t="s">
        <x:v>1470</x:v>
      </x:c>
      <x:c r="J491" s="9" t="s">
        <x:v>1471</x:v>
      </x:c>
      <x:c r="K491" s="9" t="s">
        <x:v>1472</x:v>
      </x:c>
      <x:c r="L491" s="9" t="s">
        <x:v>1472</x:v>
      </x:c>
      <x:c r="M491" s="9"/>
      <x:c r="N491" s="9"/>
      <x:c r="O491" s="9" t="s">
        <x:v>1473</x:v>
      </x:c>
      <x:c r="P491" s="9" t="s">
        <x:v>115</x:v>
      </x:c>
      <x:c r="Q491" s="9" t="s">
        <x:v>45</x:v>
      </x:c>
      <x:c r="R491" s="9"/>
      <x:c r="S491" s="8"/>
      <x:c r="T491" s="8" t="s">
        <x:v>27</x:v>
      </x:c>
      <x:c r="U491" s="8" t="s">
        <x:v>883</x:v>
      </x:c>
      <x:c r="V491" s="8" t="s">
        <x:v>884</x:v>
      </x:c>
    </x:row>
    <x:row r="492" ht="39" hidden="0" customHeight="1">
      <x:c r="A492" s="9" t="s">
        <x:v>1481</x:v>
      </x:c>
      <x:c r="B492" s="9" t="s">
        <x:v>1466</x:v>
      </x:c>
      <x:c r="C492" s="9" t="s">
        <x:v>1467</x:v>
      </x:c>
      <x:c r="D492" s="9" t="s">
        <x:v>142</x:v>
      </x:c>
      <x:c r="E492" s="9" t="s">
        <x:v>1482</x:v>
      </x:c>
      <x:c r="F492" s="9" t="s">
        <x:v>108</x:v>
      </x:c>
      <x:c r="G492" s="9" t="s">
        <x:v>109</x:v>
      </x:c>
      <x:c r="H492" s="9" t="s">
        <x:v>1469</x:v>
      </x:c>
      <x:c r="I492" s="9" t="s">
        <x:v>1470</x:v>
      </x:c>
      <x:c r="J492" s="9" t="s">
        <x:v>1471</x:v>
      </x:c>
      <x:c r="K492" s="9" t="s">
        <x:v>1472</x:v>
      </x:c>
      <x:c r="L492" s="9" t="s">
        <x:v>1472</x:v>
      </x:c>
      <x:c r="M492" s="9"/>
      <x:c r="N492" s="9"/>
      <x:c r="O492" s="9" t="s">
        <x:v>1473</x:v>
      </x:c>
      <x:c r="P492" s="9" t="s">
        <x:v>115</x:v>
      </x:c>
      <x:c r="Q492" s="9" t="s">
        <x:v>45</x:v>
      </x:c>
      <x:c r="R492" s="9"/>
      <x:c r="S492" s="8"/>
      <x:c r="T492" s="8" t="s">
        <x:v>27</x:v>
      </x:c>
      <x:c r="U492" s="8" t="s">
        <x:v>883</x:v>
      </x:c>
      <x:c r="V492" s="8" t="s">
        <x:v>884</x:v>
      </x:c>
    </x:row>
    <x:row r="493" ht="39" hidden="0" customHeight="1">
      <x:c r="A493" s="9" t="s">
        <x:v>1483</x:v>
      </x:c>
      <x:c r="B493" s="9" t="s">
        <x:v>1466</x:v>
      </x:c>
      <x:c r="C493" s="9" t="s">
        <x:v>1467</x:v>
      </x:c>
      <x:c r="D493" s="9" t="s">
        <x:v>386</x:v>
      </x:c>
      <x:c r="E493" s="9" t="s">
        <x:v>1484</x:v>
      </x:c>
      <x:c r="F493" s="9" t="s">
        <x:v>108</x:v>
      </x:c>
      <x:c r="G493" s="9" t="s">
        <x:v>109</x:v>
      </x:c>
      <x:c r="H493" s="9" t="s">
        <x:v>1469</x:v>
      </x:c>
      <x:c r="I493" s="9" t="s">
        <x:v>1470</x:v>
      </x:c>
      <x:c r="J493" s="9" t="s">
        <x:v>1471</x:v>
      </x:c>
      <x:c r="K493" s="9" t="s">
        <x:v>1472</x:v>
      </x:c>
      <x:c r="L493" s="9" t="s">
        <x:v>1472</x:v>
      </x:c>
      <x:c r="M493" s="9"/>
      <x:c r="N493" s="9"/>
      <x:c r="O493" s="9" t="s">
        <x:v>1473</x:v>
      </x:c>
      <x:c r="P493" s="9" t="s">
        <x:v>115</x:v>
      </x:c>
      <x:c r="Q493" s="9" t="s">
        <x:v>45</x:v>
      </x:c>
      <x:c r="R493" s="9"/>
      <x:c r="S493" s="8"/>
      <x:c r="T493" s="8" t="s">
        <x:v>27</x:v>
      </x:c>
      <x:c r="U493" s="8" t="s">
        <x:v>883</x:v>
      </x:c>
      <x:c r="V493" s="8" t="s">
        <x:v>884</x:v>
      </x:c>
    </x:row>
    <x:row r="494" ht="39" hidden="0" customHeight="1">
      <x:c r="A494" s="9" t="s">
        <x:v>1485</x:v>
      </x:c>
      <x:c r="B494" s="9" t="s">
        <x:v>1466</x:v>
      </x:c>
      <x:c r="C494" s="9" t="s">
        <x:v>1486</x:v>
      </x:c>
      <x:c r="D494" s="9" t="s">
        <x:v>123</x:v>
      </x:c>
      <x:c r="E494" s="9" t="s">
        <x:v>1487</x:v>
      </x:c>
      <x:c r="F494" s="9" t="s">
        <x:v>108</x:v>
      </x:c>
      <x:c r="G494" s="9" t="s">
        <x:v>109</x:v>
      </x:c>
      <x:c r="H494" s="9" t="s">
        <x:v>1469</x:v>
      </x:c>
      <x:c r="I494" s="9" t="s">
        <x:v>1470</x:v>
      </x:c>
      <x:c r="J494" s="9" t="s">
        <x:v>1471</x:v>
      </x:c>
      <x:c r="K494" s="9" t="s">
        <x:v>1236</x:v>
      </x:c>
      <x:c r="L494" s="9" t="s">
        <x:v>1236</x:v>
      </x:c>
      <x:c r="M494" s="9"/>
      <x:c r="N494" s="9"/>
      <x:c r="O494" s="9" t="s">
        <x:v>1473</x:v>
      </x:c>
      <x:c r="P494" s="9" t="s">
        <x:v>115</x:v>
      </x:c>
      <x:c r="Q494" s="9" t="s">
        <x:v>45</x:v>
      </x:c>
      <x:c r="R494" s="9"/>
      <x:c r="S494" s="8"/>
      <x:c r="T494" s="8" t="s">
        <x:v>27</x:v>
      </x:c>
      <x:c r="U494" s="8" t="s">
        <x:v>883</x:v>
      </x:c>
      <x:c r="V494" s="8" t="s">
        <x:v>884</x:v>
      </x:c>
    </x:row>
    <x:row r="495" ht="39" hidden="0" customHeight="1">
      <x:c r="A495" s="9" t="s">
        <x:v>1488</x:v>
      </x:c>
      <x:c r="B495" s="9" t="s">
        <x:v>1466</x:v>
      </x:c>
      <x:c r="C495" s="9" t="s">
        <x:v>1486</x:v>
      </x:c>
      <x:c r="D495" s="9" t="s">
        <x:v>208</x:v>
      </x:c>
      <x:c r="E495" s="9" t="s">
        <x:v>1489</x:v>
      </x:c>
      <x:c r="F495" s="9" t="s">
        <x:v>108</x:v>
      </x:c>
      <x:c r="G495" s="9" t="s">
        <x:v>109</x:v>
      </x:c>
      <x:c r="H495" s="9" t="s">
        <x:v>1469</x:v>
      </x:c>
      <x:c r="I495" s="9" t="s">
        <x:v>1470</x:v>
      </x:c>
      <x:c r="J495" s="9" t="s">
        <x:v>1471</x:v>
      </x:c>
      <x:c r="K495" s="9" t="s">
        <x:v>1236</x:v>
      </x:c>
      <x:c r="L495" s="9" t="s">
        <x:v>1236</x:v>
      </x:c>
      <x:c r="M495" s="9"/>
      <x:c r="N495" s="9"/>
      <x:c r="O495" s="9" t="s">
        <x:v>1473</x:v>
      </x:c>
      <x:c r="P495" s="9" t="s">
        <x:v>115</x:v>
      </x:c>
      <x:c r="Q495" s="9" t="s">
        <x:v>45</x:v>
      </x:c>
      <x:c r="R495" s="9"/>
      <x:c r="S495" s="8"/>
      <x:c r="T495" s="8" t="s">
        <x:v>27</x:v>
      </x:c>
      <x:c r="U495" s="8" t="s">
        <x:v>883</x:v>
      </x:c>
      <x:c r="V495" s="8" t="s">
        <x:v>884</x:v>
      </x:c>
    </x:row>
    <x:row r="496" ht="39" hidden="0" customHeight="1">
      <x:c r="A496" s="9" t="s">
        <x:v>1490</x:v>
      </x:c>
      <x:c r="B496" s="9" t="s">
        <x:v>1466</x:v>
      </x:c>
      <x:c r="C496" s="9" t="s">
        <x:v>1486</x:v>
      </x:c>
      <x:c r="D496" s="9" t="s">
        <x:v>127</x:v>
      </x:c>
      <x:c r="E496" s="9" t="n">
        <x:v>0.25</x:v>
      </x:c>
      <x:c r="F496" s="9" t="s">
        <x:v>108</x:v>
      </x:c>
      <x:c r="G496" s="9" t="s">
        <x:v>109</x:v>
      </x:c>
      <x:c r="H496" s="9" t="s">
        <x:v>1469</x:v>
      </x:c>
      <x:c r="I496" s="9" t="s">
        <x:v>1470</x:v>
      </x:c>
      <x:c r="J496" s="9" t="s">
        <x:v>1471</x:v>
      </x:c>
      <x:c r="K496" s="9" t="s">
        <x:v>1236</x:v>
      </x:c>
      <x:c r="L496" s="9" t="s">
        <x:v>1236</x:v>
      </x:c>
      <x:c r="M496" s="9"/>
      <x:c r="N496" s="9"/>
      <x:c r="O496" s="9" t="s">
        <x:v>1473</x:v>
      </x:c>
      <x:c r="P496" s="9" t="s">
        <x:v>115</x:v>
      </x:c>
      <x:c r="Q496" s="9" t="s">
        <x:v>45</x:v>
      </x:c>
      <x:c r="R496" s="9"/>
      <x:c r="S496" s="8" t="s">
        <x:v>1302</x:v>
      </x:c>
      <x:c r="T496" s="8" t="s">
        <x:v>27</x:v>
      </x:c>
      <x:c r="U496" s="8" t="s">
        <x:v>883</x:v>
      </x:c>
      <x:c r="V496" s="8" t="s">
        <x:v>884</x:v>
      </x:c>
    </x:row>
    <x:row r="497" ht="39" hidden="0" customHeight="1">
      <x:c r="A497" s="9" t="s">
        <x:v>1491</x:v>
      </x:c>
      <x:c r="B497" s="9" t="s">
        <x:v>1466</x:v>
      </x:c>
      <x:c r="C497" s="9" t="s">
        <x:v>1486</x:v>
      </x:c>
      <x:c r="D497" s="9" t="s">
        <x:v>214</x:v>
      </x:c>
      <x:c r="E497" s="9" t="n">
        <x:v>6</x:v>
      </x:c>
      <x:c r="F497" s="9" t="s">
        <x:v>108</x:v>
      </x:c>
      <x:c r="G497" s="9" t="s">
        <x:v>109</x:v>
      </x:c>
      <x:c r="H497" s="9" t="s">
        <x:v>1469</x:v>
      </x:c>
      <x:c r="I497" s="9" t="s">
        <x:v>1470</x:v>
      </x:c>
      <x:c r="J497" s="9" t="s">
        <x:v>1471</x:v>
      </x:c>
      <x:c r="K497" s="9" t="s">
        <x:v>1236</x:v>
      </x:c>
      <x:c r="L497" s="9" t="s">
        <x:v>1236</x:v>
      </x:c>
      <x:c r="M497" s="9"/>
      <x:c r="N497" s="9"/>
      <x:c r="O497" s="9" t="s">
        <x:v>1473</x:v>
      </x:c>
      <x:c r="P497" s="9" t="s">
        <x:v>115</x:v>
      </x:c>
      <x:c r="Q497" s="9" t="s">
        <x:v>45</x:v>
      </x:c>
      <x:c r="R497" s="9"/>
      <x:c r="S497" s="8" t="s">
        <x:v>1293</x:v>
      </x:c>
      <x:c r="T497" s="8" t="s">
        <x:v>27</x:v>
      </x:c>
      <x:c r="U497" s="8" t="s">
        <x:v>883</x:v>
      </x:c>
      <x:c r="V497" s="8" t="s">
        <x:v>884</x:v>
      </x:c>
    </x:row>
    <x:row r="498" ht="39" hidden="0" customHeight="1">
      <x:c r="A498" s="9" t="s">
        <x:v>1492</x:v>
      </x:c>
      <x:c r="B498" s="9" t="s">
        <x:v>1466</x:v>
      </x:c>
      <x:c r="C498" s="9" t="s">
        <x:v>1486</x:v>
      </x:c>
      <x:c r="D498" s="9" t="s">
        <x:v>1493</x:v>
      </x:c>
      <x:c r="E498" s="9" t="n">
        <x:v>13</x:v>
      </x:c>
      <x:c r="F498" s="9" t="s">
        <x:v>108</x:v>
      </x:c>
      <x:c r="G498" s="9" t="s">
        <x:v>109</x:v>
      </x:c>
      <x:c r="H498" s="9" t="s">
        <x:v>1469</x:v>
      </x:c>
      <x:c r="I498" s="9" t="s">
        <x:v>1470</x:v>
      </x:c>
      <x:c r="J498" s="9" t="s">
        <x:v>1471</x:v>
      </x:c>
      <x:c r="K498" s="9" t="s">
        <x:v>1236</x:v>
      </x:c>
      <x:c r="L498" s="9" t="s">
        <x:v>1236</x:v>
      </x:c>
      <x:c r="M498" s="9"/>
      <x:c r="N498" s="9"/>
      <x:c r="O498" s="9" t="s">
        <x:v>1473</x:v>
      </x:c>
      <x:c r="P498" s="9" t="s">
        <x:v>115</x:v>
      </x:c>
      <x:c r="Q498" s="9" t="s">
        <x:v>45</x:v>
      </x:c>
      <x:c r="R498" s="9"/>
      <x:c r="S498" s="8" t="s">
        <x:v>1494</x:v>
      </x:c>
      <x:c r="T498" s="8" t="s">
        <x:v>27</x:v>
      </x:c>
      <x:c r="U498" s="8" t="s">
        <x:v>883</x:v>
      </x:c>
      <x:c r="V498" s="8" t="s">
        <x:v>884</x:v>
      </x:c>
    </x:row>
    <x:row r="499" ht="39" hidden="0" customHeight="1">
      <x:c r="A499" s="9" t="s">
        <x:v>1495</x:v>
      </x:c>
      <x:c r="B499" s="9" t="s">
        <x:v>1466</x:v>
      </x:c>
      <x:c r="C499" s="9" t="s">
        <x:v>1486</x:v>
      </x:c>
      <x:c r="D499" s="9" t="s">
        <x:v>1496</x:v>
      </x:c>
      <x:c r="E499" s="9" t="n">
        <x:v>24</x:v>
      </x:c>
      <x:c r="F499" s="9" t="s">
        <x:v>108</x:v>
      </x:c>
      <x:c r="G499" s="9" t="s">
        <x:v>109</x:v>
      </x:c>
      <x:c r="H499" s="9" t="s">
        <x:v>1469</x:v>
      </x:c>
      <x:c r="I499" s="9" t="s">
        <x:v>1470</x:v>
      </x:c>
      <x:c r="J499" s="9" t="s">
        <x:v>1471</x:v>
      </x:c>
      <x:c r="K499" s="9" t="s">
        <x:v>1236</x:v>
      </x:c>
      <x:c r="L499" s="9" t="s">
        <x:v>1236</x:v>
      </x:c>
      <x:c r="M499" s="9"/>
      <x:c r="N499" s="9"/>
      <x:c r="O499" s="9" t="s">
        <x:v>1473</x:v>
      </x:c>
      <x:c r="P499" s="9" t="s">
        <x:v>115</x:v>
      </x:c>
      <x:c r="Q499" s="9" t="s">
        <x:v>45</x:v>
      </x:c>
      <x:c r="R499" s="9"/>
      <x:c r="S499" s="8" t="s">
        <x:v>1293</x:v>
      </x:c>
      <x:c r="T499" s="8" t="s">
        <x:v>27</x:v>
      </x:c>
      <x:c r="U499" s="8" t="s">
        <x:v>883</x:v>
      </x:c>
      <x:c r="V499" s="8" t="s">
        <x:v>884</x:v>
      </x:c>
    </x:row>
    <x:row r="500" ht="39" hidden="0" customHeight="1">
      <x:c r="A500" s="9" t="s">
        <x:v>1497</x:v>
      </x:c>
      <x:c r="B500" s="9" t="s">
        <x:v>1466</x:v>
      </x:c>
      <x:c r="C500" s="9" t="s">
        <x:v>1498</x:v>
      </x:c>
      <x:c r="D500" s="9" t="s">
        <x:v>123</x:v>
      </x:c>
      <x:c r="E500" s="9" t="s">
        <x:v>1499</x:v>
      </x:c>
      <x:c r="F500" s="9" t="s">
        <x:v>108</x:v>
      </x:c>
      <x:c r="G500" s="9" t="s">
        <x:v>109</x:v>
      </x:c>
      <x:c r="H500" s="9" t="s">
        <x:v>1469</x:v>
      </x:c>
      <x:c r="I500" s="9" t="s">
        <x:v>1470</x:v>
      </x:c>
      <x:c r="J500" s="9" t="s">
        <x:v>1471</x:v>
      </x:c>
      <x:c r="K500" s="9" t="s">
        <x:v>1500</x:v>
      </x:c>
      <x:c r="L500" s="9" t="s">
        <x:v>1500</x:v>
      </x:c>
      <x:c r="M500" s="9"/>
      <x:c r="N500" s="9"/>
      <x:c r="O500" s="9" t="s">
        <x:v>1473</x:v>
      </x:c>
      <x:c r="P500" s="9" t="s">
        <x:v>115</x:v>
      </x:c>
      <x:c r="Q500" s="9" t="s">
        <x:v>45</x:v>
      </x:c>
      <x:c r="R500" s="9"/>
      <x:c r="S500" s="8"/>
      <x:c r="T500" s="8" t="s">
        <x:v>27</x:v>
      </x:c>
      <x:c r="U500" s="8" t="s">
        <x:v>883</x:v>
      </x:c>
      <x:c r="V500" s="8" t="s">
        <x:v>884</x:v>
      </x:c>
    </x:row>
    <x:row r="501" ht="39" hidden="0" customHeight="1">
      <x:c r="A501" s="9" t="s">
        <x:v>1501</x:v>
      </x:c>
      <x:c r="B501" s="9" t="s">
        <x:v>1466</x:v>
      </x:c>
      <x:c r="C501" s="9" t="s">
        <x:v>1498</x:v>
      </x:c>
      <x:c r="D501" s="9" t="s">
        <x:v>208</x:v>
      </x:c>
      <x:c r="E501" s="9" t="s">
        <x:v>1502</x:v>
      </x:c>
      <x:c r="F501" s="9" t="s">
        <x:v>108</x:v>
      </x:c>
      <x:c r="G501" s="9" t="s">
        <x:v>109</x:v>
      </x:c>
      <x:c r="H501" s="9" t="s">
        <x:v>1469</x:v>
      </x:c>
      <x:c r="I501" s="9" t="s">
        <x:v>1470</x:v>
      </x:c>
      <x:c r="J501" s="9" t="s">
        <x:v>1471</x:v>
      </x:c>
      <x:c r="K501" s="9" t="s">
        <x:v>1500</x:v>
      </x:c>
      <x:c r="L501" s="9" t="s">
        <x:v>1500</x:v>
      </x:c>
      <x:c r="M501" s="9"/>
      <x:c r="N501" s="9"/>
      <x:c r="O501" s="9" t="s">
        <x:v>1473</x:v>
      </x:c>
      <x:c r="P501" s="9" t="s">
        <x:v>115</x:v>
      </x:c>
      <x:c r="Q501" s="9" t="s">
        <x:v>45</x:v>
      </x:c>
      <x:c r="R501" s="9"/>
      <x:c r="S501" s="8"/>
      <x:c r="T501" s="8" t="s">
        <x:v>27</x:v>
      </x:c>
      <x:c r="U501" s="8" t="s">
        <x:v>883</x:v>
      </x:c>
      <x:c r="V501" s="8" t="s">
        <x:v>884</x:v>
      </x:c>
    </x:row>
    <x:row r="502" ht="39" hidden="0" customHeight="1">
      <x:c r="A502" s="9" t="s">
        <x:v>1503</x:v>
      </x:c>
      <x:c r="B502" s="9" t="s">
        <x:v>1466</x:v>
      </x:c>
      <x:c r="C502" s="9" t="s">
        <x:v>1498</x:v>
      </x:c>
      <x:c r="D502" s="9" t="s">
        <x:v>214</x:v>
      </x:c>
      <x:c r="E502" s="9" t="n">
        <x:v>6</x:v>
      </x:c>
      <x:c r="F502" s="9" t="s">
        <x:v>108</x:v>
      </x:c>
      <x:c r="G502" s="9" t="s">
        <x:v>109</x:v>
      </x:c>
      <x:c r="H502" s="9" t="s">
        <x:v>1469</x:v>
      </x:c>
      <x:c r="I502" s="9" t="s">
        <x:v>1470</x:v>
      </x:c>
      <x:c r="J502" s="9" t="s">
        <x:v>1471</x:v>
      </x:c>
      <x:c r="K502" s="9" t="s">
        <x:v>1500</x:v>
      </x:c>
      <x:c r="L502" s="9" t="s">
        <x:v>1500</x:v>
      </x:c>
      <x:c r="M502" s="9"/>
      <x:c r="N502" s="9"/>
      <x:c r="O502" s="9" t="s">
        <x:v>1473</x:v>
      </x:c>
      <x:c r="P502" s="9" t="s">
        <x:v>115</x:v>
      </x:c>
      <x:c r="Q502" s="9" t="s">
        <x:v>45</x:v>
      </x:c>
      <x:c r="R502" s="9"/>
      <x:c r="S502" s="8" t="s">
        <x:v>1293</x:v>
      </x:c>
      <x:c r="T502" s="8" t="s">
        <x:v>27</x:v>
      </x:c>
      <x:c r="U502" s="8" t="s">
        <x:v>883</x:v>
      </x:c>
      <x:c r="V502" s="8" t="s">
        <x:v>884</x:v>
      </x:c>
    </x:row>
    <x:row r="503" ht="39" hidden="0" customHeight="1">
      <x:c r="A503" s="9" t="s">
        <x:v>1504</x:v>
      </x:c>
      <x:c r="B503" s="9" t="s">
        <x:v>1466</x:v>
      </x:c>
      <x:c r="C503" s="9" t="s">
        <x:v>1498</x:v>
      </x:c>
      <x:c r="D503" s="9" t="s">
        <x:v>117</x:v>
      </x:c>
      <x:c r="E503" s="9" t="s">
        <x:v>1505</x:v>
      </x:c>
      <x:c r="F503" s="9" t="s">
        <x:v>108</x:v>
      </x:c>
      <x:c r="G503" s="9" t="s">
        <x:v>109</x:v>
      </x:c>
      <x:c r="H503" s="9" t="s">
        <x:v>1469</x:v>
      </x:c>
      <x:c r="I503" s="9" t="s">
        <x:v>1470</x:v>
      </x:c>
      <x:c r="J503" s="9" t="s">
        <x:v>1471</x:v>
      </x:c>
      <x:c r="K503" s="9" t="s">
        <x:v>1500</x:v>
      </x:c>
      <x:c r="L503" s="9" t="s">
        <x:v>1500</x:v>
      </x:c>
      <x:c r="M503" s="9"/>
      <x:c r="N503" s="9"/>
      <x:c r="O503" s="9" t="s">
        <x:v>1473</x:v>
      </x:c>
      <x:c r="P503" s="9" t="s">
        <x:v>115</x:v>
      </x:c>
      <x:c r="Q503" s="9" t="s">
        <x:v>45</x:v>
      </x:c>
      <x:c r="R503" s="9"/>
      <x:c r="S503" s="8"/>
      <x:c r="T503" s="8" t="s">
        <x:v>27</x:v>
      </x:c>
      <x:c r="U503" s="8" t="s">
        <x:v>883</x:v>
      </x:c>
      <x:c r="V503" s="8" t="s">
        <x:v>884</x:v>
      </x:c>
    </x:row>
    <x:row r="504" ht="39" hidden="0" customHeight="1">
      <x:c r="A504" s="9" t="s">
        <x:v>1506</x:v>
      </x:c>
      <x:c r="B504" s="9" t="s">
        <x:v>1466</x:v>
      </x:c>
      <x:c r="C504" s="9" t="s">
        <x:v>1498</x:v>
      </x:c>
      <x:c r="D504" s="9" t="s">
        <x:v>120</x:v>
      </x:c>
      <x:c r="E504" s="9" t="s">
        <x:v>1507</x:v>
      </x:c>
      <x:c r="F504" s="9" t="s">
        <x:v>108</x:v>
      </x:c>
      <x:c r="G504" s="9" t="s">
        <x:v>109</x:v>
      </x:c>
      <x:c r="H504" s="9" t="s">
        <x:v>1469</x:v>
      </x:c>
      <x:c r="I504" s="9" t="s">
        <x:v>1470</x:v>
      </x:c>
      <x:c r="J504" s="9" t="s">
        <x:v>1471</x:v>
      </x:c>
      <x:c r="K504" s="9" t="s">
        <x:v>1500</x:v>
      </x:c>
      <x:c r="L504" s="9" t="s">
        <x:v>1500</x:v>
      </x:c>
      <x:c r="M504" s="9"/>
      <x:c r="N504" s="9"/>
      <x:c r="O504" s="9" t="s">
        <x:v>1473</x:v>
      </x:c>
      <x:c r="P504" s="9" t="s">
        <x:v>115</x:v>
      </x:c>
      <x:c r="Q504" s="9" t="s">
        <x:v>45</x:v>
      </x:c>
      <x:c r="R504" s="9"/>
      <x:c r="S504" s="8"/>
      <x:c r="T504" s="8" t="s">
        <x:v>27</x:v>
      </x:c>
      <x:c r="U504" s="8" t="s">
        <x:v>883</x:v>
      </x:c>
      <x:c r="V504" s="8" t="s">
        <x:v>884</x:v>
      </x:c>
    </x:row>
    <x:row r="505" ht="39" hidden="0" customHeight="1">
      <x:c r="A505" s="9" t="s">
        <x:v>1508</x:v>
      </x:c>
      <x:c r="B505" s="9" t="s">
        <x:v>1466</x:v>
      </x:c>
      <x:c r="C505" s="9" t="s">
        <x:v>1498</x:v>
      </x:c>
      <x:c r="D505" s="9" t="s">
        <x:v>1496</x:v>
      </x:c>
      <x:c r="E505" s="9" t="n">
        <x:v>48</x:v>
      </x:c>
      <x:c r="F505" s="9" t="s">
        <x:v>108</x:v>
      </x:c>
      <x:c r="G505" s="9" t="s">
        <x:v>109</x:v>
      </x:c>
      <x:c r="H505" s="9" t="s">
        <x:v>1469</x:v>
      </x:c>
      <x:c r="I505" s="9" t="s">
        <x:v>1470</x:v>
      </x:c>
      <x:c r="J505" s="9" t="s">
        <x:v>1471</x:v>
      </x:c>
      <x:c r="K505" s="9" t="s">
        <x:v>1500</x:v>
      </x:c>
      <x:c r="L505" s="9" t="s">
        <x:v>1500</x:v>
      </x:c>
      <x:c r="M505" s="9"/>
      <x:c r="N505" s="9"/>
      <x:c r="O505" s="9" t="s">
        <x:v>1473</x:v>
      </x:c>
      <x:c r="P505" s="9" t="s">
        <x:v>115</x:v>
      </x:c>
      <x:c r="Q505" s="9" t="s">
        <x:v>45</x:v>
      </x:c>
      <x:c r="R505" s="9"/>
      <x:c r="S505" s="8" t="s">
        <x:v>1293</x:v>
      </x:c>
      <x:c r="T505" s="8" t="s">
        <x:v>27</x:v>
      </x:c>
      <x:c r="U505" s="8" t="s">
        <x:v>883</x:v>
      </x:c>
      <x:c r="V505" s="8" t="s">
        <x:v>884</x:v>
      </x:c>
    </x:row>
    <x:row r="506" ht="39" hidden="0" customHeight="1">
      <x:c r="A506" s="9" t="s">
        <x:v>1509</x:v>
      </x:c>
      <x:c r="B506" s="9" t="s">
        <x:v>1466</x:v>
      </x:c>
      <x:c r="C506" s="9" t="s">
        <x:v>1498</x:v>
      </x:c>
      <x:c r="D506" s="9" t="s">
        <x:v>924</x:v>
      </x:c>
      <x:c r="E506" s="9" t="s">
        <x:v>1510</x:v>
      </x:c>
      <x:c r="F506" s="9" t="s">
        <x:v>108</x:v>
      </x:c>
      <x:c r="G506" s="9" t="s">
        <x:v>109</x:v>
      </x:c>
      <x:c r="H506" s="9" t="s">
        <x:v>1469</x:v>
      </x:c>
      <x:c r="I506" s="9" t="s">
        <x:v>1470</x:v>
      </x:c>
      <x:c r="J506" s="9" t="s">
        <x:v>1471</x:v>
      </x:c>
      <x:c r="K506" s="9" t="s">
        <x:v>1500</x:v>
      </x:c>
      <x:c r="L506" s="9" t="s">
        <x:v>1500</x:v>
      </x:c>
      <x:c r="M506" s="9"/>
      <x:c r="N506" s="9"/>
      <x:c r="O506" s="9" t="s">
        <x:v>1473</x:v>
      </x:c>
      <x:c r="P506" s="9" t="s">
        <x:v>115</x:v>
      </x:c>
      <x:c r="Q506" s="9" t="s">
        <x:v>45</x:v>
      </x:c>
      <x:c r="R506" s="9"/>
      <x:c r="S506" s="8"/>
      <x:c r="T506" s="8" t="s">
        <x:v>27</x:v>
      </x:c>
      <x:c r="U506" s="8" t="s">
        <x:v>883</x:v>
      </x:c>
      <x:c r="V506" s="8" t="s">
        <x:v>884</x:v>
      </x:c>
    </x:row>
    <x:row r="507" ht="39" hidden="0" customHeight="1">
      <x:c r="A507" s="9" t="s">
        <x:v>1511</x:v>
      </x:c>
      <x:c r="B507" s="9" t="s">
        <x:v>1466</x:v>
      </x:c>
      <x:c r="C507" s="9" t="s">
        <x:v>1498</x:v>
      </x:c>
      <x:c r="D507" s="9" t="s">
        <x:v>383</x:v>
      </x:c>
      <x:c r="E507" s="9" t="s">
        <x:v>1512</x:v>
      </x:c>
      <x:c r="F507" s="9" t="s">
        <x:v>108</x:v>
      </x:c>
      <x:c r="G507" s="9" t="s">
        <x:v>109</x:v>
      </x:c>
      <x:c r="H507" s="9" t="s">
        <x:v>1469</x:v>
      </x:c>
      <x:c r="I507" s="9" t="s">
        <x:v>1470</x:v>
      </x:c>
      <x:c r="J507" s="9" t="s">
        <x:v>1471</x:v>
      </x:c>
      <x:c r="K507" s="9" t="s">
        <x:v>1500</x:v>
      </x:c>
      <x:c r="L507" s="9" t="s">
        <x:v>1500</x:v>
      </x:c>
      <x:c r="M507" s="9"/>
      <x:c r="N507" s="9"/>
      <x:c r="O507" s="9" t="s">
        <x:v>1473</x:v>
      </x:c>
      <x:c r="P507" s="9" t="s">
        <x:v>115</x:v>
      </x:c>
      <x:c r="Q507" s="9" t="s">
        <x:v>45</x:v>
      </x:c>
      <x:c r="R507" s="9"/>
      <x:c r="S507" s="8"/>
      <x:c r="T507" s="8" t="s">
        <x:v>27</x:v>
      </x:c>
      <x:c r="U507" s="8" t="s">
        <x:v>883</x:v>
      </x:c>
      <x:c r="V507" s="8" t="s">
        <x:v>884</x:v>
      </x:c>
    </x:row>
    <x:row r="508" ht="39" hidden="0" customHeight="1">
      <x:c r="A508" s="9" t="s">
        <x:v>1513</x:v>
      </x:c>
      <x:c r="B508" s="9" t="s">
        <x:v>1466</x:v>
      </x:c>
      <x:c r="C508" s="9" t="s">
        <x:v>1498</x:v>
      </x:c>
      <x:c r="D508" s="9" t="s">
        <x:v>1514</x:v>
      </x:c>
      <x:c r="E508" s="9" t="n">
        <x:v>8</x:v>
      </x:c>
      <x:c r="F508" s="9" t="s">
        <x:v>108</x:v>
      </x:c>
      <x:c r="G508" s="9" t="s">
        <x:v>109</x:v>
      </x:c>
      <x:c r="H508" s="9" t="s">
        <x:v>1469</x:v>
      </x:c>
      <x:c r="I508" s="9" t="s">
        <x:v>1470</x:v>
      </x:c>
      <x:c r="J508" s="9" t="s">
        <x:v>1471</x:v>
      </x:c>
      <x:c r="K508" s="9" t="s">
        <x:v>1236</x:v>
      </x:c>
      <x:c r="L508" s="9" t="s">
        <x:v>1515</x:v>
      </x:c>
      <x:c r="M508" s="9"/>
      <x:c r="N508" s="9"/>
      <x:c r="O508" s="9" t="s">
        <x:v>1473</x:v>
      </x:c>
      <x:c r="P508" s="9" t="s">
        <x:v>115</x:v>
      </x:c>
      <x:c r="Q508" s="9" t="s">
        <x:v>45</x:v>
      </x:c>
      <x:c r="R508" s="9" t="s">
        <x:v>1516</x:v>
      </x:c>
      <x:c r="S508" s="8"/>
      <x:c r="T508" s="8" t="s">
        <x:v>27</x:v>
      </x:c>
      <x:c r="U508" s="8" t="s">
        <x:v>883</x:v>
      </x:c>
      <x:c r="V508" s="8" t="s">
        <x:v>884</x:v>
      </x:c>
    </x:row>
    <x:row r="509" ht="39" hidden="0" customHeight="1">
      <x:c r="A509" s="9" t="s">
        <x:v>1517</x:v>
      </x:c>
      <x:c r="B509" s="9" t="s">
        <x:v>1466</x:v>
      </x:c>
      <x:c r="C509" s="9" t="s">
        <x:v>1498</x:v>
      </x:c>
      <x:c r="D509" s="9" t="s">
        <x:v>1518</x:v>
      </x:c>
      <x:c r="E509" s="9" t="s">
        <x:v>1519</x:v>
      </x:c>
      <x:c r="F509" s="9" t="s">
        <x:v>108</x:v>
      </x:c>
      <x:c r="G509" s="9" t="s">
        <x:v>109</x:v>
      </x:c>
      <x:c r="H509" s="9" t="s">
        <x:v>1469</x:v>
      </x:c>
      <x:c r="I509" s="9" t="s">
        <x:v>1470</x:v>
      </x:c>
      <x:c r="J509" s="9" t="s">
        <x:v>1471</x:v>
      </x:c>
      <x:c r="K509" s="9" t="s">
        <x:v>1520</x:v>
      </x:c>
      <x:c r="L509" s="9" t="s">
        <x:v>1521</x:v>
      </x:c>
      <x:c r="M509" s="9"/>
      <x:c r="N509" s="9"/>
      <x:c r="O509" s="9" t="s">
        <x:v>1473</x:v>
      </x:c>
      <x:c r="P509" s="9" t="s">
        <x:v>115</x:v>
      </x:c>
      <x:c r="Q509" s="9" t="s">
        <x:v>45</x:v>
      </x:c>
      <x:c r="R509" s="9" t="s">
        <x:v>1522</x:v>
      </x:c>
      <x:c r="S509" s="8" t="s">
        <x:v>905</x:v>
      </x:c>
      <x:c r="T509" s="8" t="s">
        <x:v>27</x:v>
      </x:c>
      <x:c r="U509" s="8" t="s">
        <x:v>883</x:v>
      </x:c>
      <x:c r="V509" s="8" t="s">
        <x:v>884</x:v>
      </x:c>
    </x:row>
    <x:row r="510" ht="39" hidden="0" customHeight="1">
      <x:c r="A510" s="9" t="s">
        <x:v>1523</x:v>
      </x:c>
      <x:c r="B510" s="9" t="s">
        <x:v>1466</x:v>
      </x:c>
      <x:c r="C510" s="9" t="s">
        <x:v>1486</x:v>
      </x:c>
      <x:c r="D510" s="9" t="s">
        <x:v>1090</x:v>
      </x:c>
      <x:c r="E510" s="9" t="s">
        <x:v>1524</x:v>
      </x:c>
      <x:c r="F510" s="9" t="s">
        <x:v>108</x:v>
      </x:c>
      <x:c r="G510" s="9" t="s">
        <x:v>109</x:v>
      </x:c>
      <x:c r="H510" s="9" t="s">
        <x:v>1469</x:v>
      </x:c>
      <x:c r="I510" s="9" t="s">
        <x:v>1470</x:v>
      </x:c>
      <x:c r="J510" s="9" t="s">
        <x:v>1471</x:v>
      </x:c>
      <x:c r="K510" s="9" t="s">
        <x:v>1525</x:v>
      </x:c>
      <x:c r="L510" s="9" t="s">
        <x:v>1525</x:v>
      </x:c>
      <x:c r="M510" s="9"/>
      <x:c r="N510" s="9"/>
      <x:c r="O510" s="9" t="s">
        <x:v>1473</x:v>
      </x:c>
      <x:c r="P510" s="9" t="s">
        <x:v>115</x:v>
      </x:c>
      <x:c r="Q510" s="9" t="s">
        <x:v>45</x:v>
      </x:c>
      <x:c r="R510" s="9"/>
      <x:c r="S510" s="8"/>
      <x:c r="T510" s="8" t="s">
        <x:v>27</x:v>
      </x:c>
      <x:c r="U510" s="8" t="s">
        <x:v>883</x:v>
      </x:c>
      <x:c r="V510" s="8" t="s">
        <x:v>884</x:v>
      </x:c>
    </x:row>
    <x:row r="511" ht="39" hidden="0" customHeight="1">
      <x:c r="A511" s="9" t="s">
        <x:v>1526</x:v>
      </x:c>
      <x:c r="B511" s="9" t="s">
        <x:v>1466</x:v>
      </x:c>
      <x:c r="C511" s="9" t="s">
        <x:v>1498</x:v>
      </x:c>
      <x:c r="D511" s="9" t="s">
        <x:v>1090</x:v>
      </x:c>
      <x:c r="E511" s="9" t="s">
        <x:v>1527</x:v>
      </x:c>
      <x:c r="F511" s="9" t="s">
        <x:v>108</x:v>
      </x:c>
      <x:c r="G511" s="9" t="s">
        <x:v>109</x:v>
      </x:c>
      <x:c r="H511" s="9" t="s">
        <x:v>1469</x:v>
      </x:c>
      <x:c r="I511" s="9" t="s">
        <x:v>1470</x:v>
      </x:c>
      <x:c r="J511" s="9" t="s">
        <x:v>1471</x:v>
      </x:c>
      <x:c r="K511" s="9" t="s">
        <x:v>1525</x:v>
      </x:c>
      <x:c r="L511" s="9" t="s">
        <x:v>1525</x:v>
      </x:c>
      <x:c r="M511" s="9"/>
      <x:c r="N511" s="9"/>
      <x:c r="O511" s="9" t="s">
        <x:v>1473</x:v>
      </x:c>
      <x:c r="P511" s="9" t="s">
        <x:v>115</x:v>
      </x:c>
      <x:c r="Q511" s="9" t="s">
        <x:v>45</x:v>
      </x:c>
      <x:c r="R511" s="9"/>
      <x:c r="S511" s="8"/>
      <x:c r="T511" s="8" t="s">
        <x:v>27</x:v>
      </x:c>
      <x:c r="U511" s="8" t="s">
        <x:v>883</x:v>
      </x:c>
      <x:c r="V511" s="8" t="s">
        <x:v>884</x:v>
      </x:c>
    </x:row>
    <x:row r="512" ht="39" hidden="0" customHeight="1">
      <x:c r="A512" s="9" t="s">
        <x:v>1528</x:v>
      </x:c>
      <x:c r="B512" s="9" t="s">
        <x:v>1466</x:v>
      </x:c>
      <x:c r="C512" s="9" t="s">
        <x:v>1467</x:v>
      </x:c>
      <x:c r="D512" s="9" t="s">
        <x:v>1529</x:v>
      </x:c>
      <x:c r="E512" s="9" t="s">
        <x:v>1530</x:v>
      </x:c>
      <x:c r="F512" s="9" t="s">
        <x:v>108</x:v>
      </x:c>
      <x:c r="G512" s="9" t="s">
        <x:v>109</x:v>
      </x:c>
      <x:c r="H512" s="9" t="s">
        <x:v>1469</x:v>
      </x:c>
      <x:c r="I512" s="9" t="s">
        <x:v>1470</x:v>
      </x:c>
      <x:c r="J512" s="9" t="s">
        <x:v>1471</x:v>
      </x:c>
      <x:c r="K512" s="9" t="s">
        <x:v>1525</x:v>
      </x:c>
      <x:c r="L512" s="9" t="s">
        <x:v>1525</x:v>
      </x:c>
      <x:c r="M512" s="9"/>
      <x:c r="N512" s="9"/>
      <x:c r="O512" s="9" t="s">
        <x:v>1473</x:v>
      </x:c>
      <x:c r="P512" s="9" t="s">
        <x:v>115</x:v>
      </x:c>
      <x:c r="Q512" s="9" t="s">
        <x:v>45</x:v>
      </x:c>
      <x:c r="R512" s="9"/>
      <x:c r="S512" s="8"/>
      <x:c r="T512" s="8" t="s">
        <x:v>27</x:v>
      </x:c>
      <x:c r="U512" s="8" t="s">
        <x:v>883</x:v>
      </x:c>
      <x:c r="V512" s="8" t="s">
        <x:v>884</x:v>
      </x:c>
    </x:row>
    <x:row r="513" ht="52.5" hidden="0" customHeight="1">
      <x:c r="A513" s="9" t="s">
        <x:v>1531</x:v>
      </x:c>
      <x:c r="B513" s="9" t="s">
        <x:v>1466</x:v>
      </x:c>
      <x:c r="C513" s="9" t="s">
        <x:v>1467</x:v>
      </x:c>
      <x:c r="D513" s="9" t="s">
        <x:v>211</x:v>
      </x:c>
      <x:c r="E513" s="9" t="s">
        <x:v>1532</x:v>
      </x:c>
      <x:c r="F513" s="9" t="s">
        <x:v>108</x:v>
      </x:c>
      <x:c r="G513" s="9" t="s">
        <x:v>109</x:v>
      </x:c>
      <x:c r="H513" s="9" t="s">
        <x:v>1469</x:v>
      </x:c>
      <x:c r="I513" s="9" t="s">
        <x:v>1470</x:v>
      </x:c>
      <x:c r="J513" s="9" t="s">
        <x:v>1471</x:v>
      </x:c>
      <x:c r="K513" s="9" t="s">
        <x:v>1236</x:v>
      </x:c>
      <x:c r="L513" s="9" t="s">
        <x:v>1236</x:v>
      </x:c>
      <x:c r="M513" s="9"/>
      <x:c r="N513" s="9"/>
      <x:c r="O513" s="9" t="s">
        <x:v>1473</x:v>
      </x:c>
      <x:c r="P513" s="9" t="s">
        <x:v>115</x:v>
      </x:c>
      <x:c r="Q513" s="9" t="s">
        <x:v>45</x:v>
      </x:c>
      <x:c r="R513" s="9" t="s">
        <x:v>1533</x:v>
      </x:c>
      <x:c r="S513" s="8"/>
      <x:c r="T513" s="8" t="s">
        <x:v>27</x:v>
      </x:c>
      <x:c r="U513" s="8" t="s">
        <x:v>883</x:v>
      </x:c>
      <x:c r="V513" s="8" t="s">
        <x:v>884</x:v>
      </x:c>
    </x:row>
    <x:row r="514" ht="39" hidden="0" customHeight="1">
      <x:c r="A514" s="9" t="s">
        <x:v>1534</x:v>
      </x:c>
      <x:c r="B514" s="9" t="s">
        <x:v>1466</x:v>
      </x:c>
      <x:c r="C514" s="9" t="s">
        <x:v>1467</x:v>
      </x:c>
      <x:c r="D514" s="9" t="s">
        <x:v>342</x:v>
      </x:c>
      <x:c r="E514" s="9" t="s">
        <x:v>1535</x:v>
      </x:c>
      <x:c r="F514" s="9" t="s">
        <x:v>108</x:v>
      </x:c>
      <x:c r="G514" s="9" t="s">
        <x:v>109</x:v>
      </x:c>
      <x:c r="H514" s="9" t="s">
        <x:v>1469</x:v>
      </x:c>
      <x:c r="I514" s="9" t="s">
        <x:v>1470</x:v>
      </x:c>
      <x:c r="J514" s="9" t="s">
        <x:v>1471</x:v>
      </x:c>
      <x:c r="K514" s="9" t="s">
        <x:v>168</x:v>
      </x:c>
      <x:c r="L514" s="9" t="s">
        <x:v>168</x:v>
      </x:c>
      <x:c r="M514" s="9"/>
      <x:c r="N514" s="9"/>
      <x:c r="O514" s="9" t="s">
        <x:v>1473</x:v>
      </x:c>
      <x:c r="P514" s="9" t="s">
        <x:v>115</x:v>
      </x:c>
      <x:c r="Q514" s="9" t="s">
        <x:v>45</x:v>
      </x:c>
      <x:c r="R514" s="9"/>
      <x:c r="S514" s="8"/>
      <x:c r="T514" s="8" t="s">
        <x:v>27</x:v>
      </x:c>
      <x:c r="U514" s="8" t="s">
        <x:v>883</x:v>
      </x:c>
      <x:c r="V514" s="8" t="s">
        <x:v>884</x:v>
      </x:c>
    </x:row>
    <x:row r="515" ht="39" hidden="0" customHeight="1">
      <x:c r="A515" s="9" t="s">
        <x:v>1536</x:v>
      </x:c>
      <x:c r="B515" s="9" t="s">
        <x:v>1466</x:v>
      </x:c>
      <x:c r="C515" s="9" t="s">
        <x:v>1467</x:v>
      </x:c>
      <x:c r="D515" s="9" t="s">
        <x:v>1537</x:v>
      </x:c>
      <x:c r="E515" s="9" t="n">
        <x:v>12</x:v>
      </x:c>
      <x:c r="F515" s="9" t="s">
        <x:v>108</x:v>
      </x:c>
      <x:c r="G515" s="9" t="s">
        <x:v>109</x:v>
      </x:c>
      <x:c r="H515" s="9" t="s">
        <x:v>1469</x:v>
      </x:c>
      <x:c r="I515" s="9" t="s">
        <x:v>1470</x:v>
      </x:c>
      <x:c r="J515" s="9" t="s">
        <x:v>1471</x:v>
      </x:c>
      <x:c r="K515" s="9" t="s">
        <x:v>1538</x:v>
      </x:c>
      <x:c r="L515" s="9" t="s">
        <x:v>1538</x:v>
      </x:c>
      <x:c r="M515" s="9"/>
      <x:c r="N515" s="9"/>
      <x:c r="O515" s="9" t="s">
        <x:v>1473</x:v>
      </x:c>
      <x:c r="P515" s="9" t="s">
        <x:v>115</x:v>
      </x:c>
      <x:c r="Q515" s="9" t="s">
        <x:v>45</x:v>
      </x:c>
      <x:c r="R515" s="9"/>
      <x:c r="S515" s="8" t="s">
        <x:v>1539</x:v>
      </x:c>
      <x:c r="T515" s="8" t="s">
        <x:v>27</x:v>
      </x:c>
      <x:c r="U515" s="8" t="s">
        <x:v>883</x:v>
      </x:c>
      <x:c r="V515" s="8" t="s">
        <x:v>884</x:v>
      </x:c>
    </x:row>
    <x:row r="516" ht="39" hidden="0" customHeight="1">
      <x:c r="A516" s="9" t="s">
        <x:v>1540</x:v>
      </x:c>
      <x:c r="B516" s="9" t="s">
        <x:v>1466</x:v>
      </x:c>
      <x:c r="C516" s="9" t="s">
        <x:v>1467</x:v>
      </x:c>
      <x:c r="D516" s="9" t="s">
        <x:v>1541</x:v>
      </x:c>
      <x:c r="E516" s="9" t="s">
        <x:v>1542</x:v>
      </x:c>
      <x:c r="F516" s="9" t="s">
        <x:v>108</x:v>
      </x:c>
      <x:c r="G516" s="9" t="s">
        <x:v>109</x:v>
      </x:c>
      <x:c r="H516" s="9" t="s">
        <x:v>1469</x:v>
      </x:c>
      <x:c r="I516" s="9" t="s">
        <x:v>1470</x:v>
      </x:c>
      <x:c r="J516" s="9" t="s">
        <x:v>1471</x:v>
      </x:c>
      <x:c r="K516" s="9" t="s">
        <x:v>1538</x:v>
      </x:c>
      <x:c r="L516" s="9" t="s">
        <x:v>1538</x:v>
      </x:c>
      <x:c r="M516" s="9"/>
      <x:c r="N516" s="9"/>
      <x:c r="O516" s="9" t="s">
        <x:v>1473</x:v>
      </x:c>
      <x:c r="P516" s="9" t="s">
        <x:v>115</x:v>
      </x:c>
      <x:c r="Q516" s="9" t="s">
        <x:v>45</x:v>
      </x:c>
      <x:c r="R516" s="9"/>
      <x:c r="S516" s="8"/>
      <x:c r="T516" s="8" t="s">
        <x:v>27</x:v>
      </x:c>
      <x:c r="U516" s="8" t="s">
        <x:v>883</x:v>
      </x:c>
      <x:c r="V516" s="8" t="s">
        <x:v>884</x:v>
      </x:c>
    </x:row>
    <x:row r="517" ht="39" hidden="0" customHeight="1">
      <x:c r="A517" s="9" t="s">
        <x:v>1543</x:v>
      </x:c>
      <x:c r="B517" s="9" t="s">
        <x:v>1466</x:v>
      </x:c>
      <x:c r="C517" s="9" t="s">
        <x:v>1467</x:v>
      </x:c>
      <x:c r="D517" s="9" t="s">
        <x:v>1544</x:v>
      </x:c>
      <x:c r="E517" s="9" t="n">
        <x:v>6</x:v>
      </x:c>
      <x:c r="F517" s="9" t="s">
        <x:v>108</x:v>
      </x:c>
      <x:c r="G517" s="9" t="s">
        <x:v>109</x:v>
      </x:c>
      <x:c r="H517" s="9" t="s">
        <x:v>1469</x:v>
      </x:c>
      <x:c r="I517" s="9" t="s">
        <x:v>1470</x:v>
      </x:c>
      <x:c r="J517" s="9" t="s">
        <x:v>1471</x:v>
      </x:c>
      <x:c r="K517" s="9" t="s">
        <x:v>1538</x:v>
      </x:c>
      <x:c r="L517" s="9" t="s">
        <x:v>1538</x:v>
      </x:c>
      <x:c r="M517" s="9"/>
      <x:c r="N517" s="9"/>
      <x:c r="O517" s="9" t="s">
        <x:v>1473</x:v>
      </x:c>
      <x:c r="P517" s="9" t="s">
        <x:v>115</x:v>
      </x:c>
      <x:c r="Q517" s="9" t="s">
        <x:v>45</x:v>
      </x:c>
      <x:c r="R517" s="9"/>
      <x:c r="S517" s="8" t="s">
        <x:v>1545</x:v>
      </x:c>
      <x:c r="T517" s="8" t="s">
        <x:v>27</x:v>
      </x:c>
      <x:c r="U517" s="8" t="s">
        <x:v>883</x:v>
      </x:c>
      <x:c r="V517" s="8" t="s">
        <x:v>884</x:v>
      </x:c>
    </x:row>
    <x:row r="518" ht="39" hidden="0" customHeight="1">
      <x:c r="A518" s="9" t="s">
        <x:v>1546</x:v>
      </x:c>
      <x:c r="B518" s="9" t="s">
        <x:v>1466</x:v>
      </x:c>
      <x:c r="C518" s="9" t="s">
        <x:v>1467</x:v>
      </x:c>
      <x:c r="D518" s="9" t="s">
        <x:v>345</x:v>
      </x:c>
      <x:c r="E518" s="9" t="s">
        <x:v>1547</x:v>
      </x:c>
      <x:c r="F518" s="9" t="s">
        <x:v>108</x:v>
      </x:c>
      <x:c r="G518" s="9" t="s">
        <x:v>109</x:v>
      </x:c>
      <x:c r="H518" s="9" t="s">
        <x:v>1469</x:v>
      </x:c>
      <x:c r="I518" s="9" t="s">
        <x:v>1470</x:v>
      </x:c>
      <x:c r="J518" s="9" t="s">
        <x:v>1471</x:v>
      </x:c>
      <x:c r="K518" s="9" t="s">
        <x:v>1548</x:v>
      </x:c>
      <x:c r="L518" s="9" t="s">
        <x:v>1548</x:v>
      </x:c>
      <x:c r="M518" s="9"/>
      <x:c r="N518" s="9"/>
      <x:c r="O518" s="9" t="s">
        <x:v>1473</x:v>
      </x:c>
      <x:c r="P518" s="9" t="s">
        <x:v>115</x:v>
      </x:c>
      <x:c r="Q518" s="9" t="s">
        <x:v>45</x:v>
      </x:c>
      <x:c r="R518" s="9" t="s">
        <x:v>1549</x:v>
      </x:c>
      <x:c r="S518" s="8" t="s">
        <x:v>1550</x:v>
      </x:c>
      <x:c r="T518" s="8" t="s">
        <x:v>27</x:v>
      </x:c>
      <x:c r="U518" s="8" t="s">
        <x:v>883</x:v>
      </x:c>
      <x:c r="V518" s="8" t="s">
        <x:v>884</x:v>
      </x:c>
    </x:row>
    <x:row r="519" ht="39" hidden="0" customHeight="1">
      <x:c r="A519" s="9" t="s">
        <x:v>1551</x:v>
      </x:c>
      <x:c r="B519" s="9" t="s">
        <x:v>1466</x:v>
      </x:c>
      <x:c r="C519" s="9" t="s">
        <x:v>1467</x:v>
      </x:c>
      <x:c r="D519" s="9" t="s">
        <x:v>1552</x:v>
      </x:c>
      <x:c r="E519" s="9" t="s">
        <x:v>1553</x:v>
      </x:c>
      <x:c r="F519" s="9" t="s">
        <x:v>108</x:v>
      </x:c>
      <x:c r="G519" s="9" t="s">
        <x:v>109</x:v>
      </x:c>
      <x:c r="H519" s="9" t="s">
        <x:v>1469</x:v>
      </x:c>
      <x:c r="I519" s="9" t="s">
        <x:v>1470</x:v>
      </x:c>
      <x:c r="J519" s="9" t="s">
        <x:v>1471</x:v>
      </x:c>
      <x:c r="K519" s="9" t="s">
        <x:v>1548</x:v>
      </x:c>
      <x:c r="L519" s="9" t="s">
        <x:v>1548</x:v>
      </x:c>
      <x:c r="M519" s="9"/>
      <x:c r="N519" s="9"/>
      <x:c r="O519" s="9" t="s">
        <x:v>1473</x:v>
      </x:c>
      <x:c r="P519" s="9" t="s">
        <x:v>115</x:v>
      </x:c>
      <x:c r="Q519" s="9" t="s">
        <x:v>45</x:v>
      </x:c>
      <x:c r="R519" s="9"/>
      <x:c r="S519" s="8"/>
      <x:c r="T519" s="8" t="s">
        <x:v>27</x:v>
      </x:c>
      <x:c r="U519" s="8" t="s">
        <x:v>883</x:v>
      </x:c>
      <x:c r="V519" s="8" t="s">
        <x:v>884</x:v>
      </x:c>
    </x:row>
    <x:row r="520" ht="39" hidden="0" customHeight="1">
      <x:c r="A520" s="9" t="s">
        <x:v>1554</x:v>
      </x:c>
      <x:c r="B520" s="9" t="s">
        <x:v>1466</x:v>
      </x:c>
      <x:c r="C520" s="9" t="s">
        <x:v>1467</x:v>
      </x:c>
      <x:c r="D520" s="9" t="s">
        <x:v>1555</x:v>
      </x:c>
      <x:c r="E520" s="9" t="s">
        <x:v>1556</x:v>
      </x:c>
      <x:c r="F520" s="9" t="s">
        <x:v>108</x:v>
      </x:c>
      <x:c r="G520" s="9" t="s">
        <x:v>109</x:v>
      </x:c>
      <x:c r="H520" s="9" t="s">
        <x:v>1469</x:v>
      </x:c>
      <x:c r="I520" s="9" t="s">
        <x:v>1470</x:v>
      </x:c>
      <x:c r="J520" s="9" t="s">
        <x:v>1471</x:v>
      </x:c>
      <x:c r="K520" s="9" t="s">
        <x:v>1557</x:v>
      </x:c>
      <x:c r="L520" s="9" t="s">
        <x:v>1557</x:v>
      </x:c>
      <x:c r="M520" s="9"/>
      <x:c r="N520" s="9"/>
      <x:c r="O520" s="9" t="s">
        <x:v>1473</x:v>
      </x:c>
      <x:c r="P520" s="9" t="s">
        <x:v>115</x:v>
      </x:c>
      <x:c r="Q520" s="9" t="s">
        <x:v>45</x:v>
      </x:c>
      <x:c r="R520" s="9"/>
      <x:c r="S520" s="8"/>
      <x:c r="T520" s="8" t="s">
        <x:v>27</x:v>
      </x:c>
      <x:c r="U520" s="8" t="s">
        <x:v>883</x:v>
      </x:c>
      <x:c r="V520" s="8" t="s">
        <x:v>884</x:v>
      </x:c>
    </x:row>
    <x:row r="521" ht="39" hidden="0" customHeight="1">
      <x:c r="A521" s="9" t="s">
        <x:v>1558</x:v>
      </x:c>
      <x:c r="B521" s="9" t="s">
        <x:v>1466</x:v>
      </x:c>
      <x:c r="C521" s="9" t="s">
        <x:v>1467</x:v>
      </x:c>
      <x:c r="D521" s="9" t="s">
        <x:v>1559</x:v>
      </x:c>
      <x:c r="E521" s="9" t="s">
        <x:v>1560</x:v>
      </x:c>
      <x:c r="F521" s="9" t="s">
        <x:v>108</x:v>
      </x:c>
      <x:c r="G521" s="9" t="s">
        <x:v>109</x:v>
      </x:c>
      <x:c r="H521" s="9" t="s">
        <x:v>1469</x:v>
      </x:c>
      <x:c r="I521" s="9" t="s">
        <x:v>1470</x:v>
      </x:c>
      <x:c r="J521" s="9" t="s">
        <x:v>1471</x:v>
      </x:c>
      <x:c r="K521" s="9" t="s">
        <x:v>1561</x:v>
      </x:c>
      <x:c r="L521" s="9" t="s">
        <x:v>1561</x:v>
      </x:c>
      <x:c r="M521" s="9"/>
      <x:c r="N521" s="9"/>
      <x:c r="O521" s="9" t="s">
        <x:v>1473</x:v>
      </x:c>
      <x:c r="P521" s="9" t="s">
        <x:v>115</x:v>
      </x:c>
      <x:c r="Q521" s="9" t="s">
        <x:v>45</x:v>
      </x:c>
      <x:c r="R521" s="9"/>
      <x:c r="S521" s="8"/>
      <x:c r="T521" s="8" t="s">
        <x:v>27</x:v>
      </x:c>
      <x:c r="U521" s="8" t="s">
        <x:v>883</x:v>
      </x:c>
      <x:c r="V521" s="8" t="s">
        <x:v>884</x:v>
      </x:c>
    </x:row>
    <x:row r="522" ht="39" hidden="0" customHeight="1">
      <x:c r="A522" s="9" t="s">
        <x:v>1562</x:v>
      </x:c>
      <x:c r="B522" s="9" t="s">
        <x:v>1466</x:v>
      </x:c>
      <x:c r="C522" s="9" t="s">
        <x:v>1467</x:v>
      </x:c>
      <x:c r="D522" s="9" t="s">
        <x:v>1563</x:v>
      </x:c>
      <x:c r="E522" s="9" t="s">
        <x:v>1564</x:v>
      </x:c>
      <x:c r="F522" s="9" t="s">
        <x:v>108</x:v>
      </x:c>
      <x:c r="G522" s="9" t="s">
        <x:v>109</x:v>
      </x:c>
      <x:c r="H522" s="9" t="s">
        <x:v>1469</x:v>
      </x:c>
      <x:c r="I522" s="9" t="s">
        <x:v>1470</x:v>
      </x:c>
      <x:c r="J522" s="9" t="s">
        <x:v>1471</x:v>
      </x:c>
      <x:c r="K522" s="9" t="s">
        <x:v>1565</x:v>
      </x:c>
      <x:c r="L522" s="9" t="s">
        <x:v>1565</x:v>
      </x:c>
      <x:c r="M522" s="9"/>
      <x:c r="N522" s="9"/>
      <x:c r="O522" s="9" t="s">
        <x:v>1473</x:v>
      </x:c>
      <x:c r="P522" s="9" t="s">
        <x:v>115</x:v>
      </x:c>
      <x:c r="Q522" s="9" t="s">
        <x:v>45</x:v>
      </x:c>
      <x:c r="R522" s="9"/>
      <x:c r="S522" s="8"/>
      <x:c r="T522" s="8" t="s">
        <x:v>27</x:v>
      </x:c>
      <x:c r="U522" s="8" t="s">
        <x:v>883</x:v>
      </x:c>
      <x:c r="V522" s="8" t="s">
        <x:v>884</x:v>
      </x:c>
    </x:row>
    <x:row r="523" ht="39" hidden="0" customHeight="1">
      <x:c r="A523" s="9" t="s">
        <x:v>1566</x:v>
      </x:c>
      <x:c r="B523" s="9" t="s">
        <x:v>1466</x:v>
      </x:c>
      <x:c r="C523" s="9" t="s">
        <x:v>1467</x:v>
      </x:c>
      <x:c r="D523" s="9" t="s">
        <x:v>184</x:v>
      </x:c>
      <x:c r="E523" s="9" t="s">
        <x:v>1567</x:v>
      </x:c>
      <x:c r="F523" s="9" t="s">
        <x:v>108</x:v>
      </x:c>
      <x:c r="G523" s="9" t="s">
        <x:v>187</x:v>
      </x:c>
      <x:c r="H523" s="9" t="s">
        <x:v>1469</x:v>
      </x:c>
      <x:c r="I523" s="9" t="s">
        <x:v>1470</x:v>
      </x:c>
      <x:c r="J523" s="9" t="s">
        <x:v>1471</x:v>
      </x:c>
      <x:c r="K523" s="9" t="s">
        <x:v>1568</x:v>
      </x:c>
      <x:c r="L523" s="9" t="s">
        <x:v>1568</x:v>
      </x:c>
      <x:c r="M523" s="9"/>
      <x:c r="N523" s="9"/>
      <x:c r="O523" s="9" t="s">
        <x:v>1473</x:v>
      </x:c>
      <x:c r="P523" s="9" t="s">
        <x:v>115</x:v>
      </x:c>
      <x:c r="Q523" s="9" t="s">
        <x:v>45</x:v>
      </x:c>
      <x:c r="R523" s="9"/>
      <x:c r="S523" s="8"/>
      <x:c r="T523" s="8" t="s">
        <x:v>27</x:v>
      </x:c>
      <x:c r="U523" s="8" t="s">
        <x:v>883</x:v>
      </x:c>
      <x:c r="V523" s="8" t="s">
        <x:v>884</x:v>
      </x:c>
    </x:row>
    <x:row r="524" ht="39" hidden="0" customHeight="1">
      <x:c r="A524" s="9" t="s">
        <x:v>1569</x:v>
      </x:c>
      <x:c r="B524" s="9" t="s">
        <x:v>1466</x:v>
      </x:c>
      <x:c r="C524" s="9" t="s">
        <x:v>1467</x:v>
      </x:c>
      <x:c r="D524" s="9" t="s">
        <x:v>184</x:v>
      </x:c>
      <x:c r="E524" s="9" t="s">
        <x:v>1570</x:v>
      </x:c>
      <x:c r="F524" s="9" t="s">
        <x:v>108</x:v>
      </x:c>
      <x:c r="G524" s="9" t="s">
        <x:v>187</x:v>
      </x:c>
      <x:c r="H524" s="9" t="s">
        <x:v>1469</x:v>
      </x:c>
      <x:c r="I524" s="9" t="s">
        <x:v>1470</x:v>
      </x:c>
      <x:c r="J524" s="9" t="s">
        <x:v>1471</x:v>
      </x:c>
      <x:c r="K524" s="9" t="s">
        <x:v>1568</x:v>
      </x:c>
      <x:c r="L524" s="9" t="s">
        <x:v>1568</x:v>
      </x:c>
      <x:c r="M524" s="9"/>
      <x:c r="N524" s="9"/>
      <x:c r="O524" s="9" t="s">
        <x:v>1473</x:v>
      </x:c>
      <x:c r="P524" s="9" t="s">
        <x:v>115</x:v>
      </x:c>
      <x:c r="Q524" s="9" t="s">
        <x:v>45</x:v>
      </x:c>
      <x:c r="R524" s="9"/>
      <x:c r="S524" s="8"/>
      <x:c r="T524" s="8" t="s">
        <x:v>27</x:v>
      </x:c>
      <x:c r="U524" s="8" t="s">
        <x:v>883</x:v>
      </x:c>
      <x:c r="V524" s="8" t="s">
        <x:v>884</x:v>
      </x:c>
    </x:row>
    <x:row r="525" ht="39" hidden="0" customHeight="1">
      <x:c r="A525" s="9" t="s">
        <x:v>1571</x:v>
      </x:c>
      <x:c r="B525" s="9" t="s">
        <x:v>1466</x:v>
      </x:c>
      <x:c r="C525" s="9" t="s">
        <x:v>1467</x:v>
      </x:c>
      <x:c r="D525" s="9" t="s">
        <x:v>184</x:v>
      </x:c>
      <x:c r="E525" s="9" t="s">
        <x:v>1572</x:v>
      </x:c>
      <x:c r="F525" s="9" t="s">
        <x:v>108</x:v>
      </x:c>
      <x:c r="G525" s="9" t="s">
        <x:v>187</x:v>
      </x:c>
      <x:c r="H525" s="9" t="s">
        <x:v>1469</x:v>
      </x:c>
      <x:c r="I525" s="9" t="s">
        <x:v>1470</x:v>
      </x:c>
      <x:c r="J525" s="9" t="s">
        <x:v>1471</x:v>
      </x:c>
      <x:c r="K525" s="9" t="s">
        <x:v>1568</x:v>
      </x:c>
      <x:c r="L525" s="9" t="s">
        <x:v>1568</x:v>
      </x:c>
      <x:c r="M525" s="9"/>
      <x:c r="N525" s="9"/>
      <x:c r="O525" s="9" t="s">
        <x:v>1473</x:v>
      </x:c>
      <x:c r="P525" s="9" t="s">
        <x:v>115</x:v>
      </x:c>
      <x:c r="Q525" s="9" t="s">
        <x:v>45</x:v>
      </x:c>
      <x:c r="R525" s="9"/>
      <x:c r="S525" s="8"/>
      <x:c r="T525" s="8" t="s">
        <x:v>27</x:v>
      </x:c>
      <x:c r="U525" s="8" t="s">
        <x:v>883</x:v>
      </x:c>
      <x:c r="V525" s="8" t="s">
        <x:v>884</x:v>
      </x:c>
    </x:row>
    <x:row r="526" ht="39" hidden="0" customHeight="1">
      <x:c r="A526" s="9" t="s">
        <x:v>1573</x:v>
      </x:c>
      <x:c r="B526" s="9" t="s">
        <x:v>1466</x:v>
      </x:c>
      <x:c r="C526" s="9" t="s">
        <x:v>1467</x:v>
      </x:c>
      <x:c r="D526" s="9" t="s">
        <x:v>190</x:v>
      </x:c>
      <x:c r="E526" s="9" t="s">
        <x:v>1574</x:v>
      </x:c>
      <x:c r="F526" s="9" t="s">
        <x:v>108</x:v>
      </x:c>
      <x:c r="G526" s="9" t="s">
        <x:v>109</x:v>
      </x:c>
      <x:c r="H526" s="9" t="s">
        <x:v>1469</x:v>
      </x:c>
      <x:c r="I526" s="9" t="s">
        <x:v>1470</x:v>
      </x:c>
      <x:c r="J526" s="9" t="s">
        <x:v>1471</x:v>
      </x:c>
      <x:c r="K526" s="9" t="s">
        <x:v>1568</x:v>
      </x:c>
      <x:c r="L526" s="9" t="s">
        <x:v>1568</x:v>
      </x:c>
      <x:c r="M526" s="9"/>
      <x:c r="N526" s="9"/>
      <x:c r="O526" s="9" t="s">
        <x:v>1473</x:v>
      </x:c>
      <x:c r="P526" s="9" t="s">
        <x:v>115</x:v>
      </x:c>
      <x:c r="Q526" s="9" t="s">
        <x:v>45</x:v>
      </x:c>
      <x:c r="R526" s="9"/>
      <x:c r="S526" s="8"/>
      <x:c r="T526" s="8" t="s">
        <x:v>27</x:v>
      </x:c>
      <x:c r="U526" s="8" t="s">
        <x:v>883</x:v>
      </x:c>
      <x:c r="V526" s="8" t="s">
        <x:v>884</x:v>
      </x:c>
    </x:row>
    <x:row r="527" ht="39" hidden="0" customHeight="1">
      <x:c r="A527" s="9" t="s">
        <x:v>1575</x:v>
      </x:c>
      <x:c r="B527" s="9" t="s">
        <x:v>1466</x:v>
      </x:c>
      <x:c r="C527" s="9" t="s">
        <x:v>1467</x:v>
      </x:c>
      <x:c r="D527" s="9" t="s">
        <x:v>1576</x:v>
      </x:c>
      <x:c r="E527" s="9" t="s">
        <x:v>1577</x:v>
      </x:c>
      <x:c r="F527" s="9" t="s">
        <x:v>108</x:v>
      </x:c>
      <x:c r="G527" s="9" t="s">
        <x:v>109</x:v>
      </x:c>
      <x:c r="H527" s="9" t="s">
        <x:v>1469</x:v>
      </x:c>
      <x:c r="I527" s="9" t="s">
        <x:v>1470</x:v>
      </x:c>
      <x:c r="J527" s="9" t="s">
        <x:v>1471</x:v>
      </x:c>
      <x:c r="K527" s="9" t="s">
        <x:v>1568</x:v>
      </x:c>
      <x:c r="L527" s="9" t="s">
        <x:v>1568</x:v>
      </x:c>
      <x:c r="M527" s="9"/>
      <x:c r="N527" s="9"/>
      <x:c r="O527" s="9" t="s">
        <x:v>1473</x:v>
      </x:c>
      <x:c r="P527" s="9" t="s">
        <x:v>115</x:v>
      </x:c>
      <x:c r="Q527" s="9" t="s">
        <x:v>45</x:v>
      </x:c>
      <x:c r="R527" s="9"/>
      <x:c r="S527" s="8"/>
      <x:c r="T527" s="8" t="s">
        <x:v>27</x:v>
      </x:c>
      <x:c r="U527" s="8" t="s">
        <x:v>883</x:v>
      </x:c>
      <x:c r="V527" s="8" t="s">
        <x:v>884</x:v>
      </x:c>
    </x:row>
    <x:row r="528" ht="39" hidden="0" customHeight="1">
      <x:c r="A528" s="9" t="s">
        <x:v>1578</x:v>
      </x:c>
      <x:c r="B528" s="9" t="s">
        <x:v>1466</x:v>
      </x:c>
      <x:c r="C528" s="9" t="s">
        <x:v>1467</x:v>
      </x:c>
      <x:c r="D528" s="9" t="s">
        <x:v>871</x:v>
      </x:c>
      <x:c r="E528" s="9" t="s">
        <x:v>1579</x:v>
      </x:c>
      <x:c r="F528" s="9" t="s">
        <x:v>1580</x:v>
      </x:c>
      <x:c r="G528" s="9" t="s">
        <x:v>109</x:v>
      </x:c>
      <x:c r="H528" s="9" t="s">
        <x:v>1469</x:v>
      </x:c>
      <x:c r="I528" s="9" t="s">
        <x:v>1470</x:v>
      </x:c>
      <x:c r="J528" s="9" t="s">
        <x:v>1471</x:v>
      </x:c>
      <x:c r="K528" s="9" t="s">
        <x:v>1581</x:v>
      </x:c>
      <x:c r="L528" s="9" t="s">
        <x:v>1581</x:v>
      </x:c>
      <x:c r="M528" s="9"/>
      <x:c r="N528" s="9"/>
      <x:c r="O528" s="9" t="s">
        <x:v>1473</x:v>
      </x:c>
      <x:c r="P528" s="9" t="s">
        <x:v>115</x:v>
      </x:c>
      <x:c r="Q528" s="9" t="s">
        <x:v>45</x:v>
      </x:c>
      <x:c r="R528" s="9" t="s">
        <x:v>1582</x:v>
      </x:c>
      <x:c r="S528" s="8"/>
      <x:c r="T528" s="8" t="s">
        <x:v>27</x:v>
      </x:c>
      <x:c r="U528" s="8" t="s">
        <x:v>883</x:v>
      </x:c>
      <x:c r="V528" s="8" t="s">
        <x:v>884</x:v>
      </x:c>
    </x:row>
    <x:row r="529" ht="39" hidden="0" customHeight="1">
      <x:c r="A529" s="9" t="s">
        <x:v>1583</x:v>
      </x:c>
      <x:c r="B529" s="9" t="s">
        <x:v>1466</x:v>
      </x:c>
      <x:c r="C529" s="9" t="s">
        <x:v>1467</x:v>
      </x:c>
      <x:c r="D529" s="9" t="s">
        <x:v>1584</x:v>
      </x:c>
      <x:c r="E529" s="9" t="s">
        <x:v>1585</x:v>
      </x:c>
      <x:c r="F529" s="9" t="s">
        <x:v>1580</x:v>
      </x:c>
      <x:c r="G529" s="9" t="s">
        <x:v>109</x:v>
      </x:c>
      <x:c r="H529" s="9" t="s">
        <x:v>1469</x:v>
      </x:c>
      <x:c r="I529" s="9" t="s">
        <x:v>1470</x:v>
      </x:c>
      <x:c r="J529" s="9" t="s">
        <x:v>1471</x:v>
      </x:c>
      <x:c r="K529" s="9" t="s">
        <x:v>1525</x:v>
      </x:c>
      <x:c r="L529" s="9" t="s">
        <x:v>1525</x:v>
      </x:c>
      <x:c r="M529" s="9"/>
      <x:c r="N529" s="9"/>
      <x:c r="O529" s="9" t="s">
        <x:v>1473</x:v>
      </x:c>
      <x:c r="P529" s="9" t="s">
        <x:v>115</x:v>
      </x:c>
      <x:c r="Q529" s="9" t="s">
        <x:v>45</x:v>
      </x:c>
      <x:c r="R529" s="9"/>
      <x:c r="S529" s="8"/>
      <x:c r="T529" s="8" t="s">
        <x:v>27</x:v>
      </x:c>
      <x:c r="U529" s="8" t="s">
        <x:v>883</x:v>
      </x:c>
      <x:c r="V529" s="8" t="s">
        <x:v>884</x:v>
      </x:c>
    </x:row>
    <x:row r="530" ht="39" hidden="0" customHeight="1">
      <x:c r="A530" s="9" t="s">
        <x:v>1586</x:v>
      </x:c>
      <x:c r="B530" s="9" t="s">
        <x:v>1466</x:v>
      </x:c>
      <x:c r="C530" s="9" t="s">
        <x:v>1467</x:v>
      </x:c>
      <x:c r="D530" s="9" t="s">
        <x:v>233</x:v>
      </x:c>
      <x:c r="E530" s="9" t="s">
        <x:v>30</x:v>
      </x:c>
      <x:c r="F530" s="9" t="s">
        <x:v>1070</x:v>
      </x:c>
      <x:c r="G530" s="9" t="s">
        <x:v>181</x:v>
      </x:c>
      <x:c r="H530" s="9" t="s">
        <x:v>1469</x:v>
      </x:c>
      <x:c r="I530" s="9" t="s">
        <x:v>1470</x:v>
      </x:c>
      <x:c r="J530" s="9" t="s">
        <x:v>1471</x:v>
      </x:c>
      <x:c r="K530" s="9" t="s">
        <x:v>1587</x:v>
      </x:c>
      <x:c r="L530" s="9" t="s">
        <x:v>1587</x:v>
      </x:c>
      <x:c r="M530" s="9"/>
      <x:c r="N530" s="9"/>
      <x:c r="O530" s="9" t="s">
        <x:v>1473</x:v>
      </x:c>
      <x:c r="P530" s="9" t="s">
        <x:v>115</x:v>
      </x:c>
      <x:c r="Q530" s="9" t="s">
        <x:v>45</x:v>
      </x:c>
      <x:c r="R530" s="9" t="s">
        <x:v>1588</x:v>
      </x:c>
      <x:c r="S530" s="8"/>
      <x:c r="T530" s="8" t="s">
        <x:v>30</x:v>
      </x:c>
      <x:c r="U530" s="8" t="s">
        <x:v>883</x:v>
      </x:c>
      <x:c r="V530" s="8" t="s">
        <x:v>884</x:v>
      </x:c>
    </x:row>
    <x:row r="531" ht="39" hidden="0" customHeight="1">
      <x:c r="A531" s="9" t="s">
        <x:v>1589</x:v>
      </x:c>
      <x:c r="B531" s="9" t="s">
        <x:v>1466</x:v>
      </x:c>
      <x:c r="C531" s="9" t="s">
        <x:v>1467</x:v>
      </x:c>
      <x:c r="D531" s="9" t="s">
        <x:v>237</x:v>
      </x:c>
      <x:c r="E531" s="9" t="s">
        <x:v>30</x:v>
      </x:c>
      <x:c r="F531" s="9" t="s">
        <x:v>1070</x:v>
      </x:c>
      <x:c r="G531" s="9" t="s">
        <x:v>181</x:v>
      </x:c>
      <x:c r="H531" s="9" t="s">
        <x:v>1469</x:v>
      </x:c>
      <x:c r="I531" s="9" t="s">
        <x:v>1470</x:v>
      </x:c>
      <x:c r="J531" s="9" t="s">
        <x:v>1471</x:v>
      </x:c>
      <x:c r="K531" s="9" t="s">
        <x:v>1587</x:v>
      </x:c>
      <x:c r="L531" s="9" t="s">
        <x:v>1587</x:v>
      </x:c>
      <x:c r="M531" s="9"/>
      <x:c r="N531" s="9"/>
      <x:c r="O531" s="9" t="s">
        <x:v>1473</x:v>
      </x:c>
      <x:c r="P531" s="9" t="s">
        <x:v>115</x:v>
      </x:c>
      <x:c r="Q531" s="9" t="s">
        <x:v>45</x:v>
      </x:c>
      <x:c r="R531" s="9" t="s">
        <x:v>1588</x:v>
      </x:c>
      <x:c r="S531" s="8"/>
      <x:c r="T531" s="8" t="s">
        <x:v>30</x:v>
      </x:c>
      <x:c r="U531" s="8" t="s">
        <x:v>883</x:v>
      </x:c>
      <x:c r="V531" s="8" t="s">
        <x:v>884</x:v>
      </x:c>
    </x:row>
    <x:row r="532" ht="39" hidden="0" customHeight="1">
      <x:c r="A532" s="9" t="s">
        <x:v>1590</x:v>
      </x:c>
      <x:c r="B532" s="9" t="s">
        <x:v>1466</x:v>
      </x:c>
      <x:c r="C532" s="9" t="s">
        <x:v>1467</x:v>
      </x:c>
      <x:c r="D532" s="9" t="s">
        <x:v>223</x:v>
      </x:c>
      <x:c r="E532" s="9" t="s">
        <x:v>30</x:v>
      </x:c>
      <x:c r="F532" s="9" t="s">
        <x:v>1070</x:v>
      </x:c>
      <x:c r="G532" s="9" t="s">
        <x:v>181</x:v>
      </x:c>
      <x:c r="H532" s="9" t="s">
        <x:v>1469</x:v>
      </x:c>
      <x:c r="I532" s="9" t="s">
        <x:v>1470</x:v>
      </x:c>
      <x:c r="J532" s="9" t="s">
        <x:v>1471</x:v>
      </x:c>
      <x:c r="K532" s="9" t="s">
        <x:v>1587</x:v>
      </x:c>
      <x:c r="L532" s="9" t="s">
        <x:v>1587</x:v>
      </x:c>
      <x:c r="M532" s="9"/>
      <x:c r="N532" s="9"/>
      <x:c r="O532" s="9" t="s">
        <x:v>1473</x:v>
      </x:c>
      <x:c r="P532" s="9" t="s">
        <x:v>115</x:v>
      </x:c>
      <x:c r="Q532" s="9" t="s">
        <x:v>45</x:v>
      </x:c>
      <x:c r="R532" s="9" t="s">
        <x:v>1588</x:v>
      </x:c>
      <x:c r="S532" s="8"/>
      <x:c r="T532" s="8" t="s">
        <x:v>30</x:v>
      </x:c>
      <x:c r="U532" s="8" t="s">
        <x:v>883</x:v>
      </x:c>
      <x:c r="V532" s="8" t="s">
        <x:v>884</x:v>
      </x:c>
    </x:row>
    <x:row r="533" ht="39" hidden="0" customHeight="1">
      <x:c r="A533" s="9" t="s">
        <x:v>1591</x:v>
      </x:c>
      <x:c r="B533" s="9" t="s">
        <x:v>1466</x:v>
      </x:c>
      <x:c r="C533" s="9" t="s">
        <x:v>1467</x:v>
      </x:c>
      <x:c r="D533" s="9" t="s">
        <x:v>450</x:v>
      </x:c>
      <x:c r="E533" s="9" t="s">
        <x:v>30</x:v>
      </x:c>
      <x:c r="F533" s="9" t="s">
        <x:v>1070</x:v>
      </x:c>
      <x:c r="G533" s="9" t="s">
        <x:v>181</x:v>
      </x:c>
      <x:c r="H533" s="9" t="s">
        <x:v>1469</x:v>
      </x:c>
      <x:c r="I533" s="9" t="s">
        <x:v>1470</x:v>
      </x:c>
      <x:c r="J533" s="9" t="s">
        <x:v>1471</x:v>
      </x:c>
      <x:c r="K533" s="9" t="s">
        <x:v>1587</x:v>
      </x:c>
      <x:c r="L533" s="9" t="s">
        <x:v>1587</x:v>
      </x:c>
      <x:c r="M533" s="9"/>
      <x:c r="N533" s="9"/>
      <x:c r="O533" s="9" t="s">
        <x:v>1473</x:v>
      </x:c>
      <x:c r="P533" s="9" t="s">
        <x:v>115</x:v>
      </x:c>
      <x:c r="Q533" s="9" t="s">
        <x:v>45</x:v>
      </x:c>
      <x:c r="R533" s="9" t="s">
        <x:v>1588</x:v>
      </x:c>
      <x:c r="S533" s="8"/>
      <x:c r="T533" s="8" t="s">
        <x:v>30</x:v>
      </x:c>
      <x:c r="U533" s="8" t="s">
        <x:v>883</x:v>
      </x:c>
      <x:c r="V533" s="8" t="s">
        <x:v>884</x:v>
      </x:c>
    </x:row>
    <x:row r="534" ht="39" hidden="0" customHeight="1">
      <x:c r="A534" s="9" t="s">
        <x:v>1592</x:v>
      </x:c>
      <x:c r="B534" s="9" t="s">
        <x:v>1466</x:v>
      </x:c>
      <x:c r="C534" s="9" t="s">
        <x:v>1467</x:v>
      </x:c>
      <x:c r="D534" s="9" t="s">
        <x:v>445</x:v>
      </x:c>
      <x:c r="E534" s="9" t="s">
        <x:v>30</x:v>
      </x:c>
      <x:c r="F534" s="9" t="s">
        <x:v>1070</x:v>
      </x:c>
      <x:c r="G534" s="9" t="s">
        <x:v>181</x:v>
      </x:c>
      <x:c r="H534" s="9" t="s">
        <x:v>1469</x:v>
      </x:c>
      <x:c r="I534" s="9" t="s">
        <x:v>1470</x:v>
      </x:c>
      <x:c r="J534" s="9" t="s">
        <x:v>1471</x:v>
      </x:c>
      <x:c r="K534" s="9" t="s">
        <x:v>1587</x:v>
      </x:c>
      <x:c r="L534" s="9" t="s">
        <x:v>1587</x:v>
      </x:c>
      <x:c r="M534" s="9"/>
      <x:c r="N534" s="9"/>
      <x:c r="O534" s="9" t="s">
        <x:v>1473</x:v>
      </x:c>
      <x:c r="P534" s="9" t="s">
        <x:v>115</x:v>
      </x:c>
      <x:c r="Q534" s="9" t="s">
        <x:v>45</x:v>
      </x:c>
      <x:c r="R534" s="9" t="s">
        <x:v>1588</x:v>
      </x:c>
      <x:c r="S534" s="8"/>
      <x:c r="T534" s="8" t="s">
        <x:v>30</x:v>
      </x:c>
      <x:c r="U534" s="8" t="s">
        <x:v>883</x:v>
      </x:c>
      <x:c r="V534" s="8" t="s">
        <x:v>884</x:v>
      </x:c>
    </x:row>
    <x:row r="535" ht="39" hidden="0" customHeight="1">
      <x:c r="A535" s="9" t="s">
        <x:v>1593</x:v>
      </x:c>
      <x:c r="B535" s="9" t="s">
        <x:v>1466</x:v>
      </x:c>
      <x:c r="C535" s="9" t="s">
        <x:v>1467</x:v>
      </x:c>
      <x:c r="D535" s="9" t="s">
        <x:v>227</x:v>
      </x:c>
      <x:c r="E535" s="9" t="s">
        <x:v>30</x:v>
      </x:c>
      <x:c r="F535" s="9" t="s">
        <x:v>1070</x:v>
      </x:c>
      <x:c r="G535" s="9" t="s">
        <x:v>181</x:v>
      </x:c>
      <x:c r="H535" s="9" t="s">
        <x:v>1469</x:v>
      </x:c>
      <x:c r="I535" s="9" t="s">
        <x:v>1470</x:v>
      </x:c>
      <x:c r="J535" s="9" t="s">
        <x:v>1471</x:v>
      </x:c>
      <x:c r="K535" s="9" t="s">
        <x:v>1587</x:v>
      </x:c>
      <x:c r="L535" s="9" t="s">
        <x:v>1587</x:v>
      </x:c>
      <x:c r="M535" s="9"/>
      <x:c r="N535" s="9"/>
      <x:c r="O535" s="9" t="s">
        <x:v>1473</x:v>
      </x:c>
      <x:c r="P535" s="9" t="s">
        <x:v>115</x:v>
      </x:c>
      <x:c r="Q535" s="9" t="s">
        <x:v>45</x:v>
      </x:c>
      <x:c r="R535" s="9" t="s">
        <x:v>1588</x:v>
      </x:c>
      <x:c r="S535" s="8"/>
      <x:c r="T535" s="8" t="s">
        <x:v>30</x:v>
      </x:c>
      <x:c r="U535" s="8" t="s">
        <x:v>883</x:v>
      </x:c>
      <x:c r="V535" s="8" t="s">
        <x:v>884</x:v>
      </x:c>
    </x:row>
    <x:row r="536" ht="39" hidden="0" customHeight="1">
      <x:c r="A536" s="9" t="s">
        <x:v>1594</x:v>
      </x:c>
      <x:c r="B536" s="9" t="s">
        <x:v>1466</x:v>
      </x:c>
      <x:c r="C536" s="9" t="s">
        <x:v>1467</x:v>
      </x:c>
      <x:c r="D536" s="9" t="s">
        <x:v>230</x:v>
      </x:c>
      <x:c r="E536" s="9" t="s">
        <x:v>30</x:v>
      </x:c>
      <x:c r="F536" s="9" t="s">
        <x:v>1070</x:v>
      </x:c>
      <x:c r="G536" s="9" t="s">
        <x:v>181</x:v>
      </x:c>
      <x:c r="H536" s="9" t="s">
        <x:v>1469</x:v>
      </x:c>
      <x:c r="I536" s="9" t="s">
        <x:v>1470</x:v>
      </x:c>
      <x:c r="J536" s="9" t="s">
        <x:v>1471</x:v>
      </x:c>
      <x:c r="K536" s="9" t="s">
        <x:v>1587</x:v>
      </x:c>
      <x:c r="L536" s="9" t="s">
        <x:v>1587</x:v>
      </x:c>
      <x:c r="M536" s="9"/>
      <x:c r="N536" s="9"/>
      <x:c r="O536" s="9" t="s">
        <x:v>1473</x:v>
      </x:c>
      <x:c r="P536" s="9" t="s">
        <x:v>115</x:v>
      </x:c>
      <x:c r="Q536" s="9" t="s">
        <x:v>45</x:v>
      </x:c>
      <x:c r="R536" s="9" t="s">
        <x:v>1588</x:v>
      </x:c>
      <x:c r="S536" s="8"/>
      <x:c r="T536" s="8" t="s">
        <x:v>30</x:v>
      </x:c>
      <x:c r="U536" s="8" t="s">
        <x:v>883</x:v>
      </x:c>
      <x:c r="V536" s="8" t="s">
        <x:v>884</x:v>
      </x:c>
    </x:row>
    <x:row r="537" ht="39" hidden="0" customHeight="1">
      <x:c r="A537" s="9" t="s">
        <x:v>1595</x:v>
      </x:c>
      <x:c r="B537" s="9" t="s">
        <x:v>1466</x:v>
      </x:c>
      <x:c r="C537" s="9" t="s">
        <x:v>1467</x:v>
      </x:c>
      <x:c r="D537" s="9" t="s">
        <x:v>164</x:v>
      </x:c>
      <x:c r="E537" s="9" t="s">
        <x:v>30</x:v>
      </x:c>
      <x:c r="F537" s="9" t="s">
        <x:v>1070</x:v>
      </x:c>
      <x:c r="G537" s="9" t="s">
        <x:v>181</x:v>
      </x:c>
      <x:c r="H537" s="9" t="s">
        <x:v>1469</x:v>
      </x:c>
      <x:c r="I537" s="9" t="s">
        <x:v>1470</x:v>
      </x:c>
      <x:c r="J537" s="9" t="s">
        <x:v>1471</x:v>
      </x:c>
      <x:c r="K537" s="9" t="s">
        <x:v>1587</x:v>
      </x:c>
      <x:c r="L537" s="9" t="s">
        <x:v>1587</x:v>
      </x:c>
      <x:c r="M537" s="9"/>
      <x:c r="N537" s="9"/>
      <x:c r="O537" s="9" t="s">
        <x:v>1473</x:v>
      </x:c>
      <x:c r="P537" s="9" t="s">
        <x:v>115</x:v>
      </x:c>
      <x:c r="Q537" s="9" t="s">
        <x:v>45</x:v>
      </x:c>
      <x:c r="R537" s="9" t="s">
        <x:v>1588</x:v>
      </x:c>
      <x:c r="S537" s="8"/>
      <x:c r="T537" s="8" t="s">
        <x:v>30</x:v>
      </x:c>
      <x:c r="U537" s="8" t="s">
        <x:v>883</x:v>
      </x:c>
      <x:c r="V537" s="8" t="s">
        <x:v>884</x:v>
      </x:c>
    </x:row>
    <x:row r="538" ht="39" hidden="0" customHeight="1">
      <x:c r="A538" s="9" t="s">
        <x:v>1596</x:v>
      </x:c>
      <x:c r="B538" s="9" t="s">
        <x:v>1466</x:v>
      </x:c>
      <x:c r="C538" s="9" t="s">
        <x:v>1467</x:v>
      </x:c>
      <x:c r="D538" s="9" t="s">
        <x:v>318</x:v>
      </x:c>
      <x:c r="E538" s="9" t="s">
        <x:v>30</x:v>
      </x:c>
      <x:c r="F538" s="9" t="s">
        <x:v>1070</x:v>
      </x:c>
      <x:c r="G538" s="9" t="s">
        <x:v>181</x:v>
      </x:c>
      <x:c r="H538" s="9" t="s">
        <x:v>1469</x:v>
      </x:c>
      <x:c r="I538" s="9" t="s">
        <x:v>1470</x:v>
      </x:c>
      <x:c r="J538" s="9" t="s">
        <x:v>1471</x:v>
      </x:c>
      <x:c r="K538" s="9" t="s">
        <x:v>1587</x:v>
      </x:c>
      <x:c r="L538" s="9" t="s">
        <x:v>1587</x:v>
      </x:c>
      <x:c r="M538" s="9"/>
      <x:c r="N538" s="9"/>
      <x:c r="O538" s="9" t="s">
        <x:v>1473</x:v>
      </x:c>
      <x:c r="P538" s="9" t="s">
        <x:v>115</x:v>
      </x:c>
      <x:c r="Q538" s="9" t="s">
        <x:v>45</x:v>
      </x:c>
      <x:c r="R538" s="9" t="s">
        <x:v>1588</x:v>
      </x:c>
      <x:c r="S538" s="8"/>
      <x:c r="T538" s="8" t="s">
        <x:v>30</x:v>
      </x:c>
      <x:c r="U538" s="8" t="s">
        <x:v>883</x:v>
      </x:c>
      <x:c r="V538" s="8" t="s">
        <x:v>884</x:v>
      </x:c>
    </x:row>
    <x:row r="539" ht="39" hidden="0" customHeight="1">
      <x:c r="A539" s="9" t="s">
        <x:v>1597</x:v>
      </x:c>
      <x:c r="B539" s="9" t="s">
        <x:v>1466</x:v>
      </x:c>
      <x:c r="C539" s="9" t="s">
        <x:v>1467</x:v>
      </x:c>
      <x:c r="D539" s="9" t="s">
        <x:v>408</x:v>
      </x:c>
      <x:c r="E539" s="9" t="s">
        <x:v>30</x:v>
      </x:c>
      <x:c r="F539" s="9" t="s">
        <x:v>1070</x:v>
      </x:c>
      <x:c r="G539" s="9" t="s">
        <x:v>181</x:v>
      </x:c>
      <x:c r="H539" s="9" t="s">
        <x:v>1469</x:v>
      </x:c>
      <x:c r="I539" s="9" t="s">
        <x:v>1470</x:v>
      </x:c>
      <x:c r="J539" s="9" t="s">
        <x:v>1471</x:v>
      </x:c>
      <x:c r="K539" s="9" t="s">
        <x:v>1587</x:v>
      </x:c>
      <x:c r="L539" s="9" t="s">
        <x:v>1587</x:v>
      </x:c>
      <x:c r="M539" s="9"/>
      <x:c r="N539" s="9"/>
      <x:c r="O539" s="9" t="s">
        <x:v>1473</x:v>
      </x:c>
      <x:c r="P539" s="9" t="s">
        <x:v>115</x:v>
      </x:c>
      <x:c r="Q539" s="9" t="s">
        <x:v>45</x:v>
      </x:c>
      <x:c r="R539" s="9" t="s">
        <x:v>1588</x:v>
      </x:c>
      <x:c r="S539" s="8"/>
      <x:c r="T539" s="8" t="s">
        <x:v>30</x:v>
      </x:c>
      <x:c r="U539" s="8" t="s">
        <x:v>883</x:v>
      </x:c>
      <x:c r="V539" s="8" t="s">
        <x:v>884</x:v>
      </x:c>
    </x:row>
    <x:row r="540" ht="39" hidden="0" customHeight="1">
      <x:c r="A540" s="9" t="s">
        <x:v>1598</x:v>
      </x:c>
      <x:c r="B540" s="9" t="s">
        <x:v>1466</x:v>
      </x:c>
      <x:c r="C540" s="9" t="s">
        <x:v>1467</x:v>
      </x:c>
      <x:c r="D540" s="9" t="s">
        <x:v>167</x:v>
      </x:c>
      <x:c r="E540" s="9" t="s">
        <x:v>30</x:v>
      </x:c>
      <x:c r="F540" s="9" t="s">
        <x:v>1070</x:v>
      </x:c>
      <x:c r="G540" s="9" t="s">
        <x:v>181</x:v>
      </x:c>
      <x:c r="H540" s="9" t="s">
        <x:v>1469</x:v>
      </x:c>
      <x:c r="I540" s="9" t="s">
        <x:v>1470</x:v>
      </x:c>
      <x:c r="J540" s="9" t="s">
        <x:v>1471</x:v>
      </x:c>
      <x:c r="K540" s="9" t="s">
        <x:v>1587</x:v>
      </x:c>
      <x:c r="L540" s="9" t="s">
        <x:v>1587</x:v>
      </x:c>
      <x:c r="M540" s="9"/>
      <x:c r="N540" s="9"/>
      <x:c r="O540" s="9" t="s">
        <x:v>1473</x:v>
      </x:c>
      <x:c r="P540" s="9" t="s">
        <x:v>115</x:v>
      </x:c>
      <x:c r="Q540" s="9" t="s">
        <x:v>45</x:v>
      </x:c>
      <x:c r="R540" s="9" t="s">
        <x:v>1588</x:v>
      </x:c>
      <x:c r="S540" s="8"/>
      <x:c r="T540" s="8" t="s">
        <x:v>30</x:v>
      </x:c>
      <x:c r="U540" s="8" t="s">
        <x:v>883</x:v>
      </x:c>
      <x:c r="V540" s="8" t="s">
        <x:v>884</x:v>
      </x:c>
    </x:row>
    <x:row r="541" ht="39" hidden="0" customHeight="1">
      <x:c r="A541" s="9" t="s">
        <x:v>1599</x:v>
      </x:c>
      <x:c r="B541" s="9" t="s">
        <x:v>1466</x:v>
      </x:c>
      <x:c r="C541" s="9" t="s">
        <x:v>1467</x:v>
      </x:c>
      <x:c r="D541" s="9" t="s">
        <x:v>170</x:v>
      </x:c>
      <x:c r="E541" s="9" t="s">
        <x:v>30</x:v>
      </x:c>
      <x:c r="F541" s="9" t="s">
        <x:v>1070</x:v>
      </x:c>
      <x:c r="G541" s="9" t="s">
        <x:v>181</x:v>
      </x:c>
      <x:c r="H541" s="9" t="s">
        <x:v>1469</x:v>
      </x:c>
      <x:c r="I541" s="9" t="s">
        <x:v>1470</x:v>
      </x:c>
      <x:c r="J541" s="9" t="s">
        <x:v>1471</x:v>
      </x:c>
      <x:c r="K541" s="9" t="s">
        <x:v>1587</x:v>
      </x:c>
      <x:c r="L541" s="9" t="s">
        <x:v>1587</x:v>
      </x:c>
      <x:c r="M541" s="9"/>
      <x:c r="N541" s="9"/>
      <x:c r="O541" s="9" t="s">
        <x:v>1473</x:v>
      </x:c>
      <x:c r="P541" s="9" t="s">
        <x:v>115</x:v>
      </x:c>
      <x:c r="Q541" s="9" t="s">
        <x:v>45</x:v>
      </x:c>
      <x:c r="R541" s="9" t="s">
        <x:v>1588</x:v>
      </x:c>
      <x:c r="S541" s="8"/>
      <x:c r="T541" s="8" t="s">
        <x:v>30</x:v>
      </x:c>
      <x:c r="U541" s="8" t="s">
        <x:v>883</x:v>
      </x:c>
      <x:c r="V541" s="8" t="s">
        <x:v>884</x:v>
      </x:c>
    </x:row>
    <x:row r="542" ht="39" hidden="0" customHeight="1">
      <x:c r="A542" s="9" t="s">
        <x:v>1600</x:v>
      </x:c>
      <x:c r="B542" s="9" t="s">
        <x:v>1466</x:v>
      </x:c>
      <x:c r="C542" s="9" t="s">
        <x:v>1467</x:v>
      </x:c>
      <x:c r="D542" s="9" t="s">
        <x:v>463</x:v>
      </x:c>
      <x:c r="E542" s="9" t="s">
        <x:v>30</x:v>
      </x:c>
      <x:c r="F542" s="9" t="s">
        <x:v>1070</x:v>
      </x:c>
      <x:c r="G542" s="9" t="s">
        <x:v>181</x:v>
      </x:c>
      <x:c r="H542" s="9" t="s">
        <x:v>1469</x:v>
      </x:c>
      <x:c r="I542" s="9" t="s">
        <x:v>1470</x:v>
      </x:c>
      <x:c r="J542" s="9" t="s">
        <x:v>1471</x:v>
      </x:c>
      <x:c r="K542" s="9" t="s">
        <x:v>1587</x:v>
      </x:c>
      <x:c r="L542" s="9" t="s">
        <x:v>1587</x:v>
      </x:c>
      <x:c r="M542" s="9"/>
      <x:c r="N542" s="9"/>
      <x:c r="O542" s="9" t="s">
        <x:v>1473</x:v>
      </x:c>
      <x:c r="P542" s="9" t="s">
        <x:v>115</x:v>
      </x:c>
      <x:c r="Q542" s="9" t="s">
        <x:v>45</x:v>
      </x:c>
      <x:c r="R542" s="9" t="s">
        <x:v>1588</x:v>
      </x:c>
      <x:c r="S542" s="8"/>
      <x:c r="T542" s="8" t="s">
        <x:v>30</x:v>
      </x:c>
      <x:c r="U542" s="8" t="s">
        <x:v>883</x:v>
      </x:c>
      <x:c r="V542" s="8" t="s">
        <x:v>884</x:v>
      </x:c>
    </x:row>
    <x:row r="543" ht="39" hidden="0" customHeight="1">
      <x:c r="A543" s="9" t="s">
        <x:v>1601</x:v>
      </x:c>
      <x:c r="B543" s="9" t="s">
        <x:v>1466</x:v>
      </x:c>
      <x:c r="C543" s="9" t="s">
        <x:v>1467</x:v>
      </x:c>
      <x:c r="D543" s="9" t="s">
        <x:v>176</x:v>
      </x:c>
      <x:c r="E543" s="9" t="s">
        <x:v>30</x:v>
      </x:c>
      <x:c r="F543" s="9" t="s">
        <x:v>1070</x:v>
      </x:c>
      <x:c r="G543" s="9" t="s">
        <x:v>181</x:v>
      </x:c>
      <x:c r="H543" s="9" t="s">
        <x:v>1469</x:v>
      </x:c>
      <x:c r="I543" s="9" t="s">
        <x:v>1470</x:v>
      </x:c>
      <x:c r="J543" s="9" t="s">
        <x:v>1471</x:v>
      </x:c>
      <x:c r="K543" s="9" t="s">
        <x:v>1587</x:v>
      </x:c>
      <x:c r="L543" s="9" t="s">
        <x:v>1587</x:v>
      </x:c>
      <x:c r="M543" s="9"/>
      <x:c r="N543" s="9"/>
      <x:c r="O543" s="9" t="s">
        <x:v>1473</x:v>
      </x:c>
      <x:c r="P543" s="9" t="s">
        <x:v>115</x:v>
      </x:c>
      <x:c r="Q543" s="9" t="s">
        <x:v>45</x:v>
      </x:c>
      <x:c r="R543" s="9" t="s">
        <x:v>1588</x:v>
      </x:c>
      <x:c r="S543" s="8"/>
      <x:c r="T543" s="8" t="s">
        <x:v>30</x:v>
      </x:c>
      <x:c r="U543" s="8" t="s">
        <x:v>883</x:v>
      </x:c>
      <x:c r="V543" s="8" t="s">
        <x:v>884</x:v>
      </x:c>
    </x:row>
    <x:row r="544" ht="39" hidden="0" customHeight="1">
      <x:c r="A544" s="9" t="s">
        <x:v>1602</x:v>
      </x:c>
      <x:c r="B544" s="9" t="s">
        <x:v>1466</x:v>
      </x:c>
      <x:c r="C544" s="9" t="s">
        <x:v>1467</x:v>
      </x:c>
      <x:c r="D544" s="9" t="s">
        <x:v>157</x:v>
      </x:c>
      <x:c r="E544" s="9" t="s">
        <x:v>30</x:v>
      </x:c>
      <x:c r="F544" s="9" t="s">
        <x:v>1070</x:v>
      </x:c>
      <x:c r="G544" s="9" t="s">
        <x:v>181</x:v>
      </x:c>
      <x:c r="H544" s="9" t="s">
        <x:v>1469</x:v>
      </x:c>
      <x:c r="I544" s="9" t="s">
        <x:v>1470</x:v>
      </x:c>
      <x:c r="J544" s="9" t="s">
        <x:v>1471</x:v>
      </x:c>
      <x:c r="K544" s="9" t="s">
        <x:v>1587</x:v>
      </x:c>
      <x:c r="L544" s="9" t="s">
        <x:v>1587</x:v>
      </x:c>
      <x:c r="M544" s="9"/>
      <x:c r="N544" s="9"/>
      <x:c r="O544" s="9" t="s">
        <x:v>1473</x:v>
      </x:c>
      <x:c r="P544" s="9" t="s">
        <x:v>115</x:v>
      </x:c>
      <x:c r="Q544" s="9" t="s">
        <x:v>45</x:v>
      </x:c>
      <x:c r="R544" s="9" t="s">
        <x:v>1588</x:v>
      </x:c>
      <x:c r="S544" s="8"/>
      <x:c r="T544" s="8" t="s">
        <x:v>30</x:v>
      </x:c>
      <x:c r="U544" s="8" t="s">
        <x:v>883</x:v>
      </x:c>
      <x:c r="V544" s="8" t="s">
        <x:v>884</x:v>
      </x:c>
    </x:row>
    <x:row r="545" ht="39" hidden="0" customHeight="1">
      <x:c r="A545" s="9" t="s">
        <x:v>1603</x:v>
      </x:c>
      <x:c r="B545" s="9" t="s">
        <x:v>1466</x:v>
      </x:c>
      <x:c r="C545" s="9" t="s">
        <x:v>1467</x:v>
      </x:c>
      <x:c r="D545" s="9" t="s">
        <x:v>154</x:v>
      </x:c>
      <x:c r="E545" s="9" t="s">
        <x:v>30</x:v>
      </x:c>
      <x:c r="F545" s="9" t="s">
        <x:v>1070</x:v>
      </x:c>
      <x:c r="G545" s="9" t="s">
        <x:v>181</x:v>
      </x:c>
      <x:c r="H545" s="9" t="s">
        <x:v>1469</x:v>
      </x:c>
      <x:c r="I545" s="9" t="s">
        <x:v>1470</x:v>
      </x:c>
      <x:c r="J545" s="9" t="s">
        <x:v>1471</x:v>
      </x:c>
      <x:c r="K545" s="9" t="s">
        <x:v>1587</x:v>
      </x:c>
      <x:c r="L545" s="9" t="s">
        <x:v>1587</x:v>
      </x:c>
      <x:c r="M545" s="9"/>
      <x:c r="N545" s="9"/>
      <x:c r="O545" s="9" t="s">
        <x:v>1473</x:v>
      </x:c>
      <x:c r="P545" s="9" t="s">
        <x:v>115</x:v>
      </x:c>
      <x:c r="Q545" s="9" t="s">
        <x:v>45</x:v>
      </x:c>
      <x:c r="R545" s="9" t="s">
        <x:v>1588</x:v>
      </x:c>
      <x:c r="S545" s="8"/>
      <x:c r="T545" s="8" t="s">
        <x:v>30</x:v>
      </x:c>
      <x:c r="U545" s="8" t="s">
        <x:v>883</x:v>
      </x:c>
      <x:c r="V545" s="8" t="s">
        <x:v>884</x:v>
      </x:c>
    </x:row>
    <x:row r="546" ht="39" hidden="0" customHeight="1">
      <x:c r="A546" s="9" t="s">
        <x:v>1604</x:v>
      </x:c>
      <x:c r="B546" s="9" t="s">
        <x:v>1466</x:v>
      </x:c>
      <x:c r="C546" s="9" t="s">
        <x:v>1467</x:v>
      </x:c>
      <x:c r="D546" s="9" t="s">
        <x:v>1092</x:v>
      </x:c>
      <x:c r="E546" s="9" t="s">
        <x:v>30</x:v>
      </x:c>
      <x:c r="F546" s="9" t="s">
        <x:v>1070</x:v>
      </x:c>
      <x:c r="G546" s="9" t="s">
        <x:v>181</x:v>
      </x:c>
      <x:c r="H546" s="9" t="s">
        <x:v>1469</x:v>
      </x:c>
      <x:c r="I546" s="9" t="s">
        <x:v>1470</x:v>
      </x:c>
      <x:c r="J546" s="9" t="s">
        <x:v>1471</x:v>
      </x:c>
      <x:c r="K546" s="9" t="s">
        <x:v>1587</x:v>
      </x:c>
      <x:c r="L546" s="9" t="s">
        <x:v>1587</x:v>
      </x:c>
      <x:c r="M546" s="9"/>
      <x:c r="N546" s="9"/>
      <x:c r="O546" s="9" t="s">
        <x:v>1473</x:v>
      </x:c>
      <x:c r="P546" s="9" t="s">
        <x:v>115</x:v>
      </x:c>
      <x:c r="Q546" s="9" t="s">
        <x:v>45</x:v>
      </x:c>
      <x:c r="R546" s="9" t="s">
        <x:v>1588</x:v>
      </x:c>
      <x:c r="S546" s="8"/>
      <x:c r="T546" s="8" t="s">
        <x:v>30</x:v>
      </x:c>
      <x:c r="U546" s="8" t="s">
        <x:v>883</x:v>
      </x:c>
      <x:c r="V546" s="8" t="s">
        <x:v>884</x:v>
      </x:c>
    </x:row>
    <x:row r="547" ht="39" hidden="0" customHeight="1">
      <x:c r="A547" s="9" t="s">
        <x:v>1605</x:v>
      </x:c>
      <x:c r="B547" s="9" t="s">
        <x:v>1466</x:v>
      </x:c>
      <x:c r="C547" s="9" t="s">
        <x:v>1467</x:v>
      </x:c>
      <x:c r="D547" s="9" t="s">
        <x:v>505</x:v>
      </x:c>
      <x:c r="E547" s="9" t="s">
        <x:v>30</x:v>
      </x:c>
      <x:c r="F547" s="9" t="s">
        <x:v>1070</x:v>
      </x:c>
      <x:c r="G547" s="9" t="s">
        <x:v>181</x:v>
      </x:c>
      <x:c r="H547" s="9" t="s">
        <x:v>1469</x:v>
      </x:c>
      <x:c r="I547" s="9" t="s">
        <x:v>1470</x:v>
      </x:c>
      <x:c r="J547" s="9" t="s">
        <x:v>1471</x:v>
      </x:c>
      <x:c r="K547" s="9" t="s">
        <x:v>1587</x:v>
      </x:c>
      <x:c r="L547" s="9" t="s">
        <x:v>1587</x:v>
      </x:c>
      <x:c r="M547" s="9"/>
      <x:c r="N547" s="9"/>
      <x:c r="O547" s="9" t="s">
        <x:v>1473</x:v>
      </x:c>
      <x:c r="P547" s="9" t="s">
        <x:v>115</x:v>
      </x:c>
      <x:c r="Q547" s="9" t="s">
        <x:v>45</x:v>
      </x:c>
      <x:c r="R547" s="9" t="s">
        <x:v>1588</x:v>
      </x:c>
      <x:c r="S547" s="8"/>
      <x:c r="T547" s="8" t="s">
        <x:v>30</x:v>
      </x:c>
      <x:c r="U547" s="8" t="s">
        <x:v>883</x:v>
      </x:c>
      <x:c r="V547" s="8" t="s">
        <x:v>884</x:v>
      </x:c>
    </x:row>
    <x:row r="548" ht="39" hidden="0" customHeight="1">
      <x:c r="A548" s="9" t="s">
        <x:v>1606</x:v>
      </x:c>
      <x:c r="B548" s="9" t="s">
        <x:v>1466</x:v>
      </x:c>
      <x:c r="C548" s="9" t="s">
        <x:v>1467</x:v>
      </x:c>
      <x:c r="D548" s="9" t="s">
        <x:v>1096</x:v>
      </x:c>
      <x:c r="E548" s="9" t="s">
        <x:v>30</x:v>
      </x:c>
      <x:c r="F548" s="9" t="s">
        <x:v>1070</x:v>
      </x:c>
      <x:c r="G548" s="9" t="s">
        <x:v>181</x:v>
      </x:c>
      <x:c r="H548" s="9" t="s">
        <x:v>1469</x:v>
      </x:c>
      <x:c r="I548" s="9" t="s">
        <x:v>1470</x:v>
      </x:c>
      <x:c r="J548" s="9" t="s">
        <x:v>1471</x:v>
      </x:c>
      <x:c r="K548" s="9" t="s">
        <x:v>1587</x:v>
      </x:c>
      <x:c r="L548" s="9" t="s">
        <x:v>1587</x:v>
      </x:c>
      <x:c r="M548" s="9"/>
      <x:c r="N548" s="9"/>
      <x:c r="O548" s="9" t="s">
        <x:v>1473</x:v>
      </x:c>
      <x:c r="P548" s="9" t="s">
        <x:v>115</x:v>
      </x:c>
      <x:c r="Q548" s="9" t="s">
        <x:v>45</x:v>
      </x:c>
      <x:c r="R548" s="9" t="s">
        <x:v>1588</x:v>
      </x:c>
      <x:c r="S548" s="8"/>
      <x:c r="T548" s="8" t="s">
        <x:v>30</x:v>
      </x:c>
      <x:c r="U548" s="8" t="s">
        <x:v>883</x:v>
      </x:c>
      <x:c r="V548" s="8" t="s">
        <x:v>884</x:v>
      </x:c>
    </x:row>
    <x:row r="549" ht="39" hidden="0" customHeight="1">
      <x:c r="A549" s="9" t="s">
        <x:v>1607</x:v>
      </x:c>
      <x:c r="B549" s="9" t="s">
        <x:v>1466</x:v>
      </x:c>
      <x:c r="C549" s="9" t="s">
        <x:v>1467</x:v>
      </x:c>
      <x:c r="D549" s="9" t="s">
        <x:v>764</x:v>
      </x:c>
      <x:c r="E549" s="9" t="s">
        <x:v>30</x:v>
      </x:c>
      <x:c r="F549" s="9" t="s">
        <x:v>1070</x:v>
      </x:c>
      <x:c r="G549" s="9" t="s">
        <x:v>181</x:v>
      </x:c>
      <x:c r="H549" s="9" t="s">
        <x:v>1469</x:v>
      </x:c>
      <x:c r="I549" s="9" t="s">
        <x:v>1470</x:v>
      </x:c>
      <x:c r="J549" s="9" t="s">
        <x:v>1471</x:v>
      </x:c>
      <x:c r="K549" s="9" t="s">
        <x:v>1587</x:v>
      </x:c>
      <x:c r="L549" s="9" t="s">
        <x:v>1587</x:v>
      </x:c>
      <x:c r="M549" s="9"/>
      <x:c r="N549" s="9"/>
      <x:c r="O549" s="9" t="s">
        <x:v>1473</x:v>
      </x:c>
      <x:c r="P549" s="9" t="s">
        <x:v>115</x:v>
      </x:c>
      <x:c r="Q549" s="9" t="s">
        <x:v>45</x:v>
      </x:c>
      <x:c r="R549" s="9" t="s">
        <x:v>1588</x:v>
      </x:c>
      <x:c r="S549" s="8"/>
      <x:c r="T549" s="8" t="s">
        <x:v>30</x:v>
      </x:c>
      <x:c r="U549" s="8" t="s">
        <x:v>883</x:v>
      </x:c>
      <x:c r="V549" s="8" t="s">
        <x:v>884</x:v>
      </x:c>
    </x:row>
    <x:row r="550" ht="39" hidden="0" customHeight="1">
      <x:c r="A550" s="9" t="s">
        <x:v>1608</x:v>
      </x:c>
      <x:c r="B550" s="9" t="s">
        <x:v>1466</x:v>
      </x:c>
      <x:c r="C550" s="9" t="s">
        <x:v>1467</x:v>
      </x:c>
      <x:c r="D550" s="9" t="s">
        <x:v>768</x:v>
      </x:c>
      <x:c r="E550" s="9" t="s">
        <x:v>30</x:v>
      </x:c>
      <x:c r="F550" s="9" t="s">
        <x:v>1070</x:v>
      </x:c>
      <x:c r="G550" s="9" t="s">
        <x:v>181</x:v>
      </x:c>
      <x:c r="H550" s="9" t="s">
        <x:v>1469</x:v>
      </x:c>
      <x:c r="I550" s="9" t="s">
        <x:v>1470</x:v>
      </x:c>
      <x:c r="J550" s="9" t="s">
        <x:v>1471</x:v>
      </x:c>
      <x:c r="K550" s="9" t="s">
        <x:v>1587</x:v>
      </x:c>
      <x:c r="L550" s="9" t="s">
        <x:v>1587</x:v>
      </x:c>
      <x:c r="M550" s="9"/>
      <x:c r="N550" s="9"/>
      <x:c r="O550" s="9" t="s">
        <x:v>1473</x:v>
      </x:c>
      <x:c r="P550" s="9" t="s">
        <x:v>115</x:v>
      </x:c>
      <x:c r="Q550" s="9" t="s">
        <x:v>45</x:v>
      </x:c>
      <x:c r="R550" s="9" t="s">
        <x:v>1588</x:v>
      </x:c>
      <x:c r="S550" s="8"/>
      <x:c r="T550" s="8" t="s">
        <x:v>30</x:v>
      </x:c>
      <x:c r="U550" s="8" t="s">
        <x:v>883</x:v>
      </x:c>
      <x:c r="V550" s="8" t="s">
        <x:v>884</x:v>
      </x:c>
    </x:row>
    <x:row r="551" ht="39" hidden="0" customHeight="1">
      <x:c r="A551" s="9" t="s">
        <x:v>1609</x:v>
      </x:c>
      <x:c r="B551" s="9" t="s">
        <x:v>1466</x:v>
      </x:c>
      <x:c r="C551" s="9" t="s">
        <x:v>1467</x:v>
      </x:c>
      <x:c r="D551" s="9" t="s">
        <x:v>549</x:v>
      </x:c>
      <x:c r="E551" s="9" t="s">
        <x:v>30</x:v>
      </x:c>
      <x:c r="F551" s="9" t="s">
        <x:v>1070</x:v>
      </x:c>
      <x:c r="G551" s="9" t="s">
        <x:v>181</x:v>
      </x:c>
      <x:c r="H551" s="9" t="s">
        <x:v>1469</x:v>
      </x:c>
      <x:c r="I551" s="9" t="s">
        <x:v>1470</x:v>
      </x:c>
      <x:c r="J551" s="9" t="s">
        <x:v>1471</x:v>
      </x:c>
      <x:c r="K551" s="9" t="s">
        <x:v>1587</x:v>
      </x:c>
      <x:c r="L551" s="9" t="s">
        <x:v>1587</x:v>
      </x:c>
      <x:c r="M551" s="9"/>
      <x:c r="N551" s="9"/>
      <x:c r="O551" s="9" t="s">
        <x:v>1473</x:v>
      </x:c>
      <x:c r="P551" s="9" t="s">
        <x:v>115</x:v>
      </x:c>
      <x:c r="Q551" s="9" t="s">
        <x:v>45</x:v>
      </x:c>
      <x:c r="R551" s="9" t="s">
        <x:v>1588</x:v>
      </x:c>
      <x:c r="S551" s="8"/>
      <x:c r="T551" s="8" t="s">
        <x:v>30</x:v>
      </x:c>
      <x:c r="U551" s="8" t="s">
        <x:v>883</x:v>
      </x:c>
      <x:c r="V551" s="8" t="s">
        <x:v>884</x:v>
      </x:c>
    </x:row>
    <x:row r="552" ht="39" hidden="0" customHeight="1">
      <x:c r="A552" s="9" t="s">
        <x:v>1610</x:v>
      </x:c>
      <x:c r="B552" s="9" t="s">
        <x:v>1466</x:v>
      </x:c>
      <x:c r="C552" s="9" t="s">
        <x:v>1467</x:v>
      </x:c>
      <x:c r="D552" s="9" t="s">
        <x:v>1101</x:v>
      </x:c>
      <x:c r="E552" s="9" t="s">
        <x:v>1611</x:v>
      </x:c>
      <x:c r="F552" s="9" t="s">
        <x:v>1103</x:v>
      </x:c>
      <x:c r="G552" s="9" t="s">
        <x:v>181</x:v>
      </x:c>
      <x:c r="H552" s="9" t="s">
        <x:v>1469</x:v>
      </x:c>
      <x:c r="I552" s="9" t="s">
        <x:v>1470</x:v>
      </x:c>
      <x:c r="J552" s="9" t="s">
        <x:v>1471</x:v>
      </x:c>
      <x:c r="K552" s="9" t="s">
        <x:v>1612</x:v>
      </x:c>
      <x:c r="L552" s="9" t="s">
        <x:v>1612</x:v>
      </x:c>
      <x:c r="M552" s="9"/>
      <x:c r="N552" s="9"/>
      <x:c r="O552" s="9" t="s">
        <x:v>1473</x:v>
      </x:c>
      <x:c r="P552" s="9" t="s">
        <x:v>115</x:v>
      </x:c>
      <x:c r="Q552" s="9" t="s">
        <x:v>45</x:v>
      </x:c>
      <x:c r="R552" s="9" t="s">
        <x:v>1105</x:v>
      </x:c>
      <x:c r="S552" s="8"/>
      <x:c r="T552" s="8" t="s">
        <x:v>27</x:v>
      </x:c>
      <x:c r="U552" s="8" t="s">
        <x:v>883</x:v>
      </x:c>
      <x:c r="V552" s="8" t="s">
        <x:v>884</x:v>
      </x:c>
    </x:row>
    <x:row r="553" ht="36" hidden="0" customHeight="1">
      <x:c r="A553" s="8" t="s">
        <x:v>1613</x:v>
      </x:c>
      <x:c r="B553" s="8" t="s">
        <x:v>1614</x:v>
      </x:c>
      <x:c r="C553" s="8"/>
      <x:c r="D553" s="8" t="s">
        <x:v>1615</x:v>
      </x:c>
      <x:c r="E553" s="8" t="s">
        <x:v>1616</x:v>
      </x:c>
      <x:c r="F553" s="8" t="s">
        <x:v>1617</x:v>
      </x:c>
      <x:c r="G553" s="8" t="s">
        <x:v>109</x:v>
      </x:c>
      <x:c r="H553" s="8" t="s">
        <x:v>1618</x:v>
      </x:c>
      <x:c r="I553" s="8" t="s">
        <x:v>1619</x:v>
      </x:c>
      <x:c r="J553" s="8" t="s">
        <x:v>112</x:v>
      </x:c>
      <x:c r="K553" s="8" t="s">
        <x:v>1620</x:v>
      </x:c>
      <x:c r="L553" s="8" t="s">
        <x:v>1621</x:v>
      </x:c>
      <x:c r="M553" s="8"/>
      <x:c r="N553" s="8"/>
      <x:c r="O553" s="8" t="s">
        <x:v>1622</x:v>
      </x:c>
      <x:c r="P553" s="8" t="s">
        <x:v>115</x:v>
      </x:c>
      <x:c r="Q553" s="8" t="s">
        <x:v>45</x:v>
      </x:c>
      <x:c r="R553" s="8" t="s">
        <x:v>1623</x:v>
      </x:c>
      <x:c r="S553" s="8"/>
      <x:c r="T553" s="8" t="s">
        <x:v>27</x:v>
      </x:c>
      <x:c r="U553" s="8" t="s">
        <x:v>883</x:v>
      </x:c>
      <x:c r="V553" s="8" t="s">
        <x:v>1624</x:v>
      </x:c>
    </x:row>
    <x:row r="554" ht="36" hidden="0" customHeight="1">
      <x:c r="A554" s="8" t="s">
        <x:v>1625</x:v>
      </x:c>
      <x:c r="B554" s="8" t="s">
        <x:v>1614</x:v>
      </x:c>
      <x:c r="C554" s="8"/>
      <x:c r="D554" s="8" t="s">
        <x:v>1626</x:v>
      </x:c>
      <x:c r="E554" s="8" t="s">
        <x:v>1627</x:v>
      </x:c>
      <x:c r="F554" s="8" t="s">
        <x:v>1617</x:v>
      </x:c>
      <x:c r="G554" s="8" t="s">
        <x:v>109</x:v>
      </x:c>
      <x:c r="H554" s="8" t="s">
        <x:v>1618</x:v>
      </x:c>
      <x:c r="I554" s="8" t="s">
        <x:v>1619</x:v>
      </x:c>
      <x:c r="J554" s="8" t="s">
        <x:v>112</x:v>
      </x:c>
      <x:c r="K554" s="8" t="s">
        <x:v>1620</x:v>
      </x:c>
      <x:c r="L554" s="8" t="s">
        <x:v>1621</x:v>
      </x:c>
      <x:c r="M554" s="8"/>
      <x:c r="N554" s="8"/>
      <x:c r="O554" s="8" t="s">
        <x:v>1622</x:v>
      </x:c>
      <x:c r="P554" s="8" t="s">
        <x:v>115</x:v>
      </x:c>
      <x:c r="Q554" s="8" t="s">
        <x:v>45</x:v>
      </x:c>
      <x:c r="R554" s="8" t="s">
        <x:v>1623</x:v>
      </x:c>
      <x:c r="S554" s="8"/>
      <x:c r="T554" s="8" t="s">
        <x:v>27</x:v>
      </x:c>
      <x:c r="U554" s="8" t="s">
        <x:v>883</x:v>
      </x:c>
      <x:c r="V554" s="8" t="s">
        <x:v>1624</x:v>
      </x:c>
    </x:row>
    <x:row r="555" ht="36" hidden="0" customHeight="1">
      <x:c r="A555" s="8" t="s">
        <x:v>1628</x:v>
      </x:c>
      <x:c r="B555" s="8" t="s">
        <x:v>1614</x:v>
      </x:c>
      <x:c r="C555" s="8"/>
      <x:c r="D555" s="8" t="s">
        <x:v>1090</x:v>
      </x:c>
      <x:c r="E555" s="8" t="s">
        <x:v>1629</x:v>
      </x:c>
      <x:c r="F555" s="8" t="s">
        <x:v>1617</x:v>
      </x:c>
      <x:c r="G555" s="8" t="s">
        <x:v>109</x:v>
      </x:c>
      <x:c r="H555" s="8" t="s">
        <x:v>1618</x:v>
      </x:c>
      <x:c r="I555" s="8" t="s">
        <x:v>1619</x:v>
      </x:c>
      <x:c r="J555" s="8" t="s">
        <x:v>112</x:v>
      </x:c>
      <x:c r="K555" s="8" t="s">
        <x:v>1620</x:v>
      </x:c>
      <x:c r="L555" s="8" t="s">
        <x:v>1621</x:v>
      </x:c>
      <x:c r="M555" s="8"/>
      <x:c r="N555" s="8"/>
      <x:c r="O555" s="8" t="s">
        <x:v>1622</x:v>
      </x:c>
      <x:c r="P555" s="8" t="s">
        <x:v>115</x:v>
      </x:c>
      <x:c r="Q555" s="8" t="s">
        <x:v>45</x:v>
      </x:c>
      <x:c r="R555" s="8" t="s">
        <x:v>1623</x:v>
      </x:c>
      <x:c r="S555" s="8"/>
      <x:c r="T555" s="8" t="s">
        <x:v>27</x:v>
      </x:c>
      <x:c r="U555" s="8" t="s">
        <x:v>883</x:v>
      </x:c>
      <x:c r="V555" s="8" t="s">
        <x:v>1624</x:v>
      </x:c>
    </x:row>
    <x:row r="556" ht="36" hidden="0" customHeight="1">
      <x:c r="A556" s="8" t="s">
        <x:v>1630</x:v>
      </x:c>
      <x:c r="B556" s="8" t="s">
        <x:v>1614</x:v>
      </x:c>
      <x:c r="C556" s="8"/>
      <x:c r="D556" s="8" t="s">
        <x:v>1631</x:v>
      </x:c>
      <x:c r="E556" s="8" t="n">
        <x:v>3</x:v>
      </x:c>
      <x:c r="F556" s="8" t="s">
        <x:v>1617</x:v>
      </x:c>
      <x:c r="G556" s="8" t="s">
        <x:v>109</x:v>
      </x:c>
      <x:c r="H556" s="8" t="s">
        <x:v>1618</x:v>
      </x:c>
      <x:c r="I556" s="8" t="s">
        <x:v>1619</x:v>
      </x:c>
      <x:c r="J556" s="8" t="s">
        <x:v>112</x:v>
      </x:c>
      <x:c r="K556" s="8" t="s">
        <x:v>1632</x:v>
      </x:c>
      <x:c r="L556" s="8" t="s">
        <x:v>1633</x:v>
      </x:c>
      <x:c r="M556" s="8"/>
      <x:c r="N556" s="8"/>
      <x:c r="O556" s="8" t="s">
        <x:v>1622</x:v>
      </x:c>
      <x:c r="P556" s="8" t="s">
        <x:v>115</x:v>
      </x:c>
      <x:c r="Q556" s="8" t="s">
        <x:v>45</x:v>
      </x:c>
      <x:c r="R556" s="8" t="s">
        <x:v>1623</x:v>
      </x:c>
      <x:c r="S556" s="8" t="s">
        <x:v>1494</x:v>
      </x:c>
      <x:c r="T556" s="8" t="s">
        <x:v>27</x:v>
      </x:c>
      <x:c r="U556" s="8" t="s">
        <x:v>883</x:v>
      </x:c>
      <x:c r="V556" s="8" t="s">
        <x:v>1624</x:v>
      </x:c>
    </x:row>
    <x:row r="557" ht="36" hidden="0" customHeight="1">
      <x:c r="A557" s="8" t="s">
        <x:v>1634</x:v>
      </x:c>
      <x:c r="B557" s="8" t="s">
        <x:v>1614</x:v>
      </x:c>
      <x:c r="C557" s="8"/>
      <x:c r="D557" s="8" t="s">
        <x:v>1635</x:v>
      </x:c>
      <x:c r="E557" s="8" t="n">
        <x:v>3</x:v>
      </x:c>
      <x:c r="F557" s="8" t="s">
        <x:v>1617</x:v>
      </x:c>
      <x:c r="G557" s="8" t="s">
        <x:v>109</x:v>
      </x:c>
      <x:c r="H557" s="8" t="s">
        <x:v>1618</x:v>
      </x:c>
      <x:c r="I557" s="8" t="s">
        <x:v>1619</x:v>
      </x:c>
      <x:c r="J557" s="8" t="s">
        <x:v>112</x:v>
      </x:c>
      <x:c r="K557" s="8" t="s">
        <x:v>1632</x:v>
      </x:c>
      <x:c r="L557" s="8" t="s">
        <x:v>1633</x:v>
      </x:c>
      <x:c r="M557" s="8"/>
      <x:c r="N557" s="8"/>
      <x:c r="O557" s="8" t="s">
        <x:v>1622</x:v>
      </x:c>
      <x:c r="P557" s="8" t="s">
        <x:v>115</x:v>
      </x:c>
      <x:c r="Q557" s="8" t="s">
        <x:v>45</x:v>
      </x:c>
      <x:c r="R557" s="8" t="s">
        <x:v>1623</x:v>
      </x:c>
      <x:c r="S557" s="8" t="s">
        <x:v>1343</x:v>
      </x:c>
      <x:c r="T557" s="8" t="s">
        <x:v>27</x:v>
      </x:c>
      <x:c r="U557" s="8" t="s">
        <x:v>883</x:v>
      </x:c>
      <x:c r="V557" s="8" t="s">
        <x:v>1624</x:v>
      </x:c>
    </x:row>
    <x:row r="558" ht="36" hidden="0" customHeight="1">
      <x:c r="A558" s="8" t="s">
        <x:v>1636</x:v>
      </x:c>
      <x:c r="B558" s="8" t="s">
        <x:v>1614</x:v>
      </x:c>
      <x:c r="C558" s="8"/>
      <x:c r="D558" s="8" t="s">
        <x:v>1637</x:v>
      </x:c>
      <x:c r="E558" s="8" t="n">
        <x:v>256</x:v>
      </x:c>
      <x:c r="F558" s="8" t="s">
        <x:v>1617</x:v>
      </x:c>
      <x:c r="G558" s="8" t="s">
        <x:v>109</x:v>
      </x:c>
      <x:c r="H558" s="8" t="s">
        <x:v>1618</x:v>
      </x:c>
      <x:c r="I558" s="8" t="s">
        <x:v>1619</x:v>
      </x:c>
      <x:c r="J558" s="8" t="s">
        <x:v>112</x:v>
      </x:c>
      <x:c r="K558" s="8" t="s">
        <x:v>1632</x:v>
      </x:c>
      <x:c r="L558" s="8" t="s">
        <x:v>1633</x:v>
      </x:c>
      <x:c r="M558" s="8"/>
      <x:c r="N558" s="8"/>
      <x:c r="O558" s="8" t="s">
        <x:v>1622</x:v>
      </x:c>
      <x:c r="P558" s="8" t="s">
        <x:v>115</x:v>
      </x:c>
      <x:c r="Q558" s="8" t="s">
        <x:v>45</x:v>
      </x:c>
      <x:c r="R558" s="8" t="s">
        <x:v>1623</x:v>
      </x:c>
      <x:c r="S558" s="8" t="s">
        <x:v>1638</x:v>
      </x:c>
      <x:c r="T558" s="8" t="s">
        <x:v>27</x:v>
      </x:c>
      <x:c r="U558" s="8" t="s">
        <x:v>883</x:v>
      </x:c>
      <x:c r="V558" s="8" t="s">
        <x:v>1624</x:v>
      </x:c>
    </x:row>
    <x:row r="559" ht="36" hidden="0" customHeight="1">
      <x:c r="A559" s="8" t="s">
        <x:v>1639</x:v>
      </x:c>
      <x:c r="B559" s="8" t="s">
        <x:v>1614</x:v>
      </x:c>
      <x:c r="C559" s="8"/>
      <x:c r="D559" s="8" t="s">
        <x:v>230</x:v>
      </x:c>
      <x:c r="E559" s="8" t="n">
        <x:v>17700000</x:v>
      </x:c>
      <x:c r="F559" s="8" t="s">
        <x:v>1617</x:v>
      </x:c>
      <x:c r="G559" s="8" t="s">
        <x:v>109</x:v>
      </x:c>
      <x:c r="H559" s="8" t="s">
        <x:v>1618</x:v>
      </x:c>
      <x:c r="I559" s="8" t="s">
        <x:v>1619</x:v>
      </x:c>
      <x:c r="J559" s="8" t="s">
        <x:v>112</x:v>
      </x:c>
      <x:c r="K559" s="8" t="s">
        <x:v>1632</x:v>
      </x:c>
      <x:c r="L559" s="8" t="s">
        <x:v>1633</x:v>
      </x:c>
      <x:c r="M559" s="8"/>
      <x:c r="N559" s="8"/>
      <x:c r="O559" s="8" t="s">
        <x:v>1622</x:v>
      </x:c>
      <x:c r="P559" s="8" t="s">
        <x:v>115</x:v>
      </x:c>
      <x:c r="Q559" s="8" t="s">
        <x:v>45</x:v>
      </x:c>
      <x:c r="R559" s="8" t="s">
        <x:v>1623</x:v>
      </x:c>
      <x:c r="S559" s="8" t="s">
        <x:v>1640</x:v>
      </x:c>
      <x:c r="T559" s="8" t="s">
        <x:v>27</x:v>
      </x:c>
      <x:c r="U559" s="8" t="s">
        <x:v>883</x:v>
      </x:c>
      <x:c r="V559" s="8" t="s">
        <x:v>1624</x:v>
      </x:c>
    </x:row>
    <x:row r="560" ht="36" hidden="0" customHeight="1">
      <x:c r="A560" s="8" t="s">
        <x:v>1641</x:v>
      </x:c>
      <x:c r="B560" s="8" t="s">
        <x:v>1614</x:v>
      </x:c>
      <x:c r="C560" s="8"/>
      <x:c r="D560" s="8" t="s">
        <x:v>164</x:v>
      </x:c>
      <x:c r="E560" s="8" t="s">
        <x:v>1363</x:v>
      </x:c>
      <x:c r="F560" s="8" t="s">
        <x:v>1617</x:v>
      </x:c>
      <x:c r="G560" s="8" t="s">
        <x:v>109</x:v>
      </x:c>
      <x:c r="H560" s="8" t="s">
        <x:v>1618</x:v>
      </x:c>
      <x:c r="I560" s="8" t="s">
        <x:v>1619</x:v>
      </x:c>
      <x:c r="J560" s="8" t="s">
        <x:v>112</x:v>
      </x:c>
      <x:c r="K560" s="8" t="s">
        <x:v>1632</x:v>
      </x:c>
      <x:c r="L560" s="8" t="s">
        <x:v>1633</x:v>
      </x:c>
      <x:c r="M560" s="8"/>
      <x:c r="N560" s="8"/>
      <x:c r="O560" s="8" t="s">
        <x:v>1622</x:v>
      </x:c>
      <x:c r="P560" s="8" t="s">
        <x:v>115</x:v>
      </x:c>
      <x:c r="Q560" s="8" t="s">
        <x:v>45</x:v>
      </x:c>
      <x:c r="R560" s="8" t="s">
        <x:v>1623</x:v>
      </x:c>
      <x:c r="S560" s="8"/>
      <x:c r="T560" s="8" t="s">
        <x:v>27</x:v>
      </x:c>
      <x:c r="U560" s="8" t="s">
        <x:v>883</x:v>
      </x:c>
      <x:c r="V560" s="8" t="s">
        <x:v>1624</x:v>
      </x:c>
    </x:row>
    <x:row r="561" ht="36" hidden="0" customHeight="1">
      <x:c r="A561" s="8" t="s">
        <x:v>1642</x:v>
      </x:c>
      <x:c r="B561" s="8" t="s">
        <x:v>1614</x:v>
      </x:c>
      <x:c r="C561" s="8"/>
      <x:c r="D561" s="8" t="s">
        <x:v>1643</x:v>
      </x:c>
      <x:c r="E561" s="8" t="n">
        <x:v>0.9</x:v>
      </x:c>
      <x:c r="F561" s="8" t="s">
        <x:v>1617</x:v>
      </x:c>
      <x:c r="G561" s="8" t="s">
        <x:v>109</x:v>
      </x:c>
      <x:c r="H561" s="8" t="s">
        <x:v>1618</x:v>
      </x:c>
      <x:c r="I561" s="8" t="s">
        <x:v>1619</x:v>
      </x:c>
      <x:c r="J561" s="8" t="s">
        <x:v>112</x:v>
      </x:c>
      <x:c r="K561" s="8" t="s">
        <x:v>1632</x:v>
      </x:c>
      <x:c r="L561" s="8" t="s">
        <x:v>1633</x:v>
      </x:c>
      <x:c r="M561" s="8"/>
      <x:c r="N561" s="8"/>
      <x:c r="O561" s="8" t="s">
        <x:v>1622</x:v>
      </x:c>
      <x:c r="P561" s="8" t="s">
        <x:v>115</x:v>
      </x:c>
      <x:c r="Q561" s="8" t="s">
        <x:v>45</x:v>
      </x:c>
      <x:c r="R561" s="8" t="s">
        <x:v>1623</x:v>
      </x:c>
      <x:c r="S561" s="8"/>
      <x:c r="T561" s="8" t="s">
        <x:v>27</x:v>
      </x:c>
      <x:c r="U561" s="8" t="s">
        <x:v>883</x:v>
      </x:c>
      <x:c r="V561" s="8" t="s">
        <x:v>1624</x:v>
      </x:c>
    </x:row>
    <x:row r="562" ht="36" hidden="0" customHeight="1">
      <x:c r="A562" s="8" t="s">
        <x:v>1644</x:v>
      </x:c>
      <x:c r="B562" s="8" t="s">
        <x:v>1614</x:v>
      </x:c>
      <x:c r="C562" s="8"/>
      <x:c r="D562" s="8" t="s">
        <x:v>1645</x:v>
      </x:c>
      <x:c r="E562" s="8" t="n">
        <x:v>0.95</x:v>
      </x:c>
      <x:c r="F562" s="8" t="s">
        <x:v>1617</x:v>
      </x:c>
      <x:c r="G562" s="8" t="s">
        <x:v>109</x:v>
      </x:c>
      <x:c r="H562" s="8" t="s">
        <x:v>1618</x:v>
      </x:c>
      <x:c r="I562" s="8" t="s">
        <x:v>1619</x:v>
      </x:c>
      <x:c r="J562" s="8" t="s">
        <x:v>112</x:v>
      </x:c>
      <x:c r="K562" s="8" t="s">
        <x:v>1632</x:v>
      </x:c>
      <x:c r="L562" s="8" t="s">
        <x:v>1633</x:v>
      </x:c>
      <x:c r="M562" s="8"/>
      <x:c r="N562" s="8"/>
      <x:c r="O562" s="8" t="s">
        <x:v>1622</x:v>
      </x:c>
      <x:c r="P562" s="8" t="s">
        <x:v>115</x:v>
      </x:c>
      <x:c r="Q562" s="8" t="s">
        <x:v>45</x:v>
      </x:c>
      <x:c r="R562" s="8" t="s">
        <x:v>1623</x:v>
      </x:c>
      <x:c r="S562" s="8"/>
      <x:c r="T562" s="8" t="s">
        <x:v>27</x:v>
      </x:c>
      <x:c r="U562" s="8" t="s">
        <x:v>883</x:v>
      </x:c>
      <x:c r="V562" s="8" t="s">
        <x:v>1624</x:v>
      </x:c>
    </x:row>
    <x:row r="563" ht="36" hidden="0" customHeight="1">
      <x:c r="A563" s="8" t="s">
        <x:v>1646</x:v>
      </x:c>
      <x:c r="B563" s="8" t="s">
        <x:v>1614</x:v>
      </x:c>
      <x:c r="C563" s="8"/>
      <x:c r="D563" s="8" t="s">
        <x:v>402</x:v>
      </x:c>
      <x:c r="E563" s="8" t="n">
        <x:v>0.1</x:v>
      </x:c>
      <x:c r="F563" s="8" t="s">
        <x:v>1617</x:v>
      </x:c>
      <x:c r="G563" s="8" t="s">
        <x:v>109</x:v>
      </x:c>
      <x:c r="H563" s="8" t="s">
        <x:v>1618</x:v>
      </x:c>
      <x:c r="I563" s="8" t="s">
        <x:v>1619</x:v>
      </x:c>
      <x:c r="J563" s="8" t="s">
        <x:v>112</x:v>
      </x:c>
      <x:c r="K563" s="8" t="s">
        <x:v>1632</x:v>
      </x:c>
      <x:c r="L563" s="8" t="s">
        <x:v>1633</x:v>
      </x:c>
      <x:c r="M563" s="8"/>
      <x:c r="N563" s="8"/>
      <x:c r="O563" s="8" t="s">
        <x:v>1622</x:v>
      </x:c>
      <x:c r="P563" s="8" t="s">
        <x:v>115</x:v>
      </x:c>
      <x:c r="Q563" s="8" t="s">
        <x:v>45</x:v>
      </x:c>
      <x:c r="R563" s="8" t="s">
        <x:v>1623</x:v>
      </x:c>
      <x:c r="S563" s="8"/>
      <x:c r="T563" s="8" t="s">
        <x:v>27</x:v>
      </x:c>
      <x:c r="U563" s="8" t="s">
        <x:v>883</x:v>
      </x:c>
      <x:c r="V563" s="8" t="s">
        <x:v>1624</x:v>
      </x:c>
    </x:row>
    <x:row r="564" ht="36" hidden="0" customHeight="1">
      <x:c r="A564" s="8" t="s">
        <x:v>1647</x:v>
      </x:c>
      <x:c r="B564" s="8" t="s">
        <x:v>1614</x:v>
      </x:c>
      <x:c r="C564" s="8"/>
      <x:c r="D564" s="8" t="s">
        <x:v>1648</x:v>
      </x:c>
      <x:c r="E564" s="8" t="n">
        <x:v>1E-005</x:v>
      </x:c>
      <x:c r="F564" s="8" t="s">
        <x:v>1617</x:v>
      </x:c>
      <x:c r="G564" s="8" t="s">
        <x:v>109</x:v>
      </x:c>
      <x:c r="H564" s="8" t="s">
        <x:v>1618</x:v>
      </x:c>
      <x:c r="I564" s="8" t="s">
        <x:v>1619</x:v>
      </x:c>
      <x:c r="J564" s="8" t="s">
        <x:v>112</x:v>
      </x:c>
      <x:c r="K564" s="8" t="s">
        <x:v>1632</x:v>
      </x:c>
      <x:c r="L564" s="8" t="s">
        <x:v>1633</x:v>
      </x:c>
      <x:c r="M564" s="8"/>
      <x:c r="N564" s="8"/>
      <x:c r="O564" s="8" t="s">
        <x:v>1622</x:v>
      </x:c>
      <x:c r="P564" s="8" t="s">
        <x:v>115</x:v>
      </x:c>
      <x:c r="Q564" s="8" t="s">
        <x:v>45</x:v>
      </x:c>
      <x:c r="R564" s="8" t="s">
        <x:v>1623</x:v>
      </x:c>
      <x:c r="S564" s="8"/>
      <x:c r="T564" s="8" t="s">
        <x:v>27</x:v>
      </x:c>
      <x:c r="U564" s="8" t="s">
        <x:v>883</x:v>
      </x:c>
      <x:c r="V564" s="8" t="s">
        <x:v>1624</x:v>
      </x:c>
    </x:row>
    <x:row r="565" ht="36" hidden="0" customHeight="1">
      <x:c r="A565" s="8" t="s">
        <x:v>1649</x:v>
      </x:c>
      <x:c r="B565" s="8" t="s">
        <x:v>1614</x:v>
      </x:c>
      <x:c r="C565" s="8"/>
      <x:c r="D565" s="8" t="s">
        <x:v>1650</x:v>
      </x:c>
      <x:c r="E565" s="8" t="n">
        <x:v>0.001</x:v>
      </x:c>
      <x:c r="F565" s="8" t="s">
        <x:v>1617</x:v>
      </x:c>
      <x:c r="G565" s="8" t="s">
        <x:v>109</x:v>
      </x:c>
      <x:c r="H565" s="8" t="s">
        <x:v>1618</x:v>
      </x:c>
      <x:c r="I565" s="8" t="s">
        <x:v>1619</x:v>
      </x:c>
      <x:c r="J565" s="8" t="s">
        <x:v>112</x:v>
      </x:c>
      <x:c r="K565" s="8" t="s">
        <x:v>1632</x:v>
      </x:c>
      <x:c r="L565" s="8" t="s">
        <x:v>1633</x:v>
      </x:c>
      <x:c r="M565" s="8"/>
      <x:c r="N565" s="8"/>
      <x:c r="O565" s="8" t="s">
        <x:v>1622</x:v>
      </x:c>
      <x:c r="P565" s="8" t="s">
        <x:v>115</x:v>
      </x:c>
      <x:c r="Q565" s="8" t="s">
        <x:v>45</x:v>
      </x:c>
      <x:c r="R565" s="8" t="s">
        <x:v>1623</x:v>
      </x:c>
      <x:c r="S565" s="8"/>
      <x:c r="T565" s="8" t="s">
        <x:v>27</x:v>
      </x:c>
      <x:c r="U565" s="8" t="s">
        <x:v>883</x:v>
      </x:c>
      <x:c r="V565" s="8" t="s">
        <x:v>1624</x:v>
      </x:c>
    </x:row>
    <x:row r="566" ht="36" hidden="0" customHeight="1">
      <x:c r="A566" s="8" t="s">
        <x:v>1651</x:v>
      </x:c>
      <x:c r="B566" s="8" t="s">
        <x:v>1614</x:v>
      </x:c>
      <x:c r="C566" s="8"/>
      <x:c r="D566" s="8" t="s">
        <x:v>1652</x:v>
      </x:c>
      <x:c r="E566" s="8" t="s">
        <x:v>1653</x:v>
      </x:c>
      <x:c r="F566" s="8" t="s">
        <x:v>1617</x:v>
      </x:c>
      <x:c r="G566" s="8" t="s">
        <x:v>109</x:v>
      </x:c>
      <x:c r="H566" s="8" t="s">
        <x:v>1618</x:v>
      </x:c>
      <x:c r="I566" s="8" t="s">
        <x:v>1619</x:v>
      </x:c>
      <x:c r="J566" s="8" t="s">
        <x:v>112</x:v>
      </x:c>
      <x:c r="K566" s="8" t="s">
        <x:v>1632</x:v>
      </x:c>
      <x:c r="L566" s="8" t="s">
        <x:v>1633</x:v>
      </x:c>
      <x:c r="M566" s="8"/>
      <x:c r="N566" s="8"/>
      <x:c r="O566" s="8" t="s">
        <x:v>1622</x:v>
      </x:c>
      <x:c r="P566" s="8" t="s">
        <x:v>115</x:v>
      </x:c>
      <x:c r="Q566" s="8" t="s">
        <x:v>45</x:v>
      </x:c>
      <x:c r="R566" s="8" t="s">
        <x:v>1623</x:v>
      </x:c>
      <x:c r="S566" s="8"/>
      <x:c r="T566" s="8" t="s">
        <x:v>27</x:v>
      </x:c>
      <x:c r="U566" s="8" t="s">
        <x:v>883</x:v>
      </x:c>
      <x:c r="V566" s="8" t="s">
        <x:v>1624</x:v>
      </x:c>
    </x:row>
    <x:row r="567" ht="36" hidden="0" customHeight="1">
      <x:c r="A567" s="8" t="s">
        <x:v>1654</x:v>
      </x:c>
      <x:c r="B567" s="8" t="s">
        <x:v>1614</x:v>
      </x:c>
      <x:c r="C567" s="8"/>
      <x:c r="D567" s="8" t="s">
        <x:v>1655</x:v>
      </x:c>
      <x:c r="E567" s="8" t="n">
        <x:v>1</x:v>
      </x:c>
      <x:c r="F567" s="8" t="s">
        <x:v>1617</x:v>
      </x:c>
      <x:c r="G567" s="8" t="s">
        <x:v>109</x:v>
      </x:c>
      <x:c r="H567" s="8" t="s">
        <x:v>1618</x:v>
      </x:c>
      <x:c r="I567" s="8" t="s">
        <x:v>1619</x:v>
      </x:c>
      <x:c r="J567" s="8" t="s">
        <x:v>112</x:v>
      </x:c>
      <x:c r="K567" s="8" t="s">
        <x:v>1632</x:v>
      </x:c>
      <x:c r="L567" s="8" t="s">
        <x:v>1633</x:v>
      </x:c>
      <x:c r="M567" s="8"/>
      <x:c r="N567" s="8"/>
      <x:c r="O567" s="8" t="s">
        <x:v>1622</x:v>
      </x:c>
      <x:c r="P567" s="8" t="s">
        <x:v>115</x:v>
      </x:c>
      <x:c r="Q567" s="8" t="s">
        <x:v>45</x:v>
      </x:c>
      <x:c r="R567" s="8" t="s">
        <x:v>1623</x:v>
      </x:c>
      <x:c r="S567" s="8" t="s">
        <x:v>1656</x:v>
      </x:c>
      <x:c r="T567" s="8" t="s">
        <x:v>27</x:v>
      </x:c>
      <x:c r="U567" s="8" t="s">
        <x:v>883</x:v>
      </x:c>
      <x:c r="V567" s="8" t="s">
        <x:v>1624</x:v>
      </x:c>
    </x:row>
    <x:row r="568" ht="36" hidden="0" customHeight="1">
      <x:c r="A568" s="8" t="s">
        <x:v>1657</x:v>
      </x:c>
      <x:c r="B568" s="8" t="s">
        <x:v>1614</x:v>
      </x:c>
      <x:c r="C568" s="8"/>
      <x:c r="D568" s="8" t="s">
        <x:v>1658</x:v>
      </x:c>
      <x:c r="E568" s="8" t="n">
        <x:v>200</x:v>
      </x:c>
      <x:c r="F568" s="8" t="s">
        <x:v>1617</x:v>
      </x:c>
      <x:c r="G568" s="8" t="s">
        <x:v>109</x:v>
      </x:c>
      <x:c r="H568" s="8" t="s">
        <x:v>1618</x:v>
      </x:c>
      <x:c r="I568" s="8" t="s">
        <x:v>1619</x:v>
      </x:c>
      <x:c r="J568" s="8" t="s">
        <x:v>112</x:v>
      </x:c>
      <x:c r="K568" s="8" t="s">
        <x:v>1632</x:v>
      </x:c>
      <x:c r="L568" s="8" t="s">
        <x:v>1633</x:v>
      </x:c>
      <x:c r="M568" s="8"/>
      <x:c r="N568" s="8"/>
      <x:c r="O568" s="8" t="s">
        <x:v>1622</x:v>
      </x:c>
      <x:c r="P568" s="8" t="s">
        <x:v>115</x:v>
      </x:c>
      <x:c r="Q568" s="8" t="s">
        <x:v>45</x:v>
      </x:c>
      <x:c r="R568" s="8" t="s">
        <x:v>1623</x:v>
      </x:c>
      <x:c r="S568" s="8" t="s">
        <x:v>990</x:v>
      </x:c>
      <x:c r="T568" s="8" t="s">
        <x:v>27</x:v>
      </x:c>
      <x:c r="U568" s="8" t="s">
        <x:v>883</x:v>
      </x:c>
      <x:c r="V568" s="8" t="s">
        <x:v>1624</x:v>
      </x:c>
    </x:row>
    <x:row r="569" ht="36" hidden="0" customHeight="1">
      <x:c r="A569" s="8" t="s">
        <x:v>1659</x:v>
      </x:c>
      <x:c r="B569" s="8" t="s">
        <x:v>1614</x:v>
      </x:c>
      <x:c r="C569" s="8"/>
      <x:c r="D569" s="8" t="s">
        <x:v>1660</x:v>
      </x:c>
      <x:c r="E569" s="8" t="n">
        <x:v>30</x:v>
      </x:c>
      <x:c r="F569" s="8" t="s">
        <x:v>1617</x:v>
      </x:c>
      <x:c r="G569" s="8" t="s">
        <x:v>109</x:v>
      </x:c>
      <x:c r="H569" s="8" t="s">
        <x:v>1618</x:v>
      </x:c>
      <x:c r="I569" s="8" t="s">
        <x:v>1619</x:v>
      </x:c>
      <x:c r="J569" s="8" t="s">
        <x:v>112</x:v>
      </x:c>
      <x:c r="K569" s="8" t="s">
        <x:v>1632</x:v>
      </x:c>
      <x:c r="L569" s="8" t="s">
        <x:v>1633</x:v>
      </x:c>
      <x:c r="M569" s="8"/>
      <x:c r="N569" s="8"/>
      <x:c r="O569" s="8" t="s">
        <x:v>1622</x:v>
      </x:c>
      <x:c r="P569" s="8" t="s">
        <x:v>115</x:v>
      </x:c>
      <x:c r="Q569" s="8" t="s">
        <x:v>45</x:v>
      </x:c>
      <x:c r="R569" s="8" t="s">
        <x:v>1623</x:v>
      </x:c>
      <x:c r="S569" s="8" t="s">
        <x:v>990</x:v>
      </x:c>
      <x:c r="T569" s="8" t="s">
        <x:v>27</x:v>
      </x:c>
      <x:c r="U569" s="8" t="s">
        <x:v>883</x:v>
      </x:c>
      <x:c r="V569" s="8" t="s">
        <x:v>1624</x:v>
      </x:c>
    </x:row>
    <x:row r="570" ht="36" hidden="0" customHeight="1">
      <x:c r="A570" s="8" t="s">
        <x:v>1661</x:v>
      </x:c>
      <x:c r="B570" s="8" t="s">
        <x:v>1614</x:v>
      </x:c>
      <x:c r="C570" s="8"/>
      <x:c r="D570" s="8" t="s">
        <x:v>1662</x:v>
      </x:c>
      <x:c r="E570" s="8" t="n">
        <x:v>1E-007</x:v>
      </x:c>
      <x:c r="F570" s="8" t="s">
        <x:v>1617</x:v>
      </x:c>
      <x:c r="G570" s="8" t="s">
        <x:v>109</x:v>
      </x:c>
      <x:c r="H570" s="8" t="s">
        <x:v>1618</x:v>
      </x:c>
      <x:c r="I570" s="8" t="s">
        <x:v>1619</x:v>
      </x:c>
      <x:c r="J570" s="8" t="s">
        <x:v>112</x:v>
      </x:c>
      <x:c r="K570" s="8" t="s">
        <x:v>1632</x:v>
      </x:c>
      <x:c r="L570" s="8" t="s">
        <x:v>1633</x:v>
      </x:c>
      <x:c r="M570" s="8"/>
      <x:c r="N570" s="8"/>
      <x:c r="O570" s="8" t="s">
        <x:v>1622</x:v>
      </x:c>
      <x:c r="P570" s="8" t="s">
        <x:v>115</x:v>
      </x:c>
      <x:c r="Q570" s="8" t="s">
        <x:v>45</x:v>
      </x:c>
      <x:c r="R570" s="8" t="s">
        <x:v>1623</x:v>
      </x:c>
      <x:c r="S570" s="8"/>
      <x:c r="T570" s="8" t="s">
        <x:v>27</x:v>
      </x:c>
      <x:c r="U570" s="8" t="s">
        <x:v>883</x:v>
      </x:c>
      <x:c r="V570" s="8" t="s">
        <x:v>1624</x:v>
      </x:c>
    </x:row>
    <x:row r="571" ht="36" hidden="0" customHeight="1">
      <x:c r="A571" s="8" t="s">
        <x:v>1663</x:v>
      </x:c>
      <x:c r="B571" s="8" t="s">
        <x:v>1614</x:v>
      </x:c>
      <x:c r="C571" s="8"/>
      <x:c r="D571" s="8" t="s">
        <x:v>1664</x:v>
      </x:c>
      <x:c r="E571" s="8" t="n">
        <x:v>1E-005</x:v>
      </x:c>
      <x:c r="F571" s="8" t="s">
        <x:v>1617</x:v>
      </x:c>
      <x:c r="G571" s="8" t="s">
        <x:v>109</x:v>
      </x:c>
      <x:c r="H571" s="8" t="s">
        <x:v>1618</x:v>
      </x:c>
      <x:c r="I571" s="8" t="s">
        <x:v>1619</x:v>
      </x:c>
      <x:c r="J571" s="8" t="s">
        <x:v>112</x:v>
      </x:c>
      <x:c r="K571" s="8" t="s">
        <x:v>1632</x:v>
      </x:c>
      <x:c r="L571" s="8" t="s">
        <x:v>1633</x:v>
      </x:c>
      <x:c r="M571" s="8"/>
      <x:c r="N571" s="8"/>
      <x:c r="O571" s="8" t="s">
        <x:v>1622</x:v>
      </x:c>
      <x:c r="P571" s="8" t="s">
        <x:v>115</x:v>
      </x:c>
      <x:c r="Q571" s="8" t="s">
        <x:v>45</x:v>
      </x:c>
      <x:c r="R571" s="8" t="s">
        <x:v>1623</x:v>
      </x:c>
      <x:c r="S571" s="8"/>
      <x:c r="T571" s="8" t="s">
        <x:v>27</x:v>
      </x:c>
      <x:c r="U571" s="8" t="s">
        <x:v>883</x:v>
      </x:c>
      <x:c r="V571" s="8" t="s">
        <x:v>1624</x:v>
      </x:c>
    </x:row>
    <x:row r="572" ht="36" hidden="0" customHeight="1">
      <x:c r="A572" s="8" t="s">
        <x:v>1665</x:v>
      </x:c>
      <x:c r="B572" s="8" t="s">
        <x:v>1614</x:v>
      </x:c>
      <x:c r="C572" s="8"/>
      <x:c r="D572" s="8" t="s">
        <x:v>1666</x:v>
      </x:c>
      <x:c r="E572" s="8" t="s">
        <x:v>1667</x:v>
      </x:c>
      <x:c r="F572" s="8" t="s">
        <x:v>1617</x:v>
      </x:c>
      <x:c r="G572" s="8" t="s">
        <x:v>109</x:v>
      </x:c>
      <x:c r="H572" s="8" t="s">
        <x:v>1618</x:v>
      </x:c>
      <x:c r="I572" s="8" t="s">
        <x:v>1619</x:v>
      </x:c>
      <x:c r="J572" s="8" t="s">
        <x:v>112</x:v>
      </x:c>
      <x:c r="K572" s="8" t="s">
        <x:v>1632</x:v>
      </x:c>
      <x:c r="L572" s="8" t="s">
        <x:v>1633</x:v>
      </x:c>
      <x:c r="M572" s="8"/>
      <x:c r="N572" s="8"/>
      <x:c r="O572" s="8" t="s">
        <x:v>1622</x:v>
      </x:c>
      <x:c r="P572" s="8" t="s">
        <x:v>115</x:v>
      </x:c>
      <x:c r="Q572" s="8" t="s">
        <x:v>45</x:v>
      </x:c>
      <x:c r="R572" s="8" t="s">
        <x:v>1623</x:v>
      </x:c>
      <x:c r="S572" s="8"/>
      <x:c r="T572" s="8" t="s">
        <x:v>27</x:v>
      </x:c>
      <x:c r="U572" s="8" t="s">
        <x:v>883</x:v>
      </x:c>
      <x:c r="V572" s="8" t="s">
        <x:v>1624</x:v>
      </x:c>
    </x:row>
    <x:row r="573" ht="36" hidden="0" customHeight="1">
      <x:c r="A573" s="8" t="s">
        <x:v>1668</x:v>
      </x:c>
      <x:c r="B573" s="8" t="s">
        <x:v>1614</x:v>
      </x:c>
      <x:c r="C573" s="8"/>
      <x:c r="D573" s="8" t="s">
        <x:v>1669</x:v>
      </x:c>
      <x:c r="E573" s="8" t="n">
        <x:v>20.5</x:v>
      </x:c>
      <x:c r="F573" s="8" t="s">
        <x:v>1617</x:v>
      </x:c>
      <x:c r="G573" s="8" t="s">
        <x:v>109</x:v>
      </x:c>
      <x:c r="H573" s="8" t="s">
        <x:v>1618</x:v>
      </x:c>
      <x:c r="I573" s="8" t="s">
        <x:v>1619</x:v>
      </x:c>
      <x:c r="J573" s="8" t="s">
        <x:v>112</x:v>
      </x:c>
      <x:c r="K573" s="8" t="s">
        <x:v>1632</x:v>
      </x:c>
      <x:c r="L573" s="8" t="s">
        <x:v>1633</x:v>
      </x:c>
      <x:c r="M573" s="8"/>
      <x:c r="N573" s="8"/>
      <x:c r="O573" s="8" t="s">
        <x:v>1622</x:v>
      </x:c>
      <x:c r="P573" s="8" t="s">
        <x:v>115</x:v>
      </x:c>
      <x:c r="Q573" s="8" t="s">
        <x:v>45</x:v>
      </x:c>
      <x:c r="R573" s="8" t="s">
        <x:v>1623</x:v>
      </x:c>
      <x:c r="S573" s="8" t="s">
        <x:v>1670</x:v>
      </x:c>
      <x:c r="T573" s="8" t="s">
        <x:v>27</x:v>
      </x:c>
      <x:c r="U573" s="8" t="s">
        <x:v>883</x:v>
      </x:c>
      <x:c r="V573" s="8" t="s">
        <x:v>1624</x:v>
      </x:c>
    </x:row>
    <x:row r="574" ht="36" hidden="0" customHeight="1">
      <x:c r="A574" s="8" t="s">
        <x:v>1671</x:v>
      </x:c>
      <x:c r="B574" s="8" t="s">
        <x:v>1614</x:v>
      </x:c>
      <x:c r="C574" s="8"/>
      <x:c r="D574" s="8" t="s">
        <x:v>1672</x:v>
      </x:c>
      <x:c r="E574" s="8" t="n">
        <x:v>3.5</x:v>
      </x:c>
      <x:c r="F574" s="8" t="s">
        <x:v>1617</x:v>
      </x:c>
      <x:c r="G574" s="8" t="s">
        <x:v>109</x:v>
      </x:c>
      <x:c r="H574" s="8" t="s">
        <x:v>1618</x:v>
      </x:c>
      <x:c r="I574" s="8" t="s">
        <x:v>1619</x:v>
      </x:c>
      <x:c r="J574" s="8" t="s">
        <x:v>112</x:v>
      </x:c>
      <x:c r="K574" s="8" t="s">
        <x:v>1632</x:v>
      </x:c>
      <x:c r="L574" s="8" t="s">
        <x:v>1633</x:v>
      </x:c>
      <x:c r="M574" s="8"/>
      <x:c r="N574" s="8"/>
      <x:c r="O574" s="8" t="s">
        <x:v>1622</x:v>
      </x:c>
      <x:c r="P574" s="8" t="s">
        <x:v>115</x:v>
      </x:c>
      <x:c r="Q574" s="8" t="s">
        <x:v>45</x:v>
      </x:c>
      <x:c r="R574" s="8" t="s">
        <x:v>1623</x:v>
      </x:c>
      <x:c r="S574" s="8" t="s">
        <x:v>1670</x:v>
      </x:c>
      <x:c r="T574" s="8" t="s">
        <x:v>27</x:v>
      </x:c>
      <x:c r="U574" s="8" t="s">
        <x:v>883</x:v>
      </x:c>
      <x:c r="V574" s="8" t="s">
        <x:v>1624</x:v>
      </x:c>
    </x:row>
    <x:row r="575" ht="36" hidden="0" customHeight="1">
      <x:c r="A575" s="8" t="s">
        <x:v>1673</x:v>
      </x:c>
      <x:c r="B575" s="8" t="s">
        <x:v>1614</x:v>
      </x:c>
      <x:c r="C575" s="8"/>
      <x:c r="D575" s="8" t="s">
        <x:v>1674</x:v>
      </x:c>
      <x:c r="E575" s="8" t="s">
        <x:v>1675</x:v>
      </x:c>
      <x:c r="F575" s="8" t="s">
        <x:v>1617</x:v>
      </x:c>
      <x:c r="G575" s="8" t="s">
        <x:v>109</x:v>
      </x:c>
      <x:c r="H575" s="8" t="s">
        <x:v>1618</x:v>
      </x:c>
      <x:c r="I575" s="8" t="s">
        <x:v>1619</x:v>
      </x:c>
      <x:c r="J575" s="8" t="s">
        <x:v>112</x:v>
      </x:c>
      <x:c r="K575" s="8" t="s">
        <x:v>1632</x:v>
      </x:c>
      <x:c r="L575" s="8" t="s">
        <x:v>1633</x:v>
      </x:c>
      <x:c r="M575" s="8"/>
      <x:c r="N575" s="8"/>
      <x:c r="O575" s="8" t="s">
        <x:v>1622</x:v>
      </x:c>
      <x:c r="P575" s="8" t="s">
        <x:v>115</x:v>
      </x:c>
      <x:c r="Q575" s="8" t="s">
        <x:v>45</x:v>
      </x:c>
      <x:c r="R575" s="8" t="s">
        <x:v>1623</x:v>
      </x:c>
      <x:c r="S575" s="8"/>
      <x:c r="T575" s="8" t="s">
        <x:v>27</x:v>
      </x:c>
      <x:c r="U575" s="8" t="s">
        <x:v>883</x:v>
      </x:c>
      <x:c r="V575" s="8" t="s">
        <x:v>1624</x:v>
      </x:c>
    </x:row>
    <x:row r="576" ht="36" hidden="0" customHeight="1">
      <x:c r="A576" s="8" t="s">
        <x:v>1676</x:v>
      </x:c>
      <x:c r="B576" s="8" t="s">
        <x:v>1614</x:v>
      </x:c>
      <x:c r="C576" s="8"/>
      <x:c r="D576" s="8" t="s">
        <x:v>1677</x:v>
      </x:c>
      <x:c r="E576" s="8" t="n">
        <x:v>13508</x:v>
      </x:c>
      <x:c r="F576" s="8" t="s">
        <x:v>1617</x:v>
      </x:c>
      <x:c r="G576" s="8" t="s">
        <x:v>109</x:v>
      </x:c>
      <x:c r="H576" s="8" t="s">
        <x:v>1618</x:v>
      </x:c>
      <x:c r="I576" s="8" t="s">
        <x:v>1619</x:v>
      </x:c>
      <x:c r="J576" s="8" t="s">
        <x:v>112</x:v>
      </x:c>
      <x:c r="K576" s="8" t="s">
        <x:v>1678</x:v>
      </x:c>
      <x:c r="L576" s="8" t="s">
        <x:v>1679</x:v>
      </x:c>
      <x:c r="M576" s="8"/>
      <x:c r="N576" s="8"/>
      <x:c r="O576" s="8" t="s">
        <x:v>1622</x:v>
      </x:c>
      <x:c r="P576" s="8" t="s">
        <x:v>115</x:v>
      </x:c>
      <x:c r="Q576" s="8" t="s">
        <x:v>45</x:v>
      </x:c>
      <x:c r="R576" s="8" t="s">
        <x:v>1623</x:v>
      </x:c>
      <x:c r="S576" s="8" t="s">
        <x:v>1680</x:v>
      </x:c>
      <x:c r="T576" s="8" t="s">
        <x:v>27</x:v>
      </x:c>
      <x:c r="U576" s="8" t="s">
        <x:v>883</x:v>
      </x:c>
      <x:c r="V576" s="8" t="s">
        <x:v>1624</x:v>
      </x:c>
    </x:row>
    <x:row r="577" ht="36" hidden="0" customHeight="1">
      <x:c r="A577" s="8" t="s">
        <x:v>1681</x:v>
      </x:c>
      <x:c r="B577" s="8" t="s">
        <x:v>1614</x:v>
      </x:c>
      <x:c r="C577" s="8"/>
      <x:c r="D577" s="8" t="s">
        <x:v>1682</x:v>
      </x:c>
      <x:c r="E577" s="8" t="s">
        <x:v>1683</x:v>
      </x:c>
      <x:c r="F577" s="8" t="s">
        <x:v>1617</x:v>
      </x:c>
      <x:c r="G577" s="8" t="s">
        <x:v>109</x:v>
      </x:c>
      <x:c r="H577" s="8" t="s">
        <x:v>1618</x:v>
      </x:c>
      <x:c r="I577" s="8" t="s">
        <x:v>1619</x:v>
      </x:c>
      <x:c r="J577" s="8" t="s">
        <x:v>112</x:v>
      </x:c>
      <x:c r="K577" s="8" t="s">
        <x:v>1678</x:v>
      </x:c>
      <x:c r="L577" s="8" t="s">
        <x:v>1679</x:v>
      </x:c>
      <x:c r="M577" s="8"/>
      <x:c r="N577" s="8"/>
      <x:c r="O577" s="8" t="s">
        <x:v>1622</x:v>
      </x:c>
      <x:c r="P577" s="8" t="s">
        <x:v>115</x:v>
      </x:c>
      <x:c r="Q577" s="8" t="s">
        <x:v>45</x:v>
      </x:c>
      <x:c r="R577" s="8" t="s">
        <x:v>1623</x:v>
      </x:c>
      <x:c r="S577" s="8" t="s">
        <x:v>1684</x:v>
      </x:c>
      <x:c r="T577" s="8" t="s">
        <x:v>27</x:v>
      </x:c>
      <x:c r="U577" s="8" t="s">
        <x:v>883</x:v>
      </x:c>
      <x:c r="V577" s="8" t="s">
        <x:v>1624</x:v>
      </x:c>
    </x:row>
    <x:row r="578" ht="36" hidden="0" customHeight="1">
      <x:c r="A578" s="8" t="s">
        <x:v>1685</x:v>
      </x:c>
      <x:c r="B578" s="8" t="s">
        <x:v>1614</x:v>
      </x:c>
      <x:c r="C578" s="8"/>
      <x:c r="D578" s="8" t="s">
        <x:v>1686</x:v>
      </x:c>
      <x:c r="E578" s="8" t="n">
        <x:v>18</x:v>
      </x:c>
      <x:c r="F578" s="8" t="s">
        <x:v>1617</x:v>
      </x:c>
      <x:c r="G578" s="8" t="s">
        <x:v>109</x:v>
      </x:c>
      <x:c r="H578" s="8" t="s">
        <x:v>1618</x:v>
      </x:c>
      <x:c r="I578" s="8" t="s">
        <x:v>1619</x:v>
      </x:c>
      <x:c r="J578" s="8" t="s">
        <x:v>112</x:v>
      </x:c>
      <x:c r="K578" s="8" t="s">
        <x:v>1678</x:v>
      </x:c>
      <x:c r="L578" s="8" t="s">
        <x:v>1679</x:v>
      </x:c>
      <x:c r="M578" s="8"/>
      <x:c r="N578" s="8"/>
      <x:c r="O578" s="8" t="s">
        <x:v>1622</x:v>
      </x:c>
      <x:c r="P578" s="8" t="s">
        <x:v>115</x:v>
      </x:c>
      <x:c r="Q578" s="8" t="s">
        <x:v>45</x:v>
      </x:c>
      <x:c r="R578" s="8" t="s">
        <x:v>1623</x:v>
      </x:c>
      <x:c r="S578" s="8" t="s">
        <x:v>1687</x:v>
      </x:c>
      <x:c r="T578" s="8" t="s">
        <x:v>27</x:v>
      </x:c>
      <x:c r="U578" s="8" t="s">
        <x:v>883</x:v>
      </x:c>
      <x:c r="V578" s="8" t="s">
        <x:v>1624</x:v>
      </x:c>
    </x:row>
    <x:row r="579" ht="36" hidden="0" customHeight="1">
      <x:c r="A579" s="8" t="s">
        <x:v>1688</x:v>
      </x:c>
      <x:c r="B579" s="8" t="s">
        <x:v>1614</x:v>
      </x:c>
      <x:c r="C579" s="8"/>
      <x:c r="D579" s="8" t="s">
        <x:v>1689</x:v>
      </x:c>
      <x:c r="E579" s="8" t="s">
        <x:v>1690</x:v>
      </x:c>
      <x:c r="F579" s="8" t="s">
        <x:v>1617</x:v>
      </x:c>
      <x:c r="G579" s="8" t="s">
        <x:v>109</x:v>
      </x:c>
      <x:c r="H579" s="8" t="s">
        <x:v>1618</x:v>
      </x:c>
      <x:c r="I579" s="8" t="s">
        <x:v>1619</x:v>
      </x:c>
      <x:c r="J579" s="8" t="s">
        <x:v>112</x:v>
      </x:c>
      <x:c r="K579" s="8" t="s">
        <x:v>1678</x:v>
      </x:c>
      <x:c r="L579" s="8" t="s">
        <x:v>1679</x:v>
      </x:c>
      <x:c r="M579" s="8"/>
      <x:c r="N579" s="8"/>
      <x:c r="O579" s="8" t="s">
        <x:v>1622</x:v>
      </x:c>
      <x:c r="P579" s="8" t="s">
        <x:v>115</x:v>
      </x:c>
      <x:c r="Q579" s="8" t="s">
        <x:v>45</x:v>
      </x:c>
      <x:c r="R579" s="8" t="s">
        <x:v>1623</x:v>
      </x:c>
      <x:c r="S579" s="8"/>
      <x:c r="T579" s="8" t="s">
        <x:v>27</x:v>
      </x:c>
      <x:c r="U579" s="8" t="s">
        <x:v>883</x:v>
      </x:c>
      <x:c r="V579" s="8" t="s">
        <x:v>1624</x:v>
      </x:c>
    </x:row>
    <x:row r="580" ht="36" hidden="0" customHeight="1">
      <x:c r="A580" s="8" t="s">
        <x:v>1691</x:v>
      </x:c>
      <x:c r="B580" s="8" t="s">
        <x:v>1614</x:v>
      </x:c>
      <x:c r="C580" s="8"/>
      <x:c r="D580" s="8" t="s">
        <x:v>1692</x:v>
      </x:c>
      <x:c r="E580" s="8" t="n">
        <x:v>182</x:v>
      </x:c>
      <x:c r="F580" s="8" t="s">
        <x:v>1617</x:v>
      </x:c>
      <x:c r="G580" s="8" t="s">
        <x:v>109</x:v>
      </x:c>
      <x:c r="H580" s="8" t="s">
        <x:v>1618</x:v>
      </x:c>
      <x:c r="I580" s="8" t="s">
        <x:v>1619</x:v>
      </x:c>
      <x:c r="J580" s="8" t="s">
        <x:v>112</x:v>
      </x:c>
      <x:c r="K580" s="8" t="s">
        <x:v>1678</x:v>
      </x:c>
      <x:c r="L580" s="8" t="s">
        <x:v>1679</x:v>
      </x:c>
      <x:c r="M580" s="8"/>
      <x:c r="N580" s="8"/>
      <x:c r="O580" s="8" t="s">
        <x:v>1622</x:v>
      </x:c>
      <x:c r="P580" s="8" t="s">
        <x:v>115</x:v>
      </x:c>
      <x:c r="Q580" s="8" t="s">
        <x:v>45</x:v>
      </x:c>
      <x:c r="R580" s="8" t="s">
        <x:v>1623</x:v>
      </x:c>
      <x:c r="S580" s="8" t="s">
        <x:v>1693</x:v>
      </x:c>
      <x:c r="T580" s="8" t="s">
        <x:v>27</x:v>
      </x:c>
      <x:c r="U580" s="8" t="s">
        <x:v>883</x:v>
      </x:c>
      <x:c r="V580" s="8" t="s">
        <x:v>1624</x:v>
      </x:c>
    </x:row>
    <x:row r="581" ht="36" hidden="0" customHeight="1">
      <x:c r="A581" s="8" t="s">
        <x:v>1694</x:v>
      </x:c>
      <x:c r="B581" s="8" t="s">
        <x:v>1614</x:v>
      </x:c>
      <x:c r="C581" s="8"/>
      <x:c r="D581" s="8" t="s">
        <x:v>1066</x:v>
      </x:c>
      <x:c r="E581" s="8" t="s">
        <x:v>1695</x:v>
      </x:c>
      <x:c r="F581" s="8" t="s">
        <x:v>1617</x:v>
      </x:c>
      <x:c r="G581" s="8" t="s">
        <x:v>109</x:v>
      </x:c>
      <x:c r="H581" s="8" t="s">
        <x:v>1618</x:v>
      </x:c>
      <x:c r="I581" s="8" t="s">
        <x:v>1619</x:v>
      </x:c>
      <x:c r="J581" s="8" t="s">
        <x:v>112</x:v>
      </x:c>
      <x:c r="K581" s="8" t="s">
        <x:v>1696</x:v>
      </x:c>
      <x:c r="L581" s="8" t="s">
        <x:v>1697</x:v>
      </x:c>
      <x:c r="M581" s="8"/>
      <x:c r="N581" s="8"/>
      <x:c r="O581" s="8" t="s">
        <x:v>1622</x:v>
      </x:c>
      <x:c r="P581" s="8" t="s">
        <x:v>115</x:v>
      </x:c>
      <x:c r="Q581" s="8" t="s">
        <x:v>45</x:v>
      </x:c>
      <x:c r="R581" s="8" t="s">
        <x:v>1623</x:v>
      </x:c>
      <x:c r="S581" s="8"/>
      <x:c r="T581" s="8" t="s">
        <x:v>27</x:v>
      </x:c>
      <x:c r="U581" s="8" t="s">
        <x:v>883</x:v>
      </x:c>
      <x:c r="V581" s="8" t="s">
        <x:v>1624</x:v>
      </x:c>
    </x:row>
    <x:row r="582" ht="36" hidden="0" customHeight="1">
      <x:c r="A582" s="8" t="s">
        <x:v>1698</x:v>
      </x:c>
      <x:c r="B582" s="8" t="s">
        <x:v>1614</x:v>
      </x:c>
      <x:c r="C582" s="8"/>
      <x:c r="D582" s="8" t="s">
        <x:v>871</x:v>
      </x:c>
      <x:c r="E582" s="8" t="s">
        <x:v>1699</x:v>
      </x:c>
      <x:c r="F582" s="8" t="s">
        <x:v>1617</x:v>
      </x:c>
      <x:c r="G582" s="8" t="s">
        <x:v>109</x:v>
      </x:c>
      <x:c r="H582" s="8" t="s">
        <x:v>1618</x:v>
      </x:c>
      <x:c r="I582" s="8" t="s">
        <x:v>1619</x:v>
      </x:c>
      <x:c r="J582" s="8" t="s">
        <x:v>112</x:v>
      </x:c>
      <x:c r="K582" s="8" t="s">
        <x:v>1700</x:v>
      </x:c>
      <x:c r="L582" s="8" t="s">
        <x:v>1701</x:v>
      </x:c>
      <x:c r="M582" s="8"/>
      <x:c r="N582" s="8"/>
      <x:c r="O582" s="8" t="s">
        <x:v>1622</x:v>
      </x:c>
      <x:c r="P582" s="8" t="s">
        <x:v>115</x:v>
      </x:c>
      <x:c r="Q582" s="8" t="s">
        <x:v>45</x:v>
      </x:c>
      <x:c r="R582" s="8" t="s">
        <x:v>1623</x:v>
      </x:c>
      <x:c r="S582" s="8"/>
      <x:c r="T582" s="8" t="s">
        <x:v>27</x:v>
      </x:c>
      <x:c r="U582" s="8" t="s">
        <x:v>883</x:v>
      </x:c>
      <x:c r="V582" s="8" t="s">
        <x:v>1624</x:v>
      </x:c>
    </x:row>
    <x:row r="583" ht="36" hidden="0" customHeight="1">
      <x:c r="A583" s="8" t="s">
        <x:v>1702</x:v>
      </x:c>
      <x:c r="B583" s="8" t="s">
        <x:v>1703</x:v>
      </x:c>
      <x:c r="C583" s="8"/>
      <x:c r="D583" s="8" t="s">
        <x:v>1704</x:v>
      </x:c>
      <x:c r="E583" s="8" t="s">
        <x:v>1705</x:v>
      </x:c>
      <x:c r="F583" s="8" t="s">
        <x:v>1706</x:v>
      </x:c>
      <x:c r="G583" s="8" t="s">
        <x:v>109</x:v>
      </x:c>
      <x:c r="H583" s="8" t="s">
        <x:v>1707</x:v>
      </x:c>
      <x:c r="I583" s="8" t="s">
        <x:v>1708</x:v>
      </x:c>
      <x:c r="J583" s="8" t="s">
        <x:v>112</x:v>
      </x:c>
      <x:c r="K583" s="8" t="s">
        <x:v>188</x:v>
      </x:c>
      <x:c r="L583" s="8" t="s">
        <x:v>1709</x:v>
      </x:c>
      <x:c r="M583" s="8"/>
      <x:c r="N583" s="8"/>
      <x:c r="O583" s="8" t="s">
        <x:v>1622</x:v>
      </x:c>
      <x:c r="P583" s="8" t="s">
        <x:v>115</x:v>
      </x:c>
      <x:c r="Q583" s="8" t="s">
        <x:v>45</x:v>
      </x:c>
      <x:c r="R583" s="8" t="s">
        <x:v>1623</x:v>
      </x:c>
      <x:c r="S583" s="8"/>
      <x:c r="T583" s="8" t="s">
        <x:v>27</x:v>
      </x:c>
      <x:c r="U583" s="8" t="s">
        <x:v>883</x:v>
      </x:c>
      <x:c r="V583" s="8" t="s">
        <x:v>1624</x:v>
      </x:c>
    </x:row>
    <x:row r="584" ht="36" hidden="0" customHeight="1">
      <x:c r="A584" s="8" t="s">
        <x:v>1710</x:v>
      </x:c>
      <x:c r="B584" s="8" t="s">
        <x:v>1703</x:v>
      </x:c>
      <x:c r="C584" s="8"/>
      <x:c r="D584" s="8" t="s">
        <x:v>1711</x:v>
      </x:c>
      <x:c r="E584" s="8" t="s">
        <x:v>1712</x:v>
      </x:c>
      <x:c r="F584" s="8" t="s">
        <x:v>1706</x:v>
      </x:c>
      <x:c r="G584" s="8" t="s">
        <x:v>187</x:v>
      </x:c>
      <x:c r="H584" s="8" t="s">
        <x:v>1707</x:v>
      </x:c>
      <x:c r="I584" s="8" t="s">
        <x:v>1708</x:v>
      </x:c>
      <x:c r="J584" s="8" t="s">
        <x:v>112</x:v>
      </x:c>
      <x:c r="K584" s="8" t="s">
        <x:v>1713</x:v>
      </x:c>
      <x:c r="L584" s="8" t="s">
        <x:v>1714</x:v>
      </x:c>
      <x:c r="M584" s="8"/>
      <x:c r="N584" s="8"/>
      <x:c r="O584" s="8" t="s">
        <x:v>1622</x:v>
      </x:c>
      <x:c r="P584" s="8" t="s">
        <x:v>115</x:v>
      </x:c>
      <x:c r="Q584" s="8" t="s">
        <x:v>45</x:v>
      </x:c>
      <x:c r="R584" s="8" t="s">
        <x:v>1623</x:v>
      </x:c>
      <x:c r="S584" s="8"/>
      <x:c r="T584" s="8" t="s">
        <x:v>27</x:v>
      </x:c>
      <x:c r="U584" s="8" t="s">
        <x:v>883</x:v>
      </x:c>
      <x:c r="V584" s="8" t="s">
        <x:v>1624</x:v>
      </x:c>
    </x:row>
    <x:row r="585" ht="36" hidden="0" customHeight="1">
      <x:c r="A585" s="8" t="s">
        <x:v>1715</x:v>
      </x:c>
      <x:c r="B585" s="8" t="s">
        <x:v>1703</x:v>
      </x:c>
      <x:c r="C585" s="8"/>
      <x:c r="D585" s="8" t="s">
        <x:v>1716</x:v>
      </x:c>
      <x:c r="E585" s="8" t="s">
        <x:v>1717</x:v>
      </x:c>
      <x:c r="F585" s="8" t="s">
        <x:v>1706</x:v>
      </x:c>
      <x:c r="G585" s="8" t="s">
        <x:v>187</x:v>
      </x:c>
      <x:c r="H585" s="8" t="s">
        <x:v>1707</x:v>
      </x:c>
      <x:c r="I585" s="8" t="s">
        <x:v>1708</x:v>
      </x:c>
      <x:c r="J585" s="8" t="s">
        <x:v>112</x:v>
      </x:c>
      <x:c r="K585" s="8" t="s">
        <x:v>1713</x:v>
      </x:c>
      <x:c r="L585" s="8" t="s">
        <x:v>1718</x:v>
      </x:c>
      <x:c r="M585" s="8"/>
      <x:c r="N585" s="8"/>
      <x:c r="O585" s="8" t="s">
        <x:v>1622</x:v>
      </x:c>
      <x:c r="P585" s="8" t="s">
        <x:v>115</x:v>
      </x:c>
      <x:c r="Q585" s="8" t="s">
        <x:v>45</x:v>
      </x:c>
      <x:c r="R585" s="8" t="s">
        <x:v>1623</x:v>
      </x:c>
      <x:c r="S585" s="8"/>
      <x:c r="T585" s="8" t="s">
        <x:v>27</x:v>
      </x:c>
      <x:c r="U585" s="8" t="s">
        <x:v>883</x:v>
      </x:c>
      <x:c r="V585" s="8" t="s">
        <x:v>1624</x:v>
      </x:c>
    </x:row>
    <x:row r="586" ht="36" hidden="0" customHeight="1">
      <x:c r="A586" s="8" t="s">
        <x:v>1719</x:v>
      </x:c>
      <x:c r="B586" s="8" t="s">
        <x:v>1703</x:v>
      </x:c>
      <x:c r="C586" s="8"/>
      <x:c r="D586" s="8" t="s">
        <x:v>1720</x:v>
      </x:c>
      <x:c r="E586" s="8" t="s">
        <x:v>1721</x:v>
      </x:c>
      <x:c r="F586" s="8" t="s">
        <x:v>1706</x:v>
      </x:c>
      <x:c r="G586" s="8" t="s">
        <x:v>109</x:v>
      </x:c>
      <x:c r="H586" s="8" t="s">
        <x:v>1707</x:v>
      </x:c>
      <x:c r="I586" s="8" t="s">
        <x:v>1708</x:v>
      </x:c>
      <x:c r="J586" s="8" t="s">
        <x:v>112</x:v>
      </x:c>
      <x:c r="K586" s="8" t="s">
        <x:v>1713</x:v>
      </x:c>
      <x:c r="L586" s="8" t="s">
        <x:v>1718</x:v>
      </x:c>
      <x:c r="M586" s="8"/>
      <x:c r="N586" s="8"/>
      <x:c r="O586" s="8" t="s">
        <x:v>1622</x:v>
      </x:c>
      <x:c r="P586" s="8" t="s">
        <x:v>115</x:v>
      </x:c>
      <x:c r="Q586" s="8" t="s">
        <x:v>45</x:v>
      </x:c>
      <x:c r="R586" s="8" t="s">
        <x:v>1623</x:v>
      </x:c>
      <x:c r="S586" s="8"/>
      <x:c r="T586" s="8" t="s">
        <x:v>27</x:v>
      </x:c>
      <x:c r="U586" s="8" t="s">
        <x:v>883</x:v>
      </x:c>
      <x:c r="V586" s="8" t="s">
        <x:v>1624</x:v>
      </x:c>
    </x:row>
    <x:row r="587" ht="36" hidden="0" customHeight="1">
      <x:c r="A587" s="8" t="s">
        <x:v>1722</x:v>
      </x:c>
      <x:c r="B587" s="8" t="s">
        <x:v>1703</x:v>
      </x:c>
      <x:c r="C587" s="8"/>
      <x:c r="D587" s="8" t="s">
        <x:v>1723</x:v>
      </x:c>
      <x:c r="E587" s="8" t="s">
        <x:v>1724</x:v>
      </x:c>
      <x:c r="F587" s="8" t="s">
        <x:v>1706</x:v>
      </x:c>
      <x:c r="G587" s="8" t="s">
        <x:v>109</x:v>
      </x:c>
      <x:c r="H587" s="8" t="s">
        <x:v>1707</x:v>
      </x:c>
      <x:c r="I587" s="8" t="s">
        <x:v>1708</x:v>
      </x:c>
      <x:c r="J587" s="8" t="s">
        <x:v>112</x:v>
      </x:c>
      <x:c r="K587" s="8" t="s">
        <x:v>1713</x:v>
      </x:c>
      <x:c r="L587" s="8" t="s">
        <x:v>1725</x:v>
      </x:c>
      <x:c r="M587" s="8"/>
      <x:c r="N587" s="8"/>
      <x:c r="O587" s="8" t="s">
        <x:v>1622</x:v>
      </x:c>
      <x:c r="P587" s="8" t="s">
        <x:v>115</x:v>
      </x:c>
      <x:c r="Q587" s="8" t="s">
        <x:v>45</x:v>
      </x:c>
      <x:c r="R587" s="8" t="s">
        <x:v>1623</x:v>
      </x:c>
      <x:c r="S587" s="8"/>
      <x:c r="T587" s="8" t="s">
        <x:v>27</x:v>
      </x:c>
      <x:c r="U587" s="8" t="s">
        <x:v>883</x:v>
      </x:c>
      <x:c r="V587" s="8" t="s">
        <x:v>1624</x:v>
      </x:c>
    </x:row>
    <x:row r="588" ht="36" hidden="0" customHeight="1">
      <x:c r="A588" s="8" t="s">
        <x:v>1726</x:v>
      </x:c>
      <x:c r="B588" s="8" t="s">
        <x:v>1703</x:v>
      </x:c>
      <x:c r="C588" s="8"/>
      <x:c r="D588" s="8" t="s">
        <x:v>1727</x:v>
      </x:c>
      <x:c r="E588" s="8" t="s">
        <x:v>1728</x:v>
      </x:c>
      <x:c r="F588" s="8" t="s">
        <x:v>1706</x:v>
      </x:c>
      <x:c r="G588" s="8" t="s">
        <x:v>109</x:v>
      </x:c>
      <x:c r="H588" s="8" t="s">
        <x:v>1707</x:v>
      </x:c>
      <x:c r="I588" s="8" t="s">
        <x:v>1708</x:v>
      </x:c>
      <x:c r="J588" s="8" t="s">
        <x:v>112</x:v>
      </x:c>
      <x:c r="K588" s="8" t="s">
        <x:v>1713</x:v>
      </x:c>
      <x:c r="L588" s="8" t="s">
        <x:v>1725</x:v>
      </x:c>
      <x:c r="M588" s="8"/>
      <x:c r="N588" s="8"/>
      <x:c r="O588" s="8" t="s">
        <x:v>1622</x:v>
      </x:c>
      <x:c r="P588" s="8" t="s">
        <x:v>115</x:v>
      </x:c>
      <x:c r="Q588" s="8" t="s">
        <x:v>45</x:v>
      </x:c>
      <x:c r="R588" s="8" t="s">
        <x:v>1623</x:v>
      </x:c>
      <x:c r="S588" s="8"/>
      <x:c r="T588" s="8" t="s">
        <x:v>27</x:v>
      </x:c>
      <x:c r="U588" s="8" t="s">
        <x:v>883</x:v>
      </x:c>
      <x:c r="V588" s="8" t="s">
        <x:v>1624</x:v>
      </x:c>
    </x:row>
    <x:row r="589" ht="36" hidden="0" customHeight="1">
      <x:c r="A589" s="8" t="s">
        <x:v>1729</x:v>
      </x:c>
      <x:c r="B589" s="8" t="s">
        <x:v>1730</x:v>
      </x:c>
      <x:c r="C589" s="8"/>
      <x:c r="D589" s="8" t="s">
        <x:v>1731</x:v>
      </x:c>
      <x:c r="E589" s="8" t="s">
        <x:v>1732</x:v>
      </x:c>
      <x:c r="F589" s="8" t="s">
        <x:v>1706</x:v>
      </x:c>
      <x:c r="G589" s="8" t="s">
        <x:v>109</x:v>
      </x:c>
      <x:c r="H589" s="8" t="s">
        <x:v>1733</x:v>
      </x:c>
      <x:c r="I589" s="8" t="s">
        <x:v>1734</x:v>
      </x:c>
      <x:c r="J589" s="8" t="s">
        <x:v>112</x:v>
      </x:c>
      <x:c r="K589" s="8" t="s">
        <x:v>631</x:v>
      </x:c>
      <x:c r="L589" s="8" t="s">
        <x:v>1735</x:v>
      </x:c>
      <x:c r="M589" s="8"/>
      <x:c r="N589" s="8"/>
      <x:c r="O589" s="8" t="s">
        <x:v>1622</x:v>
      </x:c>
      <x:c r="P589" s="8" t="s">
        <x:v>115</x:v>
      </x:c>
      <x:c r="Q589" s="8" t="s">
        <x:v>45</x:v>
      </x:c>
      <x:c r="R589" s="8" t="s">
        <x:v>1623</x:v>
      </x:c>
      <x:c r="S589" s="8"/>
      <x:c r="T589" s="8" t="s">
        <x:v>27</x:v>
      </x:c>
      <x:c r="U589" s="8" t="s">
        <x:v>883</x:v>
      </x:c>
      <x:c r="V589" s="8" t="s">
        <x:v>1624</x:v>
      </x:c>
    </x:row>
    <x:row r="590" ht="36" hidden="0" customHeight="1">
      <x:c r="A590" s="8" t="s">
        <x:v>1736</x:v>
      </x:c>
      <x:c r="B590" s="8" t="s">
        <x:v>1730</x:v>
      </x:c>
      <x:c r="C590" s="8"/>
      <x:c r="D590" s="8" t="s">
        <x:v>1737</x:v>
      </x:c>
      <x:c r="E590" s="8" t="n">
        <x:v>35</x:v>
      </x:c>
      <x:c r="F590" s="8" t="s">
        <x:v>1706</x:v>
      </x:c>
      <x:c r="G590" s="8" t="s">
        <x:v>109</x:v>
      </x:c>
      <x:c r="H590" s="8" t="s">
        <x:v>1733</x:v>
      </x:c>
      <x:c r="I590" s="8" t="s">
        <x:v>1734</x:v>
      </x:c>
      <x:c r="J590" s="8" t="s">
        <x:v>112</x:v>
      </x:c>
      <x:c r="K590" s="8" t="s">
        <x:v>631</x:v>
      </x:c>
      <x:c r="L590" s="8" t="s">
        <x:v>1735</x:v>
      </x:c>
      <x:c r="M590" s="8"/>
      <x:c r="N590" s="8"/>
      <x:c r="O590" s="8" t="s">
        <x:v>1622</x:v>
      </x:c>
      <x:c r="P590" s="8" t="s">
        <x:v>115</x:v>
      </x:c>
      <x:c r="Q590" s="8" t="s">
        <x:v>45</x:v>
      </x:c>
      <x:c r="R590" s="8" t="s">
        <x:v>1623</x:v>
      </x:c>
      <x:c r="S590" s="8" t="s">
        <x:v>1738</x:v>
      </x:c>
      <x:c r="T590" s="8" t="s">
        <x:v>27</x:v>
      </x:c>
      <x:c r="U590" s="8" t="s">
        <x:v>883</x:v>
      </x:c>
      <x:c r="V590" s="8" t="s">
        <x:v>1624</x:v>
      </x:c>
    </x:row>
    <x:row r="591" ht="36" hidden="0" customHeight="1">
      <x:c r="A591" s="8" t="s">
        <x:v>1739</x:v>
      </x:c>
      <x:c r="B591" s="8" t="s">
        <x:v>1730</x:v>
      </x:c>
      <x:c r="C591" s="8"/>
      <x:c r="D591" s="8" t="s">
        <x:v>1740</x:v>
      </x:c>
      <x:c r="E591" s="8" t="n">
        <x:v>22</x:v>
      </x:c>
      <x:c r="F591" s="8" t="s">
        <x:v>1706</x:v>
      </x:c>
      <x:c r="G591" s="8" t="s">
        <x:v>109</x:v>
      </x:c>
      <x:c r="H591" s="8" t="s">
        <x:v>1733</x:v>
      </x:c>
      <x:c r="I591" s="8" t="s">
        <x:v>1734</x:v>
      </x:c>
      <x:c r="J591" s="8" t="s">
        <x:v>112</x:v>
      </x:c>
      <x:c r="K591" s="8" t="s">
        <x:v>631</x:v>
      </x:c>
      <x:c r="L591" s="8" t="s">
        <x:v>1735</x:v>
      </x:c>
      <x:c r="M591" s="8"/>
      <x:c r="N591" s="8"/>
      <x:c r="O591" s="8" t="s">
        <x:v>1622</x:v>
      </x:c>
      <x:c r="P591" s="8" t="s">
        <x:v>115</x:v>
      </x:c>
      <x:c r="Q591" s="8" t="s">
        <x:v>45</x:v>
      </x:c>
      <x:c r="R591" s="8" t="s">
        <x:v>1623</x:v>
      </x:c>
      <x:c r="S591" s="8" t="s">
        <x:v>1741</x:v>
      </x:c>
      <x:c r="T591" s="8" t="s">
        <x:v>27</x:v>
      </x:c>
      <x:c r="U591" s="8" t="s">
        <x:v>883</x:v>
      </x:c>
      <x:c r="V591" s="8" t="s">
        <x:v>1624</x:v>
      </x:c>
    </x:row>
    <x:row r="592" ht="36" hidden="0" customHeight="1">
      <x:c r="A592" s="8" t="s">
        <x:v>1742</x:v>
      </x:c>
      <x:c r="B592" s="8" t="s">
        <x:v>1730</x:v>
      </x:c>
      <x:c r="C592" s="8"/>
      <x:c r="D592" s="8" t="s">
        <x:v>1743</x:v>
      </x:c>
      <x:c r="E592" s="8" t="s">
        <x:v>1744</x:v>
      </x:c>
      <x:c r="F592" s="8" t="s">
        <x:v>1706</x:v>
      </x:c>
      <x:c r="G592" s="8" t="s">
        <x:v>109</x:v>
      </x:c>
      <x:c r="H592" s="8" t="s">
        <x:v>1733</x:v>
      </x:c>
      <x:c r="I592" s="8" t="s">
        <x:v>1734</x:v>
      </x:c>
      <x:c r="J592" s="8" t="s">
        <x:v>112</x:v>
      </x:c>
      <x:c r="K592" s="8" t="s">
        <x:v>1745</x:v>
      </x:c>
      <x:c r="L592" s="8" t="s">
        <x:v>1633</x:v>
      </x:c>
      <x:c r="M592" s="8"/>
      <x:c r="N592" s="8"/>
      <x:c r="O592" s="8" t="s">
        <x:v>1622</x:v>
      </x:c>
      <x:c r="P592" s="8" t="s">
        <x:v>115</x:v>
      </x:c>
      <x:c r="Q592" s="8" t="s">
        <x:v>45</x:v>
      </x:c>
      <x:c r="R592" s="8" t="s">
        <x:v>1623</x:v>
      </x:c>
      <x:c r="S592" s="8"/>
      <x:c r="T592" s="8" t="s">
        <x:v>27</x:v>
      </x:c>
      <x:c r="U592" s="8" t="s">
        <x:v>883</x:v>
      </x:c>
      <x:c r="V592" s="8" t="s">
        <x:v>1624</x:v>
      </x:c>
    </x:row>
    <x:row r="593" ht="36" hidden="0" customHeight="1">
      <x:c r="A593" s="8" t="s">
        <x:v>1746</x:v>
      </x:c>
      <x:c r="B593" s="8" t="s">
        <x:v>1730</x:v>
      </x:c>
      <x:c r="C593" s="8"/>
      <x:c r="D593" s="8" t="s">
        <x:v>1747</x:v>
      </x:c>
      <x:c r="E593" s="8" t="s">
        <x:v>1748</x:v>
      </x:c>
      <x:c r="F593" s="8" t="s">
        <x:v>1706</x:v>
      </x:c>
      <x:c r="G593" s="8" t="s">
        <x:v>109</x:v>
      </x:c>
      <x:c r="H593" s="8" t="s">
        <x:v>1733</x:v>
      </x:c>
      <x:c r="I593" s="8" t="s">
        <x:v>1734</x:v>
      </x:c>
      <x:c r="J593" s="8" t="s">
        <x:v>112</x:v>
      </x:c>
      <x:c r="K593" s="8" t="s">
        <x:v>1745</x:v>
      </x:c>
      <x:c r="L593" s="8" t="s">
        <x:v>1633</x:v>
      </x:c>
      <x:c r="M593" s="8"/>
      <x:c r="N593" s="8"/>
      <x:c r="O593" s="8" t="s">
        <x:v>1622</x:v>
      </x:c>
      <x:c r="P593" s="8" t="s">
        <x:v>115</x:v>
      </x:c>
      <x:c r="Q593" s="8" t="s">
        <x:v>45</x:v>
      </x:c>
      <x:c r="R593" s="8" t="s">
        <x:v>1623</x:v>
      </x:c>
      <x:c r="S593" s="8"/>
      <x:c r="T593" s="8" t="s">
        <x:v>27</x:v>
      </x:c>
      <x:c r="U593" s="8" t="s">
        <x:v>883</x:v>
      </x:c>
      <x:c r="V593" s="8" t="s">
        <x:v>1624</x:v>
      </x:c>
    </x:row>
    <x:row r="594" ht="36" hidden="0" customHeight="1">
      <x:c r="A594" s="8" t="s">
        <x:v>1749</x:v>
      </x:c>
      <x:c r="B594" s="8" t="s">
        <x:v>1730</x:v>
      </x:c>
      <x:c r="C594" s="8"/>
      <x:c r="D594" s="8" t="s">
        <x:v>1750</x:v>
      </x:c>
      <x:c r="E594" s="8" t="s">
        <x:v>1751</x:v>
      </x:c>
      <x:c r="F594" s="8" t="s">
        <x:v>1706</x:v>
      </x:c>
      <x:c r="G594" s="8" t="s">
        <x:v>109</x:v>
      </x:c>
      <x:c r="H594" s="8" t="s">
        <x:v>1733</x:v>
      </x:c>
      <x:c r="I594" s="8" t="s">
        <x:v>1734</x:v>
      </x:c>
      <x:c r="J594" s="8" t="s">
        <x:v>112</x:v>
      </x:c>
      <x:c r="K594" s="8" t="s">
        <x:v>1745</x:v>
      </x:c>
      <x:c r="L594" s="8" t="s">
        <x:v>1752</x:v>
      </x:c>
      <x:c r="M594" s="8"/>
      <x:c r="N594" s="8"/>
      <x:c r="O594" s="8" t="s">
        <x:v>1622</x:v>
      </x:c>
      <x:c r="P594" s="8" t="s">
        <x:v>115</x:v>
      </x:c>
      <x:c r="Q594" s="8" t="s">
        <x:v>45</x:v>
      </x:c>
      <x:c r="R594" s="8" t="s">
        <x:v>1623</x:v>
      </x:c>
      <x:c r="S594" s="8"/>
      <x:c r="T594" s="8" t="s">
        <x:v>27</x:v>
      </x:c>
      <x:c r="U594" s="8" t="s">
        <x:v>883</x:v>
      </x:c>
      <x:c r="V594" s="8" t="s">
        <x:v>1624</x:v>
      </x:c>
    </x:row>
    <x:row r="595" ht="36" hidden="0" customHeight="1">
      <x:c r="A595" s="8" t="s">
        <x:v>1753</x:v>
      </x:c>
      <x:c r="B595" s="8" t="s">
        <x:v>1754</x:v>
      </x:c>
      <x:c r="C595" s="8"/>
      <x:c r="D595" s="8" t="s">
        <x:v>1755</x:v>
      </x:c>
      <x:c r="E595" s="8" t="s">
        <x:v>1756</x:v>
      </x:c>
      <x:c r="F595" s="8" t="s">
        <x:v>1617</x:v>
      </x:c>
      <x:c r="G595" s="8" t="s">
        <x:v>109</x:v>
      </x:c>
      <x:c r="H595" s="8" t="s">
        <x:v>1757</x:v>
      </x:c>
      <x:c r="I595" s="8" t="s">
        <x:v>1758</x:v>
      </x:c>
      <x:c r="J595" s="8" t="s">
        <x:v>112</x:v>
      </x:c>
      <x:c r="K595" s="8" t="s">
        <x:v>1759</x:v>
      </x:c>
      <x:c r="L595" s="8" t="s">
        <x:v>1760</x:v>
      </x:c>
      <x:c r="M595" s="8"/>
      <x:c r="N595" s="8"/>
      <x:c r="O595" s="8" t="s">
        <x:v>1622</x:v>
      </x:c>
      <x:c r="P595" s="8" t="s">
        <x:v>115</x:v>
      </x:c>
      <x:c r="Q595" s="8" t="s">
        <x:v>45</x:v>
      </x:c>
      <x:c r="R595" s="8" t="s">
        <x:v>1623</x:v>
      </x:c>
      <x:c r="S595" s="8"/>
      <x:c r="T595" s="8" t="s">
        <x:v>27</x:v>
      </x:c>
      <x:c r="U595" s="8" t="s">
        <x:v>883</x:v>
      </x:c>
      <x:c r="V595" s="8" t="s">
        <x:v>1624</x:v>
      </x:c>
    </x:row>
    <x:row r="596" ht="36" hidden="0" customHeight="1">
      <x:c r="A596" s="8" t="s">
        <x:v>1761</x:v>
      </x:c>
      <x:c r="B596" s="8" t="s">
        <x:v>1754</x:v>
      </x:c>
      <x:c r="C596" s="8"/>
      <x:c r="D596" s="8" t="s">
        <x:v>1762</x:v>
      </x:c>
      <x:c r="E596" s="8" t="s">
        <x:v>1763</x:v>
      </x:c>
      <x:c r="F596" s="8" t="s">
        <x:v>1617</x:v>
      </x:c>
      <x:c r="G596" s="8" t="s">
        <x:v>109</x:v>
      </x:c>
      <x:c r="H596" s="8" t="s">
        <x:v>1757</x:v>
      </x:c>
      <x:c r="I596" s="8" t="s">
        <x:v>1758</x:v>
      </x:c>
      <x:c r="J596" s="8" t="s">
        <x:v>112</x:v>
      </x:c>
      <x:c r="K596" s="8" t="s">
        <x:v>1759</x:v>
      </x:c>
      <x:c r="L596" s="8" t="s">
        <x:v>1760</x:v>
      </x:c>
      <x:c r="M596" s="8"/>
      <x:c r="N596" s="8"/>
      <x:c r="O596" s="8" t="s">
        <x:v>1622</x:v>
      </x:c>
      <x:c r="P596" s="8" t="s">
        <x:v>115</x:v>
      </x:c>
      <x:c r="Q596" s="8" t="s">
        <x:v>45</x:v>
      </x:c>
      <x:c r="R596" s="8" t="s">
        <x:v>1623</x:v>
      </x:c>
      <x:c r="S596" s="8" t="s">
        <x:v>902</x:v>
      </x:c>
      <x:c r="T596" s="8" t="s">
        <x:v>27</x:v>
      </x:c>
      <x:c r="U596" s="8" t="s">
        <x:v>883</x:v>
      </x:c>
      <x:c r="V596" s="8" t="s">
        <x:v>1624</x:v>
      </x:c>
    </x:row>
    <x:row r="597" ht="36" hidden="0" customHeight="1">
      <x:c r="A597" s="8" t="s">
        <x:v>1764</x:v>
      </x:c>
      <x:c r="B597" s="8" t="s">
        <x:v>1754</x:v>
      </x:c>
      <x:c r="C597" s="8"/>
      <x:c r="D597" s="8" t="s">
        <x:v>1765</x:v>
      </x:c>
      <x:c r="E597" s="8" t="n">
        <x:v>5</x:v>
      </x:c>
      <x:c r="F597" s="8" t="s">
        <x:v>1617</x:v>
      </x:c>
      <x:c r="G597" s="8" t="s">
        <x:v>109</x:v>
      </x:c>
      <x:c r="H597" s="8" t="s">
        <x:v>1757</x:v>
      </x:c>
      <x:c r="I597" s="8" t="s">
        <x:v>1758</x:v>
      </x:c>
      <x:c r="J597" s="8" t="s">
        <x:v>112</x:v>
      </x:c>
      <x:c r="K597" s="8" t="s">
        <x:v>1759</x:v>
      </x:c>
      <x:c r="L597" s="8" t="s">
        <x:v>1760</x:v>
      </x:c>
      <x:c r="M597" s="8"/>
      <x:c r="N597" s="8"/>
      <x:c r="O597" s="8" t="s">
        <x:v>1622</x:v>
      </x:c>
      <x:c r="P597" s="8" t="s">
        <x:v>115</x:v>
      </x:c>
      <x:c r="Q597" s="8" t="s">
        <x:v>45</x:v>
      </x:c>
      <x:c r="R597" s="8" t="s">
        <x:v>1623</x:v>
      </x:c>
      <x:c r="S597" s="8" t="s">
        <x:v>902</x:v>
      </x:c>
      <x:c r="T597" s="8" t="s">
        <x:v>27</x:v>
      </x:c>
      <x:c r="U597" s="8" t="s">
        <x:v>883</x:v>
      </x:c>
      <x:c r="V597" s="8" t="s">
        <x:v>1624</x:v>
      </x:c>
    </x:row>
    <x:row r="598" ht="36" hidden="0" customHeight="1">
      <x:c r="A598" s="8" t="s">
        <x:v>1766</x:v>
      </x:c>
      <x:c r="B598" s="8" t="s">
        <x:v>1754</x:v>
      </x:c>
      <x:c r="C598" s="8"/>
      <x:c r="D598" s="8" t="s">
        <x:v>1767</x:v>
      </x:c>
      <x:c r="E598" s="8" t="n">
        <x:v>30</x:v>
      </x:c>
      <x:c r="F598" s="8" t="s">
        <x:v>1617</x:v>
      </x:c>
      <x:c r="G598" s="8" t="s">
        <x:v>109</x:v>
      </x:c>
      <x:c r="H598" s="8" t="s">
        <x:v>1757</x:v>
      </x:c>
      <x:c r="I598" s="8" t="s">
        <x:v>1758</x:v>
      </x:c>
      <x:c r="J598" s="8" t="s">
        <x:v>112</x:v>
      </x:c>
      <x:c r="K598" s="8" t="s">
        <x:v>1759</x:v>
      </x:c>
      <x:c r="L598" s="8" t="s">
        <x:v>1760</x:v>
      </x:c>
      <x:c r="M598" s="8"/>
      <x:c r="N598" s="8"/>
      <x:c r="O598" s="8" t="s">
        <x:v>1622</x:v>
      </x:c>
      <x:c r="P598" s="8" t="s">
        <x:v>115</x:v>
      </x:c>
      <x:c r="Q598" s="8" t="s">
        <x:v>45</x:v>
      </x:c>
      <x:c r="R598" s="8" t="s">
        <x:v>1623</x:v>
      </x:c>
      <x:c r="S598" s="8" t="s">
        <x:v>1768</x:v>
      </x:c>
      <x:c r="T598" s="8" t="s">
        <x:v>27</x:v>
      </x:c>
      <x:c r="U598" s="8" t="s">
        <x:v>883</x:v>
      </x:c>
      <x:c r="V598" s="8" t="s">
        <x:v>1624</x:v>
      </x:c>
    </x:row>
    <x:row r="599" ht="36" hidden="0" customHeight="1">
      <x:c r="A599" s="8" t="s">
        <x:v>1769</x:v>
      </x:c>
      <x:c r="B599" s="8" t="s">
        <x:v>1754</x:v>
      </x:c>
      <x:c r="C599" s="8"/>
      <x:c r="D599" s="8" t="s">
        <x:v>1770</x:v>
      </x:c>
      <x:c r="E599" s="8" t="s">
        <x:v>1771</x:v>
      </x:c>
      <x:c r="F599" s="8" t="s">
        <x:v>1617</x:v>
      </x:c>
      <x:c r="G599" s="8" t="s">
        <x:v>109</x:v>
      </x:c>
      <x:c r="H599" s="8" t="s">
        <x:v>1757</x:v>
      </x:c>
      <x:c r="I599" s="8" t="s">
        <x:v>1758</x:v>
      </x:c>
      <x:c r="J599" s="8" t="s">
        <x:v>112</x:v>
      </x:c>
      <x:c r="K599" s="8" t="s">
        <x:v>1772</x:v>
      </x:c>
      <x:c r="L599" s="8" t="s">
        <x:v>1773</x:v>
      </x:c>
      <x:c r="M599" s="8"/>
      <x:c r="N599" s="8"/>
      <x:c r="O599" s="8" t="s">
        <x:v>1622</x:v>
      </x:c>
      <x:c r="P599" s="8" t="s">
        <x:v>115</x:v>
      </x:c>
      <x:c r="Q599" s="8" t="s">
        <x:v>45</x:v>
      </x:c>
      <x:c r="R599" s="8" t="s">
        <x:v>1623</x:v>
      </x:c>
      <x:c r="S599" s="8"/>
      <x:c r="T599" s="8" t="s">
        <x:v>27</x:v>
      </x:c>
      <x:c r="U599" s="8" t="s">
        <x:v>883</x:v>
      </x:c>
      <x:c r="V599" s="8" t="s">
        <x:v>1624</x:v>
      </x:c>
    </x:row>
    <x:row r="600" ht="36" hidden="0" customHeight="1">
      <x:c r="A600" s="8" t="s">
        <x:v>1774</x:v>
      </x:c>
      <x:c r="B600" s="8" t="s">
        <x:v>1754</x:v>
      </x:c>
      <x:c r="C600" s="8"/>
      <x:c r="D600" s="8" t="s">
        <x:v>1775</x:v>
      </x:c>
      <x:c r="E600" s="8" t="s">
        <x:v>1776</x:v>
      </x:c>
      <x:c r="F600" s="8" t="s">
        <x:v>1617</x:v>
      </x:c>
      <x:c r="G600" s="8" t="s">
        <x:v>109</x:v>
      </x:c>
      <x:c r="H600" s="8" t="s">
        <x:v>1757</x:v>
      </x:c>
      <x:c r="I600" s="8" t="s">
        <x:v>1758</x:v>
      </x:c>
      <x:c r="J600" s="8" t="s">
        <x:v>112</x:v>
      </x:c>
      <x:c r="K600" s="8" t="s">
        <x:v>1777</x:v>
      </x:c>
      <x:c r="L600" s="8" t="s">
        <x:v>1778</x:v>
      </x:c>
      <x:c r="M600" s="8"/>
      <x:c r="N600" s="8"/>
      <x:c r="O600" s="8" t="s">
        <x:v>1622</x:v>
      </x:c>
      <x:c r="P600" s="8" t="s">
        <x:v>115</x:v>
      </x:c>
      <x:c r="Q600" s="8" t="s">
        <x:v>45</x:v>
      </x:c>
      <x:c r="R600" s="8" t="s">
        <x:v>1623</x:v>
      </x:c>
      <x:c r="S600" s="8"/>
      <x:c r="T600" s="8" t="s">
        <x:v>27</x:v>
      </x:c>
      <x:c r="U600" s="8" t="s">
        <x:v>883</x:v>
      </x:c>
      <x:c r="V600" s="8" t="s">
        <x:v>1624</x:v>
      </x:c>
    </x:row>
    <x:row r="601" ht="36" hidden="0" customHeight="1">
      <x:c r="A601" s="8" t="s">
        <x:v>1779</x:v>
      </x:c>
      <x:c r="B601" s="8" t="s">
        <x:v>1754</x:v>
      </x:c>
      <x:c r="C601" s="8"/>
      <x:c r="D601" s="8" t="s">
        <x:v>1780</x:v>
      </x:c>
      <x:c r="E601" s="8" t="s">
        <x:v>1781</x:v>
      </x:c>
      <x:c r="F601" s="8" t="s">
        <x:v>1617</x:v>
      </x:c>
      <x:c r="G601" s="8" t="s">
        <x:v>109</x:v>
      </x:c>
      <x:c r="H601" s="8" t="s">
        <x:v>1757</x:v>
      </x:c>
      <x:c r="I601" s="8" t="s">
        <x:v>1758</x:v>
      </x:c>
      <x:c r="J601" s="8" t="s">
        <x:v>112</x:v>
      </x:c>
      <x:c r="K601" s="8" t="s">
        <x:v>1777</x:v>
      </x:c>
      <x:c r="L601" s="8" t="s">
        <x:v>1782</x:v>
      </x:c>
      <x:c r="M601" s="8"/>
      <x:c r="N601" s="8"/>
      <x:c r="O601" s="8" t="s">
        <x:v>1622</x:v>
      </x:c>
      <x:c r="P601" s="8" t="s">
        <x:v>115</x:v>
      </x:c>
      <x:c r="Q601" s="8" t="s">
        <x:v>45</x:v>
      </x:c>
      <x:c r="R601" s="8" t="s">
        <x:v>1623</x:v>
      </x:c>
      <x:c r="S601" s="8"/>
      <x:c r="T601" s="8" t="s">
        <x:v>27</x:v>
      </x:c>
      <x:c r="U601" s="8" t="s">
        <x:v>883</x:v>
      </x:c>
      <x:c r="V601" s="8" t="s">
        <x:v>1624</x:v>
      </x:c>
    </x:row>
    <x:row r="602" ht="36" hidden="0" customHeight="1">
      <x:c r="A602" s="8" t="s">
        <x:v>1783</x:v>
      </x:c>
      <x:c r="B602" s="8" t="s">
        <x:v>1754</x:v>
      </x:c>
      <x:c r="C602" s="8"/>
      <x:c r="D602" s="8" t="s">
        <x:v>1784</x:v>
      </x:c>
      <x:c r="E602" s="8" t="s">
        <x:v>1785</x:v>
      </x:c>
      <x:c r="F602" s="8" t="s">
        <x:v>1617</x:v>
      </x:c>
      <x:c r="G602" s="8" t="s">
        <x:v>109</x:v>
      </x:c>
      <x:c r="H602" s="8" t="s">
        <x:v>1757</x:v>
      </x:c>
      <x:c r="I602" s="8" t="s">
        <x:v>1758</x:v>
      </x:c>
      <x:c r="J602" s="8" t="s">
        <x:v>112</x:v>
      </x:c>
      <x:c r="K602" s="8" t="s">
        <x:v>1777</x:v>
      </x:c>
      <x:c r="L602" s="8" t="s">
        <x:v>1782</x:v>
      </x:c>
      <x:c r="M602" s="8"/>
      <x:c r="N602" s="8"/>
      <x:c r="O602" s="8" t="s">
        <x:v>1622</x:v>
      </x:c>
      <x:c r="P602" s="8" t="s">
        <x:v>115</x:v>
      </x:c>
      <x:c r="Q602" s="8" t="s">
        <x:v>45</x:v>
      </x:c>
      <x:c r="R602" s="8" t="s">
        <x:v>1623</x:v>
      </x:c>
      <x:c r="S602" s="8"/>
      <x:c r="T602" s="8" t="s">
        <x:v>27</x:v>
      </x:c>
      <x:c r="U602" s="8" t="s">
        <x:v>883</x:v>
      </x:c>
      <x:c r="V602" s="8" t="s">
        <x:v>1624</x:v>
      </x:c>
    </x:row>
    <x:row r="603" ht="36" hidden="0" customHeight="1">
      <x:c r="A603" s="8" t="s">
        <x:v>1786</x:v>
      </x:c>
      <x:c r="B603" s="8" t="s">
        <x:v>1754</x:v>
      </x:c>
      <x:c r="C603" s="8"/>
      <x:c r="D603" s="8" t="s">
        <x:v>1787</x:v>
      </x:c>
      <x:c r="E603" s="8" t="n">
        <x:v>15</x:v>
      </x:c>
      <x:c r="F603" s="8" t="s">
        <x:v>1617</x:v>
      </x:c>
      <x:c r="G603" s="8" t="s">
        <x:v>109</x:v>
      </x:c>
      <x:c r="H603" s="8" t="s">
        <x:v>1757</x:v>
      </x:c>
      <x:c r="I603" s="8" t="s">
        <x:v>1758</x:v>
      </x:c>
      <x:c r="J603" s="8" t="s">
        <x:v>112</x:v>
      </x:c>
      <x:c r="K603" s="8" t="s">
        <x:v>1777</x:v>
      </x:c>
      <x:c r="L603" s="8" t="s">
        <x:v>1788</x:v>
      </x:c>
      <x:c r="M603" s="8"/>
      <x:c r="N603" s="8"/>
      <x:c r="O603" s="8" t="s">
        <x:v>1622</x:v>
      </x:c>
      <x:c r="P603" s="8" t="s">
        <x:v>115</x:v>
      </x:c>
      <x:c r="Q603" s="8" t="s">
        <x:v>45</x:v>
      </x:c>
      <x:c r="R603" s="8" t="s">
        <x:v>1623</x:v>
      </x:c>
      <x:c r="S603" s="8" t="s">
        <x:v>1789</x:v>
      </x:c>
      <x:c r="T603" s="8" t="s">
        <x:v>27</x:v>
      </x:c>
      <x:c r="U603" s="8" t="s">
        <x:v>883</x:v>
      </x:c>
      <x:c r="V603" s="8" t="s">
        <x:v>1624</x:v>
      </x:c>
    </x:row>
    <x:row r="604" ht="36" hidden="0" customHeight="1">
      <x:c r="A604" s="8" t="s">
        <x:v>1790</x:v>
      </x:c>
      <x:c r="B604" s="8" t="s">
        <x:v>1754</x:v>
      </x:c>
      <x:c r="C604" s="8"/>
      <x:c r="D604" s="8" t="s">
        <x:v>1791</x:v>
      </x:c>
      <x:c r="E604" s="8" t="n">
        <x:v>1</x:v>
      </x:c>
      <x:c r="F604" s="8" t="s">
        <x:v>1617</x:v>
      </x:c>
      <x:c r="G604" s="8" t="s">
        <x:v>109</x:v>
      </x:c>
      <x:c r="H604" s="8" t="s">
        <x:v>1757</x:v>
      </x:c>
      <x:c r="I604" s="8" t="s">
        <x:v>1758</x:v>
      </x:c>
      <x:c r="J604" s="8" t="s">
        <x:v>112</x:v>
      </x:c>
      <x:c r="K604" s="8" t="s">
        <x:v>1777</x:v>
      </x:c>
      <x:c r="L604" s="8" t="s">
        <x:v>1788</x:v>
      </x:c>
      <x:c r="M604" s="8"/>
      <x:c r="N604" s="8"/>
      <x:c r="O604" s="8" t="s">
        <x:v>1622</x:v>
      </x:c>
      <x:c r="P604" s="8" t="s">
        <x:v>115</x:v>
      </x:c>
      <x:c r="Q604" s="8" t="s">
        <x:v>45</x:v>
      </x:c>
      <x:c r="R604" s="8" t="s">
        <x:v>1623</x:v>
      </x:c>
      <x:c r="S604" s="8" t="s">
        <x:v>1792</x:v>
      </x:c>
      <x:c r="T604" s="8" t="s">
        <x:v>27</x:v>
      </x:c>
      <x:c r="U604" s="8" t="s">
        <x:v>883</x:v>
      </x:c>
      <x:c r="V604" s="8" t="s">
        <x:v>1624</x:v>
      </x:c>
    </x:row>
    <x:row r="605" ht="36" hidden="0" customHeight="1">
      <x:c r="A605" s="8" t="s">
        <x:v>1793</x:v>
      </x:c>
      <x:c r="B605" s="8" t="s">
        <x:v>1754</x:v>
      </x:c>
      <x:c r="C605" s="8"/>
      <x:c r="D605" s="8" t="s">
        <x:v>1794</x:v>
      </x:c>
      <x:c r="E605" s="8" t="n">
        <x:v>5</x:v>
      </x:c>
      <x:c r="F605" s="8" t="s">
        <x:v>1617</x:v>
      </x:c>
      <x:c r="G605" s="8" t="s">
        <x:v>109</x:v>
      </x:c>
      <x:c r="H605" s="8" t="s">
        <x:v>1757</x:v>
      </x:c>
      <x:c r="I605" s="8" t="s">
        <x:v>1758</x:v>
      </x:c>
      <x:c r="J605" s="8" t="s">
        <x:v>112</x:v>
      </x:c>
      <x:c r="K605" s="8" t="s">
        <x:v>1777</x:v>
      </x:c>
      <x:c r="L605" s="8" t="s">
        <x:v>1795</x:v>
      </x:c>
      <x:c r="M605" s="8"/>
      <x:c r="N605" s="8"/>
      <x:c r="O605" s="8" t="s">
        <x:v>1622</x:v>
      </x:c>
      <x:c r="P605" s="8" t="s">
        <x:v>115</x:v>
      </x:c>
      <x:c r="Q605" s="8" t="s">
        <x:v>45</x:v>
      </x:c>
      <x:c r="R605" s="8" t="s">
        <x:v>1623</x:v>
      </x:c>
      <x:c r="S605" s="8" t="s">
        <x:v>914</x:v>
      </x:c>
      <x:c r="T605" s="8" t="s">
        <x:v>27</x:v>
      </x:c>
      <x:c r="U605" s="8" t="s">
        <x:v>883</x:v>
      </x:c>
      <x:c r="V605" s="8" t="s">
        <x:v>1624</x:v>
      </x:c>
    </x:row>
    <x:row r="606" ht="36" hidden="0" customHeight="1">
      <x:c r="A606" s="8" t="s">
        <x:v>1796</x:v>
      </x:c>
      <x:c r="B606" s="8" t="s">
        <x:v>1754</x:v>
      </x:c>
      <x:c r="C606" s="8"/>
      <x:c r="D606" s="8" t="s">
        <x:v>1797</x:v>
      </x:c>
      <x:c r="E606" s="8" t="n">
        <x:v>12</x:v>
      </x:c>
      <x:c r="F606" s="8" t="s">
        <x:v>1617</x:v>
      </x:c>
      <x:c r="G606" s="8" t="s">
        <x:v>109</x:v>
      </x:c>
      <x:c r="H606" s="8" t="s">
        <x:v>1757</x:v>
      </x:c>
      <x:c r="I606" s="8" t="s">
        <x:v>1758</x:v>
      </x:c>
      <x:c r="J606" s="8" t="s">
        <x:v>112</x:v>
      </x:c>
      <x:c r="K606" s="8" t="s">
        <x:v>1777</x:v>
      </x:c>
      <x:c r="L606" s="8" t="s">
        <x:v>1795</x:v>
      </x:c>
      <x:c r="M606" s="8"/>
      <x:c r="N606" s="8"/>
      <x:c r="O606" s="8" t="s">
        <x:v>1622</x:v>
      </x:c>
      <x:c r="P606" s="8" t="s">
        <x:v>115</x:v>
      </x:c>
      <x:c r="Q606" s="8" t="s">
        <x:v>45</x:v>
      </x:c>
      <x:c r="R606" s="8" t="s">
        <x:v>1623</x:v>
      </x:c>
      <x:c r="S606" s="8" t="s">
        <x:v>1670</x:v>
      </x:c>
      <x:c r="T606" s="8" t="s">
        <x:v>27</x:v>
      </x:c>
      <x:c r="U606" s="8" t="s">
        <x:v>883</x:v>
      </x:c>
      <x:c r="V606" s="8" t="s">
        <x:v>1624</x:v>
      </x:c>
    </x:row>
    <x:row r="607" ht="36" hidden="0" customHeight="1">
      <x:c r="A607" s="8" t="s">
        <x:v>1798</x:v>
      </x:c>
      <x:c r="B607" s="8" t="s">
        <x:v>1754</x:v>
      </x:c>
      <x:c r="C607" s="8"/>
      <x:c r="D607" s="8" t="s">
        <x:v>1799</x:v>
      </x:c>
      <x:c r="E607" s="8" t="n">
        <x:v>3</x:v>
      </x:c>
      <x:c r="F607" s="8" t="s">
        <x:v>1617</x:v>
      </x:c>
      <x:c r="G607" s="8" t="s">
        <x:v>109</x:v>
      </x:c>
      <x:c r="H607" s="8" t="s">
        <x:v>1757</x:v>
      </x:c>
      <x:c r="I607" s="8" t="s">
        <x:v>1758</x:v>
      </x:c>
      <x:c r="J607" s="8" t="s">
        <x:v>112</x:v>
      </x:c>
      <x:c r="K607" s="8" t="s">
        <x:v>1777</x:v>
      </x:c>
      <x:c r="L607" s="8" t="s">
        <x:v>1795</x:v>
      </x:c>
      <x:c r="M607" s="8"/>
      <x:c r="N607" s="8"/>
      <x:c r="O607" s="8" t="s">
        <x:v>1622</x:v>
      </x:c>
      <x:c r="P607" s="8" t="s">
        <x:v>115</x:v>
      </x:c>
      <x:c r="Q607" s="8" t="s">
        <x:v>45</x:v>
      </x:c>
      <x:c r="R607" s="8" t="s">
        <x:v>1623</x:v>
      </x:c>
      <x:c r="S607" s="8" t="s">
        <x:v>1670</x:v>
      </x:c>
      <x:c r="T607" s="8" t="s">
        <x:v>27</x:v>
      </x:c>
      <x:c r="U607" s="8" t="s">
        <x:v>883</x:v>
      </x:c>
      <x:c r="V607" s="8" t="s">
        <x:v>1624</x:v>
      </x:c>
    </x:row>
    <x:row r="608" ht="36" hidden="0" customHeight="1">
      <x:c r="A608" s="8" t="s">
        <x:v>1800</x:v>
      </x:c>
      <x:c r="B608" s="8" t="s">
        <x:v>1754</x:v>
      </x:c>
      <x:c r="C608" s="8"/>
      <x:c r="D608" s="8" t="s">
        <x:v>1801</x:v>
      </x:c>
      <x:c r="E608" s="8" t="n">
        <x:v>4</x:v>
      </x:c>
      <x:c r="F608" s="8" t="s">
        <x:v>1617</x:v>
      </x:c>
      <x:c r="G608" s="8" t="s">
        <x:v>109</x:v>
      </x:c>
      <x:c r="H608" s="8" t="s">
        <x:v>1757</x:v>
      </x:c>
      <x:c r="I608" s="8" t="s">
        <x:v>1758</x:v>
      </x:c>
      <x:c r="J608" s="8" t="s">
        <x:v>112</x:v>
      </x:c>
      <x:c r="K608" s="8" t="s">
        <x:v>1777</x:v>
      </x:c>
      <x:c r="L608" s="8" t="s">
        <x:v>1795</x:v>
      </x:c>
      <x:c r="M608" s="8"/>
      <x:c r="N608" s="8"/>
      <x:c r="O608" s="8" t="s">
        <x:v>1622</x:v>
      </x:c>
      <x:c r="P608" s="8" t="s">
        <x:v>115</x:v>
      </x:c>
      <x:c r="Q608" s="8" t="s">
        <x:v>45</x:v>
      </x:c>
      <x:c r="R608" s="8" t="s">
        <x:v>1623</x:v>
      </x:c>
      <x:c r="S608" s="8" t="s">
        <x:v>914</x:v>
      </x:c>
      <x:c r="T608" s="8" t="s">
        <x:v>27</x:v>
      </x:c>
      <x:c r="U608" s="8" t="s">
        <x:v>883</x:v>
      </x:c>
      <x:c r="V608" s="8" t="s">
        <x:v>1624</x:v>
      </x:c>
    </x:row>
    <x:row r="609" ht="36" hidden="0" customHeight="1">
      <x:c r="A609" s="8" t="s">
        <x:v>1802</x:v>
      </x:c>
      <x:c r="B609" s="8" t="s">
        <x:v>1754</x:v>
      </x:c>
      <x:c r="C609" s="8"/>
      <x:c r="D609" s="8" t="s">
        <x:v>1803</x:v>
      </x:c>
      <x:c r="E609" s="8" t="s">
        <x:v>1804</x:v>
      </x:c>
      <x:c r="F609" s="8" t="s">
        <x:v>1617</x:v>
      </x:c>
      <x:c r="G609" s="8" t="s">
        <x:v>187</x:v>
      </x:c>
      <x:c r="H609" s="8" t="s">
        <x:v>1757</x:v>
      </x:c>
      <x:c r="I609" s="8" t="s">
        <x:v>1758</x:v>
      </x:c>
      <x:c r="J609" s="8" t="s">
        <x:v>112</x:v>
      </x:c>
      <x:c r="K609" s="8" t="s">
        <x:v>1805</x:v>
      </x:c>
      <x:c r="L609" s="8" t="s">
        <x:v>1806</x:v>
      </x:c>
      <x:c r="M609" s="8"/>
      <x:c r="N609" s="8"/>
      <x:c r="O609" s="8" t="s">
        <x:v>1622</x:v>
      </x:c>
      <x:c r="P609" s="8" t="s">
        <x:v>115</x:v>
      </x:c>
      <x:c r="Q609" s="8" t="s">
        <x:v>45</x:v>
      </x:c>
      <x:c r="R609" s="8" t="s">
        <x:v>1623</x:v>
      </x:c>
      <x:c r="S609" s="8"/>
      <x:c r="T609" s="8" t="s">
        <x:v>27</x:v>
      </x:c>
      <x:c r="U609" s="8" t="s">
        <x:v>883</x:v>
      </x:c>
      <x:c r="V609" s="8" t="s">
        <x:v>1624</x:v>
      </x:c>
    </x:row>
    <x:row r="610" ht="36" hidden="0" customHeight="1">
      <x:c r="A610" s="8" t="s">
        <x:v>1807</x:v>
      </x:c>
      <x:c r="B610" s="8" t="s">
        <x:v>1754</x:v>
      </x:c>
      <x:c r="C610" s="8"/>
      <x:c r="D610" s="8" t="s">
        <x:v>1808</x:v>
      </x:c>
      <x:c r="E610" s="8" t="s">
        <x:v>1809</x:v>
      </x:c>
      <x:c r="F610" s="8" t="s">
        <x:v>1617</x:v>
      </x:c>
      <x:c r="G610" s="8" t="s">
        <x:v>109</x:v>
      </x:c>
      <x:c r="H610" s="8" t="s">
        <x:v>1757</x:v>
      </x:c>
      <x:c r="I610" s="8" t="s">
        <x:v>1758</x:v>
      </x:c>
      <x:c r="J610" s="8" t="s">
        <x:v>112</x:v>
      </x:c>
      <x:c r="K610" s="8" t="s">
        <x:v>1805</x:v>
      </x:c>
      <x:c r="L610" s="8" t="s">
        <x:v>1810</x:v>
      </x:c>
      <x:c r="M610" s="8"/>
      <x:c r="N610" s="8"/>
      <x:c r="O610" s="8" t="s">
        <x:v>1622</x:v>
      </x:c>
      <x:c r="P610" s="8" t="s">
        <x:v>115</x:v>
      </x:c>
      <x:c r="Q610" s="8" t="s">
        <x:v>45</x:v>
      </x:c>
      <x:c r="R610" s="8" t="s">
        <x:v>1623</x:v>
      </x:c>
      <x:c r="S610" s="8"/>
      <x:c r="T610" s="8" t="s">
        <x:v>27</x:v>
      </x:c>
      <x:c r="U610" s="8" t="s">
        <x:v>883</x:v>
      </x:c>
      <x:c r="V610" s="8" t="s">
        <x:v>1624</x:v>
      </x:c>
    </x:row>
    <x:row r="611" ht="36" hidden="0" customHeight="1">
      <x:c r="A611" s="8" t="s">
        <x:v>1811</x:v>
      </x:c>
      <x:c r="B611" s="8" t="s">
        <x:v>1812</x:v>
      </x:c>
      <x:c r="C611" s="8"/>
      <x:c r="D611" s="8" t="s">
        <x:v>1615</x:v>
      </x:c>
      <x:c r="E611" s="8" t="s">
        <x:v>1813</x:v>
      </x:c>
      <x:c r="F611" s="8" t="s">
        <x:v>1617</x:v>
      </x:c>
      <x:c r="G611" s="8" t="s">
        <x:v>109</x:v>
      </x:c>
      <x:c r="H611" s="8" t="s">
        <x:v>1814</x:v>
      </x:c>
      <x:c r="I611" s="8" t="s">
        <x:v>1815</x:v>
      </x:c>
      <x:c r="J611" s="8" t="s">
        <x:v>112</x:v>
      </x:c>
      <x:c r="K611" s="8" t="s">
        <x:v>1816</x:v>
      </x:c>
      <x:c r="L611" s="8" t="s">
        <x:v>1816</x:v>
      </x:c>
      <x:c r="M611" s="8"/>
      <x:c r="N611" s="8"/>
      <x:c r="O611" s="8" t="s">
        <x:v>1622</x:v>
      </x:c>
      <x:c r="P611" s="8" t="s">
        <x:v>115</x:v>
      </x:c>
      <x:c r="Q611" s="8" t="s">
        <x:v>45</x:v>
      </x:c>
      <x:c r="R611" s="8" t="s">
        <x:v>1623</x:v>
      </x:c>
      <x:c r="S611" s="8"/>
      <x:c r="T611" s="8" t="s">
        <x:v>27</x:v>
      </x:c>
      <x:c r="U611" s="8" t="s">
        <x:v>883</x:v>
      </x:c>
      <x:c r="V611" s="8" t="s">
        <x:v>1624</x:v>
      </x:c>
    </x:row>
    <x:row r="612" ht="36" hidden="0" customHeight="1">
      <x:c r="A612" s="8" t="s">
        <x:v>1817</x:v>
      </x:c>
      <x:c r="B612" s="8" t="s">
        <x:v>1812</x:v>
      </x:c>
      <x:c r="C612" s="8"/>
      <x:c r="D612" s="8" t="s">
        <x:v>1818</x:v>
      </x:c>
      <x:c r="E612" s="8" t="s">
        <x:v>1819</x:v>
      </x:c>
      <x:c r="F612" s="8" t="s">
        <x:v>1617</x:v>
      </x:c>
      <x:c r="G612" s="8" t="s">
        <x:v>109</x:v>
      </x:c>
      <x:c r="H612" s="8" t="s">
        <x:v>1814</x:v>
      </x:c>
      <x:c r="I612" s="8" t="s">
        <x:v>1815</x:v>
      </x:c>
      <x:c r="J612" s="8" t="s">
        <x:v>112</x:v>
      </x:c>
      <x:c r="K612" s="8" t="s">
        <x:v>1816</x:v>
      </x:c>
      <x:c r="L612" s="8" t="s">
        <x:v>1816</x:v>
      </x:c>
      <x:c r="M612" s="8"/>
      <x:c r="N612" s="8"/>
      <x:c r="O612" s="8" t="s">
        <x:v>1622</x:v>
      </x:c>
      <x:c r="P612" s="8" t="s">
        <x:v>115</x:v>
      </x:c>
      <x:c r="Q612" s="8" t="s">
        <x:v>45</x:v>
      </x:c>
      <x:c r="R612" s="8" t="s">
        <x:v>1623</x:v>
      </x:c>
      <x:c r="S612" s="8" t="s">
        <x:v>1820</x:v>
      </x:c>
      <x:c r="T612" s="8" t="s">
        <x:v>27</x:v>
      </x:c>
      <x:c r="U612" s="8" t="s">
        <x:v>883</x:v>
      </x:c>
      <x:c r="V612" s="8" t="s">
        <x:v>1624</x:v>
      </x:c>
    </x:row>
    <x:row r="613" ht="36" hidden="0" customHeight="1">
      <x:c r="A613" s="8" t="s">
        <x:v>1821</x:v>
      </x:c>
      <x:c r="B613" s="8" t="s">
        <x:v>1812</x:v>
      </x:c>
      <x:c r="C613" s="8"/>
      <x:c r="D613" s="8" t="s">
        <x:v>1755</x:v>
      </x:c>
      <x:c r="E613" s="8" t="s">
        <x:v>1822</x:v>
      </x:c>
      <x:c r="F613" s="8" t="s">
        <x:v>1617</x:v>
      </x:c>
      <x:c r="G613" s="8" t="s">
        <x:v>109</x:v>
      </x:c>
      <x:c r="H613" s="8" t="s">
        <x:v>1814</x:v>
      </x:c>
      <x:c r="I613" s="8" t="s">
        <x:v>1815</x:v>
      </x:c>
      <x:c r="J613" s="8" t="s">
        <x:v>112</x:v>
      </x:c>
      <x:c r="K613" s="8" t="s">
        <x:v>1816</x:v>
      </x:c>
      <x:c r="L613" s="8" t="s">
        <x:v>1816</x:v>
      </x:c>
      <x:c r="M613" s="8"/>
      <x:c r="N613" s="8"/>
      <x:c r="O613" s="8" t="s">
        <x:v>1622</x:v>
      </x:c>
      <x:c r="P613" s="8" t="s">
        <x:v>115</x:v>
      </x:c>
      <x:c r="Q613" s="8" t="s">
        <x:v>45</x:v>
      </x:c>
      <x:c r="R613" s="8" t="s">
        <x:v>1623</x:v>
      </x:c>
      <x:c r="S613" s="8"/>
      <x:c r="T613" s="8" t="s">
        <x:v>27</x:v>
      </x:c>
      <x:c r="U613" s="8" t="s">
        <x:v>883</x:v>
      </x:c>
      <x:c r="V613" s="8" t="s">
        <x:v>1624</x:v>
      </x:c>
    </x:row>
    <x:row r="614" ht="36" hidden="0" customHeight="1">
      <x:c r="A614" s="8" t="s">
        <x:v>1823</x:v>
      </x:c>
      <x:c r="B614" s="8" t="s">
        <x:v>1812</x:v>
      </x:c>
      <x:c r="C614" s="8"/>
      <x:c r="D614" s="8" t="s">
        <x:v>1824</x:v>
      </x:c>
      <x:c r="E614" s="8" t="s">
        <x:v>1825</x:v>
      </x:c>
      <x:c r="F614" s="8" t="s">
        <x:v>1617</x:v>
      </x:c>
      <x:c r="G614" s="8" t="s">
        <x:v>109</x:v>
      </x:c>
      <x:c r="H614" s="8" t="s">
        <x:v>1814</x:v>
      </x:c>
      <x:c r="I614" s="8" t="s">
        <x:v>1815</x:v>
      </x:c>
      <x:c r="J614" s="8" t="s">
        <x:v>112</x:v>
      </x:c>
      <x:c r="K614" s="8" t="s">
        <x:v>1816</x:v>
      </x:c>
      <x:c r="L614" s="8" t="s">
        <x:v>1816</x:v>
      </x:c>
      <x:c r="M614" s="8"/>
      <x:c r="N614" s="8"/>
      <x:c r="O614" s="8" t="s">
        <x:v>1622</x:v>
      </x:c>
      <x:c r="P614" s="8" t="s">
        <x:v>115</x:v>
      </x:c>
      <x:c r="Q614" s="8" t="s">
        <x:v>45</x:v>
      </x:c>
      <x:c r="R614" s="8" t="s">
        <x:v>1623</x:v>
      </x:c>
      <x:c r="S614" s="8"/>
      <x:c r="T614" s="8" t="s">
        <x:v>27</x:v>
      </x:c>
      <x:c r="U614" s="8" t="s">
        <x:v>883</x:v>
      </x:c>
      <x:c r="V614" s="8" t="s">
        <x:v>1624</x:v>
      </x:c>
    </x:row>
    <x:row r="615" ht="36" hidden="0" customHeight="1">
      <x:c r="A615" s="8" t="s">
        <x:v>1826</x:v>
      </x:c>
      <x:c r="B615" s="8" t="s">
        <x:v>1812</x:v>
      </x:c>
      <x:c r="C615" s="8"/>
      <x:c r="D615" s="8" t="s">
        <x:v>1827</x:v>
      </x:c>
      <x:c r="E615" s="8" t="n">
        <x:v>50</x:v>
      </x:c>
      <x:c r="F615" s="8" t="s">
        <x:v>1617</x:v>
      </x:c>
      <x:c r="G615" s="8" t="s">
        <x:v>109</x:v>
      </x:c>
      <x:c r="H615" s="8" t="s">
        <x:v>1814</x:v>
      </x:c>
      <x:c r="I615" s="8" t="s">
        <x:v>1815</x:v>
      </x:c>
      <x:c r="J615" s="8" t="s">
        <x:v>112</x:v>
      </x:c>
      <x:c r="K615" s="8" t="s">
        <x:v>1816</x:v>
      </x:c>
      <x:c r="L615" s="8" t="s">
        <x:v>1816</x:v>
      </x:c>
      <x:c r="M615" s="8"/>
      <x:c r="N615" s="8"/>
      <x:c r="O615" s="8" t="s">
        <x:v>1622</x:v>
      </x:c>
      <x:c r="P615" s="8" t="s">
        <x:v>115</x:v>
      </x:c>
      <x:c r="Q615" s="8" t="s">
        <x:v>45</x:v>
      </x:c>
      <x:c r="R615" s="8" t="s">
        <x:v>1623</x:v>
      </x:c>
      <x:c r="S615" s="8" t="s">
        <x:v>1828</x:v>
      </x:c>
      <x:c r="T615" s="8" t="s">
        <x:v>27</x:v>
      </x:c>
      <x:c r="U615" s="8" t="s">
        <x:v>883</x:v>
      </x:c>
      <x:c r="V615" s="8" t="s">
        <x:v>1624</x:v>
      </x:c>
    </x:row>
    <x:row r="616" ht="36" hidden="0" customHeight="1">
      <x:c r="A616" s="8" t="s">
        <x:v>1829</x:v>
      </x:c>
      <x:c r="B616" s="8" t="s">
        <x:v>1812</x:v>
      </x:c>
      <x:c r="C616" s="8"/>
      <x:c r="D616" s="8" t="s">
        <x:v>1830</x:v>
      </x:c>
      <x:c r="E616" s="8" t="n">
        <x:v>0.1</x:v>
      </x:c>
      <x:c r="F616" s="8" t="s">
        <x:v>1617</x:v>
      </x:c>
      <x:c r="G616" s="8" t="s">
        <x:v>109</x:v>
      </x:c>
      <x:c r="H616" s="8" t="s">
        <x:v>1814</x:v>
      </x:c>
      <x:c r="I616" s="8" t="s">
        <x:v>1815</x:v>
      </x:c>
      <x:c r="J616" s="8" t="s">
        <x:v>112</x:v>
      </x:c>
      <x:c r="K616" s="8" t="s">
        <x:v>1816</x:v>
      </x:c>
      <x:c r="L616" s="8" t="s">
        <x:v>1816</x:v>
      </x:c>
      <x:c r="M616" s="8"/>
      <x:c r="N616" s="8"/>
      <x:c r="O616" s="8" t="s">
        <x:v>1622</x:v>
      </x:c>
      <x:c r="P616" s="8" t="s">
        <x:v>115</x:v>
      </x:c>
      <x:c r="Q616" s="8" t="s">
        <x:v>45</x:v>
      </x:c>
      <x:c r="R616" s="8" t="s">
        <x:v>1623</x:v>
      </x:c>
      <x:c r="S616" s="8"/>
      <x:c r="T616" s="8" t="s">
        <x:v>27</x:v>
      </x:c>
      <x:c r="U616" s="8" t="s">
        <x:v>883</x:v>
      </x:c>
      <x:c r="V616" s="8" t="s">
        <x:v>1624</x:v>
      </x:c>
    </x:row>
    <x:row r="617" ht="36" hidden="0" customHeight="1">
      <x:c r="A617" s="8" t="s">
        <x:v>1831</x:v>
      </x:c>
      <x:c r="B617" s="8" t="s">
        <x:v>1812</x:v>
      </x:c>
      <x:c r="C617" s="8"/>
      <x:c r="D617" s="8" t="s">
        <x:v>1832</x:v>
      </x:c>
      <x:c r="E617" s="8" t="n">
        <x:v>0.01</x:v>
      </x:c>
      <x:c r="F617" s="8" t="s">
        <x:v>1617</x:v>
      </x:c>
      <x:c r="G617" s="8" t="s">
        <x:v>109</x:v>
      </x:c>
      <x:c r="H617" s="8" t="s">
        <x:v>1814</x:v>
      </x:c>
      <x:c r="I617" s="8" t="s">
        <x:v>1815</x:v>
      </x:c>
      <x:c r="J617" s="8" t="s">
        <x:v>112</x:v>
      </x:c>
      <x:c r="K617" s="8" t="s">
        <x:v>1816</x:v>
      </x:c>
      <x:c r="L617" s="8" t="s">
        <x:v>1816</x:v>
      </x:c>
      <x:c r="M617" s="8"/>
      <x:c r="N617" s="8"/>
      <x:c r="O617" s="8" t="s">
        <x:v>1622</x:v>
      </x:c>
      <x:c r="P617" s="8" t="s">
        <x:v>115</x:v>
      </x:c>
      <x:c r="Q617" s="8" t="s">
        <x:v>45</x:v>
      </x:c>
      <x:c r="R617" s="8" t="s">
        <x:v>1623</x:v>
      </x:c>
      <x:c r="S617" s="8"/>
      <x:c r="T617" s="8" t="s">
        <x:v>27</x:v>
      </x:c>
      <x:c r="U617" s="8" t="s">
        <x:v>883</x:v>
      </x:c>
      <x:c r="V617" s="8" t="s">
        <x:v>1624</x:v>
      </x:c>
    </x:row>
    <x:row r="618" ht="36" hidden="0" customHeight="1">
      <x:c r="A618" s="8" t="s">
        <x:v>1833</x:v>
      </x:c>
      <x:c r="B618" s="8" t="s">
        <x:v>1812</x:v>
      </x:c>
      <x:c r="C618" s="8"/>
      <x:c r="D618" s="8" t="s">
        <x:v>1834</x:v>
      </x:c>
      <x:c r="E618" s="8" t="n">
        <x:v>5</x:v>
      </x:c>
      <x:c r="F618" s="8" t="s">
        <x:v>1617</x:v>
      </x:c>
      <x:c r="G618" s="8" t="s">
        <x:v>109</x:v>
      </x:c>
      <x:c r="H618" s="8" t="s">
        <x:v>1814</x:v>
      </x:c>
      <x:c r="I618" s="8" t="s">
        <x:v>1815</x:v>
      </x:c>
      <x:c r="J618" s="8" t="s">
        <x:v>112</x:v>
      </x:c>
      <x:c r="K618" s="8" t="s">
        <x:v>1816</x:v>
      </x:c>
      <x:c r="L618" s="8" t="s">
        <x:v>1816</x:v>
      </x:c>
      <x:c r="M618" s="8"/>
      <x:c r="N618" s="8"/>
      <x:c r="O618" s="8" t="s">
        <x:v>1622</x:v>
      </x:c>
      <x:c r="P618" s="8" t="s">
        <x:v>115</x:v>
      </x:c>
      <x:c r="Q618" s="8" t="s">
        <x:v>45</x:v>
      </x:c>
      <x:c r="R618" s="8" t="s">
        <x:v>1623</x:v>
      </x:c>
      <x:c r="S618" s="8"/>
      <x:c r="T618" s="8" t="s">
        <x:v>27</x:v>
      </x:c>
      <x:c r="U618" s="8" t="s">
        <x:v>883</x:v>
      </x:c>
      <x:c r="V618" s="8" t="s">
        <x:v>1624</x:v>
      </x:c>
    </x:row>
    <x:row r="619" ht="36" hidden="0" customHeight="1">
      <x:c r="A619" s="8" t="s">
        <x:v>1835</x:v>
      </x:c>
      <x:c r="B619" s="8" t="s">
        <x:v>1812</x:v>
      </x:c>
      <x:c r="C619" s="8"/>
      <x:c r="D619" s="8" t="s">
        <x:v>1836</x:v>
      </x:c>
      <x:c r="E619" s="8" t="n">
        <x:v>2</x:v>
      </x:c>
      <x:c r="F619" s="8" t="s">
        <x:v>1617</x:v>
      </x:c>
      <x:c r="G619" s="8" t="s">
        <x:v>109</x:v>
      </x:c>
      <x:c r="H619" s="8" t="s">
        <x:v>1814</x:v>
      </x:c>
      <x:c r="I619" s="8" t="s">
        <x:v>1815</x:v>
      </x:c>
      <x:c r="J619" s="8" t="s">
        <x:v>112</x:v>
      </x:c>
      <x:c r="K619" s="8" t="s">
        <x:v>1816</x:v>
      </x:c>
      <x:c r="L619" s="8" t="s">
        <x:v>1816</x:v>
      </x:c>
      <x:c r="M619" s="8"/>
      <x:c r="N619" s="8"/>
      <x:c r="O619" s="8" t="s">
        <x:v>1622</x:v>
      </x:c>
      <x:c r="P619" s="8" t="s">
        <x:v>115</x:v>
      </x:c>
      <x:c r="Q619" s="8" t="s">
        <x:v>45</x:v>
      </x:c>
      <x:c r="R619" s="8" t="s">
        <x:v>1623</x:v>
      </x:c>
      <x:c r="S619" s="8"/>
      <x:c r="T619" s="8" t="s">
        <x:v>27</x:v>
      </x:c>
      <x:c r="U619" s="8" t="s">
        <x:v>883</x:v>
      </x:c>
      <x:c r="V619" s="8" t="s">
        <x:v>1624</x:v>
      </x:c>
    </x:row>
    <x:row r="620" ht="36" hidden="0" customHeight="1">
      <x:c r="A620" s="8" t="s">
        <x:v>1837</x:v>
      </x:c>
      <x:c r="B620" s="8" t="s">
        <x:v>1812</x:v>
      </x:c>
      <x:c r="C620" s="8"/>
      <x:c r="D620" s="8" t="s">
        <x:v>1838</x:v>
      </x:c>
      <x:c r="E620" s="8" t="s">
        <x:v>1839</x:v>
      </x:c>
      <x:c r="F620" s="8" t="s">
        <x:v>1617</x:v>
      </x:c>
      <x:c r="G620" s="8" t="s">
        <x:v>109</x:v>
      </x:c>
      <x:c r="H620" s="8" t="s">
        <x:v>1814</x:v>
      </x:c>
      <x:c r="I620" s="8" t="s">
        <x:v>1815</x:v>
      </x:c>
      <x:c r="J620" s="8" t="s">
        <x:v>112</x:v>
      </x:c>
      <x:c r="K620" s="8" t="s">
        <x:v>1840</x:v>
      </x:c>
      <x:c r="L620" s="8" t="s">
        <x:v>1840</x:v>
      </x:c>
      <x:c r="M620" s="8"/>
      <x:c r="N620" s="8"/>
      <x:c r="O620" s="8" t="s">
        <x:v>1622</x:v>
      </x:c>
      <x:c r="P620" s="8" t="s">
        <x:v>115</x:v>
      </x:c>
      <x:c r="Q620" s="8" t="s">
        <x:v>45</x:v>
      </x:c>
      <x:c r="R620" s="8" t="s">
        <x:v>1623</x:v>
      </x:c>
      <x:c r="S620" s="8"/>
      <x:c r="T620" s="8" t="s">
        <x:v>27</x:v>
      </x:c>
      <x:c r="U620" s="8" t="s">
        <x:v>883</x:v>
      </x:c>
      <x:c r="V620" s="8" t="s">
        <x:v>1624</x:v>
      </x:c>
    </x:row>
    <x:row r="621" ht="36" hidden="0" customHeight="1">
      <x:c r="A621" s="8" t="s">
        <x:v>1841</x:v>
      </x:c>
      <x:c r="B621" s="8" t="s">
        <x:v>1812</x:v>
      </x:c>
      <x:c r="C621" s="8"/>
      <x:c r="D621" s="8" t="s">
        <x:v>1842</x:v>
      </x:c>
      <x:c r="E621" s="8" t="s">
        <x:v>1843</x:v>
      </x:c>
      <x:c r="F621" s="8" t="s">
        <x:v>1617</x:v>
      </x:c>
      <x:c r="G621" s="8" t="s">
        <x:v>109</x:v>
      </x:c>
      <x:c r="H621" s="8" t="s">
        <x:v>1814</x:v>
      </x:c>
      <x:c r="I621" s="8" t="s">
        <x:v>1815</x:v>
      </x:c>
      <x:c r="J621" s="8" t="s">
        <x:v>112</x:v>
      </x:c>
      <x:c r="K621" s="8" t="s">
        <x:v>1696</x:v>
      </x:c>
      <x:c r="L621" s="8" t="s">
        <x:v>1696</x:v>
      </x:c>
      <x:c r="M621" s="8"/>
      <x:c r="N621" s="8"/>
      <x:c r="O621" s="8" t="s">
        <x:v>1622</x:v>
      </x:c>
      <x:c r="P621" s="8" t="s">
        <x:v>115</x:v>
      </x:c>
      <x:c r="Q621" s="8" t="s">
        <x:v>45</x:v>
      </x:c>
      <x:c r="R621" s="8" t="s">
        <x:v>1623</x:v>
      </x:c>
      <x:c r="S621" s="8"/>
      <x:c r="T621" s="8" t="s">
        <x:v>27</x:v>
      </x:c>
      <x:c r="U621" s="8" t="s">
        <x:v>883</x:v>
      </x:c>
      <x:c r="V621" s="8" t="s">
        <x:v>1624</x:v>
      </x:c>
    </x:row>
    <x:row r="622" ht="36" hidden="0" customHeight="1">
      <x:c r="A622" s="8" t="s">
        <x:v>1844</x:v>
      </x:c>
      <x:c r="B622" s="8" t="s">
        <x:v>1845</x:v>
      </x:c>
      <x:c r="C622" s="8"/>
      <x:c r="D622" s="8" t="s">
        <x:v>233</x:v>
      </x:c>
      <x:c r="E622" s="8" t="s">
        <x:v>1846</x:v>
      </x:c>
      <x:c r="F622" s="8" t="s">
        <x:v>1617</x:v>
      </x:c>
      <x:c r="G622" s="8" t="s">
        <x:v>109</x:v>
      </x:c>
      <x:c r="H622" s="8" t="s">
        <x:v>1847</x:v>
      </x:c>
      <x:c r="I622" s="8" t="s">
        <x:v>1848</x:v>
      </x:c>
      <x:c r="J622" s="8" t="s">
        <x:v>112</x:v>
      </x:c>
      <x:c r="K622" s="8" t="s">
        <x:v>1849</x:v>
      </x:c>
      <x:c r="L622" s="8" t="s">
        <x:v>1849</x:v>
      </x:c>
      <x:c r="M622" s="8"/>
      <x:c r="N622" s="8"/>
      <x:c r="O622" s="8" t="s">
        <x:v>1622</x:v>
      </x:c>
      <x:c r="P622" s="8" t="s">
        <x:v>115</x:v>
      </x:c>
      <x:c r="Q622" s="8" t="s">
        <x:v>45</x:v>
      </x:c>
      <x:c r="R622" s="8" t="s">
        <x:v>1623</x:v>
      </x:c>
      <x:c r="S622" s="8"/>
      <x:c r="T622" s="8" t="s">
        <x:v>27</x:v>
      </x:c>
      <x:c r="U622" s="8" t="s">
        <x:v>883</x:v>
      </x:c>
      <x:c r="V622" s="8" t="s">
        <x:v>1624</x:v>
      </x:c>
    </x:row>
    <x:row r="623" ht="36" hidden="0" customHeight="1">
      <x:c r="A623" s="8" t="s">
        <x:v>1850</x:v>
      </x:c>
      <x:c r="B623" s="8" t="s">
        <x:v>1845</x:v>
      </x:c>
      <x:c r="C623" s="8"/>
      <x:c r="D623" s="8" t="s">
        <x:v>237</x:v>
      </x:c>
      <x:c r="E623" s="8" t="s">
        <x:v>1851</x:v>
      </x:c>
      <x:c r="F623" s="8" t="s">
        <x:v>1617</x:v>
      </x:c>
      <x:c r="G623" s="8" t="s">
        <x:v>109</x:v>
      </x:c>
      <x:c r="H623" s="8" t="s">
        <x:v>1847</x:v>
      </x:c>
      <x:c r="I623" s="8" t="s">
        <x:v>1848</x:v>
      </x:c>
      <x:c r="J623" s="8" t="s">
        <x:v>112</x:v>
      </x:c>
      <x:c r="K623" s="8" t="s">
        <x:v>1849</x:v>
      </x:c>
      <x:c r="L623" s="8" t="s">
        <x:v>1849</x:v>
      </x:c>
      <x:c r="M623" s="8"/>
      <x:c r="N623" s="8"/>
      <x:c r="O623" s="8" t="s">
        <x:v>1622</x:v>
      </x:c>
      <x:c r="P623" s="8" t="s">
        <x:v>115</x:v>
      </x:c>
      <x:c r="Q623" s="8" t="s">
        <x:v>45</x:v>
      </x:c>
      <x:c r="R623" s="8" t="s">
        <x:v>1623</x:v>
      </x:c>
      <x:c r="S623" s="8"/>
      <x:c r="T623" s="8" t="s">
        <x:v>27</x:v>
      </x:c>
      <x:c r="U623" s="8" t="s">
        <x:v>883</x:v>
      </x:c>
      <x:c r="V623" s="8" t="s">
        <x:v>1624</x:v>
      </x:c>
    </x:row>
    <x:row r="624" ht="36" hidden="0" customHeight="1">
      <x:c r="A624" s="8" t="s">
        <x:v>1852</x:v>
      </x:c>
      <x:c r="B624" s="8" t="s">
        <x:v>1845</x:v>
      </x:c>
      <x:c r="C624" s="8"/>
      <x:c r="D624" s="8" t="s">
        <x:v>1853</x:v>
      </x:c>
      <x:c r="E624" s="8" t="s">
        <x:v>1854</x:v>
      </x:c>
      <x:c r="F624" s="8" t="s">
        <x:v>1617</x:v>
      </x:c>
      <x:c r="G624" s="8" t="s">
        <x:v>109</x:v>
      </x:c>
      <x:c r="H624" s="8" t="s">
        <x:v>1847</x:v>
      </x:c>
      <x:c r="I624" s="8" t="s">
        <x:v>1848</x:v>
      </x:c>
      <x:c r="J624" s="8" t="s">
        <x:v>112</x:v>
      </x:c>
      <x:c r="K624" s="8" t="s">
        <x:v>1849</x:v>
      </x:c>
      <x:c r="L624" s="8" t="s">
        <x:v>1849</x:v>
      </x:c>
      <x:c r="M624" s="8"/>
      <x:c r="N624" s="8"/>
      <x:c r="O624" s="8" t="s">
        <x:v>1622</x:v>
      </x:c>
      <x:c r="P624" s="8" t="s">
        <x:v>115</x:v>
      </x:c>
      <x:c r="Q624" s="8" t="s">
        <x:v>45</x:v>
      </x:c>
      <x:c r="R624" s="8" t="s">
        <x:v>1623</x:v>
      </x:c>
      <x:c r="S624" s="8"/>
      <x:c r="T624" s="8" t="s">
        <x:v>27</x:v>
      </x:c>
      <x:c r="U624" s="8" t="s">
        <x:v>883</x:v>
      </x:c>
      <x:c r="V624" s="8" t="s">
        <x:v>1624</x:v>
      </x:c>
    </x:row>
    <x:row r="625" ht="36" hidden="0" customHeight="1">
      <x:c r="A625" s="8" t="s">
        <x:v>1855</x:v>
      </x:c>
      <x:c r="B625" s="8" t="s">
        <x:v>1845</x:v>
      </x:c>
      <x:c r="C625" s="8"/>
      <x:c r="D625" s="8" t="s">
        <x:v>1856</x:v>
      </x:c>
      <x:c r="E625" s="8" t="s">
        <x:v>1857</x:v>
      </x:c>
      <x:c r="F625" s="8" t="s">
        <x:v>1617</x:v>
      </x:c>
      <x:c r="G625" s="8" t="s">
        <x:v>109</x:v>
      </x:c>
      <x:c r="H625" s="8" t="s">
        <x:v>1847</x:v>
      </x:c>
      <x:c r="I625" s="8" t="s">
        <x:v>1848</x:v>
      </x:c>
      <x:c r="J625" s="8" t="s">
        <x:v>112</x:v>
      </x:c>
      <x:c r="K625" s="8" t="s">
        <x:v>1858</x:v>
      </x:c>
      <x:c r="L625" s="8" t="s">
        <x:v>1858</x:v>
      </x:c>
      <x:c r="M625" s="8"/>
      <x:c r="N625" s="8"/>
      <x:c r="O625" s="8" t="s">
        <x:v>1622</x:v>
      </x:c>
      <x:c r="P625" s="8" t="s">
        <x:v>115</x:v>
      </x:c>
      <x:c r="Q625" s="8" t="s">
        <x:v>45</x:v>
      </x:c>
      <x:c r="R625" s="8" t="s">
        <x:v>1623</x:v>
      </x:c>
      <x:c r="S625" s="8"/>
      <x:c r="T625" s="8" t="s">
        <x:v>27</x:v>
      </x:c>
      <x:c r="U625" s="8" t="s">
        <x:v>883</x:v>
      </x:c>
      <x:c r="V625" s="8" t="s">
        <x:v>1624</x:v>
      </x:c>
    </x:row>
    <x:row r="626" ht="36" hidden="0" customHeight="1">
      <x:c r="A626" s="8" t="s">
        <x:v>1859</x:v>
      </x:c>
      <x:c r="B626" s="8" t="s">
        <x:v>1845</x:v>
      </x:c>
      <x:c r="C626" s="8"/>
      <x:c r="D626" s="8" t="s">
        <x:v>1860</x:v>
      </x:c>
      <x:c r="E626" s="8" t="n">
        <x:v>96</x:v>
      </x:c>
      <x:c r="F626" s="8" t="s">
        <x:v>1617</x:v>
      </x:c>
      <x:c r="G626" s="8" t="s">
        <x:v>109</x:v>
      </x:c>
      <x:c r="H626" s="8" t="s">
        <x:v>1847</x:v>
      </x:c>
      <x:c r="I626" s="8" t="s">
        <x:v>1848</x:v>
      </x:c>
      <x:c r="J626" s="8" t="s">
        <x:v>112</x:v>
      </x:c>
      <x:c r="K626" s="8" t="s">
        <x:v>1858</x:v>
      </x:c>
      <x:c r="L626" s="8" t="s">
        <x:v>1858</x:v>
      </x:c>
      <x:c r="M626" s="8"/>
      <x:c r="N626" s="8"/>
      <x:c r="O626" s="8" t="s">
        <x:v>1622</x:v>
      </x:c>
      <x:c r="P626" s="8" t="s">
        <x:v>115</x:v>
      </x:c>
      <x:c r="Q626" s="8" t="s">
        <x:v>45</x:v>
      </x:c>
      <x:c r="R626" s="8" t="s">
        <x:v>1623</x:v>
      </x:c>
      <x:c r="S626" s="8" t="s">
        <x:v>1670</x:v>
      </x:c>
      <x:c r="T626" s="8" t="s">
        <x:v>27</x:v>
      </x:c>
      <x:c r="U626" s="8" t="s">
        <x:v>883</x:v>
      </x:c>
      <x:c r="V626" s="8" t="s">
        <x:v>1624</x:v>
      </x:c>
    </x:row>
    <x:row r="627" ht="36" hidden="0" customHeight="1">
      <x:c r="A627" s="8" t="s">
        <x:v>1861</x:v>
      </x:c>
      <x:c r="B627" s="8" t="s">
        <x:v>1845</x:v>
      </x:c>
      <x:c r="C627" s="8"/>
      <x:c r="D627" s="8" t="s">
        <x:v>1862</x:v>
      </x:c>
      <x:c r="E627" s="8" t="n">
        <x:v>1</x:v>
      </x:c>
      <x:c r="F627" s="8" t="s">
        <x:v>1617</x:v>
      </x:c>
      <x:c r="G627" s="8" t="s">
        <x:v>109</x:v>
      </x:c>
      <x:c r="H627" s="8" t="s">
        <x:v>1847</x:v>
      </x:c>
      <x:c r="I627" s="8" t="s">
        <x:v>1848</x:v>
      </x:c>
      <x:c r="J627" s="8" t="s">
        <x:v>112</x:v>
      </x:c>
      <x:c r="K627" s="8" t="s">
        <x:v>1858</x:v>
      </x:c>
      <x:c r="L627" s="8" t="s">
        <x:v>1858</x:v>
      </x:c>
      <x:c r="M627" s="8"/>
      <x:c r="N627" s="8"/>
      <x:c r="O627" s="8" t="s">
        <x:v>1622</x:v>
      </x:c>
      <x:c r="P627" s="8" t="s">
        <x:v>115</x:v>
      </x:c>
      <x:c r="Q627" s="8" t="s">
        <x:v>45</x:v>
      </x:c>
      <x:c r="R627" s="8" t="s">
        <x:v>1623</x:v>
      </x:c>
      <x:c r="S627" s="8" t="s">
        <x:v>1670</x:v>
      </x:c>
      <x:c r="T627" s="8" t="s">
        <x:v>27</x:v>
      </x:c>
      <x:c r="U627" s="8" t="s">
        <x:v>883</x:v>
      </x:c>
      <x:c r="V627" s="8" t="s">
        <x:v>1624</x:v>
      </x:c>
    </x:row>
    <x:row r="628" ht="36" hidden="0" customHeight="1">
      <x:c r="A628" s="8" t="s">
        <x:v>1863</x:v>
      </x:c>
      <x:c r="B628" s="8" t="s">
        <x:v>1845</x:v>
      </x:c>
      <x:c r="C628" s="8"/>
      <x:c r="D628" s="8" t="s">
        <x:v>1864</x:v>
      </x:c>
      <x:c r="E628" s="8" t="s">
        <x:v>1865</x:v>
      </x:c>
      <x:c r="F628" s="8" t="s">
        <x:v>1617</x:v>
      </x:c>
      <x:c r="G628" s="8" t="s">
        <x:v>109</x:v>
      </x:c>
      <x:c r="H628" s="8" t="s">
        <x:v>1847</x:v>
      </x:c>
      <x:c r="I628" s="8" t="s">
        <x:v>1848</x:v>
      </x:c>
      <x:c r="J628" s="8" t="s">
        <x:v>112</x:v>
      </x:c>
      <x:c r="K628" s="8" t="s">
        <x:v>1858</x:v>
      </x:c>
      <x:c r="L628" s="8" t="s">
        <x:v>1858</x:v>
      </x:c>
      <x:c r="M628" s="8"/>
      <x:c r="N628" s="8"/>
      <x:c r="O628" s="8" t="s">
        <x:v>1622</x:v>
      </x:c>
      <x:c r="P628" s="8" t="s">
        <x:v>115</x:v>
      </x:c>
      <x:c r="Q628" s="8" t="s">
        <x:v>45</x:v>
      </x:c>
      <x:c r="R628" s="8" t="s">
        <x:v>1623</x:v>
      </x:c>
      <x:c r="S628" s="8"/>
      <x:c r="T628" s="8" t="s">
        <x:v>27</x:v>
      </x:c>
      <x:c r="U628" s="8" t="s">
        <x:v>883</x:v>
      </x:c>
      <x:c r="V628" s="8" t="s">
        <x:v>1624</x:v>
      </x:c>
    </x:row>
    <x:row r="629" ht="36" hidden="0" customHeight="1">
      <x:c r="A629" s="8" t="s">
        <x:v>1866</x:v>
      </x:c>
      <x:c r="B629" s="8" t="s">
        <x:v>1845</x:v>
      </x:c>
      <x:c r="C629" s="8"/>
      <x:c r="D629" s="8" t="s">
        <x:v>164</x:v>
      </x:c>
      <x:c r="E629" s="8" t="s">
        <x:v>165</x:v>
      </x:c>
      <x:c r="F629" s="8" t="s">
        <x:v>1617</x:v>
      </x:c>
      <x:c r="G629" s="8" t="s">
        <x:v>109</x:v>
      </x:c>
      <x:c r="H629" s="8" t="s">
        <x:v>1847</x:v>
      </x:c>
      <x:c r="I629" s="8" t="s">
        <x:v>1848</x:v>
      </x:c>
      <x:c r="J629" s="8" t="s">
        <x:v>112</x:v>
      </x:c>
      <x:c r="K629" s="8" t="s">
        <x:v>1858</x:v>
      </x:c>
      <x:c r="L629" s="8" t="s">
        <x:v>1858</x:v>
      </x:c>
      <x:c r="M629" s="8"/>
      <x:c r="N629" s="8"/>
      <x:c r="O629" s="8" t="s">
        <x:v>1622</x:v>
      </x:c>
      <x:c r="P629" s="8" t="s">
        <x:v>115</x:v>
      </x:c>
      <x:c r="Q629" s="8" t="s">
        <x:v>45</x:v>
      </x:c>
      <x:c r="R629" s="8" t="s">
        <x:v>1623</x:v>
      </x:c>
      <x:c r="S629" s="8"/>
      <x:c r="T629" s="8" t="s">
        <x:v>27</x:v>
      </x:c>
      <x:c r="U629" s="8" t="s">
        <x:v>883</x:v>
      </x:c>
      <x:c r="V629" s="8" t="s">
        <x:v>1624</x:v>
      </x:c>
    </x:row>
    <x:row r="630" ht="36" hidden="0" customHeight="1">
      <x:c r="A630" s="8" t="s">
        <x:v>1867</x:v>
      </x:c>
      <x:c r="B630" s="8" t="s">
        <x:v>1845</x:v>
      </x:c>
      <x:c r="C630" s="8"/>
      <x:c r="D630" s="8" t="s">
        <x:v>1868</x:v>
      </x:c>
      <x:c r="E630" s="8" t="s">
        <x:v>1869</x:v>
      </x:c>
      <x:c r="F630" s="8" t="s">
        <x:v>1617</x:v>
      </x:c>
      <x:c r="G630" s="8" t="s">
        <x:v>187</x:v>
      </x:c>
      <x:c r="H630" s="8" t="s">
        <x:v>1847</x:v>
      </x:c>
      <x:c r="I630" s="8" t="s">
        <x:v>1848</x:v>
      </x:c>
      <x:c r="J630" s="8" t="s">
        <x:v>112</x:v>
      </x:c>
      <x:c r="K630" s="8" t="s">
        <x:v>1858</x:v>
      </x:c>
      <x:c r="L630" s="8" t="s">
        <x:v>1858</x:v>
      </x:c>
      <x:c r="M630" s="8"/>
      <x:c r="N630" s="8"/>
      <x:c r="O630" s="8" t="s">
        <x:v>1622</x:v>
      </x:c>
      <x:c r="P630" s="8" t="s">
        <x:v>115</x:v>
      </x:c>
      <x:c r="Q630" s="8" t="s">
        <x:v>45</x:v>
      </x:c>
      <x:c r="R630" s="8" t="s">
        <x:v>1623</x:v>
      </x:c>
      <x:c r="S630" s="8"/>
      <x:c r="T630" s="8" t="s">
        <x:v>27</x:v>
      </x:c>
      <x:c r="U630" s="8" t="s">
        <x:v>883</x:v>
      </x:c>
      <x:c r="V630" s="8" t="s">
        <x:v>1624</x:v>
      </x:c>
    </x:row>
    <x:row r="631" ht="36" hidden="0" customHeight="1">
      <x:c r="A631" s="8" t="s">
        <x:v>1870</x:v>
      </x:c>
      <x:c r="B631" s="8" t="s">
        <x:v>1871</x:v>
      </x:c>
      <x:c r="C631" s="8"/>
      <x:c r="D631" s="8" t="s">
        <x:v>1615</x:v>
      </x:c>
      <x:c r="E631" s="8" t="s">
        <x:v>1872</x:v>
      </x:c>
      <x:c r="F631" s="8" t="s">
        <x:v>1617</x:v>
      </x:c>
      <x:c r="G631" s="8" t="s">
        <x:v>109</x:v>
      </x:c>
      <x:c r="H631" s="8" t="s">
        <x:v>1873</x:v>
      </x:c>
      <x:c r="I631" s="8" t="s">
        <x:v>1874</x:v>
      </x:c>
      <x:c r="J631" s="8" t="s">
        <x:v>112</x:v>
      </x:c>
      <x:c r="K631" s="8" t="s">
        <x:v>1875</x:v>
      </x:c>
      <x:c r="L631" s="8" t="s">
        <x:v>1875</x:v>
      </x:c>
      <x:c r="M631" s="8"/>
      <x:c r="N631" s="8"/>
      <x:c r="O631" s="8" t="s">
        <x:v>1622</x:v>
      </x:c>
      <x:c r="P631" s="8" t="s">
        <x:v>115</x:v>
      </x:c>
      <x:c r="Q631" s="8" t="s">
        <x:v>45</x:v>
      </x:c>
      <x:c r="R631" s="8" t="s">
        <x:v>1623</x:v>
      </x:c>
      <x:c r="S631" s="8"/>
      <x:c r="T631" s="8" t="s">
        <x:v>27</x:v>
      </x:c>
      <x:c r="U631" s="8" t="s">
        <x:v>883</x:v>
      </x:c>
      <x:c r="V631" s="8" t="s">
        <x:v>1624</x:v>
      </x:c>
    </x:row>
    <x:row r="632" ht="36" hidden="0" customHeight="1">
      <x:c r="A632" s="8" t="s">
        <x:v>1876</x:v>
      </x:c>
      <x:c r="B632" s="8" t="s">
        <x:v>1871</x:v>
      </x:c>
      <x:c r="C632" s="8"/>
      <x:c r="D632" s="8" t="s">
        <x:v>1877</x:v>
      </x:c>
      <x:c r="E632" s="8" t="s">
        <x:v>1878</x:v>
      </x:c>
      <x:c r="F632" s="8" t="s">
        <x:v>1617</x:v>
      </x:c>
      <x:c r="G632" s="8" t="s">
        <x:v>109</x:v>
      </x:c>
      <x:c r="H632" s="8" t="s">
        <x:v>1873</x:v>
      </x:c>
      <x:c r="I632" s="8" t="s">
        <x:v>1874</x:v>
      </x:c>
      <x:c r="J632" s="8" t="s">
        <x:v>112</x:v>
      </x:c>
      <x:c r="K632" s="8" t="s">
        <x:v>1875</x:v>
      </x:c>
      <x:c r="L632" s="8" t="s">
        <x:v>1875</x:v>
      </x:c>
      <x:c r="M632" s="8"/>
      <x:c r="N632" s="8"/>
      <x:c r="O632" s="8" t="s">
        <x:v>1622</x:v>
      </x:c>
      <x:c r="P632" s="8" t="s">
        <x:v>115</x:v>
      </x:c>
      <x:c r="Q632" s="8" t="s">
        <x:v>45</x:v>
      </x:c>
      <x:c r="R632" s="8" t="s">
        <x:v>1623</x:v>
      </x:c>
      <x:c r="S632" s="8" t="s">
        <x:v>1879</x:v>
      </x:c>
      <x:c r="T632" s="8" t="s">
        <x:v>27</x:v>
      </x:c>
      <x:c r="U632" s="8" t="s">
        <x:v>883</x:v>
      </x:c>
      <x:c r="V632" s="8" t="s">
        <x:v>1624</x:v>
      </x:c>
    </x:row>
    <x:row r="633" ht="36" hidden="0" customHeight="1">
      <x:c r="A633" s="8" t="s">
        <x:v>1880</x:v>
      </x:c>
      <x:c r="B633" s="8" t="s">
        <x:v>1871</x:v>
      </x:c>
      <x:c r="C633" s="8"/>
      <x:c r="D633" s="8" t="s">
        <x:v>1881</x:v>
      </x:c>
      <x:c r="E633" s="8" t="s">
        <x:v>1882</x:v>
      </x:c>
      <x:c r="F633" s="8" t="s">
        <x:v>1617</x:v>
      </x:c>
      <x:c r="G633" s="8" t="s">
        <x:v>109</x:v>
      </x:c>
      <x:c r="H633" s="8" t="s">
        <x:v>1873</x:v>
      </x:c>
      <x:c r="I633" s="8" t="s">
        <x:v>1874</x:v>
      </x:c>
      <x:c r="J633" s="8" t="s">
        <x:v>112</x:v>
      </x:c>
      <x:c r="K633" s="8" t="s">
        <x:v>1875</x:v>
      </x:c>
      <x:c r="L633" s="8" t="s">
        <x:v>1875</x:v>
      </x:c>
      <x:c r="M633" s="8"/>
      <x:c r="N633" s="8"/>
      <x:c r="O633" s="8" t="s">
        <x:v>1622</x:v>
      </x:c>
      <x:c r="P633" s="8" t="s">
        <x:v>115</x:v>
      </x:c>
      <x:c r="Q633" s="8" t="s">
        <x:v>45</x:v>
      </x:c>
      <x:c r="R633" s="8" t="s">
        <x:v>1623</x:v>
      </x:c>
      <x:c r="S633" s="8" t="s">
        <x:v>1879</x:v>
      </x:c>
      <x:c r="T633" s="8" t="s">
        <x:v>27</x:v>
      </x:c>
      <x:c r="U633" s="8" t="s">
        <x:v>883</x:v>
      </x:c>
      <x:c r="V633" s="8" t="s">
        <x:v>1624</x:v>
      </x:c>
    </x:row>
    <x:row r="634" ht="36" hidden="0" customHeight="1">
      <x:c r="A634" s="8" t="s">
        <x:v>1883</x:v>
      </x:c>
      <x:c r="B634" s="8" t="s">
        <x:v>1871</x:v>
      </x:c>
      <x:c r="C634" s="8"/>
      <x:c r="D634" s="8" t="s">
        <x:v>1884</x:v>
      </x:c>
      <x:c r="E634" s="8" t="s">
        <x:v>1885</x:v>
      </x:c>
      <x:c r="F634" s="8" t="s">
        <x:v>1617</x:v>
      </x:c>
      <x:c r="G634" s="8" t="s">
        <x:v>109</x:v>
      </x:c>
      <x:c r="H634" s="8" t="s">
        <x:v>1873</x:v>
      </x:c>
      <x:c r="I634" s="8" t="s">
        <x:v>1874</x:v>
      </x:c>
      <x:c r="J634" s="8" t="s">
        <x:v>112</x:v>
      </x:c>
      <x:c r="K634" s="8" t="s">
        <x:v>1875</x:v>
      </x:c>
      <x:c r="L634" s="8" t="s">
        <x:v>1875</x:v>
      </x:c>
      <x:c r="M634" s="8"/>
      <x:c r="N634" s="8"/>
      <x:c r="O634" s="8" t="s">
        <x:v>1622</x:v>
      </x:c>
      <x:c r="P634" s="8" t="s">
        <x:v>115</x:v>
      </x:c>
      <x:c r="Q634" s="8" t="s">
        <x:v>45</x:v>
      </x:c>
      <x:c r="R634" s="8" t="s">
        <x:v>1623</x:v>
      </x:c>
      <x:c r="S634" s="8"/>
      <x:c r="T634" s="8" t="s">
        <x:v>27</x:v>
      </x:c>
      <x:c r="U634" s="8" t="s">
        <x:v>883</x:v>
      </x:c>
      <x:c r="V634" s="8" t="s">
        <x:v>1624</x:v>
      </x:c>
    </x:row>
    <x:row r="635" ht="36" hidden="0" customHeight="1">
      <x:c r="A635" s="8" t="s">
        <x:v>1886</x:v>
      </x:c>
      <x:c r="B635" s="8" t="s">
        <x:v>1871</x:v>
      </x:c>
      <x:c r="C635" s="8"/>
      <x:c r="D635" s="8" t="s">
        <x:v>170</x:v>
      </x:c>
      <x:c r="E635" s="8" t="n">
        <x:v>500</x:v>
      </x:c>
      <x:c r="F635" s="8" t="s">
        <x:v>1617</x:v>
      </x:c>
      <x:c r="G635" s="8" t="s">
        <x:v>109</x:v>
      </x:c>
      <x:c r="H635" s="8" t="s">
        <x:v>1873</x:v>
      </x:c>
      <x:c r="I635" s="8" t="s">
        <x:v>1874</x:v>
      </x:c>
      <x:c r="J635" s="8" t="s">
        <x:v>112</x:v>
      </x:c>
      <x:c r="K635" s="8" t="s">
        <x:v>1887</x:v>
      </x:c>
      <x:c r="L635" s="8" t="s">
        <x:v>1887</x:v>
      </x:c>
      <x:c r="M635" s="8"/>
      <x:c r="N635" s="8"/>
      <x:c r="O635" s="8" t="s">
        <x:v>1622</x:v>
      </x:c>
      <x:c r="P635" s="8" t="s">
        <x:v>115</x:v>
      </x:c>
      <x:c r="Q635" s="8" t="s">
        <x:v>45</x:v>
      </x:c>
      <x:c r="R635" s="8" t="s">
        <x:v>1623</x:v>
      </x:c>
      <x:c r="S635" s="8" t="s">
        <x:v>990</x:v>
      </x:c>
      <x:c r="T635" s="8" t="s">
        <x:v>27</x:v>
      </x:c>
      <x:c r="U635" s="8" t="s">
        <x:v>883</x:v>
      </x:c>
      <x:c r="V635" s="8" t="s">
        <x:v>1624</x:v>
      </x:c>
    </x:row>
    <x:row r="636" ht="36" hidden="0" customHeight="1">
      <x:c r="A636" s="8" t="s">
        <x:v>1888</x:v>
      </x:c>
      <x:c r="B636" s="8" t="s">
        <x:v>1871</x:v>
      </x:c>
      <x:c r="C636" s="8"/>
      <x:c r="D636" s="8" t="s">
        <x:v>1889</x:v>
      </x:c>
      <x:c r="E636" s="8" t="s">
        <x:v>1890</x:v>
      </x:c>
      <x:c r="F636" s="8" t="s">
        <x:v>1617</x:v>
      </x:c>
      <x:c r="G636" s="8" t="s">
        <x:v>109</x:v>
      </x:c>
      <x:c r="H636" s="8" t="s">
        <x:v>1873</x:v>
      </x:c>
      <x:c r="I636" s="8" t="s">
        <x:v>1874</x:v>
      </x:c>
      <x:c r="J636" s="8" t="s">
        <x:v>112</x:v>
      </x:c>
      <x:c r="K636" s="8" t="s">
        <x:v>1887</x:v>
      </x:c>
      <x:c r="L636" s="8" t="s">
        <x:v>1887</x:v>
      </x:c>
      <x:c r="M636" s="8"/>
      <x:c r="N636" s="8"/>
      <x:c r="O636" s="8" t="s">
        <x:v>1622</x:v>
      </x:c>
      <x:c r="P636" s="8" t="s">
        <x:v>115</x:v>
      </x:c>
      <x:c r="Q636" s="8" t="s">
        <x:v>45</x:v>
      </x:c>
      <x:c r="R636" s="8" t="s">
        <x:v>1623</x:v>
      </x:c>
      <x:c r="S636" s="8"/>
      <x:c r="T636" s="8" t="s">
        <x:v>27</x:v>
      </x:c>
      <x:c r="U636" s="8" t="s">
        <x:v>883</x:v>
      </x:c>
      <x:c r="V636" s="8" t="s">
        <x:v>1624</x:v>
      </x:c>
    </x:row>
    <x:row r="637" ht="36" hidden="0" customHeight="1">
      <x:c r="A637" s="8" t="s">
        <x:v>1891</x:v>
      </x:c>
      <x:c r="B637" s="8" t="s">
        <x:v>1871</x:v>
      </x:c>
      <x:c r="C637" s="8"/>
      <x:c r="D637" s="8" t="s">
        <x:v>1892</x:v>
      </x:c>
      <x:c r="E637" s="8" t="n">
        <x:v>8</x:v>
      </x:c>
      <x:c r="F637" s="8" t="s">
        <x:v>1617</x:v>
      </x:c>
      <x:c r="G637" s="8" t="s">
        <x:v>109</x:v>
      </x:c>
      <x:c r="H637" s="8" t="s">
        <x:v>1873</x:v>
      </x:c>
      <x:c r="I637" s="8" t="s">
        <x:v>1874</x:v>
      </x:c>
      <x:c r="J637" s="8" t="s">
        <x:v>112</x:v>
      </x:c>
      <x:c r="K637" s="8" t="s">
        <x:v>1887</x:v>
      </x:c>
      <x:c r="L637" s="8" t="s">
        <x:v>1887</x:v>
      </x:c>
      <x:c r="M637" s="8"/>
      <x:c r="N637" s="8"/>
      <x:c r="O637" s="8" t="s">
        <x:v>1622</x:v>
      </x:c>
      <x:c r="P637" s="8" t="s">
        <x:v>115</x:v>
      </x:c>
      <x:c r="Q637" s="8" t="s">
        <x:v>45</x:v>
      </x:c>
      <x:c r="R637" s="8" t="s">
        <x:v>1623</x:v>
      </x:c>
      <x:c r="S637" s="8" t="s">
        <x:v>1893</x:v>
      </x:c>
      <x:c r="T637" s="8" t="s">
        <x:v>27</x:v>
      </x:c>
      <x:c r="U637" s="8" t="s">
        <x:v>883</x:v>
      </x:c>
      <x:c r="V637" s="8" t="s">
        <x:v>1624</x:v>
      </x:c>
    </x:row>
    <x:row r="638" ht="36" hidden="0" customHeight="1">
      <x:c r="A638" s="8" t="s">
        <x:v>1894</x:v>
      </x:c>
      <x:c r="B638" s="8" t="s">
        <x:v>1871</x:v>
      </x:c>
      <x:c r="C638" s="8"/>
      <x:c r="D638" s="8" t="s">
        <x:v>1895</x:v>
      </x:c>
      <x:c r="E638" s="8" t="n">
        <x:v>15</x:v>
      </x:c>
      <x:c r="F638" s="8" t="s">
        <x:v>1617</x:v>
      </x:c>
      <x:c r="G638" s="8" t="s">
        <x:v>109</x:v>
      </x:c>
      <x:c r="H638" s="8" t="s">
        <x:v>1873</x:v>
      </x:c>
      <x:c r="I638" s="8" t="s">
        <x:v>1874</x:v>
      </x:c>
      <x:c r="J638" s="8" t="s">
        <x:v>112</x:v>
      </x:c>
      <x:c r="K638" s="8" t="s">
        <x:v>1887</x:v>
      </x:c>
      <x:c r="L638" s="8" t="s">
        <x:v>1887</x:v>
      </x:c>
      <x:c r="M638" s="8"/>
      <x:c r="N638" s="8"/>
      <x:c r="O638" s="8" t="s">
        <x:v>1622</x:v>
      </x:c>
      <x:c r="P638" s="8" t="s">
        <x:v>115</x:v>
      </x:c>
      <x:c r="Q638" s="8" t="s">
        <x:v>45</x:v>
      </x:c>
      <x:c r="R638" s="8" t="s">
        <x:v>1623</x:v>
      </x:c>
      <x:c r="S638" s="8" t="s">
        <x:v>1896</x:v>
      </x:c>
      <x:c r="T638" s="8" t="s">
        <x:v>27</x:v>
      </x:c>
      <x:c r="U638" s="8" t="s">
        <x:v>883</x:v>
      </x:c>
      <x:c r="V638" s="8" t="s">
        <x:v>1624</x:v>
      </x:c>
    </x:row>
    <x:row r="639" ht="36" hidden="0" customHeight="1">
      <x:c r="A639" s="8" t="s">
        <x:v>1897</x:v>
      </x:c>
      <x:c r="B639" s="8" t="s">
        <x:v>1871</x:v>
      </x:c>
      <x:c r="C639" s="8"/>
      <x:c r="D639" s="8" t="s">
        <x:v>1898</x:v>
      </x:c>
      <x:c r="E639" s="8" t="s">
        <x:v>1899</x:v>
      </x:c>
      <x:c r="F639" s="8" t="s">
        <x:v>1617</x:v>
      </x:c>
      <x:c r="G639" s="8" t="s">
        <x:v>109</x:v>
      </x:c>
      <x:c r="H639" s="8" t="s">
        <x:v>1873</x:v>
      </x:c>
      <x:c r="I639" s="8" t="s">
        <x:v>1874</x:v>
      </x:c>
      <x:c r="J639" s="8" t="s">
        <x:v>112</x:v>
      </x:c>
      <x:c r="K639" s="8" t="s">
        <x:v>1887</x:v>
      </x:c>
      <x:c r="L639" s="8" t="s">
        <x:v>1887</x:v>
      </x:c>
      <x:c r="M639" s="8"/>
      <x:c r="N639" s="8"/>
      <x:c r="O639" s="8" t="s">
        <x:v>1622</x:v>
      </x:c>
      <x:c r="P639" s="8" t="s">
        <x:v>115</x:v>
      </x:c>
      <x:c r="Q639" s="8" t="s">
        <x:v>45</x:v>
      </x:c>
      <x:c r="R639" s="8" t="s">
        <x:v>1623</x:v>
      </x:c>
      <x:c r="S639" s="8"/>
      <x:c r="T639" s="8" t="s">
        <x:v>27</x:v>
      </x:c>
      <x:c r="U639" s="8" t="s">
        <x:v>883</x:v>
      </x:c>
      <x:c r="V639" s="8" t="s">
        <x:v>1624</x:v>
      </x:c>
    </x:row>
    <x:row r="640" ht="36" hidden="0" customHeight="1">
      <x:c r="A640" s="8" t="s">
        <x:v>1900</x:v>
      </x:c>
      <x:c r="B640" s="8" t="s">
        <x:v>1871</x:v>
      </x:c>
      <x:c r="C640" s="8"/>
      <x:c r="D640" s="8" t="s">
        <x:v>1901</x:v>
      </x:c>
      <x:c r="E640" s="8" t="s">
        <x:v>1902</x:v>
      </x:c>
      <x:c r="F640" s="8" t="s">
        <x:v>1617</x:v>
      </x:c>
      <x:c r="G640" s="8" t="s">
        <x:v>109</x:v>
      </x:c>
      <x:c r="H640" s="8" t="s">
        <x:v>1873</x:v>
      </x:c>
      <x:c r="I640" s="8" t="s">
        <x:v>1874</x:v>
      </x:c>
      <x:c r="J640" s="8" t="s">
        <x:v>112</x:v>
      </x:c>
      <x:c r="K640" s="8" t="s">
        <x:v>1887</x:v>
      </x:c>
      <x:c r="L640" s="8" t="s">
        <x:v>1887</x:v>
      </x:c>
      <x:c r="M640" s="8"/>
      <x:c r="N640" s="8"/>
      <x:c r="O640" s="8" t="s">
        <x:v>1622</x:v>
      </x:c>
      <x:c r="P640" s="8" t="s">
        <x:v>115</x:v>
      </x:c>
      <x:c r="Q640" s="8" t="s">
        <x:v>45</x:v>
      </x:c>
      <x:c r="R640" s="8" t="s">
        <x:v>1623</x:v>
      </x:c>
      <x:c r="S640" s="8"/>
      <x:c r="T640" s="8" t="s">
        <x:v>27</x:v>
      </x:c>
      <x:c r="U640" s="8" t="s">
        <x:v>883</x:v>
      </x:c>
      <x:c r="V640" s="8" t="s">
        <x:v>1624</x:v>
      </x:c>
    </x:row>
    <x:row r="641" ht="36" hidden="0" customHeight="1">
      <x:c r="A641" s="8" t="s">
        <x:v>1903</x:v>
      </x:c>
      <x:c r="B641" s="8" t="s">
        <x:v>1871</x:v>
      </x:c>
      <x:c r="C641" s="8"/>
      <x:c r="D641" s="8" t="s">
        <x:v>1904</x:v>
      </x:c>
      <x:c r="E641" s="8" t="s">
        <x:v>1905</x:v>
      </x:c>
      <x:c r="F641" s="8" t="s">
        <x:v>1617</x:v>
      </x:c>
      <x:c r="G641" s="8" t="s">
        <x:v>187</x:v>
      </x:c>
      <x:c r="H641" s="8" t="s">
        <x:v>1873</x:v>
      </x:c>
      <x:c r="I641" s="8" t="s">
        <x:v>1874</x:v>
      </x:c>
      <x:c r="J641" s="8" t="s">
        <x:v>112</x:v>
      </x:c>
      <x:c r="K641" s="8" t="s">
        <x:v>1887</x:v>
      </x:c>
      <x:c r="L641" s="8" t="s">
        <x:v>1887</x:v>
      </x:c>
      <x:c r="M641" s="8"/>
      <x:c r="N641" s="8"/>
      <x:c r="O641" s="8" t="s">
        <x:v>1622</x:v>
      </x:c>
      <x:c r="P641" s="8" t="s">
        <x:v>115</x:v>
      </x:c>
      <x:c r="Q641" s="8" t="s">
        <x:v>45</x:v>
      </x:c>
      <x:c r="R641" s="8" t="s">
        <x:v>1623</x:v>
      </x:c>
      <x:c r="S641" s="8"/>
      <x:c r="T641" s="8" t="s">
        <x:v>27</x:v>
      </x:c>
      <x:c r="U641" s="8" t="s">
        <x:v>883</x:v>
      </x:c>
      <x:c r="V641" s="8" t="s">
        <x:v>1624</x:v>
      </x:c>
    </x:row>
    <x:row r="642" ht="36" hidden="0" customHeight="1">
      <x:c r="A642" s="8" t="s">
        <x:v>1906</x:v>
      </x:c>
      <x:c r="B642" s="8" t="s">
        <x:v>1871</x:v>
      </x:c>
      <x:c r="C642" s="8"/>
      <x:c r="D642" s="8" t="s">
        <x:v>1907</x:v>
      </x:c>
      <x:c r="E642" s="8" t="s">
        <x:v>1908</x:v>
      </x:c>
      <x:c r="F642" s="8" t="s">
        <x:v>1617</x:v>
      </x:c>
      <x:c r="G642" s="8" t="s">
        <x:v>109</x:v>
      </x:c>
      <x:c r="H642" s="8" t="s">
        <x:v>1873</x:v>
      </x:c>
      <x:c r="I642" s="8" t="s">
        <x:v>1874</x:v>
      </x:c>
      <x:c r="J642" s="8" t="s">
        <x:v>112</x:v>
      </x:c>
      <x:c r="K642" s="8" t="s">
        <x:v>272</x:v>
      </x:c>
      <x:c r="L642" s="8" t="s">
        <x:v>272</x:v>
      </x:c>
      <x:c r="M642" s="8"/>
      <x:c r="N642" s="8"/>
      <x:c r="O642" s="8" t="s">
        <x:v>1622</x:v>
      </x:c>
      <x:c r="P642" s="8" t="s">
        <x:v>115</x:v>
      </x:c>
      <x:c r="Q642" s="8" t="s">
        <x:v>45</x:v>
      </x:c>
      <x:c r="R642" s="8" t="s">
        <x:v>1623</x:v>
      </x:c>
      <x:c r="S642" s="8"/>
      <x:c r="T642" s="8" t="s">
        <x:v>27</x:v>
      </x:c>
      <x:c r="U642" s="8" t="s">
        <x:v>883</x:v>
      </x:c>
      <x:c r="V642" s="8" t="s">
        <x:v>1624</x:v>
      </x:c>
    </x:row>
    <x:row r="643" ht="36" hidden="0" customHeight="1">
      <x:c r="A643" s="8" t="s">
        <x:v>1909</x:v>
      </x:c>
      <x:c r="B643" s="8" t="s">
        <x:v>1910</x:v>
      </x:c>
      <x:c r="C643" s="8"/>
      <x:c r="D643" s="8" t="s">
        <x:v>1615</x:v>
      </x:c>
      <x:c r="E643" s="8" t="s">
        <x:v>1911</x:v>
      </x:c>
      <x:c r="F643" s="8" t="s">
        <x:v>1617</x:v>
      </x:c>
      <x:c r="G643" s="8" t="s">
        <x:v>109</x:v>
      </x:c>
      <x:c r="H643" s="8" t="s">
        <x:v>1912</x:v>
      </x:c>
      <x:c r="I643" s="8" t="s">
        <x:v>1913</x:v>
      </x:c>
      <x:c r="J643" s="8" t="s">
        <x:v>112</x:v>
      </x:c>
      <x:c r="K643" s="8" t="s">
        <x:v>1914</x:v>
      </x:c>
      <x:c r="L643" s="8" t="s">
        <x:v>1914</x:v>
      </x:c>
      <x:c r="M643" s="8"/>
      <x:c r="N643" s="8"/>
      <x:c r="O643" s="8" t="s">
        <x:v>1622</x:v>
      </x:c>
      <x:c r="P643" s="8" t="s">
        <x:v>115</x:v>
      </x:c>
      <x:c r="Q643" s="8" t="s">
        <x:v>45</x:v>
      </x:c>
      <x:c r="R643" s="8" t="s">
        <x:v>1623</x:v>
      </x:c>
      <x:c r="S643" s="8"/>
      <x:c r="T643" s="8" t="s">
        <x:v>27</x:v>
      </x:c>
      <x:c r="U643" s="8" t="s">
        <x:v>883</x:v>
      </x:c>
      <x:c r="V643" s="8" t="s">
        <x:v>1624</x:v>
      </x:c>
    </x:row>
    <x:row r="644" ht="36" hidden="0" customHeight="1">
      <x:c r="A644" s="8" t="s">
        <x:v>1915</x:v>
      </x:c>
      <x:c r="B644" s="8" t="s">
        <x:v>1910</x:v>
      </x:c>
      <x:c r="C644" s="8"/>
      <x:c r="D644" s="8" t="s">
        <x:v>1864</x:v>
      </x:c>
      <x:c r="E644" s="8" t="s">
        <x:v>1916</x:v>
      </x:c>
      <x:c r="F644" s="8" t="s">
        <x:v>1617</x:v>
      </x:c>
      <x:c r="G644" s="8" t="s">
        <x:v>109</x:v>
      </x:c>
      <x:c r="H644" s="8" t="s">
        <x:v>1912</x:v>
      </x:c>
      <x:c r="I644" s="8" t="s">
        <x:v>1913</x:v>
      </x:c>
      <x:c r="J644" s="8" t="s">
        <x:v>112</x:v>
      </x:c>
      <x:c r="K644" s="8" t="s">
        <x:v>1914</x:v>
      </x:c>
      <x:c r="L644" s="8" t="s">
        <x:v>1914</x:v>
      </x:c>
      <x:c r="M644" s="8"/>
      <x:c r="N644" s="8"/>
      <x:c r="O644" s="8" t="s">
        <x:v>1622</x:v>
      </x:c>
      <x:c r="P644" s="8" t="s">
        <x:v>115</x:v>
      </x:c>
      <x:c r="Q644" s="8" t="s">
        <x:v>45</x:v>
      </x:c>
      <x:c r="R644" s="8" t="s">
        <x:v>1623</x:v>
      </x:c>
      <x:c r="S644" s="8"/>
      <x:c r="T644" s="8" t="s">
        <x:v>27</x:v>
      </x:c>
      <x:c r="U644" s="8" t="s">
        <x:v>883</x:v>
      </x:c>
      <x:c r="V644" s="8" t="s">
        <x:v>1624</x:v>
      </x:c>
    </x:row>
    <x:row r="645" ht="36" hidden="0" customHeight="1">
      <x:c r="A645" s="8" t="s">
        <x:v>1917</x:v>
      </x:c>
      <x:c r="B645" s="8" t="s">
        <x:v>1910</x:v>
      </x:c>
      <x:c r="C645" s="8"/>
      <x:c r="D645" s="8" t="s">
        <x:v>1918</x:v>
      </x:c>
      <x:c r="E645" s="8" t="n">
        <x:v>2.25</x:v>
      </x:c>
      <x:c r="F645" s="8" t="s">
        <x:v>1617</x:v>
      </x:c>
      <x:c r="G645" s="8" t="s">
        <x:v>109</x:v>
      </x:c>
      <x:c r="H645" s="8" t="s">
        <x:v>1912</x:v>
      </x:c>
      <x:c r="I645" s="8" t="s">
        <x:v>1913</x:v>
      </x:c>
      <x:c r="J645" s="8" t="s">
        <x:v>112</x:v>
      </x:c>
      <x:c r="K645" s="8" t="s">
        <x:v>1914</x:v>
      </x:c>
      <x:c r="L645" s="8" t="s">
        <x:v>1914</x:v>
      </x:c>
      <x:c r="M645" s="8"/>
      <x:c r="N645" s="8"/>
      <x:c r="O645" s="8" t="s">
        <x:v>1622</x:v>
      </x:c>
      <x:c r="P645" s="8" t="s">
        <x:v>115</x:v>
      </x:c>
      <x:c r="Q645" s="8" t="s">
        <x:v>45</x:v>
      </x:c>
      <x:c r="R645" s="8" t="s">
        <x:v>1623</x:v>
      </x:c>
      <x:c r="S645" s="8" t="s">
        <x:v>1919</x:v>
      </x:c>
      <x:c r="T645" s="8" t="s">
        <x:v>27</x:v>
      </x:c>
      <x:c r="U645" s="8" t="s">
        <x:v>883</x:v>
      </x:c>
      <x:c r="V645" s="8" t="s">
        <x:v>1624</x:v>
      </x:c>
    </x:row>
    <x:row r="646" ht="36" hidden="0" customHeight="1">
      <x:c r="A646" s="8" t="s">
        <x:v>1920</x:v>
      </x:c>
      <x:c r="B646" s="8" t="s">
        <x:v>1910</x:v>
      </x:c>
      <x:c r="C646" s="8"/>
      <x:c r="D646" s="8" t="s">
        <x:v>1921</x:v>
      </x:c>
      <x:c r="E646" s="8" t="s">
        <x:v>1922</x:v>
      </x:c>
      <x:c r="F646" s="8" t="s">
        <x:v>1617</x:v>
      </x:c>
      <x:c r="G646" s="8" t="s">
        <x:v>109</x:v>
      </x:c>
      <x:c r="H646" s="8" t="s">
        <x:v>1912</x:v>
      </x:c>
      <x:c r="I646" s="8" t="s">
        <x:v>1913</x:v>
      </x:c>
      <x:c r="J646" s="8" t="s">
        <x:v>112</x:v>
      </x:c>
      <x:c r="K646" s="8" t="s">
        <x:v>1914</x:v>
      </x:c>
      <x:c r="L646" s="8" t="s">
        <x:v>1914</x:v>
      </x:c>
      <x:c r="M646" s="8"/>
      <x:c r="N646" s="8"/>
      <x:c r="O646" s="8" t="s">
        <x:v>1622</x:v>
      </x:c>
      <x:c r="P646" s="8" t="s">
        <x:v>115</x:v>
      </x:c>
      <x:c r="Q646" s="8" t="s">
        <x:v>45</x:v>
      </x:c>
      <x:c r="R646" s="8" t="s">
        <x:v>1623</x:v>
      </x:c>
      <x:c r="S646" s="8"/>
      <x:c r="T646" s="8" t="s">
        <x:v>27</x:v>
      </x:c>
      <x:c r="U646" s="8" t="s">
        <x:v>883</x:v>
      </x:c>
      <x:c r="V646" s="8" t="s">
        <x:v>1624</x:v>
      </x:c>
    </x:row>
    <x:row r="647" ht="36" hidden="0" customHeight="1">
      <x:c r="A647" s="8" t="s">
        <x:v>1923</x:v>
      </x:c>
      <x:c r="B647" s="8" t="s">
        <x:v>1910</x:v>
      </x:c>
      <x:c r="C647" s="8"/>
      <x:c r="D647" s="8" t="s">
        <x:v>1924</x:v>
      </x:c>
      <x:c r="E647" s="8" t="s">
        <x:v>1925</x:v>
      </x:c>
      <x:c r="F647" s="8" t="s">
        <x:v>1617</x:v>
      </x:c>
      <x:c r="G647" s="8" t="s">
        <x:v>109</x:v>
      </x:c>
      <x:c r="H647" s="8" t="s">
        <x:v>1912</x:v>
      </x:c>
      <x:c r="I647" s="8" t="s">
        <x:v>1913</x:v>
      </x:c>
      <x:c r="J647" s="8" t="s">
        <x:v>112</x:v>
      </x:c>
      <x:c r="K647" s="8" t="s">
        <x:v>1696</x:v>
      </x:c>
      <x:c r="L647" s="8" t="s">
        <x:v>1696</x:v>
      </x:c>
      <x:c r="M647" s="8"/>
      <x:c r="N647" s="8"/>
      <x:c r="O647" s="8" t="s">
        <x:v>1622</x:v>
      </x:c>
      <x:c r="P647" s="8" t="s">
        <x:v>115</x:v>
      </x:c>
      <x:c r="Q647" s="8" t="s">
        <x:v>45</x:v>
      </x:c>
      <x:c r="R647" s="8" t="s">
        <x:v>1623</x:v>
      </x:c>
      <x:c r="S647" s="8"/>
      <x:c r="T647" s="8" t="s">
        <x:v>27</x:v>
      </x:c>
      <x:c r="U647" s="8" t="s">
        <x:v>883</x:v>
      </x:c>
      <x:c r="V647" s="8" t="s">
        <x:v>1624</x:v>
      </x:c>
    </x:row>
    <x:row r="648" ht="36" hidden="0" customHeight="1">
      <x:c r="A648" s="8" t="s">
        <x:v>1926</x:v>
      </x:c>
      <x:c r="B648" s="8" t="s">
        <x:v>1910</x:v>
      </x:c>
      <x:c r="C648" s="8"/>
      <x:c r="D648" s="8" t="s">
        <x:v>871</x:v>
      </x:c>
      <x:c r="E648" s="8" t="s">
        <x:v>1927</x:v>
      </x:c>
      <x:c r="F648" s="8" t="s">
        <x:v>1617</x:v>
      </x:c>
      <x:c r="G648" s="8" t="s">
        <x:v>109</x:v>
      </x:c>
      <x:c r="H648" s="8" t="s">
        <x:v>1912</x:v>
      </x:c>
      <x:c r="I648" s="8" t="s">
        <x:v>1913</x:v>
      </x:c>
      <x:c r="J648" s="8" t="s">
        <x:v>112</x:v>
      </x:c>
      <x:c r="K648" s="8" t="s">
        <x:v>1700</x:v>
      </x:c>
      <x:c r="L648" s="8" t="s">
        <x:v>1700</x:v>
      </x:c>
      <x:c r="M648" s="8"/>
      <x:c r="N648" s="8"/>
      <x:c r="O648" s="8" t="s">
        <x:v>1622</x:v>
      </x:c>
      <x:c r="P648" s="8" t="s">
        <x:v>115</x:v>
      </x:c>
      <x:c r="Q648" s="8" t="s">
        <x:v>45</x:v>
      </x:c>
      <x:c r="R648" s="8" t="s">
        <x:v>1623</x:v>
      </x:c>
      <x:c r="S648" s="8"/>
      <x:c r="T648" s="8" t="s">
        <x:v>27</x:v>
      </x:c>
      <x:c r="U648" s="8" t="s">
        <x:v>883</x:v>
      </x:c>
      <x:c r="V648" s="8" t="s">
        <x:v>1624</x:v>
      </x:c>
    </x:row>
    <x:row r="649" ht="36" hidden="0" customHeight="1">
      <x:c r="A649" s="8" t="s">
        <x:v>1928</x:v>
      </x:c>
      <x:c r="B649" s="8" t="s">
        <x:v>1910</x:v>
      </x:c>
      <x:c r="C649" s="8"/>
      <x:c r="D649" s="8" t="s">
        <x:v>1929</x:v>
      </x:c>
      <x:c r="E649" s="8" t="s">
        <x:v>1930</x:v>
      </x:c>
      <x:c r="F649" s="8" t="s">
        <x:v>1617</x:v>
      </x:c>
      <x:c r="G649" s="8" t="s">
        <x:v>109</x:v>
      </x:c>
      <x:c r="H649" s="8" t="s">
        <x:v>1912</x:v>
      </x:c>
      <x:c r="I649" s="8" t="s">
        <x:v>1913</x:v>
      </x:c>
      <x:c r="J649" s="8" t="s">
        <x:v>112</x:v>
      </x:c>
      <x:c r="K649" s="8" t="s">
        <x:v>1700</x:v>
      </x:c>
      <x:c r="L649" s="8" t="s">
        <x:v>1700</x:v>
      </x:c>
      <x:c r="M649" s="8"/>
      <x:c r="N649" s="8"/>
      <x:c r="O649" s="8" t="s">
        <x:v>1622</x:v>
      </x:c>
      <x:c r="P649" s="8" t="s">
        <x:v>115</x:v>
      </x:c>
      <x:c r="Q649" s="8" t="s">
        <x:v>45</x:v>
      </x:c>
      <x:c r="R649" s="8" t="s">
        <x:v>1623</x:v>
      </x:c>
      <x:c r="S649" s="8"/>
      <x:c r="T649" s="8" t="s">
        <x:v>27</x:v>
      </x:c>
      <x:c r="U649" s="8" t="s">
        <x:v>883</x:v>
      </x:c>
      <x:c r="V649" s="8" t="s">
        <x:v>1624</x:v>
      </x:c>
    </x:row>
    <x:row r="650" ht="36" hidden="0" customHeight="1">
      <x:c r="A650" s="8" t="s">
        <x:v>1931</x:v>
      </x:c>
      <x:c r="B650" s="8" t="s">
        <x:v>1932</x:v>
      </x:c>
      <x:c r="C650" s="8"/>
      <x:c r="D650" s="8" t="s">
        <x:v>1933</x:v>
      </x:c>
      <x:c r="E650" s="8" t="s">
        <x:v>1934</x:v>
      </x:c>
      <x:c r="F650" s="8" t="s">
        <x:v>1617</x:v>
      </x:c>
      <x:c r="G650" s="8" t="s">
        <x:v>109</x:v>
      </x:c>
      <x:c r="H650" s="8" t="s">
        <x:v>1935</x:v>
      </x:c>
      <x:c r="I650" s="8" t="s">
        <x:v>1936</x:v>
      </x:c>
      <x:c r="J650" s="8" t="s">
        <x:v>112</x:v>
      </x:c>
      <x:c r="K650" s="8" t="s">
        <x:v>1937</x:v>
      </x:c>
      <x:c r="L650" s="8" t="s">
        <x:v>1937</x:v>
      </x:c>
      <x:c r="M650" s="8"/>
      <x:c r="N650" s="8"/>
      <x:c r="O650" s="8" t="s">
        <x:v>1622</x:v>
      </x:c>
      <x:c r="P650" s="8" t="s">
        <x:v>115</x:v>
      </x:c>
      <x:c r="Q650" s="8" t="s">
        <x:v>45</x:v>
      </x:c>
      <x:c r="R650" s="8" t="s">
        <x:v>1623</x:v>
      </x:c>
      <x:c r="S650" s="8"/>
      <x:c r="T650" s="8" t="s">
        <x:v>27</x:v>
      </x:c>
      <x:c r="U650" s="8" t="s">
        <x:v>883</x:v>
      </x:c>
      <x:c r="V650" s="8" t="s">
        <x:v>1624</x:v>
      </x:c>
    </x:row>
    <x:row r="651" ht="36" hidden="0" customHeight="1">
      <x:c r="A651" s="8" t="s">
        <x:v>1938</x:v>
      </x:c>
      <x:c r="B651" s="8" t="s">
        <x:v>1932</x:v>
      </x:c>
      <x:c r="C651" s="8"/>
      <x:c r="D651" s="8" t="s">
        <x:v>1755</x:v>
      </x:c>
      <x:c r="E651" s="8" t="s">
        <x:v>1939</x:v>
      </x:c>
      <x:c r="F651" s="8" t="s">
        <x:v>1617</x:v>
      </x:c>
      <x:c r="G651" s="8" t="s">
        <x:v>109</x:v>
      </x:c>
      <x:c r="H651" s="8" t="s">
        <x:v>1935</x:v>
      </x:c>
      <x:c r="I651" s="8" t="s">
        <x:v>1936</x:v>
      </x:c>
      <x:c r="J651" s="8" t="s">
        <x:v>112</x:v>
      </x:c>
      <x:c r="K651" s="8" t="s">
        <x:v>1937</x:v>
      </x:c>
      <x:c r="L651" s="8" t="s">
        <x:v>1937</x:v>
      </x:c>
      <x:c r="M651" s="8"/>
      <x:c r="N651" s="8"/>
      <x:c r="O651" s="8" t="s">
        <x:v>1622</x:v>
      </x:c>
      <x:c r="P651" s="8" t="s">
        <x:v>115</x:v>
      </x:c>
      <x:c r="Q651" s="8" t="s">
        <x:v>45</x:v>
      </x:c>
      <x:c r="R651" s="8" t="s">
        <x:v>1623</x:v>
      </x:c>
      <x:c r="S651" s="8"/>
      <x:c r="T651" s="8" t="s">
        <x:v>27</x:v>
      </x:c>
      <x:c r="U651" s="8" t="s">
        <x:v>883</x:v>
      </x:c>
      <x:c r="V651" s="8" t="s">
        <x:v>1624</x:v>
      </x:c>
    </x:row>
    <x:row r="652" ht="36" hidden="0" customHeight="1">
      <x:c r="A652" s="8" t="s">
        <x:v>1940</x:v>
      </x:c>
      <x:c r="B652" s="8" t="s">
        <x:v>1932</x:v>
      </x:c>
      <x:c r="C652" s="8"/>
      <x:c r="D652" s="8" t="s">
        <x:v>1682</x:v>
      </x:c>
      <x:c r="E652" s="8" t="n">
        <x:v>0.05</x:v>
      </x:c>
      <x:c r="F652" s="8" t="s">
        <x:v>1617</x:v>
      </x:c>
      <x:c r="G652" s="8" t="s">
        <x:v>109</x:v>
      </x:c>
      <x:c r="H652" s="8" t="s">
        <x:v>1935</x:v>
      </x:c>
      <x:c r="I652" s="8" t="s">
        <x:v>1936</x:v>
      </x:c>
      <x:c r="J652" s="8" t="s">
        <x:v>112</x:v>
      </x:c>
      <x:c r="K652" s="8" t="s">
        <x:v>1937</x:v>
      </x:c>
      <x:c r="L652" s="8" t="s">
        <x:v>1937</x:v>
      </x:c>
      <x:c r="M652" s="8"/>
      <x:c r="N652" s="8"/>
      <x:c r="O652" s="8" t="s">
        <x:v>1622</x:v>
      </x:c>
      <x:c r="P652" s="8" t="s">
        <x:v>115</x:v>
      </x:c>
      <x:c r="Q652" s="8" t="s">
        <x:v>45</x:v>
      </x:c>
      <x:c r="R652" s="8" t="s">
        <x:v>1623</x:v>
      </x:c>
      <x:c r="S652" s="8" t="s">
        <x:v>1684</x:v>
      </x:c>
      <x:c r="T652" s="8" t="s">
        <x:v>27</x:v>
      </x:c>
      <x:c r="U652" s="8" t="s">
        <x:v>883</x:v>
      </x:c>
      <x:c r="V652" s="8" t="s">
        <x:v>1624</x:v>
      </x:c>
    </x:row>
    <x:row r="653" ht="36" hidden="0" customHeight="1">
      <x:c r="A653" s="8" t="s">
        <x:v>1941</x:v>
      </x:c>
      <x:c r="B653" s="8" t="s">
        <x:v>1932</x:v>
      </x:c>
      <x:c r="C653" s="8"/>
      <x:c r="D653" s="8" t="s">
        <x:v>1860</x:v>
      </x:c>
      <x:c r="E653" s="8" t="n">
        <x:v>10</x:v>
      </x:c>
      <x:c r="F653" s="8" t="s">
        <x:v>1617</x:v>
      </x:c>
      <x:c r="G653" s="8" t="s">
        <x:v>109</x:v>
      </x:c>
      <x:c r="H653" s="8" t="s">
        <x:v>1935</x:v>
      </x:c>
      <x:c r="I653" s="8" t="s">
        <x:v>1936</x:v>
      </x:c>
      <x:c r="J653" s="8" t="s">
        <x:v>112</x:v>
      </x:c>
      <x:c r="K653" s="8" t="s">
        <x:v>1937</x:v>
      </x:c>
      <x:c r="L653" s="8" t="s">
        <x:v>1937</x:v>
      </x:c>
      <x:c r="M653" s="8"/>
      <x:c r="N653" s="8"/>
      <x:c r="O653" s="8" t="s">
        <x:v>1622</x:v>
      </x:c>
      <x:c r="P653" s="8" t="s">
        <x:v>115</x:v>
      </x:c>
      <x:c r="Q653" s="8" t="s">
        <x:v>45</x:v>
      </x:c>
      <x:c r="R653" s="8" t="s">
        <x:v>1623</x:v>
      </x:c>
      <x:c r="S653" s="8" t="s">
        <x:v>914</x:v>
      </x:c>
      <x:c r="T653" s="8" t="s">
        <x:v>27</x:v>
      </x:c>
      <x:c r="U653" s="8" t="s">
        <x:v>883</x:v>
      </x:c>
      <x:c r="V653" s="8" t="s">
        <x:v>1624</x:v>
      </x:c>
    </x:row>
    <x:row r="654" ht="36" hidden="0" customHeight="1">
      <x:c r="A654" s="8" t="s">
        <x:v>1942</x:v>
      </x:c>
      <x:c r="B654" s="8" t="s">
        <x:v>1932</x:v>
      </x:c>
      <x:c r="C654" s="8"/>
      <x:c r="D654" s="8" t="s">
        <x:v>1943</x:v>
      </x:c>
      <x:c r="E654" s="8" t="n">
        <x:v>10</x:v>
      </x:c>
      <x:c r="F654" s="8" t="s">
        <x:v>1617</x:v>
      </x:c>
      <x:c r="G654" s="8" t="s">
        <x:v>109</x:v>
      </x:c>
      <x:c r="H654" s="8" t="s">
        <x:v>1935</x:v>
      </x:c>
      <x:c r="I654" s="8" t="s">
        <x:v>1936</x:v>
      </x:c>
      <x:c r="J654" s="8" t="s">
        <x:v>112</x:v>
      </x:c>
      <x:c r="K654" s="8" t="s">
        <x:v>1937</x:v>
      </x:c>
      <x:c r="L654" s="8" t="s">
        <x:v>1937</x:v>
      </x:c>
      <x:c r="M654" s="8"/>
      <x:c r="N654" s="8"/>
      <x:c r="O654" s="8" t="s">
        <x:v>1622</x:v>
      </x:c>
      <x:c r="P654" s="8" t="s">
        <x:v>115</x:v>
      </x:c>
      <x:c r="Q654" s="8" t="s">
        <x:v>45</x:v>
      </x:c>
      <x:c r="R654" s="8" t="s">
        <x:v>1623</x:v>
      </x:c>
      <x:c r="S654" s="8" t="s">
        <x:v>914</x:v>
      </x:c>
      <x:c r="T654" s="8" t="s">
        <x:v>27</x:v>
      </x:c>
      <x:c r="U654" s="8" t="s">
        <x:v>883</x:v>
      </x:c>
      <x:c r="V654" s="8" t="s">
        <x:v>1624</x:v>
      </x:c>
    </x:row>
    <x:row r="655" ht="36" hidden="0" customHeight="1">
      <x:c r="A655" s="8" t="s">
        <x:v>1944</x:v>
      </x:c>
      <x:c r="B655" s="8" t="s">
        <x:v>1932</x:v>
      </x:c>
      <x:c r="C655" s="8"/>
      <x:c r="D655" s="8" t="s">
        <x:v>1945</x:v>
      </x:c>
      <x:c r="E655" s="8" t="s">
        <x:v>1946</x:v>
      </x:c>
      <x:c r="F655" s="8" t="s">
        <x:v>1617</x:v>
      </x:c>
      <x:c r="G655" s="8" t="s">
        <x:v>109</x:v>
      </x:c>
      <x:c r="H655" s="8" t="s">
        <x:v>1935</x:v>
      </x:c>
      <x:c r="I655" s="8" t="s">
        <x:v>1936</x:v>
      </x:c>
      <x:c r="J655" s="8" t="s">
        <x:v>112</x:v>
      </x:c>
      <x:c r="K655" s="8" t="s">
        <x:v>1937</x:v>
      </x:c>
      <x:c r="L655" s="8" t="s">
        <x:v>1937</x:v>
      </x:c>
      <x:c r="M655" s="8"/>
      <x:c r="N655" s="8"/>
      <x:c r="O655" s="8" t="s">
        <x:v>1622</x:v>
      </x:c>
      <x:c r="P655" s="8" t="s">
        <x:v>115</x:v>
      </x:c>
      <x:c r="Q655" s="8" t="s">
        <x:v>45</x:v>
      </x:c>
      <x:c r="R655" s="8" t="s">
        <x:v>1623</x:v>
      </x:c>
      <x:c r="S655" s="8"/>
      <x:c r="T655" s="8" t="s">
        <x:v>27</x:v>
      </x:c>
      <x:c r="U655" s="8" t="s">
        <x:v>883</x:v>
      </x:c>
      <x:c r="V655" s="8" t="s">
        <x:v>1624</x:v>
      </x:c>
    </x:row>
    <x:row r="656" ht="36" hidden="0" customHeight="1">
      <x:c r="A656" s="8" t="s">
        <x:v>1947</x:v>
      </x:c>
      <x:c r="B656" s="8" t="s">
        <x:v>1932</x:v>
      </x:c>
      <x:c r="C656" s="8"/>
      <x:c r="D656" s="8" t="s">
        <x:v>1948</x:v>
      </x:c>
      <x:c r="E656" s="8" t="s">
        <x:v>1949</x:v>
      </x:c>
      <x:c r="F656" s="8" t="s">
        <x:v>1617</x:v>
      </x:c>
      <x:c r="G656" s="8" t="s">
        <x:v>109</x:v>
      </x:c>
      <x:c r="H656" s="8" t="s">
        <x:v>1935</x:v>
      </x:c>
      <x:c r="I656" s="8" t="s">
        <x:v>1936</x:v>
      </x:c>
      <x:c r="J656" s="8" t="s">
        <x:v>112</x:v>
      </x:c>
      <x:c r="K656" s="8" t="s">
        <x:v>1937</x:v>
      </x:c>
      <x:c r="L656" s="8" t="s">
        <x:v>1937</x:v>
      </x:c>
      <x:c r="M656" s="8"/>
      <x:c r="N656" s="8"/>
      <x:c r="O656" s="8" t="s">
        <x:v>1622</x:v>
      </x:c>
      <x:c r="P656" s="8" t="s">
        <x:v>115</x:v>
      </x:c>
      <x:c r="Q656" s="8" t="s">
        <x:v>45</x:v>
      </x:c>
      <x:c r="R656" s="8" t="s">
        <x:v>1623</x:v>
      </x:c>
      <x:c r="S656" s="8"/>
      <x:c r="T656" s="8" t="s">
        <x:v>27</x:v>
      </x:c>
      <x:c r="U656" s="8" t="s">
        <x:v>883</x:v>
      </x:c>
      <x:c r="V656" s="8" t="s">
        <x:v>1624</x:v>
      </x:c>
    </x:row>
    <x:row r="657" ht="36" hidden="0" customHeight="1">
      <x:c r="A657" s="8" t="s">
        <x:v>1950</x:v>
      </x:c>
      <x:c r="B657" s="8" t="s">
        <x:v>1932</x:v>
      </x:c>
      <x:c r="C657" s="8"/>
      <x:c r="D657" s="8" t="s">
        <x:v>164</x:v>
      </x:c>
      <x:c r="E657" s="8" t="s">
        <x:v>165</x:v>
      </x:c>
      <x:c r="F657" s="8" t="s">
        <x:v>1617</x:v>
      </x:c>
      <x:c r="G657" s="8" t="s">
        <x:v>109</x:v>
      </x:c>
      <x:c r="H657" s="8" t="s">
        <x:v>1935</x:v>
      </x:c>
      <x:c r="I657" s="8" t="s">
        <x:v>1936</x:v>
      </x:c>
      <x:c r="J657" s="8" t="s">
        <x:v>112</x:v>
      </x:c>
      <x:c r="K657" s="8" t="s">
        <x:v>1951</x:v>
      </x:c>
      <x:c r="L657" s="8" t="s">
        <x:v>1951</x:v>
      </x:c>
      <x:c r="M657" s="8"/>
      <x:c r="N657" s="8"/>
      <x:c r="O657" s="8" t="s">
        <x:v>1622</x:v>
      </x:c>
      <x:c r="P657" s="8" t="s">
        <x:v>115</x:v>
      </x:c>
      <x:c r="Q657" s="8" t="s">
        <x:v>45</x:v>
      </x:c>
      <x:c r="R657" s="8" t="s">
        <x:v>1623</x:v>
      </x:c>
      <x:c r="S657" s="8"/>
      <x:c r="T657" s="8" t="s">
        <x:v>27</x:v>
      </x:c>
      <x:c r="U657" s="8" t="s">
        <x:v>883</x:v>
      </x:c>
      <x:c r="V657" s="8" t="s">
        <x:v>1624</x:v>
      </x:c>
    </x:row>
    <x:row r="658" ht="36" hidden="0" customHeight="1">
      <x:c r="A658" s="8" t="s">
        <x:v>1952</x:v>
      </x:c>
      <x:c r="B658" s="8" t="s">
        <x:v>1932</x:v>
      </x:c>
      <x:c r="C658" s="8"/>
      <x:c r="D658" s="8" t="s">
        <x:v>318</x:v>
      </x:c>
      <x:c r="E658" s="8" t="n">
        <x:v>0.001</x:v>
      </x:c>
      <x:c r="F658" s="8" t="s">
        <x:v>1617</x:v>
      </x:c>
      <x:c r="G658" s="8" t="s">
        <x:v>109</x:v>
      </x:c>
      <x:c r="H658" s="8" t="s">
        <x:v>1935</x:v>
      </x:c>
      <x:c r="I658" s="8" t="s">
        <x:v>1936</x:v>
      </x:c>
      <x:c r="J658" s="8" t="s">
        <x:v>112</x:v>
      </x:c>
      <x:c r="K658" s="8" t="s">
        <x:v>1951</x:v>
      </x:c>
      <x:c r="L658" s="8" t="s">
        <x:v>1951</x:v>
      </x:c>
      <x:c r="M658" s="8"/>
      <x:c r="N658" s="8"/>
      <x:c r="O658" s="8" t="s">
        <x:v>1622</x:v>
      </x:c>
      <x:c r="P658" s="8" t="s">
        <x:v>115</x:v>
      </x:c>
      <x:c r="Q658" s="8" t="s">
        <x:v>45</x:v>
      </x:c>
      <x:c r="R658" s="8" t="s">
        <x:v>1623</x:v>
      </x:c>
      <x:c r="S658" s="8"/>
      <x:c r="T658" s="8" t="s">
        <x:v>27</x:v>
      </x:c>
      <x:c r="U658" s="8" t="s">
        <x:v>883</x:v>
      </x:c>
      <x:c r="V658" s="8" t="s">
        <x:v>1624</x:v>
      </x:c>
    </x:row>
    <x:row r="659" ht="36" hidden="0" customHeight="1">
      <x:c r="A659" s="8" t="s">
        <x:v>1953</x:v>
      </x:c>
      <x:c r="B659" s="8" t="s">
        <x:v>1932</x:v>
      </x:c>
      <x:c r="C659" s="8"/>
      <x:c r="D659" s="8" t="s">
        <x:v>167</x:v>
      </x:c>
      <x:c r="E659" s="8" t="n">
        <x:v>32</x:v>
      </x:c>
      <x:c r="F659" s="8" t="s">
        <x:v>1617</x:v>
      </x:c>
      <x:c r="G659" s="8" t="s">
        <x:v>109</x:v>
      </x:c>
      <x:c r="H659" s="8" t="s">
        <x:v>1935</x:v>
      </x:c>
      <x:c r="I659" s="8" t="s">
        <x:v>1936</x:v>
      </x:c>
      <x:c r="J659" s="8" t="s">
        <x:v>112</x:v>
      </x:c>
      <x:c r="K659" s="8" t="s">
        <x:v>1951</x:v>
      </x:c>
      <x:c r="L659" s="8" t="s">
        <x:v>1951</x:v>
      </x:c>
      <x:c r="M659" s="8"/>
      <x:c r="N659" s="8"/>
      <x:c r="O659" s="8" t="s">
        <x:v>1622</x:v>
      </x:c>
      <x:c r="P659" s="8" t="s">
        <x:v>115</x:v>
      </x:c>
      <x:c r="Q659" s="8" t="s">
        <x:v>45</x:v>
      </x:c>
      <x:c r="R659" s="8" t="s">
        <x:v>1623</x:v>
      </x:c>
      <x:c r="S659" s="8" t="s">
        <x:v>1954</x:v>
      </x:c>
      <x:c r="T659" s="8" t="s">
        <x:v>27</x:v>
      </x:c>
      <x:c r="U659" s="8" t="s">
        <x:v>883</x:v>
      </x:c>
      <x:c r="V659" s="8" t="s">
        <x:v>1624</x:v>
      </x:c>
    </x:row>
    <x:row r="660" ht="36" hidden="0" customHeight="1">
      <x:c r="A660" s="8" t="s">
        <x:v>1955</x:v>
      </x:c>
      <x:c r="B660" s="8" t="s">
        <x:v>1932</x:v>
      </x:c>
      <x:c r="C660" s="8"/>
      <x:c r="D660" s="8" t="s">
        <x:v>170</x:v>
      </x:c>
      <x:c r="E660" s="8" t="n">
        <x:v>50</x:v>
      </x:c>
      <x:c r="F660" s="8" t="s">
        <x:v>1617</x:v>
      </x:c>
      <x:c r="G660" s="8" t="s">
        <x:v>109</x:v>
      </x:c>
      <x:c r="H660" s="8" t="s">
        <x:v>1935</x:v>
      </x:c>
      <x:c r="I660" s="8" t="s">
        <x:v>1936</x:v>
      </x:c>
      <x:c r="J660" s="8" t="s">
        <x:v>112</x:v>
      </x:c>
      <x:c r="K660" s="8" t="s">
        <x:v>1951</x:v>
      </x:c>
      <x:c r="L660" s="8" t="s">
        <x:v>1951</x:v>
      </x:c>
      <x:c r="M660" s="8"/>
      <x:c r="N660" s="8"/>
      <x:c r="O660" s="8" t="s">
        <x:v>1622</x:v>
      </x:c>
      <x:c r="P660" s="8" t="s">
        <x:v>115</x:v>
      </x:c>
      <x:c r="Q660" s="8" t="s">
        <x:v>45</x:v>
      </x:c>
      <x:c r="R660" s="8" t="s">
        <x:v>1623</x:v>
      </x:c>
      <x:c r="S660" s="8" t="s">
        <x:v>990</x:v>
      </x:c>
      <x:c r="T660" s="8" t="s">
        <x:v>27</x:v>
      </x:c>
      <x:c r="U660" s="8" t="s">
        <x:v>883</x:v>
      </x:c>
      <x:c r="V660" s="8" t="s">
        <x:v>1624</x:v>
      </x:c>
    </x:row>
    <x:row r="661" ht="36" hidden="0" customHeight="1">
      <x:c r="A661" s="8" t="s">
        <x:v>1956</x:v>
      </x:c>
      <x:c r="B661" s="8" t="s">
        <x:v>1932</x:v>
      </x:c>
      <x:c r="C661" s="8"/>
      <x:c r="D661" s="8" t="s">
        <x:v>1864</x:v>
      </x:c>
      <x:c r="E661" s="8" t="s">
        <x:v>1957</x:v>
      </x:c>
      <x:c r="F661" s="8" t="s">
        <x:v>1617</x:v>
      </x:c>
      <x:c r="G661" s="8" t="s">
        <x:v>109</x:v>
      </x:c>
      <x:c r="H661" s="8" t="s">
        <x:v>1935</x:v>
      </x:c>
      <x:c r="I661" s="8" t="s">
        <x:v>1936</x:v>
      </x:c>
      <x:c r="J661" s="8" t="s">
        <x:v>112</x:v>
      </x:c>
      <x:c r="K661" s="8" t="s">
        <x:v>1951</x:v>
      </x:c>
      <x:c r="L661" s="8" t="s">
        <x:v>1951</x:v>
      </x:c>
      <x:c r="M661" s="8"/>
      <x:c r="N661" s="8"/>
      <x:c r="O661" s="8" t="s">
        <x:v>1622</x:v>
      </x:c>
      <x:c r="P661" s="8" t="s">
        <x:v>115</x:v>
      </x:c>
      <x:c r="Q661" s="8" t="s">
        <x:v>45</x:v>
      </x:c>
      <x:c r="R661" s="8" t="s">
        <x:v>1623</x:v>
      </x:c>
      <x:c r="S661" s="8"/>
      <x:c r="T661" s="8" t="s">
        <x:v>27</x:v>
      </x:c>
      <x:c r="U661" s="8" t="s">
        <x:v>883</x:v>
      </x:c>
      <x:c r="V661" s="8" t="s">
        <x:v>1624</x:v>
      </x:c>
    </x:row>
    <x:row r="662" ht="36" hidden="0" customHeight="1">
      <x:c r="A662" s="8" t="s">
        <x:v>1958</x:v>
      </x:c>
      <x:c r="B662" s="8" t="s">
        <x:v>1932</x:v>
      </x:c>
      <x:c r="C662" s="8"/>
      <x:c r="D662" s="8" t="s">
        <x:v>1652</x:v>
      </x:c>
      <x:c r="E662" s="8" t="s">
        <x:v>1959</x:v>
      </x:c>
      <x:c r="F662" s="8" t="s">
        <x:v>1617</x:v>
      </x:c>
      <x:c r="G662" s="8" t="s">
        <x:v>109</x:v>
      </x:c>
      <x:c r="H662" s="8" t="s">
        <x:v>1935</x:v>
      </x:c>
      <x:c r="I662" s="8" t="s">
        <x:v>1936</x:v>
      </x:c>
      <x:c r="J662" s="8" t="s">
        <x:v>112</x:v>
      </x:c>
      <x:c r="K662" s="8" t="s">
        <x:v>1951</x:v>
      </x:c>
      <x:c r="L662" s="8" t="s">
        <x:v>1951</x:v>
      </x:c>
      <x:c r="M662" s="8"/>
      <x:c r="N662" s="8"/>
      <x:c r="O662" s="8" t="s">
        <x:v>1622</x:v>
      </x:c>
      <x:c r="P662" s="8" t="s">
        <x:v>115</x:v>
      </x:c>
      <x:c r="Q662" s="8" t="s">
        <x:v>45</x:v>
      </x:c>
      <x:c r="R662" s="8" t="s">
        <x:v>1623</x:v>
      </x:c>
      <x:c r="S662" s="8"/>
      <x:c r="T662" s="8" t="s">
        <x:v>27</x:v>
      </x:c>
      <x:c r="U662" s="8" t="s">
        <x:v>883</x:v>
      </x:c>
      <x:c r="V662" s="8" t="s">
        <x:v>1624</x:v>
      </x:c>
    </x:row>
    <x:row r="663" ht="36" hidden="0" customHeight="1">
      <x:c r="A663" s="8" t="s">
        <x:v>1960</x:v>
      </x:c>
      <x:c r="B663" s="8" t="s">
        <x:v>1932</x:v>
      </x:c>
      <x:c r="C663" s="8"/>
      <x:c r="D663" s="8" t="s">
        <x:v>1961</x:v>
      </x:c>
      <x:c r="E663" s="8" t="s">
        <x:v>1962</x:v>
      </x:c>
      <x:c r="F663" s="8" t="s">
        <x:v>1617</x:v>
      </x:c>
      <x:c r="G663" s="8" t="s">
        <x:v>109</x:v>
      </x:c>
      <x:c r="H663" s="8" t="s">
        <x:v>1935</x:v>
      </x:c>
      <x:c r="I663" s="8" t="s">
        <x:v>1936</x:v>
      </x:c>
      <x:c r="J663" s="8" t="s">
        <x:v>112</x:v>
      </x:c>
      <x:c r="K663" s="8" t="s">
        <x:v>1951</x:v>
      </x:c>
      <x:c r="L663" s="8" t="s">
        <x:v>1951</x:v>
      </x:c>
      <x:c r="M663" s="8"/>
      <x:c r="N663" s="8"/>
      <x:c r="O663" s="8" t="s">
        <x:v>1622</x:v>
      </x:c>
      <x:c r="P663" s="8" t="s">
        <x:v>115</x:v>
      </x:c>
      <x:c r="Q663" s="8" t="s">
        <x:v>45</x:v>
      </x:c>
      <x:c r="R663" s="8" t="s">
        <x:v>1623</x:v>
      </x:c>
      <x:c r="S663" s="8"/>
      <x:c r="T663" s="8" t="s">
        <x:v>27</x:v>
      </x:c>
      <x:c r="U663" s="8" t="s">
        <x:v>883</x:v>
      </x:c>
      <x:c r="V663" s="8" t="s">
        <x:v>1624</x:v>
      </x:c>
    </x:row>
    <x:row r="664" ht="36" hidden="0" customHeight="1">
      <x:c r="A664" s="8" t="s">
        <x:v>1963</x:v>
      </x:c>
      <x:c r="B664" s="8" t="s">
        <x:v>1932</x:v>
      </x:c>
      <x:c r="C664" s="8"/>
      <x:c r="D664" s="8" t="s">
        <x:v>237</x:v>
      </x:c>
      <x:c r="E664" s="8" t="s">
        <x:v>1964</x:v>
      </x:c>
      <x:c r="F664" s="8" t="s">
        <x:v>1617</x:v>
      </x:c>
      <x:c r="G664" s="8" t="s">
        <x:v>109</x:v>
      </x:c>
      <x:c r="H664" s="8" t="s">
        <x:v>1935</x:v>
      </x:c>
      <x:c r="I664" s="8" t="s">
        <x:v>1936</x:v>
      </x:c>
      <x:c r="J664" s="8" t="s">
        <x:v>112</x:v>
      </x:c>
      <x:c r="K664" s="8" t="s">
        <x:v>1965</x:v>
      </x:c>
      <x:c r="L664" s="8" t="s">
        <x:v>1965</x:v>
      </x:c>
      <x:c r="M664" s="8"/>
      <x:c r="N664" s="8"/>
      <x:c r="O664" s="8" t="s">
        <x:v>1622</x:v>
      </x:c>
      <x:c r="P664" s="8" t="s">
        <x:v>115</x:v>
      </x:c>
      <x:c r="Q664" s="8" t="s">
        <x:v>45</x:v>
      </x:c>
      <x:c r="R664" s="8" t="s">
        <x:v>1623</x:v>
      </x:c>
      <x:c r="S664" s="8"/>
      <x:c r="T664" s="8" t="s">
        <x:v>27</x:v>
      </x:c>
      <x:c r="U664" s="8" t="s">
        <x:v>883</x:v>
      </x:c>
      <x:c r="V664" s="8" t="s">
        <x:v>1624</x:v>
      </x:c>
    </x:row>
    <x:row r="665" ht="36" hidden="0" customHeight="1">
      <x:c r="A665" s="8" t="s">
        <x:v>1966</x:v>
      </x:c>
      <x:c r="B665" s="8" t="s">
        <x:v>1932</x:v>
      </x:c>
      <x:c r="C665" s="8"/>
      <x:c r="D665" s="8" t="s">
        <x:v>233</x:v>
      </x:c>
      <x:c r="E665" s="8" t="s">
        <x:v>1967</x:v>
      </x:c>
      <x:c r="F665" s="8" t="s">
        <x:v>1617</x:v>
      </x:c>
      <x:c r="G665" s="8" t="s">
        <x:v>109</x:v>
      </x:c>
      <x:c r="H665" s="8" t="s">
        <x:v>1935</x:v>
      </x:c>
      <x:c r="I665" s="8" t="s">
        <x:v>1936</x:v>
      </x:c>
      <x:c r="J665" s="8" t="s">
        <x:v>112</x:v>
      </x:c>
      <x:c r="K665" s="8" t="s">
        <x:v>1968</x:v>
      </x:c>
      <x:c r="L665" s="8" t="s">
        <x:v>1968</x:v>
      </x:c>
      <x:c r="M665" s="8"/>
      <x:c r="N665" s="8"/>
      <x:c r="O665" s="8" t="s">
        <x:v>1622</x:v>
      </x:c>
      <x:c r="P665" s="8" t="s">
        <x:v>115</x:v>
      </x:c>
      <x:c r="Q665" s="8" t="s">
        <x:v>45</x:v>
      </x:c>
      <x:c r="R665" s="8" t="s">
        <x:v>1623</x:v>
      </x:c>
      <x:c r="S665" s="8"/>
      <x:c r="T665" s="8" t="s">
        <x:v>27</x:v>
      </x:c>
      <x:c r="U665" s="8" t="s">
        <x:v>883</x:v>
      </x:c>
      <x:c r="V665" s="8" t="s">
        <x:v>1624</x:v>
      </x:c>
    </x:row>
    <x:row r="666" ht="36" hidden="0" customHeight="1">
      <x:c r="A666" s="8" t="s">
        <x:v>1969</x:v>
      </x:c>
      <x:c r="B666" s="8" t="s">
        <x:v>1932</x:v>
      </x:c>
      <x:c r="C666" s="8"/>
      <x:c r="D666" s="8" t="s">
        <x:v>1970</x:v>
      </x:c>
      <x:c r="E666" s="8" t="n">
        <x:v>0.258</x:v>
      </x:c>
      <x:c r="F666" s="8" t="s">
        <x:v>1617</x:v>
      </x:c>
      <x:c r="G666" s="8" t="s">
        <x:v>109</x:v>
      </x:c>
      <x:c r="H666" s="8" t="s">
        <x:v>1935</x:v>
      </x:c>
      <x:c r="I666" s="8" t="s">
        <x:v>1936</x:v>
      </x:c>
      <x:c r="J666" s="8" t="s">
        <x:v>112</x:v>
      </x:c>
      <x:c r="K666" s="8" t="s">
        <x:v>1971</x:v>
      </x:c>
      <x:c r="L666" s="8" t="s">
        <x:v>1971</x:v>
      </x:c>
      <x:c r="M666" s="8"/>
      <x:c r="N666" s="8"/>
      <x:c r="O666" s="8" t="s">
        <x:v>1622</x:v>
      </x:c>
      <x:c r="P666" s="8" t="s">
        <x:v>115</x:v>
      </x:c>
      <x:c r="Q666" s="8" t="s">
        <x:v>45</x:v>
      </x:c>
      <x:c r="R666" s="8" t="s">
        <x:v>1623</x:v>
      </x:c>
      <x:c r="S666" s="8" t="s">
        <x:v>30</x:v>
      </x:c>
      <x:c r="T666" s="8" t="s">
        <x:v>27</x:v>
      </x:c>
      <x:c r="U666" s="8" t="s">
        <x:v>883</x:v>
      </x:c>
      <x:c r="V666" s="8" t="s">
        <x:v>1624</x:v>
      </x:c>
    </x:row>
    <x:row r="667" ht="36" hidden="0" customHeight="1">
      <x:c r="A667" s="8" t="s">
        <x:v>1972</x:v>
      </x:c>
      <x:c r="B667" s="8" t="s">
        <x:v>1932</x:v>
      </x:c>
      <x:c r="C667" s="8"/>
      <x:c r="D667" s="8" t="s">
        <x:v>1973</x:v>
      </x:c>
      <x:c r="E667" s="8" t="n">
        <x:v>1.092</x:v>
      </x:c>
      <x:c r="F667" s="8" t="s">
        <x:v>1617</x:v>
      </x:c>
      <x:c r="G667" s="8" t="s">
        <x:v>109</x:v>
      </x:c>
      <x:c r="H667" s="8" t="s">
        <x:v>1935</x:v>
      </x:c>
      <x:c r="I667" s="8" t="s">
        <x:v>1936</x:v>
      </x:c>
      <x:c r="J667" s="8" t="s">
        <x:v>112</x:v>
      </x:c>
      <x:c r="K667" s="8" t="s">
        <x:v>1971</x:v>
      </x:c>
      <x:c r="L667" s="8" t="s">
        <x:v>1971</x:v>
      </x:c>
      <x:c r="M667" s="8"/>
      <x:c r="N667" s="8"/>
      <x:c r="O667" s="8" t="s">
        <x:v>1622</x:v>
      </x:c>
      <x:c r="P667" s="8" t="s">
        <x:v>115</x:v>
      </x:c>
      <x:c r="Q667" s="8" t="s">
        <x:v>45</x:v>
      </x:c>
      <x:c r="R667" s="8" t="s">
        <x:v>1623</x:v>
      </x:c>
      <x:c r="S667" s="8" t="s">
        <x:v>30</x:v>
      </x:c>
      <x:c r="T667" s="8" t="s">
        <x:v>27</x:v>
      </x:c>
      <x:c r="U667" s="8" t="s">
        <x:v>883</x:v>
      </x:c>
      <x:c r="V667" s="8" t="s">
        <x:v>1624</x:v>
      </x:c>
    </x:row>
    <x:row r="668" ht="36" hidden="0" customHeight="1">
      <x:c r="A668" s="8" t="s">
        <x:v>1974</x:v>
      </x:c>
      <x:c r="B668" s="8" t="s">
        <x:v>1932</x:v>
      </x:c>
      <x:c r="C668" s="8"/>
      <x:c r="D668" s="8" t="s">
        <x:v>1975</x:v>
      </x:c>
      <x:c r="E668" s="8" t="n">
        <x:v>0.962</x:v>
      </x:c>
      <x:c r="F668" s="8" t="s">
        <x:v>1617</x:v>
      </x:c>
      <x:c r="G668" s="8" t="s">
        <x:v>109</x:v>
      </x:c>
      <x:c r="H668" s="8" t="s">
        <x:v>1935</x:v>
      </x:c>
      <x:c r="I668" s="8" t="s">
        <x:v>1936</x:v>
      </x:c>
      <x:c r="J668" s="8" t="s">
        <x:v>112</x:v>
      </x:c>
      <x:c r="K668" s="8" t="s">
        <x:v>1971</x:v>
      </x:c>
      <x:c r="L668" s="8" t="s">
        <x:v>1971</x:v>
      </x:c>
      <x:c r="M668" s="8"/>
      <x:c r="N668" s="8"/>
      <x:c r="O668" s="8" t="s">
        <x:v>1622</x:v>
      </x:c>
      <x:c r="P668" s="8" t="s">
        <x:v>115</x:v>
      </x:c>
      <x:c r="Q668" s="8" t="s">
        <x:v>45</x:v>
      </x:c>
      <x:c r="R668" s="8" t="s">
        <x:v>1623</x:v>
      </x:c>
      <x:c r="S668" s="8" t="s">
        <x:v>1339</x:v>
      </x:c>
      <x:c r="T668" s="8" t="s">
        <x:v>27</x:v>
      </x:c>
      <x:c r="U668" s="8" t="s">
        <x:v>883</x:v>
      </x:c>
      <x:c r="V668" s="8" t="s">
        <x:v>1624</x:v>
      </x:c>
    </x:row>
    <x:row r="669" ht="36" hidden="0" customHeight="1">
      <x:c r="A669" s="8" t="s">
        <x:v>1976</x:v>
      </x:c>
      <x:c r="B669" s="8" t="s">
        <x:v>1932</x:v>
      </x:c>
      <x:c r="C669" s="8"/>
      <x:c r="D669" s="8" t="s">
        <x:v>1977</x:v>
      </x:c>
      <x:c r="E669" s="8" t="s">
        <x:v>1978</x:v>
      </x:c>
      <x:c r="F669" s="8" t="s">
        <x:v>1617</x:v>
      </x:c>
      <x:c r="G669" s="8" t="s">
        <x:v>109</x:v>
      </x:c>
      <x:c r="H669" s="8" t="s">
        <x:v>1935</x:v>
      </x:c>
      <x:c r="I669" s="8" t="s">
        <x:v>1936</x:v>
      </x:c>
      <x:c r="J669" s="8" t="s">
        <x:v>112</x:v>
      </x:c>
      <x:c r="K669" s="8" t="s">
        <x:v>1968</x:v>
      </x:c>
      <x:c r="L669" s="8" t="s">
        <x:v>1968</x:v>
      </x:c>
      <x:c r="M669" s="8"/>
      <x:c r="N669" s="8"/>
      <x:c r="O669" s="8" t="s">
        <x:v>1622</x:v>
      </x:c>
      <x:c r="P669" s="8" t="s">
        <x:v>115</x:v>
      </x:c>
      <x:c r="Q669" s="8" t="s">
        <x:v>45</x:v>
      </x:c>
      <x:c r="R669" s="8" t="s">
        <x:v>1623</x:v>
      </x:c>
      <x:c r="S669" s="8"/>
      <x:c r="T669" s="8" t="s">
        <x:v>27</x:v>
      </x:c>
      <x:c r="U669" s="8" t="s">
        <x:v>883</x:v>
      </x:c>
      <x:c r="V669" s="8" t="s">
        <x:v>1624</x:v>
      </x:c>
    </x:row>
    <x:row r="670" ht="36" hidden="0" customHeight="1">
      <x:c r="A670" s="8" t="s">
        <x:v>1979</x:v>
      </x:c>
      <x:c r="B670" s="8" t="s">
        <x:v>1980</x:v>
      </x:c>
      <x:c r="C670" s="8"/>
      <x:c r="D670" s="8" t="s">
        <x:v>1889</x:v>
      </x:c>
      <x:c r="E670" s="8" t="s">
        <x:v>1981</x:v>
      </x:c>
      <x:c r="F670" s="8" t="s">
        <x:v>1617</x:v>
      </x:c>
      <x:c r="G670" s="8" t="s">
        <x:v>109</x:v>
      </x:c>
      <x:c r="H670" s="8" t="s">
        <x:v>1982</x:v>
      </x:c>
      <x:c r="I670" s="8" t="s">
        <x:v>1983</x:v>
      </x:c>
      <x:c r="J670" s="8" t="s">
        <x:v>112</x:v>
      </x:c>
      <x:c r="K670" s="8" t="s">
        <x:v>1984</x:v>
      </x:c>
      <x:c r="L670" s="8" t="s">
        <x:v>1984</x:v>
      </x:c>
      <x:c r="M670" s="8"/>
      <x:c r="N670" s="8"/>
      <x:c r="O670" s="8" t="s">
        <x:v>1622</x:v>
      </x:c>
      <x:c r="P670" s="8" t="s">
        <x:v>115</x:v>
      </x:c>
      <x:c r="Q670" s="8" t="s">
        <x:v>45</x:v>
      </x:c>
      <x:c r="R670" s="8" t="s">
        <x:v>1623</x:v>
      </x:c>
      <x:c r="S670" s="8"/>
      <x:c r="T670" s="8" t="s">
        <x:v>27</x:v>
      </x:c>
      <x:c r="U670" s="8" t="s">
        <x:v>883</x:v>
      </x:c>
      <x:c r="V670" s="8" t="s">
        <x:v>1624</x:v>
      </x:c>
    </x:row>
    <x:row r="671" ht="36" hidden="0" customHeight="1">
      <x:c r="A671" s="8" t="s">
        <x:v>1985</x:v>
      </x:c>
      <x:c r="B671" s="8" t="s">
        <x:v>1980</x:v>
      </x:c>
      <x:c r="C671" s="8"/>
      <x:c r="D671" s="8" t="s">
        <x:v>1394</x:v>
      </x:c>
      <x:c r="E671" s="8" t="s">
        <x:v>1986</x:v>
      </x:c>
      <x:c r="F671" s="8" t="s">
        <x:v>1617</x:v>
      </x:c>
      <x:c r="G671" s="8" t="s">
        <x:v>109</x:v>
      </x:c>
      <x:c r="H671" s="8" t="s">
        <x:v>1982</x:v>
      </x:c>
      <x:c r="I671" s="8" t="s">
        <x:v>1983</x:v>
      </x:c>
      <x:c r="J671" s="8" t="s">
        <x:v>112</x:v>
      </x:c>
      <x:c r="K671" s="8" t="s">
        <x:v>1984</x:v>
      </x:c>
      <x:c r="L671" s="8" t="s">
        <x:v>1984</x:v>
      </x:c>
      <x:c r="M671" s="8"/>
      <x:c r="N671" s="8"/>
      <x:c r="O671" s="8" t="s">
        <x:v>1622</x:v>
      </x:c>
      <x:c r="P671" s="8" t="s">
        <x:v>115</x:v>
      </x:c>
      <x:c r="Q671" s="8" t="s">
        <x:v>45</x:v>
      </x:c>
      <x:c r="R671" s="8" t="s">
        <x:v>1623</x:v>
      </x:c>
      <x:c r="S671" s="8"/>
      <x:c r="T671" s="8" t="s">
        <x:v>27</x:v>
      </x:c>
      <x:c r="U671" s="8" t="s">
        <x:v>883</x:v>
      </x:c>
      <x:c r="V671" s="8" t="s">
        <x:v>1624</x:v>
      </x:c>
    </x:row>
    <x:row r="672" ht="36" hidden="0" customHeight="1">
      <x:c r="A672" s="8" t="s">
        <x:v>1987</x:v>
      </x:c>
      <x:c r="B672" s="8" t="s">
        <x:v>1980</x:v>
      </x:c>
      <x:c r="C672" s="8"/>
      <x:c r="D672" s="8" t="s">
        <x:v>167</x:v>
      </x:c>
      <x:c r="E672" s="8" t="n">
        <x:v>4</x:v>
      </x:c>
      <x:c r="F672" s="8" t="s">
        <x:v>1617</x:v>
      </x:c>
      <x:c r="G672" s="8" t="s">
        <x:v>109</x:v>
      </x:c>
      <x:c r="H672" s="8" t="s">
        <x:v>1982</x:v>
      </x:c>
      <x:c r="I672" s="8" t="s">
        <x:v>1983</x:v>
      </x:c>
      <x:c r="J672" s="8" t="s">
        <x:v>112</x:v>
      </x:c>
      <x:c r="K672" s="8" t="s">
        <x:v>1984</x:v>
      </x:c>
      <x:c r="L672" s="8" t="s">
        <x:v>1984</x:v>
      </x:c>
      <x:c r="M672" s="8"/>
      <x:c r="N672" s="8"/>
      <x:c r="O672" s="8" t="s">
        <x:v>1622</x:v>
      </x:c>
      <x:c r="P672" s="8" t="s">
        <x:v>115</x:v>
      </x:c>
      <x:c r="Q672" s="8" t="s">
        <x:v>45</x:v>
      </x:c>
      <x:c r="R672" s="8" t="s">
        <x:v>1623</x:v>
      </x:c>
      <x:c r="S672" s="8" t="s">
        <x:v>1954</x:v>
      </x:c>
      <x:c r="T672" s="8" t="s">
        <x:v>27</x:v>
      </x:c>
      <x:c r="U672" s="8" t="s">
        <x:v>883</x:v>
      </x:c>
      <x:c r="V672" s="8" t="s">
        <x:v>1624</x:v>
      </x:c>
    </x:row>
    <x:row r="673" ht="36" hidden="0" customHeight="1">
      <x:c r="A673" s="8" t="s">
        <x:v>1988</x:v>
      </x:c>
      <x:c r="B673" s="8" t="s">
        <x:v>1980</x:v>
      </x:c>
      <x:c r="C673" s="8"/>
      <x:c r="D673" s="8" t="s">
        <x:v>1989</x:v>
      </x:c>
      <x:c r="E673" s="8" t="s">
        <x:v>1990</x:v>
      </x:c>
      <x:c r="F673" s="8" t="s">
        <x:v>1617</x:v>
      </x:c>
      <x:c r="G673" s="8" t="s">
        <x:v>109</x:v>
      </x:c>
      <x:c r="H673" s="8" t="s">
        <x:v>1982</x:v>
      </x:c>
      <x:c r="I673" s="8" t="s">
        <x:v>1983</x:v>
      </x:c>
      <x:c r="J673" s="8" t="s">
        <x:v>112</x:v>
      </x:c>
      <x:c r="K673" s="8" t="s">
        <x:v>1984</x:v>
      </x:c>
      <x:c r="L673" s="8" t="s">
        <x:v>1984</x:v>
      </x:c>
      <x:c r="M673" s="8"/>
      <x:c r="N673" s="8"/>
      <x:c r="O673" s="8" t="s">
        <x:v>1622</x:v>
      </x:c>
      <x:c r="P673" s="8" t="s">
        <x:v>115</x:v>
      </x:c>
      <x:c r="Q673" s="8" t="s">
        <x:v>45</x:v>
      </x:c>
      <x:c r="R673" s="8" t="s">
        <x:v>1623</x:v>
      </x:c>
      <x:c r="S673" s="8"/>
      <x:c r="T673" s="8" t="s">
        <x:v>27</x:v>
      </x:c>
      <x:c r="U673" s="8" t="s">
        <x:v>883</x:v>
      </x:c>
      <x:c r="V673" s="8" t="s">
        <x:v>1624</x:v>
      </x:c>
    </x:row>
    <x:row r="674" ht="36" hidden="0" customHeight="1">
      <x:c r="A674" s="8" t="s">
        <x:v>1991</x:v>
      </x:c>
      <x:c r="B674" s="8" t="s">
        <x:v>1980</x:v>
      </x:c>
      <x:c r="C674" s="8"/>
      <x:c r="D674" s="8" t="s">
        <x:v>164</x:v>
      </x:c>
      <x:c r="E674" s="8" t="s">
        <x:v>165</x:v>
      </x:c>
      <x:c r="F674" s="8" t="s">
        <x:v>1617</x:v>
      </x:c>
      <x:c r="G674" s="8" t="s">
        <x:v>109</x:v>
      </x:c>
      <x:c r="H674" s="8" t="s">
        <x:v>1982</x:v>
      </x:c>
      <x:c r="I674" s="8" t="s">
        <x:v>1983</x:v>
      </x:c>
      <x:c r="J674" s="8" t="s">
        <x:v>112</x:v>
      </x:c>
      <x:c r="K674" s="8" t="s">
        <x:v>1984</x:v>
      </x:c>
      <x:c r="L674" s="8" t="s">
        <x:v>1984</x:v>
      </x:c>
      <x:c r="M674" s="8"/>
      <x:c r="N674" s="8"/>
      <x:c r="O674" s="8" t="s">
        <x:v>1622</x:v>
      </x:c>
      <x:c r="P674" s="8" t="s">
        <x:v>115</x:v>
      </x:c>
      <x:c r="Q674" s="8" t="s">
        <x:v>45</x:v>
      </x:c>
      <x:c r="R674" s="8" t="s">
        <x:v>1623</x:v>
      </x:c>
      <x:c r="S674" s="8"/>
      <x:c r="T674" s="8" t="s">
        <x:v>27</x:v>
      </x:c>
      <x:c r="U674" s="8" t="s">
        <x:v>883</x:v>
      </x:c>
      <x:c r="V674" s="8" t="s">
        <x:v>1624</x:v>
      </x:c>
    </x:row>
    <x:row r="675" ht="36" hidden="0" customHeight="1">
      <x:c r="A675" s="8" t="s">
        <x:v>1992</x:v>
      </x:c>
      <x:c r="B675" s="8" t="s">
        <x:v>1980</x:v>
      </x:c>
      <x:c r="C675" s="8"/>
      <x:c r="D675" s="8" t="s">
        <x:v>318</x:v>
      </x:c>
      <x:c r="E675" s="8" t="n">
        <x:v>0.001</x:v>
      </x:c>
      <x:c r="F675" s="8" t="s">
        <x:v>1617</x:v>
      </x:c>
      <x:c r="G675" s="8" t="s">
        <x:v>109</x:v>
      </x:c>
      <x:c r="H675" s="8" t="s">
        <x:v>1982</x:v>
      </x:c>
      <x:c r="I675" s="8" t="s">
        <x:v>1983</x:v>
      </x:c>
      <x:c r="J675" s="8" t="s">
        <x:v>112</x:v>
      </x:c>
      <x:c r="K675" s="8" t="s">
        <x:v>1984</x:v>
      </x:c>
      <x:c r="L675" s="8" t="s">
        <x:v>1984</x:v>
      </x:c>
      <x:c r="M675" s="8"/>
      <x:c r="N675" s="8"/>
      <x:c r="O675" s="8" t="s">
        <x:v>1622</x:v>
      </x:c>
      <x:c r="P675" s="8" t="s">
        <x:v>115</x:v>
      </x:c>
      <x:c r="Q675" s="8" t="s">
        <x:v>45</x:v>
      </x:c>
      <x:c r="R675" s="8" t="s">
        <x:v>1623</x:v>
      </x:c>
      <x:c r="S675" s="8"/>
      <x:c r="T675" s="8" t="s">
        <x:v>27</x:v>
      </x:c>
      <x:c r="U675" s="8" t="s">
        <x:v>883</x:v>
      </x:c>
      <x:c r="V675" s="8" t="s">
        <x:v>1624</x:v>
      </x:c>
    </x:row>
    <x:row r="676" ht="36" hidden="0" customHeight="1">
      <x:c r="A676" s="8" t="s">
        <x:v>1993</x:v>
      </x:c>
      <x:c r="B676" s="8" t="s">
        <x:v>1980</x:v>
      </x:c>
      <x:c r="C676" s="8"/>
      <x:c r="D676" s="8" t="s">
        <x:v>1652</x:v>
      </x:c>
      <x:c r="E676" s="8" t="s">
        <x:v>1994</x:v>
      </x:c>
      <x:c r="F676" s="8" t="s">
        <x:v>1617</x:v>
      </x:c>
      <x:c r="G676" s="8" t="s">
        <x:v>109</x:v>
      </x:c>
      <x:c r="H676" s="8" t="s">
        <x:v>1982</x:v>
      </x:c>
      <x:c r="I676" s="8" t="s">
        <x:v>1983</x:v>
      </x:c>
      <x:c r="J676" s="8" t="s">
        <x:v>112</x:v>
      </x:c>
      <x:c r="K676" s="8" t="s">
        <x:v>1984</x:v>
      </x:c>
      <x:c r="L676" s="8" t="s">
        <x:v>1984</x:v>
      </x:c>
      <x:c r="M676" s="8"/>
      <x:c r="N676" s="8"/>
      <x:c r="O676" s="8" t="s">
        <x:v>1622</x:v>
      </x:c>
      <x:c r="P676" s="8" t="s">
        <x:v>115</x:v>
      </x:c>
      <x:c r="Q676" s="8" t="s">
        <x:v>45</x:v>
      </x:c>
      <x:c r="R676" s="8" t="s">
        <x:v>1623</x:v>
      </x:c>
      <x:c r="S676" s="8"/>
      <x:c r="T676" s="8" t="s">
        <x:v>27</x:v>
      </x:c>
      <x:c r="U676" s="8" t="s">
        <x:v>883</x:v>
      </x:c>
      <x:c r="V676" s="8" t="s">
        <x:v>1624</x:v>
      </x:c>
    </x:row>
    <x:row r="677" ht="36" hidden="0" customHeight="1">
      <x:c r="A677" s="8" t="s">
        <x:v>1995</x:v>
      </x:c>
      <x:c r="B677" s="8" t="s">
        <x:v>1980</x:v>
      </x:c>
      <x:c r="C677" s="8"/>
      <x:c r="D677" s="8" t="s">
        <x:v>170</x:v>
      </x:c>
      <x:c r="E677" s="8" t="n">
        <x:v>25</x:v>
      </x:c>
      <x:c r="F677" s="8" t="s">
        <x:v>1617</x:v>
      </x:c>
      <x:c r="G677" s="8" t="s">
        <x:v>109</x:v>
      </x:c>
      <x:c r="H677" s="8" t="s">
        <x:v>1982</x:v>
      </x:c>
      <x:c r="I677" s="8" t="s">
        <x:v>1983</x:v>
      </x:c>
      <x:c r="J677" s="8" t="s">
        <x:v>112</x:v>
      </x:c>
      <x:c r="K677" s="8" t="s">
        <x:v>1984</x:v>
      </x:c>
      <x:c r="L677" s="8" t="s">
        <x:v>1984</x:v>
      </x:c>
      <x:c r="M677" s="8"/>
      <x:c r="N677" s="8"/>
      <x:c r="O677" s="8" t="s">
        <x:v>1622</x:v>
      </x:c>
      <x:c r="P677" s="8" t="s">
        <x:v>115</x:v>
      </x:c>
      <x:c r="Q677" s="8" t="s">
        <x:v>45</x:v>
      </x:c>
      <x:c r="R677" s="8" t="s">
        <x:v>1623</x:v>
      </x:c>
      <x:c r="S677" s="8" t="s">
        <x:v>990</x:v>
      </x:c>
      <x:c r="T677" s="8" t="s">
        <x:v>27</x:v>
      </x:c>
      <x:c r="U677" s="8" t="s">
        <x:v>883</x:v>
      </x:c>
      <x:c r="V677" s="8" t="s">
        <x:v>1624</x:v>
      </x:c>
    </x:row>
    <x:row r="678" ht="36" hidden="0" customHeight="1">
      <x:c r="A678" s="8" t="s">
        <x:v>1996</x:v>
      </x:c>
      <x:c r="B678" s="8" t="s">
        <x:v>1980</x:v>
      </x:c>
      <x:c r="C678" s="8"/>
      <x:c r="D678" s="8" t="s">
        <x:v>1997</x:v>
      </x:c>
      <x:c r="E678" s="8" t="s">
        <x:v>1998</x:v>
      </x:c>
      <x:c r="F678" s="8" t="s">
        <x:v>1617</x:v>
      </x:c>
      <x:c r="G678" s="8" t="s">
        <x:v>109</x:v>
      </x:c>
      <x:c r="H678" s="8" t="s">
        <x:v>1982</x:v>
      </x:c>
      <x:c r="I678" s="8" t="s">
        <x:v>1983</x:v>
      </x:c>
      <x:c r="J678" s="8" t="s">
        <x:v>112</x:v>
      </x:c>
      <x:c r="K678" s="8" t="s">
        <x:v>1984</x:v>
      </x:c>
      <x:c r="L678" s="8" t="s">
        <x:v>1984</x:v>
      </x:c>
      <x:c r="M678" s="8"/>
      <x:c r="N678" s="8"/>
      <x:c r="O678" s="8" t="s">
        <x:v>1622</x:v>
      </x:c>
      <x:c r="P678" s="8" t="s">
        <x:v>115</x:v>
      </x:c>
      <x:c r="Q678" s="8" t="s">
        <x:v>45</x:v>
      </x:c>
      <x:c r="R678" s="8" t="s">
        <x:v>1623</x:v>
      </x:c>
      <x:c r="S678" s="8"/>
      <x:c r="T678" s="8" t="s">
        <x:v>27</x:v>
      </x:c>
      <x:c r="U678" s="8" t="s">
        <x:v>883</x:v>
      </x:c>
      <x:c r="V678" s="8" t="s">
        <x:v>1624</x:v>
      </x:c>
    </x:row>
    <x:row r="679" ht="36" hidden="0" customHeight="1">
      <x:c r="A679" s="8" t="s">
        <x:v>1999</x:v>
      </x:c>
      <x:c r="B679" s="8" t="s">
        <x:v>1980</x:v>
      </x:c>
      <x:c r="C679" s="8"/>
      <x:c r="D679" s="8" t="s">
        <x:v>1892</x:v>
      </x:c>
      <x:c r="E679" s="8" t="n">
        <x:v>3.5</x:v>
      </x:c>
      <x:c r="F679" s="8" t="s">
        <x:v>1617</x:v>
      </x:c>
      <x:c r="G679" s="8" t="s">
        <x:v>109</x:v>
      </x:c>
      <x:c r="H679" s="8" t="s">
        <x:v>1982</x:v>
      </x:c>
      <x:c r="I679" s="8" t="s">
        <x:v>1983</x:v>
      </x:c>
      <x:c r="J679" s="8" t="s">
        <x:v>112</x:v>
      </x:c>
      <x:c r="K679" s="8" t="s">
        <x:v>2000</x:v>
      </x:c>
      <x:c r="L679" s="8" t="s">
        <x:v>2000</x:v>
      </x:c>
      <x:c r="M679" s="8"/>
      <x:c r="N679" s="8"/>
      <x:c r="O679" s="8" t="s">
        <x:v>1622</x:v>
      </x:c>
      <x:c r="P679" s="8" t="s">
        <x:v>115</x:v>
      </x:c>
      <x:c r="Q679" s="8" t="s">
        <x:v>45</x:v>
      </x:c>
      <x:c r="R679" s="8" t="s">
        <x:v>1623</x:v>
      </x:c>
      <x:c r="S679" s="8" t="s">
        <x:v>1893</x:v>
      </x:c>
      <x:c r="T679" s="8" t="s">
        <x:v>27</x:v>
      </x:c>
      <x:c r="U679" s="8" t="s">
        <x:v>883</x:v>
      </x:c>
      <x:c r="V679" s="8" t="s">
        <x:v>1624</x:v>
      </x:c>
    </x:row>
    <x:row r="680" ht="36" hidden="0" customHeight="1">
      <x:c r="A680" s="8" t="s">
        <x:v>2001</x:v>
      </x:c>
      <x:c r="B680" s="8" t="s">
        <x:v>1980</x:v>
      </x:c>
      <x:c r="C680" s="8"/>
      <x:c r="D680" s="8" t="s">
        <x:v>2002</x:v>
      </x:c>
      <x:c r="E680" s="8" t="n">
        <x:v>6</x:v>
      </x:c>
      <x:c r="F680" s="8" t="s">
        <x:v>1617</x:v>
      </x:c>
      <x:c r="G680" s="8" t="s">
        <x:v>109</x:v>
      </x:c>
      <x:c r="H680" s="8" t="s">
        <x:v>1982</x:v>
      </x:c>
      <x:c r="I680" s="8" t="s">
        <x:v>1983</x:v>
      </x:c>
      <x:c r="J680" s="8" t="s">
        <x:v>112</x:v>
      </x:c>
      <x:c r="K680" s="8" t="s">
        <x:v>2000</x:v>
      </x:c>
      <x:c r="L680" s="8" t="s">
        <x:v>2000</x:v>
      </x:c>
      <x:c r="M680" s="8"/>
      <x:c r="N680" s="8"/>
      <x:c r="O680" s="8" t="s">
        <x:v>1622</x:v>
      </x:c>
      <x:c r="P680" s="8" t="s">
        <x:v>115</x:v>
      </x:c>
      <x:c r="Q680" s="8" t="s">
        <x:v>45</x:v>
      </x:c>
      <x:c r="R680" s="8" t="s">
        <x:v>1623</x:v>
      </x:c>
      <x:c r="S680" s="8" t="s">
        <x:v>2003</x:v>
      </x:c>
      <x:c r="T680" s="8" t="s">
        <x:v>27</x:v>
      </x:c>
      <x:c r="U680" s="8" t="s">
        <x:v>883</x:v>
      </x:c>
      <x:c r="V680" s="8" t="s">
        <x:v>1624</x:v>
      </x:c>
    </x:row>
    <x:row r="681" ht="36" hidden="0" customHeight="1">
      <x:c r="A681" s="8" t="s">
        <x:v>2004</x:v>
      </x:c>
      <x:c r="B681" s="8" t="s">
        <x:v>1980</x:v>
      </x:c>
      <x:c r="C681" s="8"/>
      <x:c r="D681" s="8" t="s">
        <x:v>2005</x:v>
      </x:c>
      <x:c r="E681" s="8" t="n">
        <x:v>256</x:v>
      </x:c>
      <x:c r="F681" s="8" t="s">
        <x:v>1617</x:v>
      </x:c>
      <x:c r="G681" s="8" t="s">
        <x:v>109</x:v>
      </x:c>
      <x:c r="H681" s="8" t="s">
        <x:v>1982</x:v>
      </x:c>
      <x:c r="I681" s="8" t="s">
        <x:v>1983</x:v>
      </x:c>
      <x:c r="J681" s="8" t="s">
        <x:v>112</x:v>
      </x:c>
      <x:c r="K681" s="8" t="s">
        <x:v>2006</x:v>
      </x:c>
      <x:c r="L681" s="8" t="s">
        <x:v>2006</x:v>
      </x:c>
      <x:c r="M681" s="8"/>
      <x:c r="N681" s="8"/>
      <x:c r="O681" s="8" t="s">
        <x:v>1622</x:v>
      </x:c>
      <x:c r="P681" s="8" t="s">
        <x:v>115</x:v>
      </x:c>
      <x:c r="Q681" s="8" t="s">
        <x:v>45</x:v>
      </x:c>
      <x:c r="R681" s="8" t="s">
        <x:v>1623</x:v>
      </x:c>
      <x:c r="S681" s="8" t="s">
        <x:v>2007</x:v>
      </x:c>
      <x:c r="T681" s="8" t="s">
        <x:v>27</x:v>
      </x:c>
      <x:c r="U681" s="8" t="s">
        <x:v>883</x:v>
      </x:c>
      <x:c r="V681" s="8" t="s">
        <x:v>1624</x:v>
      </x:c>
    </x:row>
    <x:row r="682" ht="36" hidden="0" customHeight="1">
      <x:c r="A682" s="8" t="s">
        <x:v>2008</x:v>
      </x:c>
      <x:c r="B682" s="8" t="s">
        <x:v>1980</x:v>
      </x:c>
      <x:c r="C682" s="8"/>
      <x:c r="D682" s="8" t="s">
        <x:v>230</x:v>
      </x:c>
      <x:c r="E682" s="8" t="n">
        <x:v>2400000</x:v>
      </x:c>
      <x:c r="F682" s="8" t="s">
        <x:v>1617</x:v>
      </x:c>
      <x:c r="G682" s="8" t="s">
        <x:v>109</x:v>
      </x:c>
      <x:c r="H682" s="8" t="s">
        <x:v>1982</x:v>
      </x:c>
      <x:c r="I682" s="8" t="s">
        <x:v>1983</x:v>
      </x:c>
      <x:c r="J682" s="8" t="s">
        <x:v>112</x:v>
      </x:c>
      <x:c r="K682" s="8" t="s">
        <x:v>2009</x:v>
      </x:c>
      <x:c r="L682" s="8" t="s">
        <x:v>2009</x:v>
      </x:c>
      <x:c r="M682" s="8"/>
      <x:c r="N682" s="8"/>
      <x:c r="O682" s="8" t="s">
        <x:v>1622</x:v>
      </x:c>
      <x:c r="P682" s="8" t="s">
        <x:v>115</x:v>
      </x:c>
      <x:c r="Q682" s="8" t="s">
        <x:v>45</x:v>
      </x:c>
      <x:c r="R682" s="8" t="s">
        <x:v>1623</x:v>
      </x:c>
      <x:c r="S682" s="8" t="s">
        <x:v>1640</x:v>
      </x:c>
      <x:c r="T682" s="8" t="s">
        <x:v>27</x:v>
      </x:c>
      <x:c r="U682" s="8" t="s">
        <x:v>883</x:v>
      </x:c>
      <x:c r="V682" s="8" t="s">
        <x:v>1624</x:v>
      </x:c>
    </x:row>
    <x:row r="683" ht="36" hidden="0" customHeight="1">
      <x:c r="A683" s="8" t="s">
        <x:v>2010</x:v>
      </x:c>
      <x:c r="B683" s="8" t="s">
        <x:v>1980</x:v>
      </x:c>
      <x:c r="C683" s="8"/>
      <x:c r="D683" s="8" t="s">
        <x:v>2011</x:v>
      </x:c>
      <x:c r="E683" s="8" t="n">
        <x:v>1150000</x:v>
      </x:c>
      <x:c r="F683" s="8" t="s">
        <x:v>1617</x:v>
      </x:c>
      <x:c r="G683" s="8" t="s">
        <x:v>109</x:v>
      </x:c>
      <x:c r="H683" s="8" t="s">
        <x:v>1982</x:v>
      </x:c>
      <x:c r="I683" s="8" t="s">
        <x:v>1983</x:v>
      </x:c>
      <x:c r="J683" s="8" t="s">
        <x:v>112</x:v>
      </x:c>
      <x:c r="K683" s="8" t="s">
        <x:v>2009</x:v>
      </x:c>
      <x:c r="L683" s="8" t="s">
        <x:v>2009</x:v>
      </x:c>
      <x:c r="M683" s="8"/>
      <x:c r="N683" s="8"/>
      <x:c r="O683" s="8" t="s">
        <x:v>1622</x:v>
      </x:c>
      <x:c r="P683" s="8" t="s">
        <x:v>115</x:v>
      </x:c>
      <x:c r="Q683" s="8" t="s">
        <x:v>45</x:v>
      </x:c>
      <x:c r="R683" s="8" t="s">
        <x:v>1623</x:v>
      </x:c>
      <x:c r="S683" s="8" t="s">
        <x:v>1640</x:v>
      </x:c>
      <x:c r="T683" s="8" t="s">
        <x:v>27</x:v>
      </x:c>
      <x:c r="U683" s="8" t="s">
        <x:v>883</x:v>
      </x:c>
      <x:c r="V683" s="8" t="s">
        <x:v>1624</x:v>
      </x:c>
    </x:row>
    <x:row r="684" ht="36" hidden="0" customHeight="1">
      <x:c r="A684" s="8" t="s">
        <x:v>2012</x:v>
      </x:c>
      <x:c r="B684" s="8" t="s">
        <x:v>1980</x:v>
      </x:c>
      <x:c r="C684" s="8"/>
      <x:c r="D684" s="8" t="s">
        <x:v>2013</x:v>
      </x:c>
      <x:c r="E684" s="8" t="n">
        <x:v>1250000</x:v>
      </x:c>
      <x:c r="F684" s="8" t="s">
        <x:v>1617</x:v>
      </x:c>
      <x:c r="G684" s="8" t="s">
        <x:v>109</x:v>
      </x:c>
      <x:c r="H684" s="8" t="s">
        <x:v>1982</x:v>
      </x:c>
      <x:c r="I684" s="8" t="s">
        <x:v>1983</x:v>
      </x:c>
      <x:c r="J684" s="8" t="s">
        <x:v>112</x:v>
      </x:c>
      <x:c r="K684" s="8" t="s">
        <x:v>2009</x:v>
      </x:c>
      <x:c r="L684" s="8" t="s">
        <x:v>2009</x:v>
      </x:c>
      <x:c r="M684" s="8"/>
      <x:c r="N684" s="8"/>
      <x:c r="O684" s="8" t="s">
        <x:v>1622</x:v>
      </x:c>
      <x:c r="P684" s="8" t="s">
        <x:v>115</x:v>
      </x:c>
      <x:c r="Q684" s="8" t="s">
        <x:v>45</x:v>
      </x:c>
      <x:c r="R684" s="8" t="s">
        <x:v>1623</x:v>
      </x:c>
      <x:c r="S684" s="8" t="s">
        <x:v>1640</x:v>
      </x:c>
      <x:c r="T684" s="8" t="s">
        <x:v>27</x:v>
      </x:c>
      <x:c r="U684" s="8" t="s">
        <x:v>883</x:v>
      </x:c>
      <x:c r="V684" s="8" t="s">
        <x:v>1624</x:v>
      </x:c>
    </x:row>
    <x:row r="685" ht="36" hidden="0" customHeight="1">
      <x:c r="A685" s="8" t="s">
        <x:v>2014</x:v>
      </x:c>
      <x:c r="B685" s="8" t="s">
        <x:v>1980</x:v>
      </x:c>
      <x:c r="C685" s="8"/>
      <x:c r="D685" s="8" t="s">
        <x:v>2015</x:v>
      </x:c>
      <x:c r="E685" s="8" t="s">
        <x:v>2016</x:v>
      </x:c>
      <x:c r="F685" s="8" t="s">
        <x:v>1617</x:v>
      </x:c>
      <x:c r="G685" s="8" t="s">
        <x:v>109</x:v>
      </x:c>
      <x:c r="H685" s="8" t="s">
        <x:v>1982</x:v>
      </x:c>
      <x:c r="I685" s="8" t="s">
        <x:v>1983</x:v>
      </x:c>
      <x:c r="J685" s="8" t="s">
        <x:v>112</x:v>
      </x:c>
      <x:c r="K685" s="8" t="s">
        <x:v>2017</x:v>
      </x:c>
      <x:c r="L685" s="8" t="s">
        <x:v>2017</x:v>
      </x:c>
      <x:c r="M685" s="8"/>
      <x:c r="N685" s="8"/>
      <x:c r="O685" s="8" t="s">
        <x:v>1622</x:v>
      </x:c>
      <x:c r="P685" s="8" t="s">
        <x:v>115</x:v>
      </x:c>
      <x:c r="Q685" s="8" t="s">
        <x:v>45</x:v>
      </x:c>
      <x:c r="R685" s="8" t="s">
        <x:v>1623</x:v>
      </x:c>
      <x:c r="S685" s="8"/>
      <x:c r="T685" s="8" t="s">
        <x:v>27</x:v>
      </x:c>
      <x:c r="U685" s="8" t="s">
        <x:v>883</x:v>
      </x:c>
      <x:c r="V685" s="8" t="s">
        <x:v>1624</x:v>
      </x:c>
    </x:row>
    <x:row r="686" ht="36" hidden="0" customHeight="1">
      <x:c r="A686" s="8" t="s">
        <x:v>2018</x:v>
      </x:c>
      <x:c r="B686" s="8" t="s">
        <x:v>1980</x:v>
      </x:c>
      <x:c r="C686" s="8"/>
      <x:c r="D686" s="8" t="s">
        <x:v>2019</x:v>
      </x:c>
      <x:c r="E686" s="8" t="n">
        <x:v>7.5</x:v>
      </x:c>
      <x:c r="F686" s="8" t="s">
        <x:v>2020</x:v>
      </x:c>
      <x:c r="G686" s="8" t="s">
        <x:v>109</x:v>
      </x:c>
      <x:c r="H686" s="8" t="s">
        <x:v>1982</x:v>
      </x:c>
      <x:c r="I686" s="8" t="s">
        <x:v>1983</x:v>
      </x:c>
      <x:c r="J686" s="8" t="s">
        <x:v>112</x:v>
      </x:c>
      <x:c r="K686" s="8" t="s">
        <x:v>2021</x:v>
      </x:c>
      <x:c r="L686" s="8" t="s">
        <x:v>2021</x:v>
      </x:c>
      <x:c r="M686" s="8"/>
      <x:c r="N686" s="8"/>
      <x:c r="O686" s="8" t="s">
        <x:v>1622</x:v>
      </x:c>
      <x:c r="P686" s="8" t="s">
        <x:v>115</x:v>
      </x:c>
      <x:c r="Q686" s="8" t="s">
        <x:v>45</x:v>
      </x:c>
      <x:c r="R686" s="8" t="s">
        <x:v>1623</x:v>
      </x:c>
      <x:c r="S686" s="8" t="s">
        <x:v>902</x:v>
      </x:c>
      <x:c r="T686" s="8" t="s">
        <x:v>27</x:v>
      </x:c>
      <x:c r="U686" s="8" t="s">
        <x:v>883</x:v>
      </x:c>
      <x:c r="V686" s="8" t="s">
        <x:v>1624</x:v>
      </x:c>
    </x:row>
    <x:row r="687" ht="36" hidden="0" customHeight="1">
      <x:c r="A687" s="8" t="s">
        <x:v>2022</x:v>
      </x:c>
      <x:c r="B687" s="8" t="s">
        <x:v>1980</x:v>
      </x:c>
      <x:c r="C687" s="8"/>
      <x:c r="D687" s="8" t="s">
        <x:v>2023</x:v>
      </x:c>
      <x:c r="E687" s="8" t="n">
        <x:v>13.4</x:v>
      </x:c>
      <x:c r="F687" s="8" t="s">
        <x:v>2020</x:v>
      </x:c>
      <x:c r="G687" s="8" t="s">
        <x:v>109</x:v>
      </x:c>
      <x:c r="H687" s="8" t="s">
        <x:v>1982</x:v>
      </x:c>
      <x:c r="I687" s="8" t="s">
        <x:v>1983</x:v>
      </x:c>
      <x:c r="J687" s="8" t="s">
        <x:v>112</x:v>
      </x:c>
      <x:c r="K687" s="8" t="s">
        <x:v>2021</x:v>
      </x:c>
      <x:c r="L687" s="8" t="s">
        <x:v>2021</x:v>
      </x:c>
      <x:c r="M687" s="8"/>
      <x:c r="N687" s="8"/>
      <x:c r="O687" s="8" t="s">
        <x:v>1622</x:v>
      </x:c>
      <x:c r="P687" s="8" t="s">
        <x:v>115</x:v>
      </x:c>
      <x:c r="Q687" s="8" t="s">
        <x:v>45</x:v>
      </x:c>
      <x:c r="R687" s="8" t="s">
        <x:v>1623</x:v>
      </x:c>
      <x:c r="S687" s="8" t="s">
        <x:v>902</x:v>
      </x:c>
      <x:c r="T687" s="8" t="s">
        <x:v>27</x:v>
      </x:c>
      <x:c r="U687" s="8" t="s">
        <x:v>883</x:v>
      </x:c>
      <x:c r="V687" s="8" t="s">
        <x:v>1624</x:v>
      </x:c>
    </x:row>
    <x:row r="688" ht="36" hidden="0" customHeight="1">
      <x:c r="A688" s="8" t="s">
        <x:v>2024</x:v>
      </x:c>
      <x:c r="B688" s="8" t="s">
        <x:v>2025</x:v>
      </x:c>
      <x:c r="C688" s="8"/>
      <x:c r="D688" s="8" t="s">
        <x:v>164</x:v>
      </x:c>
      <x:c r="E688" s="8" t="s">
        <x:v>1363</x:v>
      </x:c>
      <x:c r="F688" s="8" t="s">
        <x:v>2026</x:v>
      </x:c>
      <x:c r="G688" s="8" t="s">
        <x:v>109</x:v>
      </x:c>
      <x:c r="H688" s="8" t="s">
        <x:v>2027</x:v>
      </x:c>
      <x:c r="I688" s="8" t="s">
        <x:v>2028</x:v>
      </x:c>
      <x:c r="J688" s="8" t="s">
        <x:v>112</x:v>
      </x:c>
      <x:c r="K688" s="8" t="s">
        <x:v>2029</x:v>
      </x:c>
      <x:c r="L688" s="8" t="s">
        <x:v>2029</x:v>
      </x:c>
      <x:c r="M688" s="8"/>
      <x:c r="N688" s="8"/>
      <x:c r="O688" s="8" t="s">
        <x:v>1622</x:v>
      </x:c>
      <x:c r="P688" s="8" t="s">
        <x:v>115</x:v>
      </x:c>
      <x:c r="Q688" s="8" t="s">
        <x:v>45</x:v>
      </x:c>
      <x:c r="R688" s="8" t="s">
        <x:v>1623</x:v>
      </x:c>
      <x:c r="S688" s="8"/>
      <x:c r="T688" s="8" t="s">
        <x:v>27</x:v>
      </x:c>
      <x:c r="U688" s="8" t="s">
        <x:v>883</x:v>
      </x:c>
      <x:c r="V688" s="8" t="s">
        <x:v>1624</x:v>
      </x:c>
    </x:row>
    <x:row r="689" ht="36" hidden="0" customHeight="1">
      <x:c r="A689" s="8" t="s">
        <x:v>2030</x:v>
      </x:c>
      <x:c r="B689" s="8" t="s">
        <x:v>2025</x:v>
      </x:c>
      <x:c r="C689" s="8"/>
      <x:c r="D689" s="8" t="s">
        <x:v>2031</x:v>
      </x:c>
      <x:c r="E689" s="8" t="n">
        <x:v>150000</x:v>
      </x:c>
      <x:c r="F689" s="8" t="s">
        <x:v>2026</x:v>
      </x:c>
      <x:c r="G689" s="8" t="s">
        <x:v>109</x:v>
      </x:c>
      <x:c r="H689" s="8" t="s">
        <x:v>2027</x:v>
      </x:c>
      <x:c r="I689" s="8" t="s">
        <x:v>2028</x:v>
      </x:c>
      <x:c r="J689" s="8" t="s">
        <x:v>112</x:v>
      </x:c>
      <x:c r="K689" s="8" t="s">
        <x:v>2029</x:v>
      </x:c>
      <x:c r="L689" s="8" t="s">
        <x:v>2029</x:v>
      </x:c>
      <x:c r="M689" s="8"/>
      <x:c r="N689" s="8"/>
      <x:c r="O689" s="8" t="s">
        <x:v>1622</x:v>
      </x:c>
      <x:c r="P689" s="8" t="s">
        <x:v>115</x:v>
      </x:c>
      <x:c r="Q689" s="8" t="s">
        <x:v>45</x:v>
      </x:c>
      <x:c r="R689" s="8" t="s">
        <x:v>1623</x:v>
      </x:c>
      <x:c r="S689" s="8" t="s">
        <x:v>1376</x:v>
      </x:c>
      <x:c r="T689" s="8" t="s">
        <x:v>27</x:v>
      </x:c>
      <x:c r="U689" s="8" t="s">
        <x:v>883</x:v>
      </x:c>
      <x:c r="V689" s="8" t="s">
        <x:v>1624</x:v>
      </x:c>
    </x:row>
    <x:row r="690" ht="36" hidden="0" customHeight="1">
      <x:c r="A690" s="8" t="s">
        <x:v>2032</x:v>
      </x:c>
      <x:c r="B690" s="8" t="s">
        <x:v>2025</x:v>
      </x:c>
      <x:c r="C690" s="8"/>
      <x:c r="D690" s="8" t="s">
        <x:v>1889</x:v>
      </x:c>
      <x:c r="E690" s="8" t="s">
        <x:v>2033</x:v>
      </x:c>
      <x:c r="F690" s="8" t="s">
        <x:v>2026</x:v>
      </x:c>
      <x:c r="G690" s="8" t="s">
        <x:v>109</x:v>
      </x:c>
      <x:c r="H690" s="8" t="s">
        <x:v>2027</x:v>
      </x:c>
      <x:c r="I690" s="8" t="s">
        <x:v>2028</x:v>
      </x:c>
      <x:c r="J690" s="8" t="s">
        <x:v>112</x:v>
      </x:c>
      <x:c r="K690" s="8" t="s">
        <x:v>2029</x:v>
      </x:c>
      <x:c r="L690" s="8" t="s">
        <x:v>2029</x:v>
      </x:c>
      <x:c r="M690" s="8"/>
      <x:c r="N690" s="8"/>
      <x:c r="O690" s="8" t="s">
        <x:v>1622</x:v>
      </x:c>
      <x:c r="P690" s="8" t="s">
        <x:v>115</x:v>
      </x:c>
      <x:c r="Q690" s="8" t="s">
        <x:v>45</x:v>
      </x:c>
      <x:c r="R690" s="8" t="s">
        <x:v>1623</x:v>
      </x:c>
      <x:c r="S690" s="8"/>
      <x:c r="T690" s="8" t="s">
        <x:v>27</x:v>
      </x:c>
      <x:c r="U690" s="8" t="s">
        <x:v>883</x:v>
      </x:c>
      <x:c r="V690" s="8" t="s">
        <x:v>1624</x:v>
      </x:c>
    </x:row>
    <x:row r="691" ht="36" hidden="0" customHeight="1">
      <x:c r="A691" s="8" t="s">
        <x:v>2034</x:v>
      </x:c>
      <x:c r="B691" s="8" t="s">
        <x:v>2025</x:v>
      </x:c>
      <x:c r="C691" s="8"/>
      <x:c r="D691" s="8" t="s">
        <x:v>1655</x:v>
      </x:c>
      <x:c r="E691" s="8" t="n">
        <x:v>1</x:v>
      </x:c>
      <x:c r="F691" s="8" t="s">
        <x:v>2026</x:v>
      </x:c>
      <x:c r="G691" s="8" t="s">
        <x:v>109</x:v>
      </x:c>
      <x:c r="H691" s="8" t="s">
        <x:v>2027</x:v>
      </x:c>
      <x:c r="I691" s="8" t="s">
        <x:v>2028</x:v>
      </x:c>
      <x:c r="J691" s="8" t="s">
        <x:v>112</x:v>
      </x:c>
      <x:c r="K691" s="8" t="s">
        <x:v>2029</x:v>
      </x:c>
      <x:c r="L691" s="8" t="s">
        <x:v>2029</x:v>
      </x:c>
      <x:c r="M691" s="8"/>
      <x:c r="N691" s="8"/>
      <x:c r="O691" s="8" t="s">
        <x:v>1622</x:v>
      </x:c>
      <x:c r="P691" s="8" t="s">
        <x:v>115</x:v>
      </x:c>
      <x:c r="Q691" s="8" t="s">
        <x:v>45</x:v>
      </x:c>
      <x:c r="R691" s="8" t="s">
        <x:v>1623</x:v>
      </x:c>
      <x:c r="S691" s="8" t="s">
        <x:v>1656</x:v>
      </x:c>
      <x:c r="T691" s="8" t="s">
        <x:v>27</x:v>
      </x:c>
      <x:c r="U691" s="8" t="s">
        <x:v>883</x:v>
      </x:c>
      <x:c r="V691" s="8" t="s">
        <x:v>1624</x:v>
      </x:c>
    </x:row>
    <x:row r="692" ht="36" hidden="0" customHeight="1">
      <x:c r="A692" s="8" t="s">
        <x:v>2035</x:v>
      </x:c>
      <x:c r="B692" s="8" t="s">
        <x:v>2025</x:v>
      </x:c>
      <x:c r="C692" s="8"/>
      <x:c r="D692" s="8" t="s">
        <x:v>318</x:v>
      </x:c>
      <x:c r="E692" s="8" t="n">
        <x:v>0.0005</x:v>
      </x:c>
      <x:c r="F692" s="8" t="s">
        <x:v>2026</x:v>
      </x:c>
      <x:c r="G692" s="8" t="s">
        <x:v>109</x:v>
      </x:c>
      <x:c r="H692" s="8" t="s">
        <x:v>2027</x:v>
      </x:c>
      <x:c r="I692" s="8" t="s">
        <x:v>2028</x:v>
      </x:c>
      <x:c r="J692" s="8" t="s">
        <x:v>112</x:v>
      </x:c>
      <x:c r="K692" s="8" t="s">
        <x:v>2029</x:v>
      </x:c>
      <x:c r="L692" s="8" t="s">
        <x:v>2029</x:v>
      </x:c>
      <x:c r="M692" s="8"/>
      <x:c r="N692" s="8"/>
      <x:c r="O692" s="8" t="s">
        <x:v>1622</x:v>
      </x:c>
      <x:c r="P692" s="8" t="s">
        <x:v>115</x:v>
      </x:c>
      <x:c r="Q692" s="8" t="s">
        <x:v>45</x:v>
      </x:c>
      <x:c r="R692" s="8" t="s">
        <x:v>1623</x:v>
      </x:c>
      <x:c r="S692" s="8"/>
      <x:c r="T692" s="8" t="s">
        <x:v>27</x:v>
      </x:c>
      <x:c r="U692" s="8" t="s">
        <x:v>883</x:v>
      </x:c>
      <x:c r="V692" s="8" t="s">
        <x:v>1624</x:v>
      </x:c>
    </x:row>
    <x:row r="693" ht="36" hidden="0" customHeight="1">
      <x:c r="A693" s="8" t="s">
        <x:v>2036</x:v>
      </x:c>
      <x:c r="B693" s="8" t="s">
        <x:v>2025</x:v>
      </x:c>
      <x:c r="C693" s="8"/>
      <x:c r="D693" s="8" t="s">
        <x:v>402</x:v>
      </x:c>
      <x:c r="E693" s="8" t="n">
        <x:v>5E-006</x:v>
      </x:c>
      <x:c r="F693" s="8" t="s">
        <x:v>2026</x:v>
      </x:c>
      <x:c r="G693" s="8" t="s">
        <x:v>109</x:v>
      </x:c>
      <x:c r="H693" s="8" t="s">
        <x:v>2027</x:v>
      </x:c>
      <x:c r="I693" s="8" t="s">
        <x:v>2028</x:v>
      </x:c>
      <x:c r="J693" s="8" t="s">
        <x:v>112</x:v>
      </x:c>
      <x:c r="K693" s="8" t="s">
        <x:v>2029</x:v>
      </x:c>
      <x:c r="L693" s="8" t="s">
        <x:v>2029</x:v>
      </x:c>
      <x:c r="M693" s="8"/>
      <x:c r="N693" s="8"/>
      <x:c r="O693" s="8" t="s">
        <x:v>1622</x:v>
      </x:c>
      <x:c r="P693" s="8" t="s">
        <x:v>115</x:v>
      </x:c>
      <x:c r="Q693" s="8" t="s">
        <x:v>45</x:v>
      </x:c>
      <x:c r="R693" s="8" t="s">
        <x:v>1623</x:v>
      </x:c>
      <x:c r="S693" s="8"/>
      <x:c r="T693" s="8" t="s">
        <x:v>27</x:v>
      </x:c>
      <x:c r="U693" s="8" t="s">
        <x:v>883</x:v>
      </x:c>
      <x:c r="V693" s="8" t="s">
        <x:v>1624</x:v>
      </x:c>
    </x:row>
    <x:row r="694" ht="36" hidden="0" customHeight="1">
      <x:c r="A694" s="8" t="s">
        <x:v>2037</x:v>
      </x:c>
      <x:c r="B694" s="8" t="s">
        <x:v>2025</x:v>
      </x:c>
      <x:c r="C694" s="8"/>
      <x:c r="D694" s="8" t="s">
        <x:v>1652</x:v>
      </x:c>
      <x:c r="E694" s="8" t="s">
        <x:v>2038</x:v>
      </x:c>
      <x:c r="F694" s="8" t="s">
        <x:v>2026</x:v>
      </x:c>
      <x:c r="G694" s="8" t="s">
        <x:v>109</x:v>
      </x:c>
      <x:c r="H694" s="8" t="s">
        <x:v>2027</x:v>
      </x:c>
      <x:c r="I694" s="8" t="s">
        <x:v>2028</x:v>
      </x:c>
      <x:c r="J694" s="8" t="s">
        <x:v>112</x:v>
      </x:c>
      <x:c r="K694" s="8" t="s">
        <x:v>2029</x:v>
      </x:c>
      <x:c r="L694" s="8" t="s">
        <x:v>2029</x:v>
      </x:c>
      <x:c r="M694" s="8"/>
      <x:c r="N694" s="8"/>
      <x:c r="O694" s="8" t="s">
        <x:v>1622</x:v>
      </x:c>
      <x:c r="P694" s="8" t="s">
        <x:v>115</x:v>
      </x:c>
      <x:c r="Q694" s="8" t="s">
        <x:v>45</x:v>
      </x:c>
      <x:c r="R694" s="8" t="s">
        <x:v>1623</x:v>
      </x:c>
      <x:c r="S694" s="8"/>
      <x:c r="T694" s="8" t="s">
        <x:v>27</x:v>
      </x:c>
      <x:c r="U694" s="8" t="s">
        <x:v>883</x:v>
      </x:c>
      <x:c r="V694" s="8" t="s">
        <x:v>1624</x:v>
      </x:c>
    </x:row>
    <x:row r="695" ht="36" hidden="0" customHeight="1">
      <x:c r="A695" s="8" t="s">
        <x:v>2039</x:v>
      </x:c>
      <x:c r="B695" s="8" t="s">
        <x:v>2025</x:v>
      </x:c>
      <x:c r="C695" s="8"/>
      <x:c r="D695" s="8" t="s">
        <x:v>2040</x:v>
      </x:c>
      <x:c r="E695" s="8" t="n">
        <x:v>0.2</x:v>
      </x:c>
      <x:c r="F695" s="8" t="s">
        <x:v>2026</x:v>
      </x:c>
      <x:c r="G695" s="8" t="s">
        <x:v>109</x:v>
      </x:c>
      <x:c r="H695" s="8" t="s">
        <x:v>2027</x:v>
      </x:c>
      <x:c r="I695" s="8" t="s">
        <x:v>2028</x:v>
      </x:c>
      <x:c r="J695" s="8" t="s">
        <x:v>112</x:v>
      </x:c>
      <x:c r="K695" s="8" t="s">
        <x:v>2029</x:v>
      </x:c>
      <x:c r="L695" s="8" t="s">
        <x:v>2029</x:v>
      </x:c>
      <x:c r="M695" s="8"/>
      <x:c r="N695" s="8"/>
      <x:c r="O695" s="8" t="s">
        <x:v>1622</x:v>
      </x:c>
      <x:c r="P695" s="8" t="s">
        <x:v>115</x:v>
      </x:c>
      <x:c r="Q695" s="8" t="s">
        <x:v>45</x:v>
      </x:c>
      <x:c r="R695" s="8" t="s">
        <x:v>1623</x:v>
      </x:c>
      <x:c r="S695" s="8" t="s">
        <x:v>1348</x:v>
      </x:c>
      <x:c r="T695" s="8" t="s">
        <x:v>27</x:v>
      </x:c>
      <x:c r="U695" s="8" t="s">
        <x:v>883</x:v>
      </x:c>
      <x:c r="V695" s="8" t="s">
        <x:v>1624</x:v>
      </x:c>
    </x:row>
    <x:row r="696" ht="36" hidden="0" customHeight="1">
      <x:c r="A696" s="8" t="s">
        <x:v>2041</x:v>
      </x:c>
      <x:c r="B696" s="8" t="s">
        <x:v>2025</x:v>
      </x:c>
      <x:c r="C696" s="8"/>
      <x:c r="D696" s="8" t="s">
        <x:v>1394</x:v>
      </x:c>
      <x:c r="E696" s="8" t="s">
        <x:v>2042</x:v>
      </x:c>
      <x:c r="F696" s="8" t="s">
        <x:v>2026</x:v>
      </x:c>
      <x:c r="G696" s="8" t="s">
        <x:v>109</x:v>
      </x:c>
      <x:c r="H696" s="8" t="s">
        <x:v>2027</x:v>
      </x:c>
      <x:c r="I696" s="8" t="s">
        <x:v>2028</x:v>
      </x:c>
      <x:c r="J696" s="8" t="s">
        <x:v>112</x:v>
      </x:c>
      <x:c r="K696" s="8" t="s">
        <x:v>2029</x:v>
      </x:c>
      <x:c r="L696" s="8" t="s">
        <x:v>2029</x:v>
      </x:c>
      <x:c r="M696" s="8"/>
      <x:c r="N696" s="8"/>
      <x:c r="O696" s="8" t="s">
        <x:v>1622</x:v>
      </x:c>
      <x:c r="P696" s="8" t="s">
        <x:v>115</x:v>
      </x:c>
      <x:c r="Q696" s="8" t="s">
        <x:v>45</x:v>
      </x:c>
      <x:c r="R696" s="8" t="s">
        <x:v>1623</x:v>
      </x:c>
      <x:c r="S696" s="8"/>
      <x:c r="T696" s="8" t="s">
        <x:v>27</x:v>
      </x:c>
      <x:c r="U696" s="8" t="s">
        <x:v>883</x:v>
      </x:c>
      <x:c r="V696" s="8" t="s">
        <x:v>1624</x:v>
      </x:c>
    </x:row>
    <x:row r="697" ht="36" hidden="0" customHeight="1">
      <x:c r="A697" s="8" t="s">
        <x:v>2043</x:v>
      </x:c>
      <x:c r="B697" s="8" t="s">
        <x:v>2025</x:v>
      </x:c>
      <x:c r="C697" s="8"/>
      <x:c r="D697" s="8" t="s">
        <x:v>1892</x:v>
      </x:c>
      <x:c r="E697" s="8" t="n">
        <x:v>2.5</x:v>
      </x:c>
      <x:c r="F697" s="8" t="s">
        <x:v>2026</x:v>
      </x:c>
      <x:c r="G697" s="8" t="s">
        <x:v>109</x:v>
      </x:c>
      <x:c r="H697" s="8" t="s">
        <x:v>2027</x:v>
      </x:c>
      <x:c r="I697" s="8" t="s">
        <x:v>2028</x:v>
      </x:c>
      <x:c r="J697" s="8" t="s">
        <x:v>112</x:v>
      </x:c>
      <x:c r="K697" s="8" t="s">
        <x:v>2044</x:v>
      </x:c>
      <x:c r="L697" s="8" t="s">
        <x:v>2044</x:v>
      </x:c>
      <x:c r="M697" s="8"/>
      <x:c r="N697" s="8"/>
      <x:c r="O697" s="8" t="s">
        <x:v>1622</x:v>
      </x:c>
      <x:c r="P697" s="8" t="s">
        <x:v>115</x:v>
      </x:c>
      <x:c r="Q697" s="8" t="s">
        <x:v>45</x:v>
      </x:c>
      <x:c r="R697" s="8" t="s">
        <x:v>1623</x:v>
      </x:c>
      <x:c r="S697" s="8" t="s">
        <x:v>2045</x:v>
      </x:c>
      <x:c r="T697" s="8" t="s">
        <x:v>27</x:v>
      </x:c>
      <x:c r="U697" s="8" t="s">
        <x:v>883</x:v>
      </x:c>
      <x:c r="V697" s="8" t="s">
        <x:v>1624</x:v>
      </x:c>
    </x:row>
    <x:row r="698" ht="36" hidden="0" customHeight="1">
      <x:c r="A698" s="8" t="s">
        <x:v>2046</x:v>
      </x:c>
      <x:c r="B698" s="8" t="s">
        <x:v>2025</x:v>
      </x:c>
      <x:c r="C698" s="8"/>
      <x:c r="D698" s="8" t="s">
        <x:v>1864</x:v>
      </x:c>
      <x:c r="E698" s="8" t="s">
        <x:v>2047</x:v>
      </x:c>
      <x:c r="F698" s="8" t="s">
        <x:v>2026</x:v>
      </x:c>
      <x:c r="G698" s="8" t="s">
        <x:v>109</x:v>
      </x:c>
      <x:c r="H698" s="8" t="s">
        <x:v>2027</x:v>
      </x:c>
      <x:c r="I698" s="8" t="s">
        <x:v>2028</x:v>
      </x:c>
      <x:c r="J698" s="8" t="s">
        <x:v>112</x:v>
      </x:c>
      <x:c r="K698" s="8" t="s">
        <x:v>2048</x:v>
      </x:c>
      <x:c r="L698" s="8" t="s">
        <x:v>2048</x:v>
      </x:c>
      <x:c r="M698" s="8"/>
      <x:c r="N698" s="8"/>
      <x:c r="O698" s="8" t="s">
        <x:v>1622</x:v>
      </x:c>
      <x:c r="P698" s="8" t="s">
        <x:v>115</x:v>
      </x:c>
      <x:c r="Q698" s="8" t="s">
        <x:v>45</x:v>
      </x:c>
      <x:c r="R698" s="8" t="s">
        <x:v>1623</x:v>
      </x:c>
      <x:c r="S698" s="8"/>
      <x:c r="T698" s="8" t="s">
        <x:v>27</x:v>
      </x:c>
      <x:c r="U698" s="8" t="s">
        <x:v>883</x:v>
      </x:c>
      <x:c r="V698" s="8" t="s">
        <x:v>1624</x:v>
      </x:c>
    </x:row>
    <x:row r="699" ht="36" hidden="0" customHeight="1">
      <x:c r="A699" s="8" t="s">
        <x:v>2049</x:v>
      </x:c>
      <x:c r="B699" s="8" t="s">
        <x:v>2025</x:v>
      </x:c>
      <x:c r="C699" s="8"/>
      <x:c r="D699" s="8" t="s">
        <x:v>2050</x:v>
      </x:c>
      <x:c r="E699" s="8" t="s">
        <x:v>2051</x:v>
      </x:c>
      <x:c r="F699" s="8" t="s">
        <x:v>2026</x:v>
      </x:c>
      <x:c r="G699" s="8" t="s">
        <x:v>109</x:v>
      </x:c>
      <x:c r="H699" s="8" t="s">
        <x:v>2027</x:v>
      </x:c>
      <x:c r="I699" s="8" t="s">
        <x:v>2028</x:v>
      </x:c>
      <x:c r="J699" s="8" t="s">
        <x:v>112</x:v>
      </x:c>
      <x:c r="K699" s="8" t="s">
        <x:v>2048</x:v>
      </x:c>
      <x:c r="L699" s="8" t="s">
        <x:v>2048</x:v>
      </x:c>
      <x:c r="M699" s="8"/>
      <x:c r="N699" s="8"/>
      <x:c r="O699" s="8" t="s">
        <x:v>1622</x:v>
      </x:c>
      <x:c r="P699" s="8" t="s">
        <x:v>115</x:v>
      </x:c>
      <x:c r="Q699" s="8" t="s">
        <x:v>45</x:v>
      </x:c>
      <x:c r="R699" s="8" t="s">
        <x:v>1623</x:v>
      </x:c>
      <x:c r="S699" s="8"/>
      <x:c r="T699" s="8" t="s">
        <x:v>27</x:v>
      </x:c>
      <x:c r="U699" s="8" t="s">
        <x:v>883</x:v>
      </x:c>
      <x:c r="V699" s="8" t="s">
        <x:v>1624</x:v>
      </x:c>
    </x:row>
    <x:row r="700" ht="36" hidden="0" customHeight="1">
      <x:c r="A700" s="8" t="s">
        <x:v>2052</x:v>
      </x:c>
      <x:c r="B700" s="8" t="s">
        <x:v>2025</x:v>
      </x:c>
      <x:c r="C700" s="8"/>
      <x:c r="D700" s="8" t="s">
        <x:v>2053</x:v>
      </x:c>
      <x:c r="E700" s="8" t="s">
        <x:v>2054</x:v>
      </x:c>
      <x:c r="F700" s="8" t="s">
        <x:v>2026</x:v>
      </x:c>
      <x:c r="G700" s="8" t="s">
        <x:v>109</x:v>
      </x:c>
      <x:c r="H700" s="8" t="s">
        <x:v>2027</x:v>
      </x:c>
      <x:c r="I700" s="8" t="s">
        <x:v>2028</x:v>
      </x:c>
      <x:c r="J700" s="8" t="s">
        <x:v>112</x:v>
      </x:c>
      <x:c r="K700" s="8" t="s">
        <x:v>2048</x:v>
      </x:c>
      <x:c r="L700" s="8" t="s">
        <x:v>2048</x:v>
      </x:c>
      <x:c r="M700" s="8"/>
      <x:c r="N700" s="8"/>
      <x:c r="O700" s="8" t="s">
        <x:v>1622</x:v>
      </x:c>
      <x:c r="P700" s="8" t="s">
        <x:v>115</x:v>
      </x:c>
      <x:c r="Q700" s="8" t="s">
        <x:v>45</x:v>
      </x:c>
      <x:c r="R700" s="8" t="s">
        <x:v>1623</x:v>
      </x:c>
      <x:c r="S700" s="8"/>
      <x:c r="T700" s="8" t="s">
        <x:v>27</x:v>
      </x:c>
      <x:c r="U700" s="8" t="s">
        <x:v>883</x:v>
      </x:c>
      <x:c r="V700" s="8" t="s">
        <x:v>1624</x:v>
      </x:c>
    </x:row>
    <x:row r="701" ht="36" hidden="0" customHeight="1">
      <x:c r="A701" s="8" t="s">
        <x:v>2055</x:v>
      </x:c>
      <x:c r="B701" s="8" t="s">
        <x:v>2025</x:v>
      </x:c>
      <x:c r="C701" s="8"/>
      <x:c r="D701" s="8" t="s">
        <x:v>2056</x:v>
      </x:c>
      <x:c r="E701" s="8" t="s">
        <x:v>2057</x:v>
      </x:c>
      <x:c r="F701" s="8" t="s">
        <x:v>2026</x:v>
      </x:c>
      <x:c r="G701" s="8" t="s">
        <x:v>109</x:v>
      </x:c>
      <x:c r="H701" s="8" t="s">
        <x:v>2027</x:v>
      </x:c>
      <x:c r="I701" s="8" t="s">
        <x:v>2028</x:v>
      </x:c>
      <x:c r="J701" s="8" t="s">
        <x:v>112</x:v>
      </x:c>
      <x:c r="K701" s="8" t="s">
        <x:v>2048</x:v>
      </x:c>
      <x:c r="L701" s="8" t="s">
        <x:v>2048</x:v>
      </x:c>
      <x:c r="M701" s="8"/>
      <x:c r="N701" s="8"/>
      <x:c r="O701" s="8" t="s">
        <x:v>1622</x:v>
      </x:c>
      <x:c r="P701" s="8" t="s">
        <x:v>115</x:v>
      </x:c>
      <x:c r="Q701" s="8" t="s">
        <x:v>45</x:v>
      </x:c>
      <x:c r="R701" s="8" t="s">
        <x:v>1623</x:v>
      </x:c>
      <x:c r="S701" s="8"/>
      <x:c r="T701" s="8" t="s">
        <x:v>27</x:v>
      </x:c>
      <x:c r="U701" s="8" t="s">
        <x:v>883</x:v>
      </x:c>
      <x:c r="V701" s="8" t="s">
        <x:v>1624</x:v>
      </x:c>
    </x:row>
    <x:row r="702" ht="36" hidden="0" customHeight="1">
      <x:c r="A702" s="8" t="s">
        <x:v>2058</x:v>
      </x:c>
      <x:c r="B702" s="8" t="s">
        <x:v>2025</x:v>
      </x:c>
      <x:c r="C702" s="8"/>
      <x:c r="D702" s="8" t="s">
        <x:v>2059</x:v>
      </x:c>
      <x:c r="E702" s="8" t="s">
        <x:v>2060</x:v>
      </x:c>
      <x:c r="F702" s="8" t="s">
        <x:v>2026</x:v>
      </x:c>
      <x:c r="G702" s="8" t="s">
        <x:v>109</x:v>
      </x:c>
      <x:c r="H702" s="8" t="s">
        <x:v>2027</x:v>
      </x:c>
      <x:c r="I702" s="8" t="s">
        <x:v>2028</x:v>
      </x:c>
      <x:c r="J702" s="8" t="s">
        <x:v>112</x:v>
      </x:c>
      <x:c r="K702" s="8" t="s">
        <x:v>2061</x:v>
      </x:c>
      <x:c r="L702" s="8" t="s">
        <x:v>2061</x:v>
      </x:c>
      <x:c r="M702" s="8"/>
      <x:c r="N702" s="8"/>
      <x:c r="O702" s="8" t="s">
        <x:v>1622</x:v>
      </x:c>
      <x:c r="P702" s="8" t="s">
        <x:v>115</x:v>
      </x:c>
      <x:c r="Q702" s="8" t="s">
        <x:v>45</x:v>
      </x:c>
      <x:c r="R702" s="8" t="s">
        <x:v>1623</x:v>
      </x:c>
      <x:c r="S702" s="8"/>
      <x:c r="T702" s="8" t="s">
        <x:v>27</x:v>
      </x:c>
      <x:c r="U702" s="8" t="s">
        <x:v>883</x:v>
      </x:c>
      <x:c r="V702" s="8" t="s">
        <x:v>1624</x:v>
      </x:c>
    </x:row>
    <x:row r="703" ht="36" hidden="0" customHeight="1">
      <x:c r="A703" s="8" t="s">
        <x:v>2062</x:v>
      </x:c>
      <x:c r="B703" s="8" t="s">
        <x:v>2025</x:v>
      </x:c>
      <x:c r="C703" s="8"/>
      <x:c r="D703" s="8" t="s">
        <x:v>2063</x:v>
      </x:c>
      <x:c r="E703" s="8" t="s">
        <x:v>2064</x:v>
      </x:c>
      <x:c r="F703" s="8" t="s">
        <x:v>2026</x:v>
      </x:c>
      <x:c r="G703" s="8" t="s">
        <x:v>109</x:v>
      </x:c>
      <x:c r="H703" s="8" t="s">
        <x:v>2027</x:v>
      </x:c>
      <x:c r="I703" s="8" t="s">
        <x:v>2028</x:v>
      </x:c>
      <x:c r="J703" s="8" t="s">
        <x:v>112</x:v>
      </x:c>
      <x:c r="K703" s="8" t="s">
        <x:v>2061</x:v>
      </x:c>
      <x:c r="L703" s="8" t="s">
        <x:v>2061</x:v>
      </x:c>
      <x:c r="M703" s="8"/>
      <x:c r="N703" s="8"/>
      <x:c r="O703" s="8" t="s">
        <x:v>1622</x:v>
      </x:c>
      <x:c r="P703" s="8" t="s">
        <x:v>115</x:v>
      </x:c>
      <x:c r="Q703" s="8" t="s">
        <x:v>45</x:v>
      </x:c>
      <x:c r="R703" s="8" t="s">
        <x:v>1623</x:v>
      </x:c>
      <x:c r="S703" s="8"/>
      <x:c r="T703" s="8" t="s">
        <x:v>27</x:v>
      </x:c>
      <x:c r="U703" s="8" t="s">
        <x:v>883</x:v>
      </x:c>
      <x:c r="V703" s="8" t="s">
        <x:v>1624</x:v>
      </x:c>
    </x:row>
    <x:row r="704" ht="36" hidden="0" customHeight="1">
      <x:c r="A704" s="8" t="s">
        <x:v>2065</x:v>
      </x:c>
      <x:c r="B704" s="8" t="s">
        <x:v>2025</x:v>
      </x:c>
      <x:c r="C704" s="8"/>
      <x:c r="D704" s="8" t="s">
        <x:v>237</x:v>
      </x:c>
      <x:c r="E704" s="8" t="s">
        <x:v>2066</x:v>
      </x:c>
      <x:c r="F704" s="8" t="s">
        <x:v>2026</x:v>
      </x:c>
      <x:c r="G704" s="8" t="s">
        <x:v>109</x:v>
      </x:c>
      <x:c r="H704" s="8" t="s">
        <x:v>2027</x:v>
      </x:c>
      <x:c r="I704" s="8" t="s">
        <x:v>2028</x:v>
      </x:c>
      <x:c r="J704" s="8" t="s">
        <x:v>112</x:v>
      </x:c>
      <x:c r="K704" s="8" t="s">
        <x:v>2067</x:v>
      </x:c>
      <x:c r="L704" s="8" t="s">
        <x:v>2067</x:v>
      </x:c>
      <x:c r="M704" s="8"/>
      <x:c r="N704" s="8"/>
      <x:c r="O704" s="8" t="s">
        <x:v>1622</x:v>
      </x:c>
      <x:c r="P704" s="8" t="s">
        <x:v>115</x:v>
      </x:c>
      <x:c r="Q704" s="8" t="s">
        <x:v>45</x:v>
      </x:c>
      <x:c r="R704" s="8" t="s">
        <x:v>1623</x:v>
      </x:c>
      <x:c r="S704" s="8"/>
      <x:c r="T704" s="8" t="s">
        <x:v>27</x:v>
      </x:c>
      <x:c r="U704" s="8" t="s">
        <x:v>883</x:v>
      </x:c>
      <x:c r="V704" s="8" t="s">
        <x:v>1624</x:v>
      </x:c>
    </x:row>
    <x:row r="705" ht="36" hidden="0" customHeight="1">
      <x:c r="A705" s="8" t="s">
        <x:v>2068</x:v>
      </x:c>
      <x:c r="B705" s="8" t="s">
        <x:v>2025</x:v>
      </x:c>
      <x:c r="C705" s="8"/>
      <x:c r="D705" s="8" t="s">
        <x:v>2069</x:v>
      </x:c>
      <x:c r="E705" s="8" t="s">
        <x:v>2070</x:v>
      </x:c>
      <x:c r="F705" s="8" t="s">
        <x:v>2026</x:v>
      </x:c>
      <x:c r="G705" s="8" t="s">
        <x:v>109</x:v>
      </x:c>
      <x:c r="H705" s="8" t="s">
        <x:v>2027</x:v>
      </x:c>
      <x:c r="I705" s="8" t="s">
        <x:v>2028</x:v>
      </x:c>
      <x:c r="J705" s="8" t="s">
        <x:v>112</x:v>
      </x:c>
      <x:c r="K705" s="8" t="s">
        <x:v>2071</x:v>
      </x:c>
      <x:c r="L705" s="8" t="s">
        <x:v>2071</x:v>
      </x:c>
      <x:c r="M705" s="8"/>
      <x:c r="N705" s="8"/>
      <x:c r="O705" s="8" t="s">
        <x:v>1622</x:v>
      </x:c>
      <x:c r="P705" s="8" t="s">
        <x:v>115</x:v>
      </x:c>
      <x:c r="Q705" s="8" t="s">
        <x:v>45</x:v>
      </x:c>
      <x:c r="R705" s="8" t="s">
        <x:v>1623</x:v>
      </x:c>
      <x:c r="S705" s="8"/>
      <x:c r="T705" s="8" t="s">
        <x:v>27</x:v>
      </x:c>
      <x:c r="U705" s="8" t="s">
        <x:v>883</x:v>
      </x:c>
      <x:c r="V705" s="8" t="s">
        <x:v>1624</x:v>
      </x:c>
    </x:row>
    <x:row r="706" ht="36" hidden="0" customHeight="1">
      <x:c r="A706" s="8" t="s">
        <x:v>2072</x:v>
      </x:c>
      <x:c r="B706" s="8" t="s">
        <x:v>2025</x:v>
      </x:c>
      <x:c r="C706" s="8"/>
      <x:c r="D706" s="8" t="s">
        <x:v>2073</x:v>
      </x:c>
      <x:c r="E706" s="8" t="s">
        <x:v>2074</x:v>
      </x:c>
      <x:c r="F706" s="8" t="s">
        <x:v>2026</x:v>
      </x:c>
      <x:c r="G706" s="8" t="s">
        <x:v>109</x:v>
      </x:c>
      <x:c r="H706" s="8" t="s">
        <x:v>2027</x:v>
      </x:c>
      <x:c r="I706" s="8" t="s">
        <x:v>2028</x:v>
      </x:c>
      <x:c r="J706" s="8" t="s">
        <x:v>112</x:v>
      </x:c>
      <x:c r="K706" s="8" t="s">
        <x:v>2071</x:v>
      </x:c>
      <x:c r="L706" s="8" t="s">
        <x:v>2071</x:v>
      </x:c>
      <x:c r="M706" s="8"/>
      <x:c r="N706" s="8"/>
      <x:c r="O706" s="8" t="s">
        <x:v>1622</x:v>
      </x:c>
      <x:c r="P706" s="8" t="s">
        <x:v>115</x:v>
      </x:c>
      <x:c r="Q706" s="8" t="s">
        <x:v>45</x:v>
      </x:c>
      <x:c r="R706" s="8" t="s">
        <x:v>1623</x:v>
      </x:c>
      <x:c r="S706" s="8"/>
      <x:c r="T706" s="8" t="s">
        <x:v>27</x:v>
      </x:c>
      <x:c r="U706" s="8" t="s">
        <x:v>883</x:v>
      </x:c>
      <x:c r="V706" s="8" t="s">
        <x:v>1624</x:v>
      </x:c>
    </x:row>
    <x:row r="707" ht="36" hidden="0" customHeight="1">
      <x:c r="A707" s="8" t="s">
        <x:v>2075</x:v>
      </x:c>
      <x:c r="B707" s="8" t="s">
        <x:v>2025</x:v>
      </x:c>
      <x:c r="C707" s="8"/>
      <x:c r="D707" s="8" t="s">
        <x:v>2076</x:v>
      </x:c>
      <x:c r="E707" s="8" t="s">
        <x:v>2077</x:v>
      </x:c>
      <x:c r="F707" s="8" t="s">
        <x:v>2026</x:v>
      </x:c>
      <x:c r="G707" s="8" t="s">
        <x:v>109</x:v>
      </x:c>
      <x:c r="H707" s="8" t="s">
        <x:v>2027</x:v>
      </x:c>
      <x:c r="I707" s="8" t="s">
        <x:v>2028</x:v>
      </x:c>
      <x:c r="J707" s="8" t="s">
        <x:v>112</x:v>
      </x:c>
      <x:c r="K707" s="8" t="s">
        <x:v>2078</x:v>
      </x:c>
      <x:c r="L707" s="8" t="s">
        <x:v>2078</x:v>
      </x:c>
      <x:c r="M707" s="8"/>
      <x:c r="N707" s="8"/>
      <x:c r="O707" s="8" t="s">
        <x:v>1622</x:v>
      </x:c>
      <x:c r="P707" s="8" t="s">
        <x:v>115</x:v>
      </x:c>
      <x:c r="Q707" s="8" t="s">
        <x:v>45</x:v>
      </x:c>
      <x:c r="R707" s="8" t="s">
        <x:v>1623</x:v>
      </x:c>
      <x:c r="S707" s="8"/>
      <x:c r="T707" s="8" t="s">
        <x:v>27</x:v>
      </x:c>
      <x:c r="U707" s="8" t="s">
        <x:v>883</x:v>
      </x:c>
      <x:c r="V707" s="8" t="s">
        <x:v>1624</x:v>
      </x:c>
    </x:row>
    <x:row r="708" ht="36" hidden="0" customHeight="1">
      <x:c r="A708" s="8" t="s">
        <x:v>2079</x:v>
      </x:c>
      <x:c r="B708" s="8" t="s">
        <x:v>2025</x:v>
      </x:c>
      <x:c r="C708" s="8"/>
      <x:c r="D708" s="8" t="s">
        <x:v>2080</x:v>
      </x:c>
      <x:c r="E708" s="8" t="s">
        <x:v>2081</x:v>
      </x:c>
      <x:c r="F708" s="8" t="s">
        <x:v>2026</x:v>
      </x:c>
      <x:c r="G708" s="8" t="s">
        <x:v>187</x:v>
      </x:c>
      <x:c r="H708" s="8" t="s">
        <x:v>2027</x:v>
      </x:c>
      <x:c r="I708" s="8" t="s">
        <x:v>2028</x:v>
      </x:c>
      <x:c r="J708" s="8" t="s">
        <x:v>112</x:v>
      </x:c>
      <x:c r="K708" s="8" t="s">
        <x:v>2082</x:v>
      </x:c>
      <x:c r="L708" s="8" t="s">
        <x:v>2082</x:v>
      </x:c>
      <x:c r="M708" s="8"/>
      <x:c r="N708" s="8"/>
      <x:c r="O708" s="8" t="s">
        <x:v>1622</x:v>
      </x:c>
      <x:c r="P708" s="8" t="s">
        <x:v>115</x:v>
      </x:c>
      <x:c r="Q708" s="8" t="s">
        <x:v>45</x:v>
      </x:c>
      <x:c r="R708" s="8" t="s">
        <x:v>1623</x:v>
      </x:c>
      <x:c r="S708" s="8"/>
      <x:c r="T708" s="8" t="s">
        <x:v>27</x:v>
      </x:c>
      <x:c r="U708" s="8" t="s">
        <x:v>883</x:v>
      </x:c>
      <x:c r="V708" s="8" t="s">
        <x:v>1624</x:v>
      </x:c>
    </x:row>
    <x:row r="709" ht="36" hidden="0" customHeight="1">
      <x:c r="A709" s="8" t="s">
        <x:v>2083</x:v>
      </x:c>
      <x:c r="B709" s="8" t="s">
        <x:v>2084</x:v>
      </x:c>
      <x:c r="C709" s="8"/>
      <x:c r="D709" s="8" t="s">
        <x:v>1615</x:v>
      </x:c>
      <x:c r="E709" s="8" t="s">
        <x:v>2085</x:v>
      </x:c>
      <x:c r="F709" s="8" t="s">
        <x:v>2086</x:v>
      </x:c>
      <x:c r="G709" s="8" t="s">
        <x:v>109</x:v>
      </x:c>
      <x:c r="H709" s="8" t="s">
        <x:v>2087</x:v>
      </x:c>
      <x:c r="I709" s="8" t="s">
        <x:v>2088</x:v>
      </x:c>
      <x:c r="J709" s="8" t="s">
        <x:v>112</x:v>
      </x:c>
      <x:c r="K709" s="8" t="s">
        <x:v>2089</x:v>
      </x:c>
      <x:c r="L709" s="8" t="s">
        <x:v>2089</x:v>
      </x:c>
      <x:c r="M709" s="8"/>
      <x:c r="N709" s="8"/>
      <x:c r="O709" s="8" t="s">
        <x:v>1622</x:v>
      </x:c>
      <x:c r="P709" s="8" t="s">
        <x:v>115</x:v>
      </x:c>
      <x:c r="Q709" s="8" t="s">
        <x:v>45</x:v>
      </x:c>
      <x:c r="R709" s="8" t="s">
        <x:v>1623</x:v>
      </x:c>
      <x:c r="S709" s="8"/>
      <x:c r="T709" s="8" t="s">
        <x:v>27</x:v>
      </x:c>
      <x:c r="U709" s="8" t="s">
        <x:v>883</x:v>
      </x:c>
      <x:c r="V709" s="8" t="s">
        <x:v>1624</x:v>
      </x:c>
    </x:row>
    <x:row r="710" ht="36" hidden="0" customHeight="1">
      <x:c r="A710" s="8" t="s">
        <x:v>2090</x:v>
      </x:c>
      <x:c r="B710" s="8" t="s">
        <x:v>2084</x:v>
      </x:c>
      <x:c r="C710" s="8"/>
      <x:c r="D710" s="8" t="s">
        <x:v>2091</x:v>
      </x:c>
      <x:c r="E710" s="8" t="s">
        <x:v>2092</x:v>
      </x:c>
      <x:c r="F710" s="8" t="s">
        <x:v>2086</x:v>
      </x:c>
      <x:c r="G710" s="8" t="s">
        <x:v>109</x:v>
      </x:c>
      <x:c r="H710" s="8" t="s">
        <x:v>2087</x:v>
      </x:c>
      <x:c r="I710" s="8" t="s">
        <x:v>2088</x:v>
      </x:c>
      <x:c r="J710" s="8" t="s">
        <x:v>112</x:v>
      </x:c>
      <x:c r="K710" s="8" t="s">
        <x:v>309</x:v>
      </x:c>
      <x:c r="L710" s="8" t="s">
        <x:v>309</x:v>
      </x:c>
      <x:c r="M710" s="8"/>
      <x:c r="N710" s="8"/>
      <x:c r="O710" s="8" t="s">
        <x:v>1622</x:v>
      </x:c>
      <x:c r="P710" s="8" t="s">
        <x:v>115</x:v>
      </x:c>
      <x:c r="Q710" s="8" t="s">
        <x:v>45</x:v>
      </x:c>
      <x:c r="R710" s="8" t="s">
        <x:v>1623</x:v>
      </x:c>
      <x:c r="S710" s="8"/>
      <x:c r="T710" s="8" t="s">
        <x:v>27</x:v>
      </x:c>
      <x:c r="U710" s="8" t="s">
        <x:v>883</x:v>
      </x:c>
      <x:c r="V710" s="8" t="s">
        <x:v>1624</x:v>
      </x:c>
    </x:row>
    <x:row r="711" ht="36" hidden="0" customHeight="1">
      <x:c r="A711" s="8" t="s">
        <x:v>2093</x:v>
      </x:c>
      <x:c r="B711" s="8" t="s">
        <x:v>2084</x:v>
      </x:c>
      <x:c r="C711" s="8"/>
      <x:c r="D711" s="8" t="s">
        <x:v>2094</x:v>
      </x:c>
      <x:c r="E711" s="8" t="s">
        <x:v>2095</x:v>
      </x:c>
      <x:c r="F711" s="8" t="s">
        <x:v>2086</x:v>
      </x:c>
      <x:c r="G711" s="8" t="s">
        <x:v>109</x:v>
      </x:c>
      <x:c r="H711" s="8" t="s">
        <x:v>2087</x:v>
      </x:c>
      <x:c r="I711" s="8" t="s">
        <x:v>2088</x:v>
      </x:c>
      <x:c r="J711" s="8" t="s">
        <x:v>112</x:v>
      </x:c>
      <x:c r="K711" s="8" t="s">
        <x:v>2089</x:v>
      </x:c>
      <x:c r="L711" s="8" t="s">
        <x:v>2089</x:v>
      </x:c>
      <x:c r="M711" s="8"/>
      <x:c r="N711" s="8"/>
      <x:c r="O711" s="8" t="s">
        <x:v>1622</x:v>
      </x:c>
      <x:c r="P711" s="8" t="s">
        <x:v>115</x:v>
      </x:c>
      <x:c r="Q711" s="8" t="s">
        <x:v>45</x:v>
      </x:c>
      <x:c r="R711" s="8" t="s">
        <x:v>1623</x:v>
      </x:c>
      <x:c r="S711" s="8"/>
      <x:c r="T711" s="8" t="s">
        <x:v>27</x:v>
      </x:c>
      <x:c r="U711" s="8" t="s">
        <x:v>883</x:v>
      </x:c>
      <x:c r="V711" s="8" t="s">
        <x:v>1624</x:v>
      </x:c>
    </x:row>
    <x:row r="712" ht="36" hidden="0" customHeight="1">
      <x:c r="A712" s="8" t="s">
        <x:v>2096</x:v>
      </x:c>
      <x:c r="B712" s="8" t="s">
        <x:v>2084</x:v>
      </x:c>
      <x:c r="C712" s="8"/>
      <x:c r="D712" s="8" t="s">
        <x:v>2097</x:v>
      </x:c>
      <x:c r="E712" s="8" t="s">
        <x:v>2098</x:v>
      </x:c>
      <x:c r="F712" s="8" t="s">
        <x:v>2086</x:v>
      </x:c>
      <x:c r="G712" s="8" t="s">
        <x:v>109</x:v>
      </x:c>
      <x:c r="H712" s="8" t="s">
        <x:v>2087</x:v>
      </x:c>
      <x:c r="I712" s="8" t="s">
        <x:v>2088</x:v>
      </x:c>
      <x:c r="J712" s="8" t="s">
        <x:v>112</x:v>
      </x:c>
      <x:c r="K712" s="8" t="s">
        <x:v>2089</x:v>
      </x:c>
      <x:c r="L712" s="8" t="s">
        <x:v>2089</x:v>
      </x:c>
      <x:c r="M712" s="8"/>
      <x:c r="N712" s="8"/>
      <x:c r="O712" s="8" t="s">
        <x:v>1622</x:v>
      </x:c>
      <x:c r="P712" s="8" t="s">
        <x:v>115</x:v>
      </x:c>
      <x:c r="Q712" s="8" t="s">
        <x:v>45</x:v>
      </x:c>
      <x:c r="R712" s="8" t="s">
        <x:v>1623</x:v>
      </x:c>
      <x:c r="S712" s="8"/>
      <x:c r="T712" s="8" t="s">
        <x:v>27</x:v>
      </x:c>
      <x:c r="U712" s="8" t="s">
        <x:v>883</x:v>
      </x:c>
      <x:c r="V712" s="8" t="s">
        <x:v>1624</x:v>
      </x:c>
    </x:row>
    <x:row r="713" ht="36" hidden="0" customHeight="1">
      <x:c r="A713" s="8" t="s">
        <x:v>2099</x:v>
      </x:c>
      <x:c r="B713" s="8" t="s">
        <x:v>2084</x:v>
      </x:c>
      <x:c r="C713" s="8"/>
      <x:c r="D713" s="8" t="s">
        <x:v>2100</x:v>
      </x:c>
      <x:c r="E713" s="8" t="s">
        <x:v>2101</x:v>
      </x:c>
      <x:c r="F713" s="8" t="s">
        <x:v>2086</x:v>
      </x:c>
      <x:c r="G713" s="8" t="s">
        <x:v>109</x:v>
      </x:c>
      <x:c r="H713" s="8" t="s">
        <x:v>2087</x:v>
      </x:c>
      <x:c r="I713" s="8" t="s">
        <x:v>2088</x:v>
      </x:c>
      <x:c r="J713" s="8" t="s">
        <x:v>112</x:v>
      </x:c>
      <x:c r="K713" s="8" t="s">
        <x:v>2102</x:v>
      </x:c>
      <x:c r="L713" s="8" t="s">
        <x:v>2102</x:v>
      </x:c>
      <x:c r="M713" s="8"/>
      <x:c r="N713" s="8"/>
      <x:c r="O713" s="8" t="s">
        <x:v>1622</x:v>
      </x:c>
      <x:c r="P713" s="8" t="s">
        <x:v>115</x:v>
      </x:c>
      <x:c r="Q713" s="8" t="s">
        <x:v>45</x:v>
      </x:c>
      <x:c r="R713" s="8" t="s">
        <x:v>1623</x:v>
      </x:c>
      <x:c r="S713" s="8"/>
      <x:c r="T713" s="8" t="s">
        <x:v>27</x:v>
      </x:c>
      <x:c r="U713" s="8" t="s">
        <x:v>883</x:v>
      </x:c>
      <x:c r="V713" s="8" t="s">
        <x:v>1624</x:v>
      </x:c>
    </x:row>
    <x:row r="714" ht="36" hidden="0" customHeight="1">
      <x:c r="A714" s="8" t="s">
        <x:v>2103</x:v>
      </x:c>
      <x:c r="B714" s="8" t="s">
        <x:v>2084</x:v>
      </x:c>
      <x:c r="C714" s="8"/>
      <x:c r="D714" s="8" t="s">
        <x:v>2104</x:v>
      </x:c>
      <x:c r="E714" s="8" t="s">
        <x:v>2105</x:v>
      </x:c>
      <x:c r="F714" s="8" t="s">
        <x:v>2086</x:v>
      </x:c>
      <x:c r="G714" s="8" t="s">
        <x:v>109</x:v>
      </x:c>
      <x:c r="H714" s="8" t="s">
        <x:v>2087</x:v>
      </x:c>
      <x:c r="I714" s="8" t="s">
        <x:v>2088</x:v>
      </x:c>
      <x:c r="J714" s="8" t="s">
        <x:v>112</x:v>
      </x:c>
      <x:c r="K714" s="8" t="s">
        <x:v>2102</x:v>
      </x:c>
      <x:c r="L714" s="8" t="s">
        <x:v>2102</x:v>
      </x:c>
      <x:c r="M714" s="8"/>
      <x:c r="N714" s="8"/>
      <x:c r="O714" s="8" t="s">
        <x:v>1622</x:v>
      </x:c>
      <x:c r="P714" s="8" t="s">
        <x:v>115</x:v>
      </x:c>
      <x:c r="Q714" s="8" t="s">
        <x:v>45</x:v>
      </x:c>
      <x:c r="R714" s="8" t="s">
        <x:v>1623</x:v>
      </x:c>
      <x:c r="S714" s="8"/>
      <x:c r="T714" s="8" t="s">
        <x:v>27</x:v>
      </x:c>
      <x:c r="U714" s="8" t="s">
        <x:v>883</x:v>
      </x:c>
      <x:c r="V714" s="8" t="s">
        <x:v>1624</x:v>
      </x:c>
    </x:row>
    <x:row r="715" ht="36" hidden="0" customHeight="1">
      <x:c r="A715" s="8" t="s">
        <x:v>2106</x:v>
      </x:c>
      <x:c r="B715" s="8" t="s">
        <x:v>2084</x:v>
      </x:c>
      <x:c r="C715" s="8"/>
      <x:c r="D715" s="8" t="s">
        <x:v>2107</x:v>
      </x:c>
      <x:c r="E715" s="8" t="s">
        <x:v>2108</x:v>
      </x:c>
      <x:c r="F715" s="8" t="s">
        <x:v>2086</x:v>
      </x:c>
      <x:c r="G715" s="8" t="s">
        <x:v>109</x:v>
      </x:c>
      <x:c r="H715" s="8" t="s">
        <x:v>2087</x:v>
      </x:c>
      <x:c r="I715" s="8" t="s">
        <x:v>2088</x:v>
      </x:c>
      <x:c r="J715" s="8" t="s">
        <x:v>112</x:v>
      </x:c>
      <x:c r="K715" s="8" t="s">
        <x:v>2102</x:v>
      </x:c>
      <x:c r="L715" s="8" t="s">
        <x:v>2102</x:v>
      </x:c>
      <x:c r="M715" s="8"/>
      <x:c r="N715" s="8"/>
      <x:c r="O715" s="8" t="s">
        <x:v>1622</x:v>
      </x:c>
      <x:c r="P715" s="8" t="s">
        <x:v>115</x:v>
      </x:c>
      <x:c r="Q715" s="8" t="s">
        <x:v>45</x:v>
      </x:c>
      <x:c r="R715" s="8" t="s">
        <x:v>1623</x:v>
      </x:c>
      <x:c r="S715" s="8"/>
      <x:c r="T715" s="8" t="s">
        <x:v>27</x:v>
      </x:c>
      <x:c r="U715" s="8" t="s">
        <x:v>883</x:v>
      </x:c>
      <x:c r="V715" s="8" t="s">
        <x:v>1624</x:v>
      </x:c>
    </x:row>
    <x:row r="716" ht="36" hidden="0" customHeight="1">
      <x:c r="A716" s="8" t="s">
        <x:v>2109</x:v>
      </x:c>
      <x:c r="B716" s="8" t="s">
        <x:v>2084</x:v>
      </x:c>
      <x:c r="C716" s="8"/>
      <x:c r="D716" s="8" t="s">
        <x:v>2110</x:v>
      </x:c>
      <x:c r="E716" s="8" t="s">
        <x:v>2111</x:v>
      </x:c>
      <x:c r="F716" s="8" t="s">
        <x:v>2086</x:v>
      </x:c>
      <x:c r="G716" s="8" t="s">
        <x:v>109</x:v>
      </x:c>
      <x:c r="H716" s="8" t="s">
        <x:v>2087</x:v>
      </x:c>
      <x:c r="I716" s="8" t="s">
        <x:v>2088</x:v>
      </x:c>
      <x:c r="J716" s="8" t="s">
        <x:v>112</x:v>
      </x:c>
      <x:c r="K716" s="8" t="s">
        <x:v>2112</x:v>
      </x:c>
      <x:c r="L716" s="8" t="s">
        <x:v>2112</x:v>
      </x:c>
      <x:c r="M716" s="8"/>
      <x:c r="N716" s="8"/>
      <x:c r="O716" s="8" t="s">
        <x:v>1622</x:v>
      </x:c>
      <x:c r="P716" s="8" t="s">
        <x:v>115</x:v>
      </x:c>
      <x:c r="Q716" s="8" t="s">
        <x:v>45</x:v>
      </x:c>
      <x:c r="R716" s="8" t="s">
        <x:v>1623</x:v>
      </x:c>
      <x:c r="S716" s="8"/>
      <x:c r="T716" s="8" t="s">
        <x:v>27</x:v>
      </x:c>
      <x:c r="U716" s="8" t="s">
        <x:v>883</x:v>
      </x:c>
      <x:c r="V716" s="8" t="s">
        <x:v>1624</x:v>
      </x:c>
    </x:row>
    <x:row r="717" ht="36" hidden="0" customHeight="1">
      <x:c r="A717" s="8" t="s">
        <x:v>2113</x:v>
      </x:c>
      <x:c r="B717" s="8" t="s">
        <x:v>2084</x:v>
      </x:c>
      <x:c r="C717" s="8"/>
      <x:c r="D717" s="8" t="s">
        <x:v>2114</x:v>
      </x:c>
      <x:c r="E717" s="8" t="n">
        <x:v>2</x:v>
      </x:c>
      <x:c r="F717" s="8" t="s">
        <x:v>2086</x:v>
      </x:c>
      <x:c r="G717" s="8" t="s">
        <x:v>109</x:v>
      </x:c>
      <x:c r="H717" s="8" t="s">
        <x:v>2087</x:v>
      </x:c>
      <x:c r="I717" s="8" t="s">
        <x:v>2088</x:v>
      </x:c>
      <x:c r="J717" s="8" t="s">
        <x:v>112</x:v>
      </x:c>
      <x:c r="K717" s="8" t="s">
        <x:v>2112</x:v>
      </x:c>
      <x:c r="L717" s="8" t="s">
        <x:v>2112</x:v>
      </x:c>
      <x:c r="M717" s="8"/>
      <x:c r="N717" s="8"/>
      <x:c r="O717" s="8" t="s">
        <x:v>1622</x:v>
      </x:c>
      <x:c r="P717" s="8" t="s">
        <x:v>115</x:v>
      </x:c>
      <x:c r="Q717" s="8" t="s">
        <x:v>45</x:v>
      </x:c>
      <x:c r="R717" s="8" t="s">
        <x:v>1623</x:v>
      </x:c>
      <x:c r="S717" s="8" t="s">
        <x:v>2115</x:v>
      </x:c>
      <x:c r="T717" s="8" t="s">
        <x:v>27</x:v>
      </x:c>
      <x:c r="U717" s="8" t="s">
        <x:v>883</x:v>
      </x:c>
      <x:c r="V717" s="8" t="s">
        <x:v>1624</x:v>
      </x:c>
    </x:row>
    <x:row r="718" ht="36" hidden="0" customHeight="1">
      <x:c r="A718" s="8" t="s">
        <x:v>2116</x:v>
      </x:c>
      <x:c r="B718" s="8" t="s">
        <x:v>2084</x:v>
      </x:c>
      <x:c r="C718" s="8"/>
      <x:c r="D718" s="8" t="s">
        <x:v>2117</x:v>
      </x:c>
      <x:c r="E718" s="8" t="s">
        <x:v>2118</x:v>
      </x:c>
      <x:c r="F718" s="8" t="s">
        <x:v>2086</x:v>
      </x:c>
      <x:c r="G718" s="8" t="s">
        <x:v>109</x:v>
      </x:c>
      <x:c r="H718" s="8" t="s">
        <x:v>2087</x:v>
      </x:c>
      <x:c r="I718" s="8" t="s">
        <x:v>2088</x:v>
      </x:c>
      <x:c r="J718" s="8" t="s">
        <x:v>112</x:v>
      </x:c>
      <x:c r="K718" s="8" t="s">
        <x:v>2112</x:v>
      </x:c>
      <x:c r="L718" s="8" t="s">
        <x:v>2112</x:v>
      </x:c>
      <x:c r="M718" s="8"/>
      <x:c r="N718" s="8"/>
      <x:c r="O718" s="8" t="s">
        <x:v>1622</x:v>
      </x:c>
      <x:c r="P718" s="8" t="s">
        <x:v>115</x:v>
      </x:c>
      <x:c r="Q718" s="8" t="s">
        <x:v>45</x:v>
      </x:c>
      <x:c r="R718" s="8" t="s">
        <x:v>1623</x:v>
      </x:c>
      <x:c r="S718" s="8"/>
      <x:c r="T718" s="8" t="s">
        <x:v>27</x:v>
      </x:c>
      <x:c r="U718" s="8" t="s">
        <x:v>883</x:v>
      </x:c>
      <x:c r="V718" s="8" t="s">
        <x:v>1624</x:v>
      </x:c>
    </x:row>
    <x:row r="719" ht="36" hidden="0" customHeight="1">
      <x:c r="A719" s="8" t="s">
        <x:v>2119</x:v>
      </x:c>
      <x:c r="B719" s="8" t="s">
        <x:v>2084</x:v>
      </x:c>
      <x:c r="C719" s="8"/>
      <x:c r="D719" s="8" t="s">
        <x:v>2120</x:v>
      </x:c>
      <x:c r="E719" s="8" t="n">
        <x:v>24</x:v>
      </x:c>
      <x:c r="F719" s="8" t="s">
        <x:v>2086</x:v>
      </x:c>
      <x:c r="G719" s="8" t="s">
        <x:v>109</x:v>
      </x:c>
      <x:c r="H719" s="8" t="s">
        <x:v>2087</x:v>
      </x:c>
      <x:c r="I719" s="8" t="s">
        <x:v>2088</x:v>
      </x:c>
      <x:c r="J719" s="8" t="s">
        <x:v>112</x:v>
      </x:c>
      <x:c r="K719" s="8" t="s">
        <x:v>2121</x:v>
      </x:c>
      <x:c r="L719" s="8" t="s">
        <x:v>2121</x:v>
      </x:c>
      <x:c r="M719" s="8"/>
      <x:c r="N719" s="8"/>
      <x:c r="O719" s="8" t="s">
        <x:v>1622</x:v>
      </x:c>
      <x:c r="P719" s="8" t="s">
        <x:v>115</x:v>
      </x:c>
      <x:c r="Q719" s="8" t="s">
        <x:v>45</x:v>
      </x:c>
      <x:c r="R719" s="8" t="s">
        <x:v>1623</x:v>
      </x:c>
      <x:c r="S719" s="8" t="s">
        <x:v>1670</x:v>
      </x:c>
      <x:c r="T719" s="8" t="s">
        <x:v>27</x:v>
      </x:c>
      <x:c r="U719" s="8" t="s">
        <x:v>883</x:v>
      </x:c>
      <x:c r="V719" s="8" t="s">
        <x:v>1624</x:v>
      </x:c>
    </x:row>
    <x:row r="720" ht="36" hidden="0" customHeight="1">
      <x:c r="A720" s="8" t="s">
        <x:v>2122</x:v>
      </x:c>
      <x:c r="B720" s="8" t="s">
        <x:v>2084</x:v>
      </x:c>
      <x:c r="C720" s="8"/>
      <x:c r="D720" s="8" t="s">
        <x:v>2123</x:v>
      </x:c>
      <x:c r="E720" s="8" t="s">
        <x:v>1487</x:v>
      </x:c>
      <x:c r="F720" s="8" t="s">
        <x:v>2086</x:v>
      </x:c>
      <x:c r="G720" s="8" t="s">
        <x:v>109</x:v>
      </x:c>
      <x:c r="H720" s="8" t="s">
        <x:v>2087</x:v>
      </x:c>
      <x:c r="I720" s="8" t="s">
        <x:v>2088</x:v>
      </x:c>
      <x:c r="J720" s="8" t="s">
        <x:v>112</x:v>
      </x:c>
      <x:c r="K720" s="8" t="s">
        <x:v>1696</x:v>
      </x:c>
      <x:c r="L720" s="8" t="s">
        <x:v>1696</x:v>
      </x:c>
      <x:c r="M720" s="8"/>
      <x:c r="N720" s="8"/>
      <x:c r="O720" s="8" t="s">
        <x:v>1622</x:v>
      </x:c>
      <x:c r="P720" s="8" t="s">
        <x:v>115</x:v>
      </x:c>
      <x:c r="Q720" s="8" t="s">
        <x:v>45</x:v>
      </x:c>
      <x:c r="R720" s="8" t="s">
        <x:v>1623</x:v>
      </x:c>
      <x:c r="S720" s="8"/>
      <x:c r="T720" s="8" t="s">
        <x:v>27</x:v>
      </x:c>
      <x:c r="U720" s="8" t="s">
        <x:v>883</x:v>
      </x:c>
      <x:c r="V720" s="8" t="s">
        <x:v>1624</x:v>
      </x:c>
    </x:row>
    <x:row r="721" ht="36" hidden="0" customHeight="1">
      <x:c r="A721" s="8" t="s">
        <x:v>2124</x:v>
      </x:c>
      <x:c r="B721" s="8" t="s">
        <x:v>2084</x:v>
      </x:c>
      <x:c r="C721" s="8"/>
      <x:c r="D721" s="8" t="s">
        <x:v>2125</x:v>
      </x:c>
      <x:c r="E721" s="8" t="s">
        <x:v>2126</x:v>
      </x:c>
      <x:c r="F721" s="8" t="s">
        <x:v>2086</x:v>
      </x:c>
      <x:c r="G721" s="8" t="s">
        <x:v>109</x:v>
      </x:c>
      <x:c r="H721" s="8" t="s">
        <x:v>2087</x:v>
      </x:c>
      <x:c r="I721" s="8" t="s">
        <x:v>2088</x:v>
      </x:c>
      <x:c r="J721" s="8" t="s">
        <x:v>112</x:v>
      </x:c>
      <x:c r="K721" s="8" t="s">
        <x:v>2127</x:v>
      </x:c>
      <x:c r="L721" s="8" t="s">
        <x:v>2127</x:v>
      </x:c>
      <x:c r="M721" s="8"/>
      <x:c r="N721" s="8"/>
      <x:c r="O721" s="8" t="s">
        <x:v>1622</x:v>
      </x:c>
      <x:c r="P721" s="8" t="s">
        <x:v>115</x:v>
      </x:c>
      <x:c r="Q721" s="8" t="s">
        <x:v>45</x:v>
      </x:c>
      <x:c r="R721" s="8" t="s">
        <x:v>1623</x:v>
      </x:c>
      <x:c r="S721" s="8"/>
      <x:c r="T721" s="8" t="s">
        <x:v>27</x:v>
      </x:c>
      <x:c r="U721" s="8" t="s">
        <x:v>883</x:v>
      </x:c>
      <x:c r="V721" s="8" t="s">
        <x:v>1624</x:v>
      </x:c>
    </x:row>
    <x:row r="722" ht="36" hidden="0" customHeight="1">
      <x:c r="A722" s="8" t="s">
        <x:v>2128</x:v>
      </x:c>
      <x:c r="B722" s="8" t="s">
        <x:v>2084</x:v>
      </x:c>
      <x:c r="C722" s="8"/>
      <x:c r="D722" s="8" t="s">
        <x:v>2129</x:v>
      </x:c>
      <x:c r="E722" s="8" t="s">
        <x:v>2130</x:v>
      </x:c>
      <x:c r="F722" s="8" t="s">
        <x:v>2086</x:v>
      </x:c>
      <x:c r="G722" s="8" t="s">
        <x:v>109</x:v>
      </x:c>
      <x:c r="H722" s="8" t="s">
        <x:v>2087</x:v>
      </x:c>
      <x:c r="I722" s="8" t="s">
        <x:v>2088</x:v>
      </x:c>
      <x:c r="J722" s="8" t="s">
        <x:v>112</x:v>
      </x:c>
      <x:c r="K722" s="8" t="s">
        <x:v>2131</x:v>
      </x:c>
      <x:c r="L722" s="8" t="s">
        <x:v>2131</x:v>
      </x:c>
      <x:c r="M722" s="8"/>
      <x:c r="N722" s="8"/>
      <x:c r="O722" s="8" t="s">
        <x:v>1622</x:v>
      </x:c>
      <x:c r="P722" s="8" t="s">
        <x:v>115</x:v>
      </x:c>
      <x:c r="Q722" s="8" t="s">
        <x:v>45</x:v>
      </x:c>
      <x:c r="R722" s="8" t="s">
        <x:v>1623</x:v>
      </x:c>
      <x:c r="S722" s="8"/>
      <x:c r="T722" s="8" t="s">
        <x:v>27</x:v>
      </x:c>
      <x:c r="U722" s="8" t="s">
        <x:v>883</x:v>
      </x:c>
      <x:c r="V722" s="8" t="s">
        <x:v>1624</x:v>
      </x:c>
    </x:row>
    <x:row r="723" ht="36" hidden="0" customHeight="1">
      <x:c r="A723" s="8" t="s">
        <x:v>2132</x:v>
      </x:c>
      <x:c r="B723" s="8" t="s">
        <x:v>2084</x:v>
      </x:c>
      <x:c r="C723" s="8"/>
      <x:c r="D723" s="8" t="s">
        <x:v>871</x:v>
      </x:c>
      <x:c r="E723" s="8" t="s">
        <x:v>2133</x:v>
      </x:c>
      <x:c r="F723" s="8" t="s">
        <x:v>2086</x:v>
      </x:c>
      <x:c r="G723" s="8" t="s">
        <x:v>109</x:v>
      </x:c>
      <x:c r="H723" s="8" t="s">
        <x:v>2087</x:v>
      </x:c>
      <x:c r="I723" s="8" t="s">
        <x:v>2088</x:v>
      </x:c>
      <x:c r="J723" s="8" t="s">
        <x:v>112</x:v>
      </x:c>
      <x:c r="K723" s="8" t="s">
        <x:v>1700</x:v>
      </x:c>
      <x:c r="L723" s="8" t="s">
        <x:v>1700</x:v>
      </x:c>
      <x:c r="M723" s="8"/>
      <x:c r="N723" s="8"/>
      <x:c r="O723" s="8" t="s">
        <x:v>1622</x:v>
      </x:c>
      <x:c r="P723" s="8" t="s">
        <x:v>115</x:v>
      </x:c>
      <x:c r="Q723" s="8" t="s">
        <x:v>45</x:v>
      </x:c>
      <x:c r="R723" s="8" t="s">
        <x:v>1623</x:v>
      </x:c>
      <x:c r="S723" s="8"/>
      <x:c r="T723" s="8" t="s">
        <x:v>27</x:v>
      </x:c>
      <x:c r="U723" s="8" t="s">
        <x:v>883</x:v>
      </x:c>
      <x:c r="V723" s="8" t="s">
        <x:v>1624</x:v>
      </x:c>
    </x:row>
    <x:row r="724" ht="36" hidden="0" customHeight="1">
      <x:c r="A724" s="8" t="s">
        <x:v>2134</x:v>
      </x:c>
      <x:c r="B724" s="8" t="s">
        <x:v>2084</x:v>
      </x:c>
      <x:c r="C724" s="8"/>
      <x:c r="D724" s="8" t="s">
        <x:v>2135</x:v>
      </x:c>
      <x:c r="E724" s="8" t="s">
        <x:v>2136</x:v>
      </x:c>
      <x:c r="F724" s="8" t="s">
        <x:v>2086</x:v>
      </x:c>
      <x:c r="G724" s="8" t="s">
        <x:v>109</x:v>
      </x:c>
      <x:c r="H724" s="8" t="s">
        <x:v>2087</x:v>
      </x:c>
      <x:c r="I724" s="8" t="s">
        <x:v>2088</x:v>
      </x:c>
      <x:c r="J724" s="8" t="s">
        <x:v>112</x:v>
      </x:c>
      <x:c r="K724" s="8" t="s">
        <x:v>1700</x:v>
      </x:c>
      <x:c r="L724" s="8" t="s">
        <x:v>1700</x:v>
      </x:c>
      <x:c r="M724" s="8"/>
      <x:c r="N724" s="8"/>
      <x:c r="O724" s="8" t="s">
        <x:v>1622</x:v>
      </x:c>
      <x:c r="P724" s="8" t="s">
        <x:v>115</x:v>
      </x:c>
      <x:c r="Q724" s="8" t="s">
        <x:v>45</x:v>
      </x:c>
      <x:c r="R724" s="8" t="s">
        <x:v>1623</x:v>
      </x:c>
      <x:c r="S724" s="8"/>
      <x:c r="T724" s="8" t="s">
        <x:v>27</x:v>
      </x:c>
      <x:c r="U724" s="8" t="s">
        <x:v>883</x:v>
      </x:c>
      <x:c r="V724" s="8" t="s">
        <x:v>1624</x:v>
      </x:c>
    </x:row>
    <x:row r="725" ht="36" hidden="0" customHeight="1">
      <x:c r="A725" s="8" t="s">
        <x:v>2137</x:v>
      </x:c>
      <x:c r="B725" s="8" t="s">
        <x:v>2138</x:v>
      </x:c>
      <x:c r="C725" s="8"/>
      <x:c r="D725" s="8" t="s">
        <x:v>1615</x:v>
      </x:c>
      <x:c r="E725" s="8" t="s">
        <x:v>2139</x:v>
      </x:c>
      <x:c r="F725" s="8" t="s">
        <x:v>1617</x:v>
      </x:c>
      <x:c r="G725" s="8" t="s">
        <x:v>109</x:v>
      </x:c>
      <x:c r="H725" s="8" t="s">
        <x:v>2140</x:v>
      </x:c>
      <x:c r="I725" s="8" t="s">
        <x:v>2141</x:v>
      </x:c>
      <x:c r="J725" s="8" t="s">
        <x:v>112</x:v>
      </x:c>
      <x:c r="K725" s="8" t="s">
        <x:v>2142</x:v>
      </x:c>
      <x:c r="L725" s="8" t="s">
        <x:v>2142</x:v>
      </x:c>
      <x:c r="M725" s="8"/>
      <x:c r="N725" s="8"/>
      <x:c r="O725" s="8" t="s">
        <x:v>1622</x:v>
      </x:c>
      <x:c r="P725" s="8" t="s">
        <x:v>115</x:v>
      </x:c>
      <x:c r="Q725" s="8" t="s">
        <x:v>45</x:v>
      </x:c>
      <x:c r="R725" s="8" t="s">
        <x:v>1623</x:v>
      </x:c>
      <x:c r="S725" s="8"/>
      <x:c r="T725" s="8" t="s">
        <x:v>27</x:v>
      </x:c>
      <x:c r="U725" s="8" t="s">
        <x:v>883</x:v>
      </x:c>
      <x:c r="V725" s="8" t="s">
        <x:v>1624</x:v>
      </x:c>
    </x:row>
    <x:row r="726" ht="36" hidden="0" customHeight="1">
      <x:c r="A726" s="8" t="s">
        <x:v>2143</x:v>
      </x:c>
      <x:c r="B726" s="8" t="s">
        <x:v>2138</x:v>
      </x:c>
      <x:c r="C726" s="8"/>
      <x:c r="D726" s="8" t="s">
        <x:v>2144</x:v>
      </x:c>
      <x:c r="E726" s="8" t="n">
        <x:v>4</x:v>
      </x:c>
      <x:c r="F726" s="8" t="s">
        <x:v>1617</x:v>
      </x:c>
      <x:c r="G726" s="8" t="s">
        <x:v>109</x:v>
      </x:c>
      <x:c r="H726" s="8" t="s">
        <x:v>2140</x:v>
      </x:c>
      <x:c r="I726" s="8" t="s">
        <x:v>2141</x:v>
      </x:c>
      <x:c r="J726" s="8" t="s">
        <x:v>112</x:v>
      </x:c>
      <x:c r="K726" s="8" t="s">
        <x:v>2142</x:v>
      </x:c>
      <x:c r="L726" s="8" t="s">
        <x:v>2142</x:v>
      </x:c>
      <x:c r="M726" s="8"/>
      <x:c r="N726" s="8"/>
      <x:c r="O726" s="8" t="s">
        <x:v>1622</x:v>
      </x:c>
      <x:c r="P726" s="8" t="s">
        <x:v>115</x:v>
      </x:c>
      <x:c r="Q726" s="8" t="s">
        <x:v>45</x:v>
      </x:c>
      <x:c r="R726" s="8" t="s">
        <x:v>1623</x:v>
      </x:c>
      <x:c r="S726" s="8" t="s">
        <x:v>1343</x:v>
      </x:c>
      <x:c r="T726" s="8" t="s">
        <x:v>27</x:v>
      </x:c>
      <x:c r="U726" s="8" t="s">
        <x:v>883</x:v>
      </x:c>
      <x:c r="V726" s="8" t="s">
        <x:v>1624</x:v>
      </x:c>
    </x:row>
    <x:row r="727" ht="36" hidden="0" customHeight="1">
      <x:c r="A727" s="8" t="s">
        <x:v>2145</x:v>
      </x:c>
      <x:c r="B727" s="8" t="s">
        <x:v>2138</x:v>
      </x:c>
      <x:c r="C727" s="8"/>
      <x:c r="D727" s="8" t="s">
        <x:v>2146</x:v>
      </x:c>
      <x:c r="E727" s="8" t="n">
        <x:v>4</x:v>
      </x:c>
      <x:c r="F727" s="8" t="s">
        <x:v>1617</x:v>
      </x:c>
      <x:c r="G727" s="8" t="s">
        <x:v>109</x:v>
      </x:c>
      <x:c r="H727" s="8" t="s">
        <x:v>2140</x:v>
      </x:c>
      <x:c r="I727" s="8" t="s">
        <x:v>2141</x:v>
      </x:c>
      <x:c r="J727" s="8" t="s">
        <x:v>112</x:v>
      </x:c>
      <x:c r="K727" s="8" t="s">
        <x:v>2142</x:v>
      </x:c>
      <x:c r="L727" s="8" t="s">
        <x:v>2142</x:v>
      </x:c>
      <x:c r="M727" s="8"/>
      <x:c r="N727" s="8"/>
      <x:c r="O727" s="8" t="s">
        <x:v>1622</x:v>
      </x:c>
      <x:c r="P727" s="8" t="s">
        <x:v>115</x:v>
      </x:c>
      <x:c r="Q727" s="8" t="s">
        <x:v>45</x:v>
      </x:c>
      <x:c r="R727" s="8" t="s">
        <x:v>1623</x:v>
      </x:c>
      <x:c r="S727" s="8" t="s">
        <x:v>1343</x:v>
      </x:c>
      <x:c r="T727" s="8" t="s">
        <x:v>27</x:v>
      </x:c>
      <x:c r="U727" s="8" t="s">
        <x:v>883</x:v>
      </x:c>
      <x:c r="V727" s="8" t="s">
        <x:v>1624</x:v>
      </x:c>
    </x:row>
    <x:row r="728" ht="36" hidden="0" customHeight="1">
      <x:c r="A728" s="8" t="s">
        <x:v>2147</x:v>
      </x:c>
      <x:c r="B728" s="8" t="s">
        <x:v>2138</x:v>
      </x:c>
      <x:c r="C728" s="8"/>
      <x:c r="D728" s="8" t="s">
        <x:v>164</x:v>
      </x:c>
      <x:c r="E728" s="8" t="s">
        <x:v>165</x:v>
      </x:c>
      <x:c r="F728" s="8" t="s">
        <x:v>1617</x:v>
      </x:c>
      <x:c r="G728" s="8" t="s">
        <x:v>109</x:v>
      </x:c>
      <x:c r="H728" s="8" t="s">
        <x:v>2140</x:v>
      </x:c>
      <x:c r="I728" s="8" t="s">
        <x:v>2141</x:v>
      </x:c>
      <x:c r="J728" s="8" t="s">
        <x:v>112</x:v>
      </x:c>
      <x:c r="K728" s="8" t="s">
        <x:v>2142</x:v>
      </x:c>
      <x:c r="L728" s="8" t="s">
        <x:v>2142</x:v>
      </x:c>
      <x:c r="M728" s="8"/>
      <x:c r="N728" s="8"/>
      <x:c r="O728" s="8" t="s">
        <x:v>1622</x:v>
      </x:c>
      <x:c r="P728" s="8" t="s">
        <x:v>115</x:v>
      </x:c>
      <x:c r="Q728" s="8" t="s">
        <x:v>45</x:v>
      </x:c>
      <x:c r="R728" s="8" t="s">
        <x:v>1623</x:v>
      </x:c>
      <x:c r="S728" s="8"/>
      <x:c r="T728" s="8" t="s">
        <x:v>27</x:v>
      </x:c>
      <x:c r="U728" s="8" t="s">
        <x:v>883</x:v>
      </x:c>
      <x:c r="V728" s="8" t="s">
        <x:v>1624</x:v>
      </x:c>
    </x:row>
    <x:row r="729" ht="36" hidden="0" customHeight="1">
      <x:c r="A729" s="8" t="s">
        <x:v>2148</x:v>
      </x:c>
      <x:c r="B729" s="8" t="s">
        <x:v>2138</x:v>
      </x:c>
      <x:c r="C729" s="8"/>
      <x:c r="D729" s="8" t="s">
        <x:v>318</x:v>
      </x:c>
      <x:c r="E729" s="8" t="n">
        <x:v>0.001</x:v>
      </x:c>
      <x:c r="F729" s="8" t="s">
        <x:v>1617</x:v>
      </x:c>
      <x:c r="G729" s="8" t="s">
        <x:v>109</x:v>
      </x:c>
      <x:c r="H729" s="8" t="s">
        <x:v>2140</x:v>
      </x:c>
      <x:c r="I729" s="8" t="s">
        <x:v>2141</x:v>
      </x:c>
      <x:c r="J729" s="8" t="s">
        <x:v>112</x:v>
      </x:c>
      <x:c r="K729" s="8" t="s">
        <x:v>2142</x:v>
      </x:c>
      <x:c r="L729" s="8" t="s">
        <x:v>2142</x:v>
      </x:c>
      <x:c r="M729" s="8"/>
      <x:c r="N729" s="8"/>
      <x:c r="O729" s="8" t="s">
        <x:v>1622</x:v>
      </x:c>
      <x:c r="P729" s="8" t="s">
        <x:v>115</x:v>
      </x:c>
      <x:c r="Q729" s="8" t="s">
        <x:v>45</x:v>
      </x:c>
      <x:c r="R729" s="8" t="s">
        <x:v>1623</x:v>
      </x:c>
      <x:c r="S729" s="8"/>
      <x:c r="T729" s="8" t="s">
        <x:v>27</x:v>
      </x:c>
      <x:c r="U729" s="8" t="s">
        <x:v>883</x:v>
      </x:c>
      <x:c r="V729" s="8" t="s">
        <x:v>1624</x:v>
      </x:c>
    </x:row>
    <x:row r="730" ht="36" hidden="0" customHeight="1">
      <x:c r="A730" s="8" t="s">
        <x:v>2149</x:v>
      </x:c>
      <x:c r="B730" s="8" t="s">
        <x:v>2138</x:v>
      </x:c>
      <x:c r="C730" s="8"/>
      <x:c r="D730" s="8" t="s">
        <x:v>170</x:v>
      </x:c>
      <x:c r="E730" s="8" t="n">
        <x:v>300</x:v>
      </x:c>
      <x:c r="F730" s="8" t="s">
        <x:v>1617</x:v>
      </x:c>
      <x:c r="G730" s="8" t="s">
        <x:v>109</x:v>
      </x:c>
      <x:c r="H730" s="8" t="s">
        <x:v>2140</x:v>
      </x:c>
      <x:c r="I730" s="8" t="s">
        <x:v>2141</x:v>
      </x:c>
      <x:c r="J730" s="8" t="s">
        <x:v>112</x:v>
      </x:c>
      <x:c r="K730" s="8" t="s">
        <x:v>2142</x:v>
      </x:c>
      <x:c r="L730" s="8" t="s">
        <x:v>2142</x:v>
      </x:c>
      <x:c r="M730" s="8"/>
      <x:c r="N730" s="8"/>
      <x:c r="O730" s="8" t="s">
        <x:v>1622</x:v>
      </x:c>
      <x:c r="P730" s="8" t="s">
        <x:v>115</x:v>
      </x:c>
      <x:c r="Q730" s="8" t="s">
        <x:v>45</x:v>
      </x:c>
      <x:c r="R730" s="8" t="s">
        <x:v>1623</x:v>
      </x:c>
      <x:c r="S730" s="8" t="s">
        <x:v>990</x:v>
      </x:c>
      <x:c r="T730" s="8" t="s">
        <x:v>27</x:v>
      </x:c>
      <x:c r="U730" s="8" t="s">
        <x:v>883</x:v>
      </x:c>
      <x:c r="V730" s="8" t="s">
        <x:v>1624</x:v>
      </x:c>
    </x:row>
    <x:row r="731" ht="36" hidden="0" customHeight="1">
      <x:c r="A731" s="8" t="s">
        <x:v>2150</x:v>
      </x:c>
      <x:c r="B731" s="8" t="s">
        <x:v>2138</x:v>
      </x:c>
      <x:c r="C731" s="8"/>
      <x:c r="D731" s="8" t="s">
        <x:v>445</x:v>
      </x:c>
      <x:c r="E731" s="8" t="s">
        <x:v>2151</x:v>
      </x:c>
      <x:c r="F731" s="8" t="s">
        <x:v>1617</x:v>
      </x:c>
      <x:c r="G731" s="8" t="s">
        <x:v>109</x:v>
      </x:c>
      <x:c r="H731" s="8" t="s">
        <x:v>2140</x:v>
      </x:c>
      <x:c r="I731" s="8" t="s">
        <x:v>2141</x:v>
      </x:c>
      <x:c r="J731" s="8" t="s">
        <x:v>112</x:v>
      </x:c>
      <x:c r="K731" s="8" t="s">
        <x:v>2142</x:v>
      </x:c>
      <x:c r="L731" s="8" t="s">
        <x:v>2142</x:v>
      </x:c>
      <x:c r="M731" s="8"/>
      <x:c r="N731" s="8"/>
      <x:c r="O731" s="8" t="s">
        <x:v>1622</x:v>
      </x:c>
      <x:c r="P731" s="8" t="s">
        <x:v>115</x:v>
      </x:c>
      <x:c r="Q731" s="8" t="s">
        <x:v>45</x:v>
      </x:c>
      <x:c r="R731" s="8" t="s">
        <x:v>1623</x:v>
      </x:c>
      <x:c r="S731" s="8"/>
      <x:c r="T731" s="8" t="s">
        <x:v>27</x:v>
      </x:c>
      <x:c r="U731" s="8" t="s">
        <x:v>883</x:v>
      </x:c>
      <x:c r="V731" s="8" t="s">
        <x:v>1624</x:v>
      </x:c>
    </x:row>
    <x:row r="732" ht="36" hidden="0" customHeight="1">
      <x:c r="A732" s="8" t="s">
        <x:v>2152</x:v>
      </x:c>
      <x:c r="B732" s="8" t="s">
        <x:v>2138</x:v>
      </x:c>
      <x:c r="C732" s="8"/>
      <x:c r="D732" s="8" t="s">
        <x:v>1943</x:v>
      </x:c>
      <x:c r="E732" s="8" t="n">
        <x:v>3</x:v>
      </x:c>
      <x:c r="F732" s="8" t="s">
        <x:v>1617</x:v>
      </x:c>
      <x:c r="G732" s="8" t="s">
        <x:v>109</x:v>
      </x:c>
      <x:c r="H732" s="8" t="s">
        <x:v>2140</x:v>
      </x:c>
      <x:c r="I732" s="8" t="s">
        <x:v>2141</x:v>
      </x:c>
      <x:c r="J732" s="8" t="s">
        <x:v>112</x:v>
      </x:c>
      <x:c r="K732" s="8" t="s">
        <x:v>2142</x:v>
      </x:c>
      <x:c r="L732" s="8" t="s">
        <x:v>2142</x:v>
      </x:c>
      <x:c r="M732" s="8"/>
      <x:c r="N732" s="8"/>
      <x:c r="O732" s="8" t="s">
        <x:v>1622</x:v>
      </x:c>
      <x:c r="P732" s="8" t="s">
        <x:v>115</x:v>
      </x:c>
      <x:c r="Q732" s="8" t="s">
        <x:v>45</x:v>
      </x:c>
      <x:c r="R732" s="8" t="s">
        <x:v>1623</x:v>
      </x:c>
      <x:c r="S732" s="8" t="s">
        <x:v>914</x:v>
      </x:c>
      <x:c r="T732" s="8" t="s">
        <x:v>27</x:v>
      </x:c>
      <x:c r="U732" s="8" t="s">
        <x:v>883</x:v>
      </x:c>
      <x:c r="V732" s="8" t="s">
        <x:v>1624</x:v>
      </x:c>
    </x:row>
    <x:row r="733" ht="36" hidden="0" customHeight="1">
      <x:c r="A733" s="8" t="s">
        <x:v>2153</x:v>
      </x:c>
      <x:c r="B733" s="8" t="s">
        <x:v>2138</x:v>
      </x:c>
      <x:c r="C733" s="8"/>
      <x:c r="D733" s="8" t="s">
        <x:v>2154</x:v>
      </x:c>
      <x:c r="E733" s="8" t="s">
        <x:v>2155</x:v>
      </x:c>
      <x:c r="F733" s="8" t="s">
        <x:v>1617</x:v>
      </x:c>
      <x:c r="G733" s="8" t="s">
        <x:v>109</x:v>
      </x:c>
      <x:c r="H733" s="8" t="s">
        <x:v>2140</x:v>
      </x:c>
      <x:c r="I733" s="8" t="s">
        <x:v>2141</x:v>
      </x:c>
      <x:c r="J733" s="8" t="s">
        <x:v>112</x:v>
      </x:c>
      <x:c r="K733" s="8" t="s">
        <x:v>2156</x:v>
      </x:c>
      <x:c r="L733" s="8" t="s">
        <x:v>2156</x:v>
      </x:c>
      <x:c r="M733" s="8"/>
      <x:c r="N733" s="8"/>
      <x:c r="O733" s="8" t="s">
        <x:v>1622</x:v>
      </x:c>
      <x:c r="P733" s="8" t="s">
        <x:v>115</x:v>
      </x:c>
      <x:c r="Q733" s="8" t="s">
        <x:v>45</x:v>
      </x:c>
      <x:c r="R733" s="8" t="s">
        <x:v>1623</x:v>
      </x:c>
      <x:c r="S733" s="8"/>
      <x:c r="T733" s="8" t="s">
        <x:v>27</x:v>
      </x:c>
      <x:c r="U733" s="8" t="s">
        <x:v>883</x:v>
      </x:c>
      <x:c r="V733" s="8" t="s">
        <x:v>1624</x:v>
      </x:c>
    </x:row>
    <x:row r="734" ht="36" hidden="0" customHeight="1">
      <x:c r="A734" s="8" t="s">
        <x:v>2157</x:v>
      </x:c>
      <x:c r="B734" s="8" t="s">
        <x:v>2138</x:v>
      </x:c>
      <x:c r="C734" s="8"/>
      <x:c r="D734" s="8" t="s">
        <x:v>2158</x:v>
      </x:c>
      <x:c r="E734" s="8" t="s">
        <x:v>2159</x:v>
      </x:c>
      <x:c r="F734" s="8" t="s">
        <x:v>1617</x:v>
      </x:c>
      <x:c r="G734" s="8" t="s">
        <x:v>109</x:v>
      </x:c>
      <x:c r="H734" s="8" t="s">
        <x:v>2140</x:v>
      </x:c>
      <x:c r="I734" s="8" t="s">
        <x:v>2141</x:v>
      </x:c>
      <x:c r="J734" s="8" t="s">
        <x:v>112</x:v>
      </x:c>
      <x:c r="K734" s="8" t="s">
        <x:v>2156</x:v>
      </x:c>
      <x:c r="L734" s="8" t="s">
        <x:v>2156</x:v>
      </x:c>
      <x:c r="M734" s="8"/>
      <x:c r="N734" s="8"/>
      <x:c r="O734" s="8" t="s">
        <x:v>1622</x:v>
      </x:c>
      <x:c r="P734" s="8" t="s">
        <x:v>115</x:v>
      </x:c>
      <x:c r="Q734" s="8" t="s">
        <x:v>45</x:v>
      </x:c>
      <x:c r="R734" s="8" t="s">
        <x:v>1623</x:v>
      </x:c>
      <x:c r="S734" s="8"/>
      <x:c r="T734" s="8" t="s">
        <x:v>27</x:v>
      </x:c>
      <x:c r="U734" s="8" t="s">
        <x:v>883</x:v>
      </x:c>
      <x:c r="V734" s="8" t="s">
        <x:v>1624</x:v>
      </x:c>
    </x:row>
    <x:row r="735" ht="36" hidden="0" customHeight="1">
      <x:c r="A735" s="8" t="s">
        <x:v>2160</x:v>
      </x:c>
      <x:c r="B735" s="8" t="s">
        <x:v>2138</x:v>
      </x:c>
      <x:c r="C735" s="8"/>
      <x:c r="D735" s="8" t="s">
        <x:v>2161</x:v>
      </x:c>
      <x:c r="E735" s="8" t="s">
        <x:v>2162</x:v>
      </x:c>
      <x:c r="F735" s="8" t="s">
        <x:v>1617</x:v>
      </x:c>
      <x:c r="G735" s="8" t="s">
        <x:v>109</x:v>
      </x:c>
      <x:c r="H735" s="8" t="s">
        <x:v>2140</x:v>
      </x:c>
      <x:c r="I735" s="8" t="s">
        <x:v>2141</x:v>
      </x:c>
      <x:c r="J735" s="8" t="s">
        <x:v>112</x:v>
      </x:c>
      <x:c r="K735" s="8" t="s">
        <x:v>2156</x:v>
      </x:c>
      <x:c r="L735" s="8" t="s">
        <x:v>2156</x:v>
      </x:c>
      <x:c r="M735" s="8"/>
      <x:c r="N735" s="8"/>
      <x:c r="O735" s="8" t="s">
        <x:v>1622</x:v>
      </x:c>
      <x:c r="P735" s="8" t="s">
        <x:v>115</x:v>
      </x:c>
      <x:c r="Q735" s="8" t="s">
        <x:v>45</x:v>
      </x:c>
      <x:c r="R735" s="8" t="s">
        <x:v>1623</x:v>
      </x:c>
      <x:c r="S735" s="8"/>
      <x:c r="T735" s="8" t="s">
        <x:v>27</x:v>
      </x:c>
      <x:c r="U735" s="8" t="s">
        <x:v>883</x:v>
      </x:c>
      <x:c r="V735" s="8" t="s">
        <x:v>1624</x:v>
      </x:c>
    </x:row>
    <x:row r="736" ht="36" hidden="0" customHeight="1">
      <x:c r="A736" s="8" t="s">
        <x:v>2163</x:v>
      </x:c>
      <x:c r="B736" s="8" t="s">
        <x:v>2138</x:v>
      </x:c>
      <x:c r="C736" s="8"/>
      <x:c r="D736" s="8" t="s">
        <x:v>2164</x:v>
      </x:c>
      <x:c r="E736" s="8" t="n">
        <x:v>6</x:v>
      </x:c>
      <x:c r="F736" s="8" t="s">
        <x:v>1617</x:v>
      </x:c>
      <x:c r="G736" s="8" t="s">
        <x:v>109</x:v>
      </x:c>
      <x:c r="H736" s="8" t="s">
        <x:v>2140</x:v>
      </x:c>
      <x:c r="I736" s="8" t="s">
        <x:v>2141</x:v>
      </x:c>
      <x:c r="J736" s="8" t="s">
        <x:v>112</x:v>
      </x:c>
      <x:c r="K736" s="8" t="s">
        <x:v>2156</x:v>
      </x:c>
      <x:c r="L736" s="8" t="s">
        <x:v>2156</x:v>
      </x:c>
      <x:c r="M736" s="8"/>
      <x:c r="N736" s="8"/>
      <x:c r="O736" s="8" t="s">
        <x:v>1622</x:v>
      </x:c>
      <x:c r="P736" s="8" t="s">
        <x:v>115</x:v>
      </x:c>
      <x:c r="Q736" s="8" t="s">
        <x:v>45</x:v>
      </x:c>
      <x:c r="R736" s="8" t="s">
        <x:v>1623</x:v>
      </x:c>
      <x:c r="S736" s="8" t="s">
        <x:v>1670</x:v>
      </x:c>
      <x:c r="T736" s="8" t="s">
        <x:v>27</x:v>
      </x:c>
      <x:c r="U736" s="8" t="s">
        <x:v>883</x:v>
      </x:c>
      <x:c r="V736" s="8" t="s">
        <x:v>1624</x:v>
      </x:c>
    </x:row>
    <x:row r="737" ht="36" hidden="0" customHeight="1">
      <x:c r="A737" s="8" t="s">
        <x:v>2165</x:v>
      </x:c>
      <x:c r="B737" s="8" t="s">
        <x:v>2138</x:v>
      </x:c>
      <x:c r="C737" s="8"/>
      <x:c r="D737" s="8" t="s">
        <x:v>2166</x:v>
      </x:c>
      <x:c r="E737" s="8" t="s">
        <x:v>2167</x:v>
      </x:c>
      <x:c r="F737" s="8" t="s">
        <x:v>1617</x:v>
      </x:c>
      <x:c r="G737" s="8" t="s">
        <x:v>109</x:v>
      </x:c>
      <x:c r="H737" s="8" t="s">
        <x:v>2140</x:v>
      </x:c>
      <x:c r="I737" s="8" t="s">
        <x:v>2141</x:v>
      </x:c>
      <x:c r="J737" s="8" t="s">
        <x:v>112</x:v>
      </x:c>
      <x:c r="K737" s="8" t="s">
        <x:v>2156</x:v>
      </x:c>
      <x:c r="L737" s="8" t="s">
        <x:v>2156</x:v>
      </x:c>
      <x:c r="M737" s="8"/>
      <x:c r="N737" s="8"/>
      <x:c r="O737" s="8" t="s">
        <x:v>1622</x:v>
      </x:c>
      <x:c r="P737" s="8" t="s">
        <x:v>115</x:v>
      </x:c>
      <x:c r="Q737" s="8" t="s">
        <x:v>45</x:v>
      </x:c>
      <x:c r="R737" s="8" t="s">
        <x:v>1623</x:v>
      </x:c>
      <x:c r="S737" s="8" t="s">
        <x:v>1684</x:v>
      </x:c>
      <x:c r="T737" s="8" t="s">
        <x:v>27</x:v>
      </x:c>
      <x:c r="U737" s="8" t="s">
        <x:v>883</x:v>
      </x:c>
      <x:c r="V737" s="8" t="s">
        <x:v>1624</x:v>
      </x:c>
    </x:row>
    <x:row r="738" ht="36" hidden="0" customHeight="1">
      <x:c r="A738" s="8" t="s">
        <x:v>2168</x:v>
      </x:c>
      <x:c r="B738" s="8" t="s">
        <x:v>2138</x:v>
      </x:c>
      <x:c r="C738" s="8"/>
      <x:c r="D738" s="8" t="s">
        <x:v>2169</x:v>
      </x:c>
      <x:c r="E738" s="8" t="n">
        <x:v>0.027</x:v>
      </x:c>
      <x:c r="F738" s="8" t="s">
        <x:v>1617</x:v>
      </x:c>
      <x:c r="G738" s="8" t="s">
        <x:v>109</x:v>
      </x:c>
      <x:c r="H738" s="8" t="s">
        <x:v>2140</x:v>
      </x:c>
      <x:c r="I738" s="8" t="s">
        <x:v>2141</x:v>
      </x:c>
      <x:c r="J738" s="8" t="s">
        <x:v>112</x:v>
      </x:c>
      <x:c r="K738" s="8" t="s">
        <x:v>2170</x:v>
      </x:c>
      <x:c r="L738" s="8" t="s">
        <x:v>2170</x:v>
      </x:c>
      <x:c r="M738" s="8"/>
      <x:c r="N738" s="8"/>
      <x:c r="O738" s="8" t="s">
        <x:v>1622</x:v>
      </x:c>
      <x:c r="P738" s="8" t="s">
        <x:v>115</x:v>
      </x:c>
      <x:c r="Q738" s="8" t="s">
        <x:v>45</x:v>
      </x:c>
      <x:c r="R738" s="8" t="s">
        <x:v>1623</x:v>
      </x:c>
      <x:c r="S738" s="8" t="s">
        <x:v>2171</x:v>
      </x:c>
      <x:c r="T738" s="8" t="s">
        <x:v>27</x:v>
      </x:c>
      <x:c r="U738" s="8" t="s">
        <x:v>883</x:v>
      </x:c>
      <x:c r="V738" s="8" t="s">
        <x:v>1624</x:v>
      </x:c>
    </x:row>
    <x:row r="739" ht="36" hidden="0" customHeight="1">
      <x:c r="A739" s="8" t="s">
        <x:v>2172</x:v>
      </x:c>
      <x:c r="B739" s="8" t="s">
        <x:v>2138</x:v>
      </x:c>
      <x:c r="C739" s="8"/>
      <x:c r="D739" s="8" t="s">
        <x:v>2173</x:v>
      </x:c>
      <x:c r="E739" s="8" t="n">
        <x:v>0.028</x:v>
      </x:c>
      <x:c r="F739" s="8" t="s">
        <x:v>1617</x:v>
      </x:c>
      <x:c r="G739" s="8" t="s">
        <x:v>109</x:v>
      </x:c>
      <x:c r="H739" s="8" t="s">
        <x:v>2140</x:v>
      </x:c>
      <x:c r="I739" s="8" t="s">
        <x:v>2141</x:v>
      </x:c>
      <x:c r="J739" s="8" t="s">
        <x:v>112</x:v>
      </x:c>
      <x:c r="K739" s="8" t="s">
        <x:v>2170</x:v>
      </x:c>
      <x:c r="L739" s="8" t="s">
        <x:v>2170</x:v>
      </x:c>
      <x:c r="M739" s="8"/>
      <x:c r="N739" s="8"/>
      <x:c r="O739" s="8" t="s">
        <x:v>1622</x:v>
      </x:c>
      <x:c r="P739" s="8" t="s">
        <x:v>115</x:v>
      </x:c>
      <x:c r="Q739" s="8" t="s">
        <x:v>45</x:v>
      </x:c>
      <x:c r="R739" s="8" t="s">
        <x:v>1623</x:v>
      </x:c>
      <x:c r="S739" s="8" t="s">
        <x:v>2171</x:v>
      </x:c>
      <x:c r="T739" s="8" t="s">
        <x:v>27</x:v>
      </x:c>
      <x:c r="U739" s="8" t="s">
        <x:v>883</x:v>
      </x:c>
      <x:c r="V739" s="8" t="s">
        <x:v>1624</x:v>
      </x:c>
    </x:row>
    <x:row r="740" ht="36" hidden="0" customHeight="1">
      <x:c r="A740" s="8" t="s">
        <x:v>2174</x:v>
      </x:c>
      <x:c r="B740" s="8" t="s">
        <x:v>2138</x:v>
      </x:c>
      <x:c r="C740" s="8"/>
      <x:c r="D740" s="8" t="s">
        <x:v>2175</x:v>
      </x:c>
      <x:c r="E740" s="8" t="n">
        <x:v>0.43</x:v>
      </x:c>
      <x:c r="F740" s="8" t="s">
        <x:v>1617</x:v>
      </x:c>
      <x:c r="G740" s="8" t="s">
        <x:v>109</x:v>
      </x:c>
      <x:c r="H740" s="8" t="s">
        <x:v>2140</x:v>
      </x:c>
      <x:c r="I740" s="8" t="s">
        <x:v>2141</x:v>
      </x:c>
      <x:c r="J740" s="8" t="s">
        <x:v>112</x:v>
      </x:c>
      <x:c r="K740" s="8" t="s">
        <x:v>2170</x:v>
      </x:c>
      <x:c r="L740" s="8" t="s">
        <x:v>2170</x:v>
      </x:c>
      <x:c r="M740" s="8"/>
      <x:c r="N740" s="8"/>
      <x:c r="O740" s="8" t="s">
        <x:v>1622</x:v>
      </x:c>
      <x:c r="P740" s="8" t="s">
        <x:v>115</x:v>
      </x:c>
      <x:c r="Q740" s="8" t="s">
        <x:v>45</x:v>
      </x:c>
      <x:c r="R740" s="8" t="s">
        <x:v>1623</x:v>
      </x:c>
      <x:c r="S740" s="8" t="s">
        <x:v>1339</x:v>
      </x:c>
      <x:c r="T740" s="8" t="s">
        <x:v>27</x:v>
      </x:c>
      <x:c r="U740" s="8" t="s">
        <x:v>883</x:v>
      </x:c>
      <x:c r="V740" s="8" t="s">
        <x:v>1624</x:v>
      </x:c>
    </x:row>
    <x:row r="741" ht="36" hidden="0" customHeight="1">
      <x:c r="A741" s="8" t="s">
        <x:v>2176</x:v>
      </x:c>
      <x:c r="B741" s="8" t="s">
        <x:v>2138</x:v>
      </x:c>
      <x:c r="C741" s="8"/>
      <x:c r="D741" s="8" t="s">
        <x:v>2177</x:v>
      </x:c>
      <x:c r="E741" s="8" t="s">
        <x:v>2178</x:v>
      </x:c>
      <x:c r="F741" s="8" t="s">
        <x:v>1617</x:v>
      </x:c>
      <x:c r="G741" s="8" t="s">
        <x:v>109</x:v>
      </x:c>
      <x:c r="H741" s="8" t="s">
        <x:v>2140</x:v>
      </x:c>
      <x:c r="I741" s="8" t="s">
        <x:v>2141</x:v>
      </x:c>
      <x:c r="J741" s="8" t="s">
        <x:v>112</x:v>
      </x:c>
      <x:c r="K741" s="8" t="s">
        <x:v>2179</x:v>
      </x:c>
      <x:c r="L741" s="8" t="s">
        <x:v>2179</x:v>
      </x:c>
      <x:c r="M741" s="8"/>
      <x:c r="N741" s="8"/>
      <x:c r="O741" s="8" t="s">
        <x:v>1622</x:v>
      </x:c>
      <x:c r="P741" s="8" t="s">
        <x:v>115</x:v>
      </x:c>
      <x:c r="Q741" s="8" t="s">
        <x:v>45</x:v>
      </x:c>
      <x:c r="R741" s="8" t="s">
        <x:v>1623</x:v>
      </x:c>
      <x:c r="S741" s="8"/>
      <x:c r="T741" s="8" t="s">
        <x:v>27</x:v>
      </x:c>
      <x:c r="U741" s="8" t="s">
        <x:v>883</x:v>
      </x:c>
      <x:c r="V741" s="8" t="s">
        <x:v>1624</x:v>
      </x:c>
    </x:row>
    <x:row r="742" ht="36" hidden="0" customHeight="1">
      <x:c r="A742" s="8" t="s">
        <x:v>2180</x:v>
      </x:c>
      <x:c r="B742" s="8" t="s">
        <x:v>2181</x:v>
      </x:c>
      <x:c r="C742" s="8"/>
      <x:c r="D742" s="8" t="s">
        <x:v>2182</x:v>
      </x:c>
      <x:c r="E742" s="8" t="n">
        <x:v>4</x:v>
      </x:c>
      <x:c r="F742" s="8" t="s">
        <x:v>1617</x:v>
      </x:c>
      <x:c r="G742" s="8" t="s">
        <x:v>109</x:v>
      </x:c>
      <x:c r="H742" s="8" t="s">
        <x:v>2183</x:v>
      </x:c>
      <x:c r="I742" s="8" t="s">
        <x:v>2184</x:v>
      </x:c>
      <x:c r="J742" s="8" t="s">
        <x:v>112</x:v>
      </x:c>
      <x:c r="K742" s="8" t="s">
        <x:v>2185</x:v>
      </x:c>
      <x:c r="L742" s="8" t="s">
        <x:v>2185</x:v>
      </x:c>
      <x:c r="M742" s="8"/>
      <x:c r="N742" s="8"/>
      <x:c r="O742" s="8" t="s">
        <x:v>1622</x:v>
      </x:c>
      <x:c r="P742" s="8" t="s">
        <x:v>115</x:v>
      </x:c>
      <x:c r="Q742" s="8" t="s">
        <x:v>45</x:v>
      </x:c>
      <x:c r="R742" s="8" t="s">
        <x:v>1623</x:v>
      </x:c>
      <x:c r="S742" s="8" t="s">
        <x:v>1343</x:v>
      </x:c>
      <x:c r="T742" s="8" t="s">
        <x:v>27</x:v>
      </x:c>
      <x:c r="U742" s="8" t="s">
        <x:v>883</x:v>
      </x:c>
      <x:c r="V742" s="8" t="s">
        <x:v>1624</x:v>
      </x:c>
    </x:row>
    <x:row r="743" ht="36" hidden="0" customHeight="1">
      <x:c r="A743" s="8" t="s">
        <x:v>2186</x:v>
      </x:c>
      <x:c r="B743" s="8" t="s">
        <x:v>2181</x:v>
      </x:c>
      <x:c r="C743" s="8"/>
      <x:c r="D743" s="8" t="s">
        <x:v>2187</x:v>
      </x:c>
      <x:c r="E743" s="8" t="n">
        <x:v>4</x:v>
      </x:c>
      <x:c r="F743" s="8" t="s">
        <x:v>1617</x:v>
      </x:c>
      <x:c r="G743" s="8" t="s">
        <x:v>109</x:v>
      </x:c>
      <x:c r="H743" s="8" t="s">
        <x:v>2183</x:v>
      </x:c>
      <x:c r="I743" s="8" t="s">
        <x:v>2184</x:v>
      </x:c>
      <x:c r="J743" s="8" t="s">
        <x:v>112</x:v>
      </x:c>
      <x:c r="K743" s="8" t="s">
        <x:v>2185</x:v>
      </x:c>
      <x:c r="L743" s="8" t="s">
        <x:v>2185</x:v>
      </x:c>
      <x:c r="M743" s="8"/>
      <x:c r="N743" s="8"/>
      <x:c r="O743" s="8" t="s">
        <x:v>1622</x:v>
      </x:c>
      <x:c r="P743" s="8" t="s">
        <x:v>115</x:v>
      </x:c>
      <x:c r="Q743" s="8" t="s">
        <x:v>45</x:v>
      </x:c>
      <x:c r="R743" s="8" t="s">
        <x:v>1623</x:v>
      </x:c>
      <x:c r="S743" s="8" t="s">
        <x:v>1343</x:v>
      </x:c>
      <x:c r="T743" s="8" t="s">
        <x:v>27</x:v>
      </x:c>
      <x:c r="U743" s="8" t="s">
        <x:v>883</x:v>
      </x:c>
      <x:c r="V743" s="8" t="s">
        <x:v>1624</x:v>
      </x:c>
    </x:row>
    <x:row r="744" ht="36" hidden="0" customHeight="1">
      <x:c r="A744" s="8" t="s">
        <x:v>2188</x:v>
      </x:c>
      <x:c r="B744" s="8" t="s">
        <x:v>2181</x:v>
      </x:c>
      <x:c r="C744" s="8"/>
      <x:c r="D744" s="8" t="s">
        <x:v>2189</x:v>
      </x:c>
      <x:c r="E744" s="8" t="s">
        <x:v>2190</x:v>
      </x:c>
      <x:c r="F744" s="8" t="s">
        <x:v>1617</x:v>
      </x:c>
      <x:c r="G744" s="8" t="s">
        <x:v>109</x:v>
      </x:c>
      <x:c r="H744" s="8" t="s">
        <x:v>2183</x:v>
      </x:c>
      <x:c r="I744" s="8" t="s">
        <x:v>2184</x:v>
      </x:c>
      <x:c r="J744" s="8" t="s">
        <x:v>112</x:v>
      </x:c>
      <x:c r="K744" s="8" t="s">
        <x:v>2185</x:v>
      </x:c>
      <x:c r="L744" s="8" t="s">
        <x:v>2185</x:v>
      </x:c>
      <x:c r="M744" s="8"/>
      <x:c r="N744" s="8"/>
      <x:c r="O744" s="8" t="s">
        <x:v>1622</x:v>
      </x:c>
      <x:c r="P744" s="8" t="s">
        <x:v>115</x:v>
      </x:c>
      <x:c r="Q744" s="8" t="s">
        <x:v>45</x:v>
      </x:c>
      <x:c r="R744" s="8" t="s">
        <x:v>1623</x:v>
      </x:c>
      <x:c r="S744" s="8"/>
      <x:c r="T744" s="8" t="s">
        <x:v>27</x:v>
      </x:c>
      <x:c r="U744" s="8" t="s">
        <x:v>883</x:v>
      </x:c>
      <x:c r="V744" s="8" t="s">
        <x:v>1624</x:v>
      </x:c>
    </x:row>
    <x:row r="745" ht="36" hidden="0" customHeight="1">
      <x:c r="A745" s="8" t="s">
        <x:v>2191</x:v>
      </x:c>
      <x:c r="B745" s="8" t="s">
        <x:v>2181</x:v>
      </x:c>
      <x:c r="C745" s="8"/>
      <x:c r="D745" s="8" t="s">
        <x:v>2192</x:v>
      </x:c>
      <x:c r="E745" s="8" t="n">
        <x:v>2</x:v>
      </x:c>
      <x:c r="F745" s="8" t="s">
        <x:v>1617</x:v>
      </x:c>
      <x:c r="G745" s="8" t="s">
        <x:v>109</x:v>
      </x:c>
      <x:c r="H745" s="8" t="s">
        <x:v>2183</x:v>
      </x:c>
      <x:c r="I745" s="8" t="s">
        <x:v>2184</x:v>
      </x:c>
      <x:c r="J745" s="8" t="s">
        <x:v>112</x:v>
      </x:c>
      <x:c r="K745" s="8" t="s">
        <x:v>2185</x:v>
      </x:c>
      <x:c r="L745" s="8" t="s">
        <x:v>2185</x:v>
      </x:c>
      <x:c r="M745" s="8"/>
      <x:c r="N745" s="8"/>
      <x:c r="O745" s="8" t="s">
        <x:v>1622</x:v>
      </x:c>
      <x:c r="P745" s="8" t="s">
        <x:v>115</x:v>
      </x:c>
      <x:c r="Q745" s="8" t="s">
        <x:v>45</x:v>
      </x:c>
      <x:c r="R745" s="8" t="s">
        <x:v>1623</x:v>
      </x:c>
      <x:c r="S745" s="8" t="s">
        <x:v>1343</x:v>
      </x:c>
      <x:c r="T745" s="8" t="s">
        <x:v>27</x:v>
      </x:c>
      <x:c r="U745" s="8" t="s">
        <x:v>883</x:v>
      </x:c>
      <x:c r="V745" s="8" t="s">
        <x:v>1624</x:v>
      </x:c>
    </x:row>
    <x:row r="746" ht="36" hidden="0" customHeight="1">
      <x:c r="A746" s="8" t="s">
        <x:v>2193</x:v>
      </x:c>
      <x:c r="B746" s="8" t="s">
        <x:v>2181</x:v>
      </x:c>
      <x:c r="C746" s="8"/>
      <x:c r="D746" s="8" t="s">
        <x:v>445</x:v>
      </x:c>
      <x:c r="E746" s="8" t="s">
        <x:v>446</x:v>
      </x:c>
      <x:c r="F746" s="8" t="s">
        <x:v>1617</x:v>
      </x:c>
      <x:c r="G746" s="8" t="s">
        <x:v>109</x:v>
      </x:c>
      <x:c r="H746" s="8" t="s">
        <x:v>2183</x:v>
      </x:c>
      <x:c r="I746" s="8" t="s">
        <x:v>2184</x:v>
      </x:c>
      <x:c r="J746" s="8" t="s">
        <x:v>112</x:v>
      </x:c>
      <x:c r="K746" s="8" t="s">
        <x:v>2185</x:v>
      </x:c>
      <x:c r="L746" s="8" t="s">
        <x:v>2185</x:v>
      </x:c>
      <x:c r="M746" s="8"/>
      <x:c r="N746" s="8"/>
      <x:c r="O746" s="8" t="s">
        <x:v>1622</x:v>
      </x:c>
      <x:c r="P746" s="8" t="s">
        <x:v>115</x:v>
      </x:c>
      <x:c r="Q746" s="8" t="s">
        <x:v>45</x:v>
      </x:c>
      <x:c r="R746" s="8" t="s">
        <x:v>1623</x:v>
      </x:c>
      <x:c r="S746" s="8"/>
      <x:c r="T746" s="8" t="s">
        <x:v>27</x:v>
      </x:c>
      <x:c r="U746" s="8" t="s">
        <x:v>883</x:v>
      </x:c>
      <x:c r="V746" s="8" t="s">
        <x:v>1624</x:v>
      </x:c>
    </x:row>
    <x:row r="747" ht="36" hidden="0" customHeight="1">
      <x:c r="A747" s="8" t="s">
        <x:v>2194</x:v>
      </x:c>
      <x:c r="B747" s="8" t="s">
        <x:v>2181</x:v>
      </x:c>
      <x:c r="C747" s="8"/>
      <x:c r="D747" s="8" t="s">
        <x:v>1989</x:v>
      </x:c>
      <x:c r="E747" s="8" t="s">
        <x:v>2195</x:v>
      </x:c>
      <x:c r="F747" s="8" t="s">
        <x:v>1617</x:v>
      </x:c>
      <x:c r="G747" s="8" t="s">
        <x:v>109</x:v>
      </x:c>
      <x:c r="H747" s="8" t="s">
        <x:v>2183</x:v>
      </x:c>
      <x:c r="I747" s="8" t="s">
        <x:v>2184</x:v>
      </x:c>
      <x:c r="J747" s="8" t="s">
        <x:v>112</x:v>
      </x:c>
      <x:c r="K747" s="8" t="s">
        <x:v>2185</x:v>
      </x:c>
      <x:c r="L747" s="8" t="s">
        <x:v>2185</x:v>
      </x:c>
      <x:c r="M747" s="8"/>
      <x:c r="N747" s="8"/>
      <x:c r="O747" s="8" t="s">
        <x:v>1622</x:v>
      </x:c>
      <x:c r="P747" s="8" t="s">
        <x:v>115</x:v>
      </x:c>
      <x:c r="Q747" s="8" t="s">
        <x:v>45</x:v>
      </x:c>
      <x:c r="R747" s="8" t="s">
        <x:v>1623</x:v>
      </x:c>
      <x:c r="S747" s="8"/>
      <x:c r="T747" s="8" t="s">
        <x:v>27</x:v>
      </x:c>
      <x:c r="U747" s="8" t="s">
        <x:v>883</x:v>
      </x:c>
      <x:c r="V747" s="8" t="s">
        <x:v>1624</x:v>
      </x:c>
    </x:row>
    <x:row r="748" ht="36" hidden="0" customHeight="1">
      <x:c r="A748" s="8" t="s">
        <x:v>2196</x:v>
      </x:c>
      <x:c r="B748" s="8" t="s">
        <x:v>2181</x:v>
      </x:c>
      <x:c r="C748" s="8"/>
      <x:c r="D748" s="8" t="s">
        <x:v>164</x:v>
      </x:c>
      <x:c r="E748" s="8" t="s">
        <x:v>165</x:v>
      </x:c>
      <x:c r="F748" s="8" t="s">
        <x:v>1617</x:v>
      </x:c>
      <x:c r="G748" s="8" t="s">
        <x:v>109</x:v>
      </x:c>
      <x:c r="H748" s="8" t="s">
        <x:v>2183</x:v>
      </x:c>
      <x:c r="I748" s="8" t="s">
        <x:v>2184</x:v>
      </x:c>
      <x:c r="J748" s="8" t="s">
        <x:v>112</x:v>
      </x:c>
      <x:c r="K748" s="8" t="s">
        <x:v>2185</x:v>
      </x:c>
      <x:c r="L748" s="8" t="s">
        <x:v>2185</x:v>
      </x:c>
      <x:c r="M748" s="8"/>
      <x:c r="N748" s="8"/>
      <x:c r="O748" s="8" t="s">
        <x:v>1622</x:v>
      </x:c>
      <x:c r="P748" s="8" t="s">
        <x:v>115</x:v>
      </x:c>
      <x:c r="Q748" s="8" t="s">
        <x:v>45</x:v>
      </x:c>
      <x:c r="R748" s="8" t="s">
        <x:v>1623</x:v>
      </x:c>
      <x:c r="S748" s="8"/>
      <x:c r="T748" s="8" t="s">
        <x:v>27</x:v>
      </x:c>
      <x:c r="U748" s="8" t="s">
        <x:v>883</x:v>
      </x:c>
      <x:c r="V748" s="8" t="s">
        <x:v>1624</x:v>
      </x:c>
    </x:row>
    <x:row r="749" ht="36" hidden="0" customHeight="1">
      <x:c r="A749" s="8" t="s">
        <x:v>2197</x:v>
      </x:c>
      <x:c r="B749" s="8" t="s">
        <x:v>2181</x:v>
      </x:c>
      <x:c r="C749" s="8"/>
      <x:c r="D749" s="8" t="s">
        <x:v>318</x:v>
      </x:c>
      <x:c r="E749" s="8" t="n">
        <x:v>0.001</x:v>
      </x:c>
      <x:c r="F749" s="8" t="s">
        <x:v>1617</x:v>
      </x:c>
      <x:c r="G749" s="8" t="s">
        <x:v>109</x:v>
      </x:c>
      <x:c r="H749" s="8" t="s">
        <x:v>2183</x:v>
      </x:c>
      <x:c r="I749" s="8" t="s">
        <x:v>2184</x:v>
      </x:c>
      <x:c r="J749" s="8" t="s">
        <x:v>112</x:v>
      </x:c>
      <x:c r="K749" s="8" t="s">
        <x:v>2185</x:v>
      </x:c>
      <x:c r="L749" s="8" t="s">
        <x:v>2185</x:v>
      </x:c>
      <x:c r="M749" s="8"/>
      <x:c r="N749" s="8"/>
      <x:c r="O749" s="8" t="s">
        <x:v>1622</x:v>
      </x:c>
      <x:c r="P749" s="8" t="s">
        <x:v>115</x:v>
      </x:c>
      <x:c r="Q749" s="8" t="s">
        <x:v>45</x:v>
      </x:c>
      <x:c r="R749" s="8" t="s">
        <x:v>1623</x:v>
      </x:c>
      <x:c r="S749" s="8"/>
      <x:c r="T749" s="8" t="s">
        <x:v>27</x:v>
      </x:c>
      <x:c r="U749" s="8" t="s">
        <x:v>883</x:v>
      </x:c>
      <x:c r="V749" s="8" t="s">
        <x:v>1624</x:v>
      </x:c>
    </x:row>
    <x:row r="750" ht="36" hidden="0" customHeight="1">
      <x:c r="A750" s="8" t="s">
        <x:v>2198</x:v>
      </x:c>
      <x:c r="B750" s="8" t="s">
        <x:v>2181</x:v>
      </x:c>
      <x:c r="C750" s="8"/>
      <x:c r="D750" s="8" t="s">
        <x:v>2199</x:v>
      </x:c>
      <x:c r="E750" s="8" t="n">
        <x:v>0.3</x:v>
      </x:c>
      <x:c r="F750" s="8" t="s">
        <x:v>1617</x:v>
      </x:c>
      <x:c r="G750" s="8" t="s">
        <x:v>109</x:v>
      </x:c>
      <x:c r="H750" s="8" t="s">
        <x:v>2183</x:v>
      </x:c>
      <x:c r="I750" s="8" t="s">
        <x:v>2184</x:v>
      </x:c>
      <x:c r="J750" s="8" t="s">
        <x:v>112</x:v>
      </x:c>
      <x:c r="K750" s="8" t="s">
        <x:v>2185</x:v>
      </x:c>
      <x:c r="L750" s="8" t="s">
        <x:v>2185</x:v>
      </x:c>
      <x:c r="M750" s="8"/>
      <x:c r="N750" s="8"/>
      <x:c r="O750" s="8" t="s">
        <x:v>1622</x:v>
      </x:c>
      <x:c r="P750" s="8" t="s">
        <x:v>115</x:v>
      </x:c>
      <x:c r="Q750" s="8" t="s">
        <x:v>45</x:v>
      </x:c>
      <x:c r="R750" s="8" t="s">
        <x:v>1623</x:v>
      </x:c>
      <x:c r="S750" s="8" t="s">
        <x:v>2200</x:v>
      </x:c>
      <x:c r="T750" s="8" t="s">
        <x:v>27</x:v>
      </x:c>
      <x:c r="U750" s="8" t="s">
        <x:v>883</x:v>
      </x:c>
      <x:c r="V750" s="8" t="s">
        <x:v>1624</x:v>
      </x:c>
    </x:row>
    <x:row r="751" ht="36" hidden="0" customHeight="1">
      <x:c r="A751" s="8" t="s">
        <x:v>2201</x:v>
      </x:c>
      <x:c r="B751" s="8" t="s">
        <x:v>2181</x:v>
      </x:c>
      <x:c r="C751" s="8"/>
      <x:c r="D751" s="8" t="s">
        <x:v>1864</x:v>
      </x:c>
      <x:c r="E751" s="8" t="s">
        <x:v>2202</x:v>
      </x:c>
      <x:c r="F751" s="8" t="s">
        <x:v>1617</x:v>
      </x:c>
      <x:c r="G751" s="8" t="s">
        <x:v>109</x:v>
      </x:c>
      <x:c r="H751" s="8" t="s">
        <x:v>2183</x:v>
      </x:c>
      <x:c r="I751" s="8" t="s">
        <x:v>2184</x:v>
      </x:c>
      <x:c r="J751" s="8" t="s">
        <x:v>112</x:v>
      </x:c>
      <x:c r="K751" s="8" t="s">
        <x:v>2185</x:v>
      </x:c>
      <x:c r="L751" s="8" t="s">
        <x:v>2185</x:v>
      </x:c>
      <x:c r="M751" s="8"/>
      <x:c r="N751" s="8"/>
      <x:c r="O751" s="8" t="s">
        <x:v>1622</x:v>
      </x:c>
      <x:c r="P751" s="8" t="s">
        <x:v>115</x:v>
      </x:c>
      <x:c r="Q751" s="8" t="s">
        <x:v>45</x:v>
      </x:c>
      <x:c r="R751" s="8" t="s">
        <x:v>1623</x:v>
      </x:c>
      <x:c r="S751" s="8"/>
      <x:c r="T751" s="8" t="s">
        <x:v>27</x:v>
      </x:c>
      <x:c r="U751" s="8" t="s">
        <x:v>883</x:v>
      </x:c>
      <x:c r="V751" s="8" t="s">
        <x:v>1624</x:v>
      </x:c>
    </x:row>
    <x:row r="752" ht="36" hidden="0" customHeight="1">
      <x:c r="A752" s="8" t="s">
        <x:v>2203</x:v>
      </x:c>
      <x:c r="B752" s="8" t="s">
        <x:v>2181</x:v>
      </x:c>
      <x:c r="C752" s="8"/>
      <x:c r="D752" s="8" t="s">
        <x:v>1860</x:v>
      </x:c>
      <x:c r="E752" s="8" t="s">
        <x:v>2204</x:v>
      </x:c>
      <x:c r="F752" s="8" t="s">
        <x:v>1617</x:v>
      </x:c>
      <x:c r="G752" s="8" t="s">
        <x:v>109</x:v>
      </x:c>
      <x:c r="H752" s="8" t="s">
        <x:v>2183</x:v>
      </x:c>
      <x:c r="I752" s="8" t="s">
        <x:v>2184</x:v>
      </x:c>
      <x:c r="J752" s="8" t="s">
        <x:v>112</x:v>
      </x:c>
      <x:c r="K752" s="8" t="s">
        <x:v>2185</x:v>
      </x:c>
      <x:c r="L752" s="8" t="s">
        <x:v>2185</x:v>
      </x:c>
      <x:c r="M752" s="8"/>
      <x:c r="N752" s="8"/>
      <x:c r="O752" s="8" t="s">
        <x:v>1622</x:v>
      </x:c>
      <x:c r="P752" s="8" t="s">
        <x:v>115</x:v>
      </x:c>
      <x:c r="Q752" s="8" t="s">
        <x:v>45</x:v>
      </x:c>
      <x:c r="R752" s="8" t="s">
        <x:v>1623</x:v>
      </x:c>
      <x:c r="S752" s="8"/>
      <x:c r="T752" s="8" t="s">
        <x:v>27</x:v>
      </x:c>
      <x:c r="U752" s="8" t="s">
        <x:v>883</x:v>
      </x:c>
      <x:c r="V752" s="8" t="s">
        <x:v>1624</x:v>
      </x:c>
    </x:row>
    <x:row r="753" ht="36" hidden="0" customHeight="1">
      <x:c r="A753" s="8" t="s">
        <x:v>2205</x:v>
      </x:c>
      <x:c r="B753" s="8" t="s">
        <x:v>2181</x:v>
      </x:c>
      <x:c r="C753" s="8"/>
      <x:c r="D753" s="8" t="s">
        <x:v>2206</x:v>
      </x:c>
      <x:c r="E753" s="8" t="s">
        <x:v>2207</x:v>
      </x:c>
      <x:c r="F753" s="8" t="s">
        <x:v>1617</x:v>
      </x:c>
      <x:c r="G753" s="8" t="s">
        <x:v>109</x:v>
      </x:c>
      <x:c r="H753" s="8" t="s">
        <x:v>2183</x:v>
      </x:c>
      <x:c r="I753" s="8" t="s">
        <x:v>2184</x:v>
      </x:c>
      <x:c r="J753" s="8" t="s">
        <x:v>112</x:v>
      </x:c>
      <x:c r="K753" s="8" t="s">
        <x:v>2208</x:v>
      </x:c>
      <x:c r="L753" s="8" t="s">
        <x:v>2208</x:v>
      </x:c>
      <x:c r="M753" s="8"/>
      <x:c r="N753" s="8"/>
      <x:c r="O753" s="8" t="s">
        <x:v>1622</x:v>
      </x:c>
      <x:c r="P753" s="8" t="s">
        <x:v>115</x:v>
      </x:c>
      <x:c r="Q753" s="8" t="s">
        <x:v>45</x:v>
      </x:c>
      <x:c r="R753" s="8" t="s">
        <x:v>1623</x:v>
      </x:c>
      <x:c r="S753" s="8"/>
      <x:c r="T753" s="8" t="s">
        <x:v>27</x:v>
      </x:c>
      <x:c r="U753" s="8" t="s">
        <x:v>883</x:v>
      </x:c>
      <x:c r="V753" s="8" t="s">
        <x:v>1624</x:v>
      </x:c>
    </x:row>
    <x:row r="754" ht="36" hidden="0" customHeight="1">
      <x:c r="A754" s="8" t="s">
        <x:v>2209</x:v>
      </x:c>
      <x:c r="B754" s="8" t="s">
        <x:v>2181</x:v>
      </x:c>
      <x:c r="C754" s="8"/>
      <x:c r="D754" s="8" t="s">
        <x:v>1842</x:v>
      </x:c>
      <x:c r="E754" s="8" t="s">
        <x:v>2210</x:v>
      </x:c>
      <x:c r="F754" s="8" t="s">
        <x:v>1617</x:v>
      </x:c>
      <x:c r="G754" s="8" t="s">
        <x:v>109</x:v>
      </x:c>
      <x:c r="H754" s="8" t="s">
        <x:v>2183</x:v>
      </x:c>
      <x:c r="I754" s="8" t="s">
        <x:v>2184</x:v>
      </x:c>
      <x:c r="J754" s="8" t="s">
        <x:v>112</x:v>
      </x:c>
      <x:c r="K754" s="8" t="s">
        <x:v>2208</x:v>
      </x:c>
      <x:c r="L754" s="8" t="s">
        <x:v>2208</x:v>
      </x:c>
      <x:c r="M754" s="8"/>
      <x:c r="N754" s="8"/>
      <x:c r="O754" s="8" t="s">
        <x:v>1622</x:v>
      </x:c>
      <x:c r="P754" s="8" t="s">
        <x:v>115</x:v>
      </x:c>
      <x:c r="Q754" s="8" t="s">
        <x:v>45</x:v>
      </x:c>
      <x:c r="R754" s="8" t="s">
        <x:v>1623</x:v>
      </x:c>
      <x:c r="S754" s="8"/>
      <x:c r="T754" s="8" t="s">
        <x:v>27</x:v>
      </x:c>
      <x:c r="U754" s="8" t="s">
        <x:v>883</x:v>
      </x:c>
      <x:c r="V754" s="8" t="s">
        <x:v>1624</x:v>
      </x:c>
    </x:row>
    <x:row r="755" ht="36" hidden="0" customHeight="1">
      <x:c r="A755" s="8" t="s">
        <x:v>2211</x:v>
      </x:c>
      <x:c r="B755" s="8" t="s">
        <x:v>2181</x:v>
      </x:c>
      <x:c r="C755" s="8"/>
      <x:c r="D755" s="8" t="s">
        <x:v>170</x:v>
      </x:c>
      <x:c r="E755" s="8" t="n">
        <x:v>100</x:v>
      </x:c>
      <x:c r="F755" s="8" t="s">
        <x:v>1617</x:v>
      </x:c>
      <x:c r="G755" s="8" t="s">
        <x:v>109</x:v>
      </x:c>
      <x:c r="H755" s="8" t="s">
        <x:v>2183</x:v>
      </x:c>
      <x:c r="I755" s="8" t="s">
        <x:v>2184</x:v>
      </x:c>
      <x:c r="J755" s="8" t="s">
        <x:v>112</x:v>
      </x:c>
      <x:c r="K755" s="8" t="s">
        <x:v>2212</x:v>
      </x:c>
      <x:c r="L755" s="8" t="s">
        <x:v>2212</x:v>
      </x:c>
      <x:c r="M755" s="8"/>
      <x:c r="N755" s="8"/>
      <x:c r="O755" s="8" t="s">
        <x:v>1622</x:v>
      </x:c>
      <x:c r="P755" s="8" t="s">
        <x:v>115</x:v>
      </x:c>
      <x:c r="Q755" s="8" t="s">
        <x:v>45</x:v>
      </x:c>
      <x:c r="R755" s="8" t="s">
        <x:v>1623</x:v>
      </x:c>
      <x:c r="S755" s="8" t="s">
        <x:v>990</x:v>
      </x:c>
      <x:c r="T755" s="8" t="s">
        <x:v>27</x:v>
      </x:c>
      <x:c r="U755" s="8" t="s">
        <x:v>883</x:v>
      </x:c>
      <x:c r="V755" s="8" t="s">
        <x:v>1624</x:v>
      </x:c>
    </x:row>
    <x:row r="756" ht="36" hidden="0" customHeight="1">
      <x:c r="A756" s="8" t="s">
        <x:v>2213</x:v>
      </x:c>
      <x:c r="B756" s="8" t="s">
        <x:v>2181</x:v>
      </x:c>
      <x:c r="C756" s="8"/>
      <x:c r="D756" s="8" t="s">
        <x:v>2214</x:v>
      </x:c>
      <x:c r="E756" s="8" t="n">
        <x:v>0.91</x:v>
      </x:c>
      <x:c r="F756" s="8" t="s">
        <x:v>1617</x:v>
      </x:c>
      <x:c r="G756" s="8" t="s">
        <x:v>109</x:v>
      </x:c>
      <x:c r="H756" s="8" t="s">
        <x:v>2183</x:v>
      </x:c>
      <x:c r="I756" s="8" t="s">
        <x:v>2184</x:v>
      </x:c>
      <x:c r="J756" s="8" t="s">
        <x:v>112</x:v>
      </x:c>
      <x:c r="K756" s="8" t="s">
        <x:v>2215</x:v>
      </x:c>
      <x:c r="L756" s="8" t="s">
        <x:v>2215</x:v>
      </x:c>
      <x:c r="M756" s="8"/>
      <x:c r="N756" s="8"/>
      <x:c r="O756" s="8" t="s">
        <x:v>1622</x:v>
      </x:c>
      <x:c r="P756" s="8" t="s">
        <x:v>115</x:v>
      </x:c>
      <x:c r="Q756" s="8" t="s">
        <x:v>45</x:v>
      </x:c>
      <x:c r="R756" s="8" t="s">
        <x:v>1623</x:v>
      </x:c>
      <x:c r="S756" s="8" t="s">
        <x:v>1339</x:v>
      </x:c>
      <x:c r="T756" s="8" t="s">
        <x:v>27</x:v>
      </x:c>
      <x:c r="U756" s="8" t="s">
        <x:v>883</x:v>
      </x:c>
      <x:c r="V756" s="8" t="s">
        <x:v>1624</x:v>
      </x:c>
    </x:row>
    <x:row r="757" ht="36" hidden="0" customHeight="1">
      <x:c r="A757" s="8" t="s">
        <x:v>2216</x:v>
      </x:c>
      <x:c r="B757" s="8" t="s">
        <x:v>2181</x:v>
      </x:c>
      <x:c r="C757" s="8"/>
      <x:c r="D757" s="8" t="s">
        <x:v>2217</x:v>
      </x:c>
      <x:c r="E757" s="8" t="n">
        <x:v>0.86</x:v>
      </x:c>
      <x:c r="F757" s="8" t="s">
        <x:v>1617</x:v>
      </x:c>
      <x:c r="G757" s="8" t="s">
        <x:v>109</x:v>
      </x:c>
      <x:c r="H757" s="8" t="s">
        <x:v>2183</x:v>
      </x:c>
      <x:c r="I757" s="8" t="s">
        <x:v>2184</x:v>
      </x:c>
      <x:c r="J757" s="8" t="s">
        <x:v>112</x:v>
      </x:c>
      <x:c r="K757" s="8" t="s">
        <x:v>2215</x:v>
      </x:c>
      <x:c r="L757" s="8" t="s">
        <x:v>2215</x:v>
      </x:c>
      <x:c r="M757" s="8"/>
      <x:c r="N757" s="8"/>
      <x:c r="O757" s="8" t="s">
        <x:v>1622</x:v>
      </x:c>
      <x:c r="P757" s="8" t="s">
        <x:v>115</x:v>
      </x:c>
      <x:c r="Q757" s="8" t="s">
        <x:v>45</x:v>
      </x:c>
      <x:c r="R757" s="8" t="s">
        <x:v>1623</x:v>
      </x:c>
      <x:c r="S757" s="8" t="s">
        <x:v>1339</x:v>
      </x:c>
      <x:c r="T757" s="8" t="s">
        <x:v>27</x:v>
      </x:c>
      <x:c r="U757" s="8" t="s">
        <x:v>883</x:v>
      </x:c>
      <x:c r="V757" s="8" t="s">
        <x:v>1624</x:v>
      </x:c>
    </x:row>
    <x:row r="758" ht="36" hidden="0" customHeight="1">
      <x:c r="A758" s="8" t="s">
        <x:v>2218</x:v>
      </x:c>
      <x:c r="B758" s="8" t="s">
        <x:v>2181</x:v>
      </x:c>
      <x:c r="C758" s="8"/>
      <x:c r="D758" s="8" t="s">
        <x:v>2219</x:v>
      </x:c>
      <x:c r="E758" s="8" t="s">
        <x:v>2220</x:v>
      </x:c>
      <x:c r="F758" s="8" t="s">
        <x:v>1617</x:v>
      </x:c>
      <x:c r="G758" s="8" t="s">
        <x:v>187</x:v>
      </x:c>
      <x:c r="H758" s="8" t="s">
        <x:v>2183</x:v>
      </x:c>
      <x:c r="I758" s="8" t="s">
        <x:v>2184</x:v>
      </x:c>
      <x:c r="J758" s="8" t="s">
        <x:v>112</x:v>
      </x:c>
      <x:c r="K758" s="8" t="s">
        <x:v>2221</x:v>
      </x:c>
      <x:c r="L758" s="8" t="s">
        <x:v>2221</x:v>
      </x:c>
      <x:c r="M758" s="8"/>
      <x:c r="N758" s="8"/>
      <x:c r="O758" s="8" t="s">
        <x:v>1622</x:v>
      </x:c>
      <x:c r="P758" s="8" t="s">
        <x:v>115</x:v>
      </x:c>
      <x:c r="Q758" s="8" t="s">
        <x:v>45</x:v>
      </x:c>
      <x:c r="R758" s="8" t="s">
        <x:v>1623</x:v>
      </x:c>
      <x:c r="S758" s="8"/>
      <x:c r="T758" s="8" t="s">
        <x:v>27</x:v>
      </x:c>
      <x:c r="U758" s="8" t="s">
        <x:v>883</x:v>
      </x:c>
      <x:c r="V758" s="8" t="s">
        <x:v>1624</x:v>
      </x:c>
    </x:row>
    <x:row r="759" ht="36" hidden="0" customHeight="1">
      <x:c r="A759" s="8" t="s">
        <x:v>2222</x:v>
      </x:c>
      <x:c r="B759" s="8" t="s">
        <x:v>2181</x:v>
      </x:c>
      <x:c r="C759" s="8"/>
      <x:c r="D759" s="8" t="s">
        <x:v>2223</x:v>
      </x:c>
      <x:c r="E759" s="8" t="s">
        <x:v>2224</x:v>
      </x:c>
      <x:c r="F759" s="8" t="s">
        <x:v>1617</x:v>
      </x:c>
      <x:c r="G759" s="8" t="s">
        <x:v>109</x:v>
      </x:c>
      <x:c r="H759" s="8" t="s">
        <x:v>2183</x:v>
      </x:c>
      <x:c r="I759" s="8" t="s">
        <x:v>2184</x:v>
      </x:c>
      <x:c r="J759" s="8" t="s">
        <x:v>112</x:v>
      </x:c>
      <x:c r="K759" s="8" t="s">
        <x:v>2225</x:v>
      </x:c>
      <x:c r="L759" s="8" t="s">
        <x:v>2225</x:v>
      </x:c>
      <x:c r="M759" s="8"/>
      <x:c r="N759" s="8"/>
      <x:c r="O759" s="8" t="s">
        <x:v>1622</x:v>
      </x:c>
      <x:c r="P759" s="8" t="s">
        <x:v>115</x:v>
      </x:c>
      <x:c r="Q759" s="8" t="s">
        <x:v>45</x:v>
      </x:c>
      <x:c r="R759" s="8" t="s">
        <x:v>1623</x:v>
      </x:c>
      <x:c r="S759" s="8"/>
      <x:c r="T759" s="8" t="s">
        <x:v>27</x:v>
      </x:c>
      <x:c r="U759" s="8" t="s">
        <x:v>883</x:v>
      </x:c>
      <x:c r="V759" s="8" t="s">
        <x:v>1624</x:v>
      </x:c>
    </x:row>
    <x:row r="760" ht="36" hidden="0" customHeight="1">
      <x:c r="A760" s="8" t="s">
        <x:v>2226</x:v>
      </x:c>
      <x:c r="B760" s="8" t="s">
        <x:v>2227</x:v>
      </x:c>
      <x:c r="C760" s="8"/>
      <x:c r="D760" s="8" t="s">
        <x:v>2182</x:v>
      </x:c>
      <x:c r="E760" s="8" t="n">
        <x:v>4</x:v>
      </x:c>
      <x:c r="F760" s="8" t="s">
        <x:v>2228</x:v>
      </x:c>
      <x:c r="G760" s="8" t="s">
        <x:v>109</x:v>
      </x:c>
      <x:c r="H760" s="8" t="s">
        <x:v>2229</x:v>
      </x:c>
      <x:c r="I760" s="8" t="s">
        <x:v>2230</x:v>
      </x:c>
      <x:c r="J760" s="8" t="s">
        <x:v>112</x:v>
      </x:c>
      <x:c r="K760" s="8" t="s">
        <x:v>2231</x:v>
      </x:c>
      <x:c r="L760" s="8" t="s">
        <x:v>2231</x:v>
      </x:c>
      <x:c r="M760" s="8"/>
      <x:c r="N760" s="8"/>
      <x:c r="O760" s="8" t="s">
        <x:v>1622</x:v>
      </x:c>
      <x:c r="P760" s="8" t="s">
        <x:v>115</x:v>
      </x:c>
      <x:c r="Q760" s="8" t="s">
        <x:v>45</x:v>
      </x:c>
      <x:c r="R760" s="8" t="s">
        <x:v>1623</x:v>
      </x:c>
      <x:c r="S760" s="8" t="s">
        <x:v>1343</x:v>
      </x:c>
      <x:c r="T760" s="8" t="s">
        <x:v>27</x:v>
      </x:c>
      <x:c r="U760" s="8" t="s">
        <x:v>883</x:v>
      </x:c>
      <x:c r="V760" s="8" t="s">
        <x:v>1624</x:v>
      </x:c>
    </x:row>
    <x:row r="761" ht="36" hidden="0" customHeight="1">
      <x:c r="A761" s="8" t="s">
        <x:v>2232</x:v>
      </x:c>
      <x:c r="B761" s="8" t="s">
        <x:v>2227</x:v>
      </x:c>
      <x:c r="C761" s="8"/>
      <x:c r="D761" s="8" t="s">
        <x:v>2233</x:v>
      </x:c>
      <x:c r="E761" s="8" t="s">
        <x:v>2234</x:v>
      </x:c>
      <x:c r="F761" s="8" t="s">
        <x:v>2228</x:v>
      </x:c>
      <x:c r="G761" s="8" t="s">
        <x:v>109</x:v>
      </x:c>
      <x:c r="H761" s="8" t="s">
        <x:v>2229</x:v>
      </x:c>
      <x:c r="I761" s="8" t="s">
        <x:v>2230</x:v>
      </x:c>
      <x:c r="J761" s="8" t="s">
        <x:v>112</x:v>
      </x:c>
      <x:c r="K761" s="8" t="s">
        <x:v>2231</x:v>
      </x:c>
      <x:c r="L761" s="8" t="s">
        <x:v>2231</x:v>
      </x:c>
      <x:c r="M761" s="8"/>
      <x:c r="N761" s="8"/>
      <x:c r="O761" s="8" t="s">
        <x:v>1622</x:v>
      </x:c>
      <x:c r="P761" s="8" t="s">
        <x:v>115</x:v>
      </x:c>
      <x:c r="Q761" s="8" t="s">
        <x:v>45</x:v>
      </x:c>
      <x:c r="R761" s="8" t="s">
        <x:v>1623</x:v>
      </x:c>
      <x:c r="S761" s="8"/>
      <x:c r="T761" s="8" t="s">
        <x:v>27</x:v>
      </x:c>
      <x:c r="U761" s="8" t="s">
        <x:v>883</x:v>
      </x:c>
      <x:c r="V761" s="8" t="s">
        <x:v>1624</x:v>
      </x:c>
    </x:row>
    <x:row r="762" ht="36" hidden="0" customHeight="1">
      <x:c r="A762" s="8" t="s">
        <x:v>2235</x:v>
      </x:c>
      <x:c r="B762" s="8" t="s">
        <x:v>2227</x:v>
      </x:c>
      <x:c r="C762" s="8"/>
      <x:c r="D762" s="8" t="s">
        <x:v>2236</x:v>
      </x:c>
      <x:c r="E762" s="8" t="s">
        <x:v>2237</x:v>
      </x:c>
      <x:c r="F762" s="8" t="s">
        <x:v>2228</x:v>
      </x:c>
      <x:c r="G762" s="8" t="s">
        <x:v>109</x:v>
      </x:c>
      <x:c r="H762" s="8" t="s">
        <x:v>2229</x:v>
      </x:c>
      <x:c r="I762" s="8" t="s">
        <x:v>2230</x:v>
      </x:c>
      <x:c r="J762" s="8" t="s">
        <x:v>112</x:v>
      </x:c>
      <x:c r="K762" s="8" t="s">
        <x:v>2231</x:v>
      </x:c>
      <x:c r="L762" s="8" t="s">
        <x:v>2231</x:v>
      </x:c>
      <x:c r="M762" s="8"/>
      <x:c r="N762" s="8"/>
      <x:c r="O762" s="8" t="s">
        <x:v>1622</x:v>
      </x:c>
      <x:c r="P762" s="8" t="s">
        <x:v>115</x:v>
      </x:c>
      <x:c r="Q762" s="8" t="s">
        <x:v>45</x:v>
      </x:c>
      <x:c r="R762" s="8" t="s">
        <x:v>1623</x:v>
      </x:c>
      <x:c r="S762" s="8"/>
      <x:c r="T762" s="8" t="s">
        <x:v>27</x:v>
      </x:c>
      <x:c r="U762" s="8" t="s">
        <x:v>883</x:v>
      </x:c>
      <x:c r="V762" s="8" t="s">
        <x:v>1624</x:v>
      </x:c>
    </x:row>
    <x:row r="763" ht="36" hidden="0" customHeight="1">
      <x:c r="A763" s="8" t="s">
        <x:v>2238</x:v>
      </x:c>
      <x:c r="B763" s="8" t="s">
        <x:v>2227</x:v>
      </x:c>
      <x:c r="C763" s="8"/>
      <x:c r="D763" s="8" t="s">
        <x:v>2239</x:v>
      </x:c>
      <x:c r="E763" s="8" t="s">
        <x:v>2240</x:v>
      </x:c>
      <x:c r="F763" s="8" t="s">
        <x:v>2228</x:v>
      </x:c>
      <x:c r="G763" s="8" t="s">
        <x:v>109</x:v>
      </x:c>
      <x:c r="H763" s="8" t="s">
        <x:v>2229</x:v>
      </x:c>
      <x:c r="I763" s="8" t="s">
        <x:v>2230</x:v>
      </x:c>
      <x:c r="J763" s="8" t="s">
        <x:v>112</x:v>
      </x:c>
      <x:c r="K763" s="8" t="s">
        <x:v>2231</x:v>
      </x:c>
      <x:c r="L763" s="8" t="s">
        <x:v>2231</x:v>
      </x:c>
      <x:c r="M763" s="8"/>
      <x:c r="N763" s="8"/>
      <x:c r="O763" s="8" t="s">
        <x:v>1622</x:v>
      </x:c>
      <x:c r="P763" s="8" t="s">
        <x:v>115</x:v>
      </x:c>
      <x:c r="Q763" s="8" t="s">
        <x:v>45</x:v>
      </x:c>
      <x:c r="R763" s="8" t="s">
        <x:v>1623</x:v>
      </x:c>
      <x:c r="S763" s="8"/>
      <x:c r="T763" s="8" t="s">
        <x:v>27</x:v>
      </x:c>
      <x:c r="U763" s="8" t="s">
        <x:v>883</x:v>
      </x:c>
      <x:c r="V763" s="8" t="s">
        <x:v>1624</x:v>
      </x:c>
    </x:row>
    <x:row r="764" ht="36" hidden="0" customHeight="1">
      <x:c r="A764" s="8" t="s">
        <x:v>2241</x:v>
      </x:c>
      <x:c r="B764" s="8" t="s">
        <x:v>2227</x:v>
      </x:c>
      <x:c r="C764" s="8"/>
      <x:c r="D764" s="8" t="s">
        <x:v>2242</x:v>
      </x:c>
      <x:c r="E764" s="8" t="s">
        <x:v>2243</x:v>
      </x:c>
      <x:c r="F764" s="8" t="s">
        <x:v>2228</x:v>
      </x:c>
      <x:c r="G764" s="8" t="s">
        <x:v>109</x:v>
      </x:c>
      <x:c r="H764" s="8" t="s">
        <x:v>2229</x:v>
      </x:c>
      <x:c r="I764" s="8" t="s">
        <x:v>2230</x:v>
      </x:c>
      <x:c r="J764" s="8" t="s">
        <x:v>112</x:v>
      </x:c>
      <x:c r="K764" s="8" t="s">
        <x:v>2231</x:v>
      </x:c>
      <x:c r="L764" s="8" t="s">
        <x:v>2231</x:v>
      </x:c>
      <x:c r="M764" s="8"/>
      <x:c r="N764" s="8"/>
      <x:c r="O764" s="8" t="s">
        <x:v>1622</x:v>
      </x:c>
      <x:c r="P764" s="8" t="s">
        <x:v>115</x:v>
      </x:c>
      <x:c r="Q764" s="8" t="s">
        <x:v>45</x:v>
      </x:c>
      <x:c r="R764" s="8" t="s">
        <x:v>1623</x:v>
      </x:c>
      <x:c r="S764" s="8"/>
      <x:c r="T764" s="8" t="s">
        <x:v>27</x:v>
      </x:c>
      <x:c r="U764" s="8" t="s">
        <x:v>883</x:v>
      </x:c>
      <x:c r="V764" s="8" t="s">
        <x:v>1624</x:v>
      </x:c>
    </x:row>
    <x:row r="765" ht="36" hidden="0" customHeight="1">
      <x:c r="A765" s="8" t="s">
        <x:v>2244</x:v>
      </x:c>
      <x:c r="B765" s="8" t="s">
        <x:v>2227</x:v>
      </x:c>
      <x:c r="C765" s="8"/>
      <x:c r="D765" s="8" t="s">
        <x:v>445</x:v>
      </x:c>
      <x:c r="E765" s="8" t="s">
        <x:v>446</x:v>
      </x:c>
      <x:c r="F765" s="8" t="s">
        <x:v>2228</x:v>
      </x:c>
      <x:c r="G765" s="8" t="s">
        <x:v>109</x:v>
      </x:c>
      <x:c r="H765" s="8" t="s">
        <x:v>2229</x:v>
      </x:c>
      <x:c r="I765" s="8" t="s">
        <x:v>2230</x:v>
      </x:c>
      <x:c r="J765" s="8" t="s">
        <x:v>112</x:v>
      </x:c>
      <x:c r="K765" s="8" t="s">
        <x:v>2231</x:v>
      </x:c>
      <x:c r="L765" s="8" t="s">
        <x:v>2231</x:v>
      </x:c>
      <x:c r="M765" s="8"/>
      <x:c r="N765" s="8"/>
      <x:c r="O765" s="8" t="s">
        <x:v>1622</x:v>
      </x:c>
      <x:c r="P765" s="8" t="s">
        <x:v>115</x:v>
      </x:c>
      <x:c r="Q765" s="8" t="s">
        <x:v>45</x:v>
      </x:c>
      <x:c r="R765" s="8" t="s">
        <x:v>1623</x:v>
      </x:c>
      <x:c r="S765" s="8"/>
      <x:c r="T765" s="8" t="s">
        <x:v>27</x:v>
      </x:c>
      <x:c r="U765" s="8" t="s">
        <x:v>883</x:v>
      </x:c>
      <x:c r="V765" s="8" t="s">
        <x:v>1624</x:v>
      </x:c>
    </x:row>
    <x:row r="766" ht="36" hidden="0" customHeight="1">
      <x:c r="A766" s="8" t="s">
        <x:v>2245</x:v>
      </x:c>
      <x:c r="B766" s="8" t="s">
        <x:v>2227</x:v>
      </x:c>
      <x:c r="C766" s="8"/>
      <x:c r="D766" s="8" t="s">
        <x:v>164</x:v>
      </x:c>
      <x:c r="E766" s="8" t="s">
        <x:v>165</x:v>
      </x:c>
      <x:c r="F766" s="8" t="s">
        <x:v>2228</x:v>
      </x:c>
      <x:c r="G766" s="8" t="s">
        <x:v>109</x:v>
      </x:c>
      <x:c r="H766" s="8" t="s">
        <x:v>2229</x:v>
      </x:c>
      <x:c r="I766" s="8" t="s">
        <x:v>2230</x:v>
      </x:c>
      <x:c r="J766" s="8" t="s">
        <x:v>112</x:v>
      </x:c>
      <x:c r="K766" s="8" t="s">
        <x:v>2231</x:v>
      </x:c>
      <x:c r="L766" s="8" t="s">
        <x:v>2231</x:v>
      </x:c>
      <x:c r="M766" s="8"/>
      <x:c r="N766" s="8"/>
      <x:c r="O766" s="8" t="s">
        <x:v>1622</x:v>
      </x:c>
      <x:c r="P766" s="8" t="s">
        <x:v>115</x:v>
      </x:c>
      <x:c r="Q766" s="8" t="s">
        <x:v>45</x:v>
      </x:c>
      <x:c r="R766" s="8" t="s">
        <x:v>1623</x:v>
      </x:c>
      <x:c r="S766" s="8"/>
      <x:c r="T766" s="8" t="s">
        <x:v>27</x:v>
      </x:c>
      <x:c r="U766" s="8" t="s">
        <x:v>883</x:v>
      </x:c>
      <x:c r="V766" s="8" t="s">
        <x:v>1624</x:v>
      </x:c>
    </x:row>
    <x:row r="767" ht="36" hidden="0" customHeight="1">
      <x:c r="A767" s="8" t="s">
        <x:v>2246</x:v>
      </x:c>
      <x:c r="B767" s="8" t="s">
        <x:v>2227</x:v>
      </x:c>
      <x:c r="C767" s="8"/>
      <x:c r="D767" s="8" t="s">
        <x:v>2247</x:v>
      </x:c>
      <x:c r="E767" s="8" t="n">
        <x:v>0.0001</x:v>
      </x:c>
      <x:c r="F767" s="8" t="s">
        <x:v>2228</x:v>
      </x:c>
      <x:c r="G767" s="8" t="s">
        <x:v>109</x:v>
      </x:c>
      <x:c r="H767" s="8" t="s">
        <x:v>2229</x:v>
      </x:c>
      <x:c r="I767" s="8" t="s">
        <x:v>2230</x:v>
      </x:c>
      <x:c r="J767" s="8" t="s">
        <x:v>112</x:v>
      </x:c>
      <x:c r="K767" s="8" t="s">
        <x:v>2231</x:v>
      </x:c>
      <x:c r="L767" s="8" t="s">
        <x:v>2231</x:v>
      </x:c>
      <x:c r="M767" s="8"/>
      <x:c r="N767" s="8"/>
      <x:c r="O767" s="8" t="s">
        <x:v>1622</x:v>
      </x:c>
      <x:c r="P767" s="8" t="s">
        <x:v>115</x:v>
      </x:c>
      <x:c r="Q767" s="8" t="s">
        <x:v>45</x:v>
      </x:c>
      <x:c r="R767" s="8" t="s">
        <x:v>1623</x:v>
      </x:c>
      <x:c r="S767" s="8"/>
      <x:c r="T767" s="8" t="s">
        <x:v>27</x:v>
      </x:c>
      <x:c r="U767" s="8" t="s">
        <x:v>883</x:v>
      </x:c>
      <x:c r="V767" s="8" t="s">
        <x:v>1624</x:v>
      </x:c>
    </x:row>
    <x:row r="768" ht="36" hidden="0" customHeight="1">
      <x:c r="A768" s="8" t="s">
        <x:v>2248</x:v>
      </x:c>
      <x:c r="B768" s="8" t="s">
        <x:v>2227</x:v>
      </x:c>
      <x:c r="C768" s="8"/>
      <x:c r="D768" s="8" t="s">
        <x:v>2249</x:v>
      </x:c>
      <x:c r="E768" s="8" t="n">
        <x:v>0.001</x:v>
      </x:c>
      <x:c r="F768" s="8" t="s">
        <x:v>2228</x:v>
      </x:c>
      <x:c r="G768" s="8" t="s">
        <x:v>109</x:v>
      </x:c>
      <x:c r="H768" s="8" t="s">
        <x:v>2229</x:v>
      </x:c>
      <x:c r="I768" s="8" t="s">
        <x:v>2230</x:v>
      </x:c>
      <x:c r="J768" s="8" t="s">
        <x:v>112</x:v>
      </x:c>
      <x:c r="K768" s="8" t="s">
        <x:v>2231</x:v>
      </x:c>
      <x:c r="L768" s="8" t="s">
        <x:v>2231</x:v>
      </x:c>
      <x:c r="M768" s="8"/>
      <x:c r="N768" s="8"/>
      <x:c r="O768" s="8" t="s">
        <x:v>1622</x:v>
      </x:c>
      <x:c r="P768" s="8" t="s">
        <x:v>115</x:v>
      </x:c>
      <x:c r="Q768" s="8" t="s">
        <x:v>45</x:v>
      </x:c>
      <x:c r="R768" s="8" t="s">
        <x:v>1623</x:v>
      </x:c>
      <x:c r="S768" s="8"/>
      <x:c r="T768" s="8" t="s">
        <x:v>27</x:v>
      </x:c>
      <x:c r="U768" s="8" t="s">
        <x:v>883</x:v>
      </x:c>
      <x:c r="V768" s="8" t="s">
        <x:v>1624</x:v>
      </x:c>
    </x:row>
    <x:row r="769" ht="36" hidden="0" customHeight="1">
      <x:c r="A769" s="8" t="s">
        <x:v>2250</x:v>
      </x:c>
      <x:c r="B769" s="8" t="s">
        <x:v>2227</x:v>
      </x:c>
      <x:c r="C769" s="8"/>
      <x:c r="D769" s="8" t="s">
        <x:v>167</x:v>
      </x:c>
      <x:c r="E769" s="8" t="n">
        <x:v>8</x:v>
      </x:c>
      <x:c r="F769" s="8" t="s">
        <x:v>2228</x:v>
      </x:c>
      <x:c r="G769" s="8" t="s">
        <x:v>109</x:v>
      </x:c>
      <x:c r="H769" s="8" t="s">
        <x:v>2229</x:v>
      </x:c>
      <x:c r="I769" s="8" t="s">
        <x:v>2230</x:v>
      </x:c>
      <x:c r="J769" s="8" t="s">
        <x:v>112</x:v>
      </x:c>
      <x:c r="K769" s="8" t="s">
        <x:v>2231</x:v>
      </x:c>
      <x:c r="L769" s="8" t="s">
        <x:v>2231</x:v>
      </x:c>
      <x:c r="M769" s="8"/>
      <x:c r="N769" s="8"/>
      <x:c r="O769" s="8" t="s">
        <x:v>1622</x:v>
      </x:c>
      <x:c r="P769" s="8" t="s">
        <x:v>115</x:v>
      </x:c>
      <x:c r="Q769" s="8" t="s">
        <x:v>45</x:v>
      </x:c>
      <x:c r="R769" s="8" t="s">
        <x:v>1623</x:v>
      </x:c>
      <x:c r="S769" s="8" t="s">
        <x:v>1954</x:v>
      </x:c>
      <x:c r="T769" s="8" t="s">
        <x:v>27</x:v>
      </x:c>
      <x:c r="U769" s="8" t="s">
        <x:v>883</x:v>
      </x:c>
      <x:c r="V769" s="8" t="s">
        <x:v>1624</x:v>
      </x:c>
    </x:row>
    <x:row r="770" ht="36" hidden="0" customHeight="1">
      <x:c r="A770" s="8" t="s">
        <x:v>2251</x:v>
      </x:c>
      <x:c r="B770" s="8" t="s">
        <x:v>2227</x:v>
      </x:c>
      <x:c r="C770" s="8"/>
      <x:c r="D770" s="8" t="s">
        <x:v>2252</x:v>
      </x:c>
      <x:c r="E770" s="8" t="n">
        <x:v>100</x:v>
      </x:c>
      <x:c r="F770" s="8" t="s">
        <x:v>2228</x:v>
      </x:c>
      <x:c r="G770" s="8" t="s">
        <x:v>109</x:v>
      </x:c>
      <x:c r="H770" s="8" t="s">
        <x:v>2229</x:v>
      </x:c>
      <x:c r="I770" s="8" t="s">
        <x:v>2230</x:v>
      </x:c>
      <x:c r="J770" s="8" t="s">
        <x:v>112</x:v>
      </x:c>
      <x:c r="K770" s="8" t="s">
        <x:v>2231</x:v>
      </x:c>
      <x:c r="L770" s="8" t="s">
        <x:v>2231</x:v>
      </x:c>
      <x:c r="M770" s="8"/>
      <x:c r="N770" s="8"/>
      <x:c r="O770" s="8" t="s">
        <x:v>1622</x:v>
      </x:c>
      <x:c r="P770" s="8" t="s">
        <x:v>115</x:v>
      </x:c>
      <x:c r="Q770" s="8" t="s">
        <x:v>45</x:v>
      </x:c>
      <x:c r="R770" s="8" t="s">
        <x:v>1623</x:v>
      </x:c>
      <x:c r="S770" s="8" t="s">
        <x:v>990</x:v>
      </x:c>
      <x:c r="T770" s="8" t="s">
        <x:v>27</x:v>
      </x:c>
      <x:c r="U770" s="8" t="s">
        <x:v>883</x:v>
      </x:c>
      <x:c r="V770" s="8" t="s">
        <x:v>1624</x:v>
      </x:c>
    </x:row>
    <x:row r="771" ht="36" hidden="0" customHeight="1">
      <x:c r="A771" s="8" t="s">
        <x:v>2253</x:v>
      </x:c>
      <x:c r="B771" s="8" t="s">
        <x:v>2227</x:v>
      </x:c>
      <x:c r="C771" s="8"/>
      <x:c r="D771" s="8" t="s">
        <x:v>1961</x:v>
      </x:c>
      <x:c r="E771" s="8" t="n">
        <x:v>10</x:v>
      </x:c>
      <x:c r="F771" s="8" t="s">
        <x:v>2228</x:v>
      </x:c>
      <x:c r="G771" s="8" t="s">
        <x:v>109</x:v>
      </x:c>
      <x:c r="H771" s="8" t="s">
        <x:v>2229</x:v>
      </x:c>
      <x:c r="I771" s="8" t="s">
        <x:v>2230</x:v>
      </x:c>
      <x:c r="J771" s="8" t="s">
        <x:v>112</x:v>
      </x:c>
      <x:c r="K771" s="8" t="s">
        <x:v>2231</x:v>
      </x:c>
      <x:c r="L771" s="8" t="s">
        <x:v>2231</x:v>
      </x:c>
      <x:c r="M771" s="8"/>
      <x:c r="N771" s="8"/>
      <x:c r="O771" s="8" t="s">
        <x:v>1622</x:v>
      </x:c>
      <x:c r="P771" s="8" t="s">
        <x:v>115</x:v>
      </x:c>
      <x:c r="Q771" s="8" t="s">
        <x:v>45</x:v>
      </x:c>
      <x:c r="R771" s="8" t="s">
        <x:v>1623</x:v>
      </x:c>
      <x:c r="S771" s="8" t="s">
        <x:v>2254</x:v>
      </x:c>
      <x:c r="T771" s="8" t="s">
        <x:v>27</x:v>
      </x:c>
      <x:c r="U771" s="8" t="s">
        <x:v>883</x:v>
      </x:c>
      <x:c r="V771" s="8" t="s">
        <x:v>1624</x:v>
      </x:c>
    </x:row>
    <x:row r="772" ht="36" hidden="0" customHeight="1">
      <x:c r="A772" s="8" t="s">
        <x:v>2255</x:v>
      </x:c>
      <x:c r="B772" s="8" t="s">
        <x:v>2227</x:v>
      </x:c>
      <x:c r="C772" s="8"/>
      <x:c r="D772" s="8" t="s">
        <x:v>1864</x:v>
      </x:c>
      <x:c r="E772" s="8" t="s">
        <x:v>969</x:v>
      </x:c>
      <x:c r="F772" s="8" t="s">
        <x:v>2228</x:v>
      </x:c>
      <x:c r="G772" s="8" t="s">
        <x:v>109</x:v>
      </x:c>
      <x:c r="H772" s="8" t="s">
        <x:v>2229</x:v>
      </x:c>
      <x:c r="I772" s="8" t="s">
        <x:v>2230</x:v>
      </x:c>
      <x:c r="J772" s="8" t="s">
        <x:v>112</x:v>
      </x:c>
      <x:c r="K772" s="8" t="s">
        <x:v>2231</x:v>
      </x:c>
      <x:c r="L772" s="8" t="s">
        <x:v>2231</x:v>
      </x:c>
      <x:c r="M772" s="8"/>
      <x:c r="N772" s="8"/>
      <x:c r="O772" s="8" t="s">
        <x:v>1622</x:v>
      </x:c>
      <x:c r="P772" s="8" t="s">
        <x:v>115</x:v>
      </x:c>
      <x:c r="Q772" s="8" t="s">
        <x:v>45</x:v>
      </x:c>
      <x:c r="R772" s="8" t="s">
        <x:v>1623</x:v>
      </x:c>
      <x:c r="S772" s="8"/>
      <x:c r="T772" s="8" t="s">
        <x:v>27</x:v>
      </x:c>
      <x:c r="U772" s="8" t="s">
        <x:v>883</x:v>
      </x:c>
      <x:c r="V772" s="8" t="s">
        <x:v>1624</x:v>
      </x:c>
    </x:row>
    <x:row r="773" ht="36" hidden="0" customHeight="1">
      <x:c r="A773" s="8" t="s">
        <x:v>2256</x:v>
      </x:c>
      <x:c r="B773" s="8" t="s">
        <x:v>2227</x:v>
      </x:c>
      <x:c r="C773" s="8"/>
      <x:c r="D773" s="8" t="s">
        <x:v>1948</x:v>
      </x:c>
      <x:c r="E773" s="8" t="s">
        <x:v>2257</x:v>
      </x:c>
      <x:c r="F773" s="8" t="s">
        <x:v>2228</x:v>
      </x:c>
      <x:c r="G773" s="8" t="s">
        <x:v>109</x:v>
      </x:c>
      <x:c r="H773" s="8" t="s">
        <x:v>2229</x:v>
      </x:c>
      <x:c r="I773" s="8" t="s">
        <x:v>2230</x:v>
      </x:c>
      <x:c r="J773" s="8" t="s">
        <x:v>112</x:v>
      </x:c>
      <x:c r="K773" s="8" t="s">
        <x:v>2231</x:v>
      </x:c>
      <x:c r="L773" s="8" t="s">
        <x:v>2231</x:v>
      </x:c>
      <x:c r="M773" s="8"/>
      <x:c r="N773" s="8"/>
      <x:c r="O773" s="8" t="s">
        <x:v>1622</x:v>
      </x:c>
      <x:c r="P773" s="8" t="s">
        <x:v>115</x:v>
      </x:c>
      <x:c r="Q773" s="8" t="s">
        <x:v>45</x:v>
      </x:c>
      <x:c r="R773" s="8" t="s">
        <x:v>1623</x:v>
      </x:c>
      <x:c r="S773" s="8"/>
      <x:c r="T773" s="8" t="s">
        <x:v>27</x:v>
      </x:c>
      <x:c r="U773" s="8" t="s">
        <x:v>883</x:v>
      </x:c>
      <x:c r="V773" s="8" t="s">
        <x:v>1624</x:v>
      </x:c>
    </x:row>
    <x:row r="774" ht="36" hidden="0" customHeight="1">
      <x:c r="A774" s="8" t="s">
        <x:v>2258</x:v>
      </x:c>
      <x:c r="B774" s="8" t="s">
        <x:v>2227</x:v>
      </x:c>
      <x:c r="C774" s="8"/>
      <x:c r="D774" s="8" t="s">
        <x:v>2259</x:v>
      </x:c>
      <x:c r="E774" s="8" t="n">
        <x:v>0.0149</x:v>
      </x:c>
      <x:c r="F774" s="8" t="s">
        <x:v>2228</x:v>
      </x:c>
      <x:c r="G774" s="8" t="s">
        <x:v>109</x:v>
      </x:c>
      <x:c r="H774" s="8" t="s">
        <x:v>2229</x:v>
      </x:c>
      <x:c r="I774" s="8" t="s">
        <x:v>2230</x:v>
      </x:c>
      <x:c r="J774" s="8" t="s">
        <x:v>112</x:v>
      </x:c>
      <x:c r="K774" s="8" t="s">
        <x:v>2260</x:v>
      </x:c>
      <x:c r="L774" s="8" t="s">
        <x:v>2260</x:v>
      </x:c>
      <x:c r="M774" s="8"/>
      <x:c r="N774" s="8"/>
      <x:c r="O774" s="8" t="s">
        <x:v>1622</x:v>
      </x:c>
      <x:c r="P774" s="8" t="s">
        <x:v>115</x:v>
      </x:c>
      <x:c r="Q774" s="8" t="s">
        <x:v>45</x:v>
      </x:c>
      <x:c r="R774" s="8" t="s">
        <x:v>1623</x:v>
      </x:c>
      <x:c r="S774" s="8" t="s">
        <x:v>905</x:v>
      </x:c>
      <x:c r="T774" s="8" t="s">
        <x:v>27</x:v>
      </x:c>
      <x:c r="U774" s="8" t="s">
        <x:v>883</x:v>
      </x:c>
      <x:c r="V774" s="8" t="s">
        <x:v>1624</x:v>
      </x:c>
    </x:row>
    <x:row r="775" ht="36" hidden="0" customHeight="1">
      <x:c r="A775" s="8" t="s">
        <x:v>2261</x:v>
      </x:c>
      <x:c r="B775" s="8" t="s">
        <x:v>2227</x:v>
      </x:c>
      <x:c r="C775" s="8"/>
      <x:c r="D775" s="8" t="s">
        <x:v>2262</x:v>
      </x:c>
      <x:c r="E775" s="8" t="n">
        <x:v>0.2014</x:v>
      </x:c>
      <x:c r="F775" s="8" t="s">
        <x:v>2228</x:v>
      </x:c>
      <x:c r="G775" s="8" t="s">
        <x:v>109</x:v>
      </x:c>
      <x:c r="H775" s="8" t="s">
        <x:v>2229</x:v>
      </x:c>
      <x:c r="I775" s="8" t="s">
        <x:v>2230</x:v>
      </x:c>
      <x:c r="J775" s="8" t="s">
        <x:v>112</x:v>
      </x:c>
      <x:c r="K775" s="8" t="s">
        <x:v>2260</x:v>
      </x:c>
      <x:c r="L775" s="8" t="s">
        <x:v>2260</x:v>
      </x:c>
      <x:c r="M775" s="8"/>
      <x:c r="N775" s="8"/>
      <x:c r="O775" s="8" t="s">
        <x:v>1622</x:v>
      </x:c>
      <x:c r="P775" s="8" t="s">
        <x:v>115</x:v>
      </x:c>
      <x:c r="Q775" s="8" t="s">
        <x:v>45</x:v>
      </x:c>
      <x:c r="R775" s="8" t="s">
        <x:v>1623</x:v>
      </x:c>
      <x:c r="S775" s="8" t="s">
        <x:v>2263</x:v>
      </x:c>
      <x:c r="T775" s="8" t="s">
        <x:v>27</x:v>
      </x:c>
      <x:c r="U775" s="8" t="s">
        <x:v>883</x:v>
      </x:c>
      <x:c r="V775" s="8" t="s">
        <x:v>1624</x:v>
      </x:c>
    </x:row>
    <x:row r="776" ht="36" hidden="0" customHeight="1">
      <x:c r="A776" s="8" t="s">
        <x:v>2264</x:v>
      </x:c>
      <x:c r="B776" s="8" t="s">
        <x:v>2227</x:v>
      </x:c>
      <x:c r="C776" s="8"/>
      <x:c r="D776" s="8" t="s">
        <x:v>2177</x:v>
      </x:c>
      <x:c r="E776" s="8" t="s">
        <x:v>2265</x:v>
      </x:c>
      <x:c r="F776" s="8" t="s">
        <x:v>2228</x:v>
      </x:c>
      <x:c r="G776" s="8" t="s">
        <x:v>109</x:v>
      </x:c>
      <x:c r="H776" s="8" t="s">
        <x:v>2229</x:v>
      </x:c>
      <x:c r="I776" s="8" t="s">
        <x:v>2230</x:v>
      </x:c>
      <x:c r="J776" s="8" t="s">
        <x:v>112</x:v>
      </x:c>
      <x:c r="K776" s="8" t="s">
        <x:v>2266</x:v>
      </x:c>
      <x:c r="L776" s="8" t="s">
        <x:v>2266</x:v>
      </x:c>
      <x:c r="M776" s="8"/>
      <x:c r="N776" s="8"/>
      <x:c r="O776" s="8" t="s">
        <x:v>1622</x:v>
      </x:c>
      <x:c r="P776" s="8" t="s">
        <x:v>115</x:v>
      </x:c>
      <x:c r="Q776" s="8" t="s">
        <x:v>45</x:v>
      </x:c>
      <x:c r="R776" s="8" t="s">
        <x:v>1623</x:v>
      </x:c>
      <x:c r="S776" s="8"/>
      <x:c r="T776" s="8" t="s">
        <x:v>27</x:v>
      </x:c>
      <x:c r="U776" s="8" t="s">
        <x:v>883</x:v>
      </x:c>
      <x:c r="V776" s="8" t="s">
        <x:v>1624</x:v>
      </x:c>
    </x:row>
    <x:row r="777" ht="36" hidden="0" customHeight="1">
      <x:c r="A777" s="8" t="s">
        <x:v>2267</x:v>
      </x:c>
      <x:c r="B777" s="8" t="s">
        <x:v>2268</x:v>
      </x:c>
      <x:c r="C777" s="8"/>
      <x:c r="D777" s="8" t="s">
        <x:v>1615</x:v>
      </x:c>
      <x:c r="E777" s="8" t="s">
        <x:v>2269</x:v>
      </x:c>
      <x:c r="F777" s="8" t="s">
        <x:v>1617</x:v>
      </x:c>
      <x:c r="G777" s="8" t="s">
        <x:v>109</x:v>
      </x:c>
      <x:c r="H777" s="8" t="s">
        <x:v>2270</x:v>
      </x:c>
      <x:c r="I777" s="8" t="s">
        <x:v>2271</x:v>
      </x:c>
      <x:c r="J777" s="8" t="s">
        <x:v>112</x:v>
      </x:c>
      <x:c r="K777" s="8" t="s">
        <x:v>2272</x:v>
      </x:c>
      <x:c r="L777" s="8" t="s">
        <x:v>2272</x:v>
      </x:c>
      <x:c r="M777" s="8"/>
      <x:c r="N777" s="8"/>
      <x:c r="O777" s="8" t="s">
        <x:v>1622</x:v>
      </x:c>
      <x:c r="P777" s="8" t="s">
        <x:v>115</x:v>
      </x:c>
      <x:c r="Q777" s="8" t="s">
        <x:v>45</x:v>
      </x:c>
      <x:c r="R777" s="8" t="s">
        <x:v>1623</x:v>
      </x:c>
      <x:c r="S777" s="8"/>
      <x:c r="T777" s="8" t="s">
        <x:v>27</x:v>
      </x:c>
      <x:c r="U777" s="8" t="s">
        <x:v>883</x:v>
      </x:c>
      <x:c r="V777" s="8" t="s">
        <x:v>1624</x:v>
      </x:c>
    </x:row>
    <x:row r="778" ht="36" hidden="0" customHeight="1">
      <x:c r="A778" s="8" t="s">
        <x:v>2273</x:v>
      </x:c>
      <x:c r="B778" s="8" t="s">
        <x:v>2268</x:v>
      </x:c>
      <x:c r="C778" s="8"/>
      <x:c r="D778" s="8" t="s">
        <x:v>2274</x:v>
      </x:c>
      <x:c r="E778" s="8" t="n">
        <x:v>4</x:v>
      </x:c>
      <x:c r="F778" s="8" t="s">
        <x:v>1617</x:v>
      </x:c>
      <x:c r="G778" s="8" t="s">
        <x:v>109</x:v>
      </x:c>
      <x:c r="H778" s="8" t="s">
        <x:v>2270</x:v>
      </x:c>
      <x:c r="I778" s="8" t="s">
        <x:v>2271</x:v>
      </x:c>
      <x:c r="J778" s="8" t="s">
        <x:v>112</x:v>
      </x:c>
      <x:c r="K778" s="8" t="s">
        <x:v>2272</x:v>
      </x:c>
      <x:c r="L778" s="8" t="s">
        <x:v>2272</x:v>
      </x:c>
      <x:c r="M778" s="8"/>
      <x:c r="N778" s="8"/>
      <x:c r="O778" s="8" t="s">
        <x:v>1622</x:v>
      </x:c>
      <x:c r="P778" s="8" t="s">
        <x:v>115</x:v>
      </x:c>
      <x:c r="Q778" s="8" t="s">
        <x:v>45</x:v>
      </x:c>
      <x:c r="R778" s="8" t="s">
        <x:v>1623</x:v>
      </x:c>
      <x:c r="S778" s="8" t="s">
        <x:v>2275</x:v>
      </x:c>
      <x:c r="T778" s="8" t="s">
        <x:v>27</x:v>
      </x:c>
      <x:c r="U778" s="8" t="s">
        <x:v>883</x:v>
      </x:c>
      <x:c r="V778" s="8" t="s">
        <x:v>1624</x:v>
      </x:c>
    </x:row>
    <x:row r="779" ht="36" hidden="0" customHeight="1">
      <x:c r="A779" s="8" t="s">
        <x:v>2276</x:v>
      </x:c>
      <x:c r="B779" s="8" t="s">
        <x:v>2268</x:v>
      </x:c>
      <x:c r="C779" s="8"/>
      <x:c r="D779" s="8" t="s">
        <x:v>2277</x:v>
      </x:c>
      <x:c r="E779" s="8" t="n">
        <x:v>25</x:v>
      </x:c>
      <x:c r="F779" s="8" t="s">
        <x:v>1617</x:v>
      </x:c>
      <x:c r="G779" s="8" t="s">
        <x:v>109</x:v>
      </x:c>
      <x:c r="H779" s="8" t="s">
        <x:v>2270</x:v>
      </x:c>
      <x:c r="I779" s="8" t="s">
        <x:v>2271</x:v>
      </x:c>
      <x:c r="J779" s="8" t="s">
        <x:v>112</x:v>
      </x:c>
      <x:c r="K779" s="8" t="s">
        <x:v>2272</x:v>
      </x:c>
      <x:c r="L779" s="8" t="s">
        <x:v>2272</x:v>
      </x:c>
      <x:c r="M779" s="8"/>
      <x:c r="N779" s="8"/>
      <x:c r="O779" s="8" t="s">
        <x:v>1622</x:v>
      </x:c>
      <x:c r="P779" s="8" t="s">
        <x:v>115</x:v>
      </x:c>
      <x:c r="Q779" s="8" t="s">
        <x:v>45</x:v>
      </x:c>
      <x:c r="R779" s="8" t="s">
        <x:v>1623</x:v>
      </x:c>
      <x:c r="S779" s="8" t="s">
        <x:v>2278</x:v>
      </x:c>
      <x:c r="T779" s="8" t="s">
        <x:v>27</x:v>
      </x:c>
      <x:c r="U779" s="8" t="s">
        <x:v>883</x:v>
      </x:c>
      <x:c r="V779" s="8" t="s">
        <x:v>1624</x:v>
      </x:c>
    </x:row>
    <x:row r="780" ht="36" hidden="0" customHeight="1">
      <x:c r="A780" s="8" t="s">
        <x:v>2279</x:v>
      </x:c>
      <x:c r="B780" s="8" t="s">
        <x:v>2268</x:v>
      </x:c>
      <x:c r="C780" s="8"/>
      <x:c r="D780" s="8" t="s">
        <x:v>1862</x:v>
      </x:c>
      <x:c r="E780" s="8" t="n">
        <x:v>3</x:v>
      </x:c>
      <x:c r="F780" s="8" t="s">
        <x:v>1617</x:v>
      </x:c>
      <x:c r="G780" s="8" t="s">
        <x:v>109</x:v>
      </x:c>
      <x:c r="H780" s="8" t="s">
        <x:v>2270</x:v>
      </x:c>
      <x:c r="I780" s="8" t="s">
        <x:v>2271</x:v>
      </x:c>
      <x:c r="J780" s="8" t="s">
        <x:v>112</x:v>
      </x:c>
      <x:c r="K780" s="8" t="s">
        <x:v>2272</x:v>
      </x:c>
      <x:c r="L780" s="8" t="s">
        <x:v>2272</x:v>
      </x:c>
      <x:c r="M780" s="8"/>
      <x:c r="N780" s="8"/>
      <x:c r="O780" s="8" t="s">
        <x:v>1622</x:v>
      </x:c>
      <x:c r="P780" s="8" t="s">
        <x:v>115</x:v>
      </x:c>
      <x:c r="Q780" s="8" t="s">
        <x:v>45</x:v>
      </x:c>
      <x:c r="R780" s="8" t="s">
        <x:v>1623</x:v>
      </x:c>
      <x:c r="S780" s="8" t="s">
        <x:v>1670</x:v>
      </x:c>
      <x:c r="T780" s="8" t="s">
        <x:v>27</x:v>
      </x:c>
      <x:c r="U780" s="8" t="s">
        <x:v>883</x:v>
      </x:c>
      <x:c r="V780" s="8" t="s">
        <x:v>1624</x:v>
      </x:c>
    </x:row>
    <x:row r="781" ht="36" hidden="0" customHeight="1">
      <x:c r="A781" s="8" t="s">
        <x:v>2280</x:v>
      </x:c>
      <x:c r="B781" s="8" t="s">
        <x:v>2268</x:v>
      </x:c>
      <x:c r="C781" s="8"/>
      <x:c r="D781" s="8" t="s">
        <x:v>1626</x:v>
      </x:c>
      <x:c r="E781" s="8" t="s">
        <x:v>2281</x:v>
      </x:c>
      <x:c r="F781" s="8" t="s">
        <x:v>1617</x:v>
      </x:c>
      <x:c r="G781" s="8" t="s">
        <x:v>109</x:v>
      </x:c>
      <x:c r="H781" s="8" t="s">
        <x:v>2270</x:v>
      </x:c>
      <x:c r="I781" s="8" t="s">
        <x:v>2271</x:v>
      </x:c>
      <x:c r="J781" s="8" t="s">
        <x:v>112</x:v>
      </x:c>
      <x:c r="K781" s="8" t="s">
        <x:v>2282</x:v>
      </x:c>
      <x:c r="L781" s="8" t="s">
        <x:v>2282</x:v>
      </x:c>
      <x:c r="M781" s="8"/>
      <x:c r="N781" s="8"/>
      <x:c r="O781" s="8" t="s">
        <x:v>1622</x:v>
      </x:c>
      <x:c r="P781" s="8" t="s">
        <x:v>115</x:v>
      </x:c>
      <x:c r="Q781" s="8" t="s">
        <x:v>45</x:v>
      </x:c>
      <x:c r="R781" s="8" t="s">
        <x:v>1623</x:v>
      </x:c>
      <x:c r="S781" s="8"/>
      <x:c r="T781" s="8" t="s">
        <x:v>27</x:v>
      </x:c>
      <x:c r="U781" s="8" t="s">
        <x:v>883</x:v>
      </x:c>
      <x:c r="V781" s="8" t="s">
        <x:v>1624</x:v>
      </x:c>
    </x:row>
    <x:row r="782" ht="36" hidden="0" customHeight="1">
      <x:c r="A782" s="8" t="s">
        <x:v>2283</x:v>
      </x:c>
      <x:c r="B782" s="8" t="s">
        <x:v>2268</x:v>
      </x:c>
      <x:c r="C782" s="8"/>
      <x:c r="D782" s="8" t="s">
        <x:v>1864</x:v>
      </x:c>
      <x:c r="E782" s="8" t="s">
        <x:v>2284</x:v>
      </x:c>
      <x:c r="F782" s="8" t="s">
        <x:v>1617</x:v>
      </x:c>
      <x:c r="G782" s="8" t="s">
        <x:v>109</x:v>
      </x:c>
      <x:c r="H782" s="8" t="s">
        <x:v>2270</x:v>
      </x:c>
      <x:c r="I782" s="8" t="s">
        <x:v>2271</x:v>
      </x:c>
      <x:c r="J782" s="8" t="s">
        <x:v>112</x:v>
      </x:c>
      <x:c r="K782" s="8" t="s">
        <x:v>2282</x:v>
      </x:c>
      <x:c r="L782" s="8" t="s">
        <x:v>2282</x:v>
      </x:c>
      <x:c r="M782" s="8"/>
      <x:c r="N782" s="8"/>
      <x:c r="O782" s="8" t="s">
        <x:v>1622</x:v>
      </x:c>
      <x:c r="P782" s="8" t="s">
        <x:v>115</x:v>
      </x:c>
      <x:c r="Q782" s="8" t="s">
        <x:v>45</x:v>
      </x:c>
      <x:c r="R782" s="8" t="s">
        <x:v>1623</x:v>
      </x:c>
      <x:c r="S782" s="8"/>
      <x:c r="T782" s="8" t="s">
        <x:v>27</x:v>
      </x:c>
      <x:c r="U782" s="8" t="s">
        <x:v>883</x:v>
      </x:c>
      <x:c r="V782" s="8" t="s">
        <x:v>1624</x:v>
      </x:c>
    </x:row>
    <x:row r="783" ht="36" hidden="0" customHeight="1">
      <x:c r="A783" s="8" t="s">
        <x:v>2285</x:v>
      </x:c>
      <x:c r="B783" s="8" t="s">
        <x:v>2268</x:v>
      </x:c>
      <x:c r="C783" s="8"/>
      <x:c r="D783" s="8" t="s">
        <x:v>164</x:v>
      </x:c>
      <x:c r="E783" s="8" t="s">
        <x:v>165</x:v>
      </x:c>
      <x:c r="F783" s="8" t="s">
        <x:v>1617</x:v>
      </x:c>
      <x:c r="G783" s="8" t="s">
        <x:v>109</x:v>
      </x:c>
      <x:c r="H783" s="8" t="s">
        <x:v>2270</x:v>
      </x:c>
      <x:c r="I783" s="8" t="s">
        <x:v>2271</x:v>
      </x:c>
      <x:c r="J783" s="8" t="s">
        <x:v>112</x:v>
      </x:c>
      <x:c r="K783" s="8" t="s">
        <x:v>2282</x:v>
      </x:c>
      <x:c r="L783" s="8" t="s">
        <x:v>2282</x:v>
      </x:c>
      <x:c r="M783" s="8"/>
      <x:c r="N783" s="8"/>
      <x:c r="O783" s="8" t="s">
        <x:v>1622</x:v>
      </x:c>
      <x:c r="P783" s="8" t="s">
        <x:v>115</x:v>
      </x:c>
      <x:c r="Q783" s="8" t="s">
        <x:v>45</x:v>
      </x:c>
      <x:c r="R783" s="8" t="s">
        <x:v>1623</x:v>
      </x:c>
      <x:c r="S783" s="8"/>
      <x:c r="T783" s="8" t="s">
        <x:v>27</x:v>
      </x:c>
      <x:c r="U783" s="8" t="s">
        <x:v>883</x:v>
      </x:c>
      <x:c r="V783" s="8" t="s">
        <x:v>1624</x:v>
      </x:c>
    </x:row>
    <x:row r="784" ht="36" hidden="0" customHeight="1">
      <x:c r="A784" s="8" t="s">
        <x:v>2286</x:v>
      </x:c>
      <x:c r="B784" s="8" t="s">
        <x:v>2268</x:v>
      </x:c>
      <x:c r="C784" s="8"/>
      <x:c r="D784" s="8" t="s">
        <x:v>1652</x:v>
      </x:c>
      <x:c r="E784" s="8" t="s">
        <x:v>2287</x:v>
      </x:c>
      <x:c r="F784" s="8" t="s">
        <x:v>1617</x:v>
      </x:c>
      <x:c r="G784" s="8" t="s">
        <x:v>109</x:v>
      </x:c>
      <x:c r="H784" s="8" t="s">
        <x:v>2270</x:v>
      </x:c>
      <x:c r="I784" s="8" t="s">
        <x:v>2271</x:v>
      </x:c>
      <x:c r="J784" s="8" t="s">
        <x:v>112</x:v>
      </x:c>
      <x:c r="K784" s="8" t="s">
        <x:v>2282</x:v>
      </x:c>
      <x:c r="L784" s="8" t="s">
        <x:v>2282</x:v>
      </x:c>
      <x:c r="M784" s="8"/>
      <x:c r="N784" s="8"/>
      <x:c r="O784" s="8" t="s">
        <x:v>1622</x:v>
      </x:c>
      <x:c r="P784" s="8" t="s">
        <x:v>115</x:v>
      </x:c>
      <x:c r="Q784" s="8" t="s">
        <x:v>45</x:v>
      </x:c>
      <x:c r="R784" s="8" t="s">
        <x:v>1623</x:v>
      </x:c>
      <x:c r="S784" s="8"/>
      <x:c r="T784" s="8" t="s">
        <x:v>27</x:v>
      </x:c>
      <x:c r="U784" s="8" t="s">
        <x:v>883</x:v>
      </x:c>
      <x:c r="V784" s="8" t="s">
        <x:v>1624</x:v>
      </x:c>
    </x:row>
    <x:row r="785" ht="36" hidden="0" customHeight="1">
      <x:c r="A785" s="8" t="s">
        <x:v>2288</x:v>
      </x:c>
      <x:c r="B785" s="8" t="s">
        <x:v>2268</x:v>
      </x:c>
      <x:c r="C785" s="8"/>
      <x:c r="D785" s="8" t="s">
        <x:v>1898</x:v>
      </x:c>
      <x:c r="E785" s="8" t="s">
        <x:v>2289</x:v>
      </x:c>
      <x:c r="F785" s="8" t="s">
        <x:v>1617</x:v>
      </x:c>
      <x:c r="G785" s="8" t="s">
        <x:v>109</x:v>
      </x:c>
      <x:c r="H785" s="8" t="s">
        <x:v>2270</x:v>
      </x:c>
      <x:c r="I785" s="8" t="s">
        <x:v>2271</x:v>
      </x:c>
      <x:c r="J785" s="8" t="s">
        <x:v>112</x:v>
      </x:c>
      <x:c r="K785" s="8" t="s">
        <x:v>2282</x:v>
      </x:c>
      <x:c r="L785" s="8" t="s">
        <x:v>2282</x:v>
      </x:c>
      <x:c r="M785" s="8"/>
      <x:c r="N785" s="8"/>
      <x:c r="O785" s="8" t="s">
        <x:v>1622</x:v>
      </x:c>
      <x:c r="P785" s="8" t="s">
        <x:v>115</x:v>
      </x:c>
      <x:c r="Q785" s="8" t="s">
        <x:v>45</x:v>
      </x:c>
      <x:c r="R785" s="8" t="s">
        <x:v>1623</x:v>
      </x:c>
      <x:c r="S785" s="8"/>
      <x:c r="T785" s="8" t="s">
        <x:v>27</x:v>
      </x:c>
      <x:c r="U785" s="8" t="s">
        <x:v>883</x:v>
      </x:c>
      <x:c r="V785" s="8" t="s">
        <x:v>1624</x:v>
      </x:c>
    </x:row>
    <x:row r="786" ht="36" hidden="0" customHeight="1">
      <x:c r="A786" s="8" t="s">
        <x:v>2290</x:v>
      </x:c>
      <x:c r="B786" s="8" t="s">
        <x:v>2268</x:v>
      </x:c>
      <x:c r="C786" s="8"/>
      <x:c r="D786" s="8" t="s">
        <x:v>2291</x:v>
      </x:c>
      <x:c r="E786" s="8" t="s">
        <x:v>2292</x:v>
      </x:c>
      <x:c r="F786" s="8" t="s">
        <x:v>1617</x:v>
      </x:c>
      <x:c r="G786" s="8" t="s">
        <x:v>109</x:v>
      </x:c>
      <x:c r="H786" s="8" t="s">
        <x:v>2270</x:v>
      </x:c>
      <x:c r="I786" s="8" t="s">
        <x:v>2271</x:v>
      </x:c>
      <x:c r="J786" s="8" t="s">
        <x:v>112</x:v>
      </x:c>
      <x:c r="K786" s="8" t="s">
        <x:v>2282</x:v>
      </x:c>
      <x:c r="L786" s="8" t="s">
        <x:v>2282</x:v>
      </x:c>
      <x:c r="M786" s="8"/>
      <x:c r="N786" s="8"/>
      <x:c r="O786" s="8" t="s">
        <x:v>1622</x:v>
      </x:c>
      <x:c r="P786" s="8" t="s">
        <x:v>115</x:v>
      </x:c>
      <x:c r="Q786" s="8" t="s">
        <x:v>45</x:v>
      </x:c>
      <x:c r="R786" s="8" t="s">
        <x:v>1623</x:v>
      </x:c>
      <x:c r="S786" s="8"/>
      <x:c r="T786" s="8" t="s">
        <x:v>27</x:v>
      </x:c>
      <x:c r="U786" s="8" t="s">
        <x:v>883</x:v>
      </x:c>
      <x:c r="V786" s="8" t="s">
        <x:v>1624</x:v>
      </x:c>
    </x:row>
    <x:row r="787" ht="36" hidden="0" customHeight="1">
      <x:c r="A787" s="8" t="s">
        <x:v>2293</x:v>
      </x:c>
      <x:c r="B787" s="8" t="s">
        <x:v>2268</x:v>
      </x:c>
      <x:c r="C787" s="8"/>
      <x:c r="D787" s="8" t="s">
        <x:v>2294</x:v>
      </x:c>
      <x:c r="E787" s="8" t="s">
        <x:v>2295</x:v>
      </x:c>
      <x:c r="F787" s="8" t="s">
        <x:v>1617</x:v>
      </x:c>
      <x:c r="G787" s="8" t="s">
        <x:v>109</x:v>
      </x:c>
      <x:c r="H787" s="8" t="s">
        <x:v>2270</x:v>
      </x:c>
      <x:c r="I787" s="8" t="s">
        <x:v>2271</x:v>
      </x:c>
      <x:c r="J787" s="8" t="s">
        <x:v>112</x:v>
      </x:c>
      <x:c r="K787" s="8" t="s">
        <x:v>2282</x:v>
      </x:c>
      <x:c r="L787" s="8" t="s">
        <x:v>2282</x:v>
      </x:c>
      <x:c r="M787" s="8"/>
      <x:c r="N787" s="8"/>
      <x:c r="O787" s="8" t="s">
        <x:v>1622</x:v>
      </x:c>
      <x:c r="P787" s="8" t="s">
        <x:v>115</x:v>
      </x:c>
      <x:c r="Q787" s="8" t="s">
        <x:v>45</x:v>
      </x:c>
      <x:c r="R787" s="8" t="s">
        <x:v>1623</x:v>
      </x:c>
      <x:c r="S787" s="8"/>
      <x:c r="T787" s="8" t="s">
        <x:v>27</x:v>
      </x:c>
      <x:c r="U787" s="8" t="s">
        <x:v>883</x:v>
      </x:c>
      <x:c r="V787" s="8" t="s">
        <x:v>1624</x:v>
      </x:c>
    </x:row>
    <x:row r="788" ht="36" hidden="0" customHeight="1">
      <x:c r="A788" s="8" t="s">
        <x:v>2296</x:v>
      </x:c>
      <x:c r="B788" s="8" t="s">
        <x:v>2268</x:v>
      </x:c>
      <x:c r="C788" s="8"/>
      <x:c r="D788" s="8" t="s">
        <x:v>2297</x:v>
      </x:c>
      <x:c r="E788" s="8" t="n">
        <x:v>0.37</x:v>
      </x:c>
      <x:c r="F788" s="8" t="s">
        <x:v>1617</x:v>
      </x:c>
      <x:c r="G788" s="8" t="s">
        <x:v>109</x:v>
      </x:c>
      <x:c r="H788" s="8" t="s">
        <x:v>2270</x:v>
      </x:c>
      <x:c r="I788" s="8" t="s">
        <x:v>2271</x:v>
      </x:c>
      <x:c r="J788" s="8" t="s">
        <x:v>112</x:v>
      </x:c>
      <x:c r="K788" s="8" t="s">
        <x:v>2298</x:v>
      </x:c>
      <x:c r="L788" s="8" t="s">
        <x:v>2298</x:v>
      </x:c>
      <x:c r="M788" s="8"/>
      <x:c r="N788" s="8"/>
      <x:c r="O788" s="8" t="s">
        <x:v>1622</x:v>
      </x:c>
      <x:c r="P788" s="8" t="s">
        <x:v>115</x:v>
      </x:c>
      <x:c r="Q788" s="8" t="s">
        <x:v>45</x:v>
      </x:c>
      <x:c r="R788" s="8" t="s">
        <x:v>1623</x:v>
      </x:c>
      <x:c r="S788" s="8" t="s">
        <x:v>905</x:v>
      </x:c>
      <x:c r="T788" s="8" t="s">
        <x:v>27</x:v>
      </x:c>
      <x:c r="U788" s="8" t="s">
        <x:v>883</x:v>
      </x:c>
      <x:c r="V788" s="8" t="s">
        <x:v>1624</x:v>
      </x:c>
    </x:row>
    <x:row r="789" ht="36" hidden="0" customHeight="1">
      <x:c r="A789" s="8" t="s">
        <x:v>2299</x:v>
      </x:c>
      <x:c r="B789" s="8" t="s">
        <x:v>2268</x:v>
      </x:c>
      <x:c r="C789" s="8"/>
      <x:c r="D789" s="8" t="s">
        <x:v>2300</x:v>
      </x:c>
      <x:c r="E789" s="8" t="n">
        <x:v>0.21</x:v>
      </x:c>
      <x:c r="F789" s="8" t="s">
        <x:v>1617</x:v>
      </x:c>
      <x:c r="G789" s="8" t="s">
        <x:v>109</x:v>
      </x:c>
      <x:c r="H789" s="8" t="s">
        <x:v>2270</x:v>
      </x:c>
      <x:c r="I789" s="8" t="s">
        <x:v>2271</x:v>
      </x:c>
      <x:c r="J789" s="8" t="s">
        <x:v>112</x:v>
      </x:c>
      <x:c r="K789" s="8" t="s">
        <x:v>2298</x:v>
      </x:c>
      <x:c r="L789" s="8" t="s">
        <x:v>2298</x:v>
      </x:c>
      <x:c r="M789" s="8"/>
      <x:c r="N789" s="8"/>
      <x:c r="O789" s="8" t="s">
        <x:v>1622</x:v>
      </x:c>
      <x:c r="P789" s="8" t="s">
        <x:v>115</x:v>
      </x:c>
      <x:c r="Q789" s="8" t="s">
        <x:v>45</x:v>
      </x:c>
      <x:c r="R789" s="8" t="s">
        <x:v>1623</x:v>
      </x:c>
      <x:c r="S789" s="8" t="s">
        <x:v>905</x:v>
      </x:c>
      <x:c r="T789" s="8" t="s">
        <x:v>27</x:v>
      </x:c>
      <x:c r="U789" s="8" t="s">
        <x:v>883</x:v>
      </x:c>
      <x:c r="V789" s="8" t="s">
        <x:v>1624</x:v>
      </x:c>
    </x:row>
    <x:row r="790" ht="36" hidden="0" customHeight="1">
      <x:c r="A790" s="8" t="s">
        <x:v>2301</x:v>
      </x:c>
      <x:c r="B790" s="8" t="s">
        <x:v>2268</x:v>
      </x:c>
      <x:c r="C790" s="8"/>
      <x:c r="D790" s="8" t="s">
        <x:v>2302</x:v>
      </x:c>
      <x:c r="E790" s="8" t="n">
        <x:v>0.41</x:v>
      </x:c>
      <x:c r="F790" s="8" t="s">
        <x:v>1617</x:v>
      </x:c>
      <x:c r="G790" s="8" t="s">
        <x:v>109</x:v>
      </x:c>
      <x:c r="H790" s="8" t="s">
        <x:v>2270</x:v>
      </x:c>
      <x:c r="I790" s="8" t="s">
        <x:v>2271</x:v>
      </x:c>
      <x:c r="J790" s="8" t="s">
        <x:v>112</x:v>
      </x:c>
      <x:c r="K790" s="8" t="s">
        <x:v>2298</x:v>
      </x:c>
      <x:c r="L790" s="8" t="s">
        <x:v>2298</x:v>
      </x:c>
      <x:c r="M790" s="8"/>
      <x:c r="N790" s="8"/>
      <x:c r="O790" s="8" t="s">
        <x:v>1622</x:v>
      </x:c>
      <x:c r="P790" s="8" t="s">
        <x:v>115</x:v>
      </x:c>
      <x:c r="Q790" s="8" t="s">
        <x:v>45</x:v>
      </x:c>
      <x:c r="R790" s="8" t="s">
        <x:v>1623</x:v>
      </x:c>
      <x:c r="S790" s="8" t="s">
        <x:v>905</x:v>
      </x:c>
      <x:c r="T790" s="8" t="s">
        <x:v>27</x:v>
      </x:c>
      <x:c r="U790" s="8" t="s">
        <x:v>883</x:v>
      </x:c>
      <x:c r="V790" s="8" t="s">
        <x:v>1624</x:v>
      </x:c>
    </x:row>
    <x:row r="791" ht="36" hidden="0" customHeight="1">
      <x:c r="A791" s="8" t="s">
        <x:v>2303</x:v>
      </x:c>
      <x:c r="B791" s="8" t="s">
        <x:v>2268</x:v>
      </x:c>
      <x:c r="C791" s="8"/>
      <x:c r="D791" s="8" t="s">
        <x:v>2304</x:v>
      </x:c>
      <x:c r="E791" s="8" t="n">
        <x:v>0.28</x:v>
      </x:c>
      <x:c r="F791" s="8" t="s">
        <x:v>1617</x:v>
      </x:c>
      <x:c r="G791" s="8" t="s">
        <x:v>109</x:v>
      </x:c>
      <x:c r="H791" s="8" t="s">
        <x:v>2270</x:v>
      </x:c>
      <x:c r="I791" s="8" t="s">
        <x:v>2271</x:v>
      </x:c>
      <x:c r="J791" s="8" t="s">
        <x:v>112</x:v>
      </x:c>
      <x:c r="K791" s="8" t="s">
        <x:v>2298</x:v>
      </x:c>
      <x:c r="L791" s="8" t="s">
        <x:v>2298</x:v>
      </x:c>
      <x:c r="M791" s="8"/>
      <x:c r="N791" s="8"/>
      <x:c r="O791" s="8" t="s">
        <x:v>1622</x:v>
      </x:c>
      <x:c r="P791" s="8" t="s">
        <x:v>115</x:v>
      </x:c>
      <x:c r="Q791" s="8" t="s">
        <x:v>45</x:v>
      </x:c>
      <x:c r="R791" s="8" t="s">
        <x:v>1623</x:v>
      </x:c>
      <x:c r="S791" s="8" t="s">
        <x:v>905</x:v>
      </x:c>
      <x:c r="T791" s="8" t="s">
        <x:v>27</x:v>
      </x:c>
      <x:c r="U791" s="8" t="s">
        <x:v>883</x:v>
      </x:c>
      <x:c r="V791" s="8" t="s">
        <x:v>1624</x:v>
      </x:c>
    </x:row>
    <x:row r="792" ht="36" hidden="0" customHeight="1">
      <x:c r="A792" s="8" t="s">
        <x:v>2305</x:v>
      </x:c>
      <x:c r="B792" s="8" t="s">
        <x:v>2306</x:v>
      </x:c>
      <x:c r="C792" s="8"/>
      <x:c r="D792" s="8" t="s">
        <x:v>2307</x:v>
      </x:c>
      <x:c r="E792" s="8" t="n">
        <x:v>4</x:v>
      </x:c>
      <x:c r="F792" s="8" t="s">
        <x:v>1617</x:v>
      </x:c>
      <x:c r="G792" s="8" t="s">
        <x:v>109</x:v>
      </x:c>
      <x:c r="H792" s="8" t="s">
        <x:v>2308</x:v>
      </x:c>
      <x:c r="I792" s="8" t="s">
        <x:v>2309</x:v>
      </x:c>
      <x:c r="J792" s="8" t="s">
        <x:v>112</x:v>
      </x:c>
      <x:c r="K792" s="8" t="s">
        <x:v>497</x:v>
      </x:c>
      <x:c r="L792" s="8" t="s">
        <x:v>497</x:v>
      </x:c>
      <x:c r="M792" s="8"/>
      <x:c r="N792" s="8"/>
      <x:c r="O792" s="8" t="s">
        <x:v>1622</x:v>
      </x:c>
      <x:c r="P792" s="8" t="s">
        <x:v>115</x:v>
      </x:c>
      <x:c r="Q792" s="8" t="s">
        <x:v>45</x:v>
      </x:c>
      <x:c r="R792" s="8" t="s">
        <x:v>1623</x:v>
      </x:c>
      <x:c r="S792" s="8" t="s">
        <x:v>1343</x:v>
      </x:c>
      <x:c r="T792" s="8" t="s">
        <x:v>27</x:v>
      </x:c>
      <x:c r="U792" s="8" t="s">
        <x:v>883</x:v>
      </x:c>
      <x:c r="V792" s="8" t="s">
        <x:v>1624</x:v>
      </x:c>
    </x:row>
    <x:row r="793" ht="36" hidden="0" customHeight="1">
      <x:c r="A793" s="8" t="s">
        <x:v>2310</x:v>
      </x:c>
      <x:c r="B793" s="8" t="s">
        <x:v>2306</x:v>
      </x:c>
      <x:c r="C793" s="8"/>
      <x:c r="D793" s="8" t="s">
        <x:v>1637</x:v>
      </x:c>
      <x:c r="E793" s="8" t="s">
        <x:v>2311</x:v>
      </x:c>
      <x:c r="F793" s="8" t="s">
        <x:v>1617</x:v>
      </x:c>
      <x:c r="G793" s="8" t="s">
        <x:v>109</x:v>
      </x:c>
      <x:c r="H793" s="8" t="s">
        <x:v>2308</x:v>
      </x:c>
      <x:c r="I793" s="8" t="s">
        <x:v>2309</x:v>
      </x:c>
      <x:c r="J793" s="8" t="s">
        <x:v>112</x:v>
      </x:c>
      <x:c r="K793" s="8" t="s">
        <x:v>497</x:v>
      </x:c>
      <x:c r="L793" s="8" t="s">
        <x:v>497</x:v>
      </x:c>
      <x:c r="M793" s="8"/>
      <x:c r="N793" s="8"/>
      <x:c r="O793" s="8" t="s">
        <x:v>1622</x:v>
      </x:c>
      <x:c r="P793" s="8" t="s">
        <x:v>115</x:v>
      </x:c>
      <x:c r="Q793" s="8" t="s">
        <x:v>45</x:v>
      </x:c>
      <x:c r="R793" s="8" t="s">
        <x:v>1623</x:v>
      </x:c>
      <x:c r="S793" s="8"/>
      <x:c r="T793" s="8" t="s">
        <x:v>27</x:v>
      </x:c>
      <x:c r="U793" s="8" t="s">
        <x:v>883</x:v>
      </x:c>
      <x:c r="V793" s="8" t="s">
        <x:v>1624</x:v>
      </x:c>
    </x:row>
    <x:row r="794" ht="36" hidden="0" customHeight="1">
      <x:c r="A794" s="8" t="s">
        <x:v>2312</x:v>
      </x:c>
      <x:c r="B794" s="8" t="s">
        <x:v>2306</x:v>
      </x:c>
      <x:c r="C794" s="8"/>
      <x:c r="D794" s="8" t="s">
        <x:v>445</x:v>
      </x:c>
      <x:c r="E794" s="8" t="s">
        <x:v>2313</x:v>
      </x:c>
      <x:c r="F794" s="8" t="s">
        <x:v>1617</x:v>
      </x:c>
      <x:c r="G794" s="8" t="s">
        <x:v>109</x:v>
      </x:c>
      <x:c r="H794" s="8" t="s">
        <x:v>2308</x:v>
      </x:c>
      <x:c r="I794" s="8" t="s">
        <x:v>2309</x:v>
      </x:c>
      <x:c r="J794" s="8" t="s">
        <x:v>112</x:v>
      </x:c>
      <x:c r="K794" s="8" t="s">
        <x:v>2314</x:v>
      </x:c>
      <x:c r="L794" s="8" t="s">
        <x:v>2314</x:v>
      </x:c>
      <x:c r="M794" s="8"/>
      <x:c r="N794" s="8"/>
      <x:c r="O794" s="8" t="s">
        <x:v>1622</x:v>
      </x:c>
      <x:c r="P794" s="8" t="s">
        <x:v>115</x:v>
      </x:c>
      <x:c r="Q794" s="8" t="s">
        <x:v>45</x:v>
      </x:c>
      <x:c r="R794" s="8" t="s">
        <x:v>1623</x:v>
      </x:c>
      <x:c r="S794" s="8"/>
      <x:c r="T794" s="8" t="s">
        <x:v>27</x:v>
      </x:c>
      <x:c r="U794" s="8" t="s">
        <x:v>883</x:v>
      </x:c>
      <x:c r="V794" s="8" t="s">
        <x:v>1624</x:v>
      </x:c>
    </x:row>
    <x:row r="795" ht="36" hidden="0" customHeight="1">
      <x:c r="A795" s="8" t="s">
        <x:v>2315</x:v>
      </x:c>
      <x:c r="B795" s="8" t="s">
        <x:v>2306</x:v>
      </x:c>
      <x:c r="C795" s="8"/>
      <x:c r="D795" s="8" t="s">
        <x:v>2316</x:v>
      </x:c>
      <x:c r="E795" s="8" t="n">
        <x:v>0</x:v>
      </x:c>
      <x:c r="F795" s="8" t="s">
        <x:v>1617</x:v>
      </x:c>
      <x:c r="G795" s="8" t="s">
        <x:v>109</x:v>
      </x:c>
      <x:c r="H795" s="8" t="s">
        <x:v>2308</x:v>
      </x:c>
      <x:c r="I795" s="8" t="s">
        <x:v>2309</x:v>
      </x:c>
      <x:c r="J795" s="8" t="s">
        <x:v>112</x:v>
      </x:c>
      <x:c r="K795" s="8" t="s">
        <x:v>2314</x:v>
      </x:c>
      <x:c r="L795" s="8" t="s">
        <x:v>2314</x:v>
      </x:c>
      <x:c r="M795" s="8"/>
      <x:c r="N795" s="8"/>
      <x:c r="O795" s="8" t="s">
        <x:v>1622</x:v>
      </x:c>
      <x:c r="P795" s="8" t="s">
        <x:v>115</x:v>
      </x:c>
      <x:c r="Q795" s="8" t="s">
        <x:v>45</x:v>
      </x:c>
      <x:c r="R795" s="8" t="s">
        <x:v>1623</x:v>
      </x:c>
      <x:c r="S795" s="8"/>
      <x:c r="T795" s="8" t="s">
        <x:v>27</x:v>
      </x:c>
      <x:c r="U795" s="8" t="s">
        <x:v>883</x:v>
      </x:c>
      <x:c r="V795" s="8" t="s">
        <x:v>1624</x:v>
      </x:c>
    </x:row>
    <x:row r="796" ht="36" hidden="0" customHeight="1">
      <x:c r="A796" s="8" t="s">
        <x:v>2317</x:v>
      </x:c>
      <x:c r="B796" s="8" t="s">
        <x:v>2306</x:v>
      </x:c>
      <x:c r="C796" s="8"/>
      <x:c r="D796" s="8" t="s">
        <x:v>2318</x:v>
      </x:c>
      <x:c r="E796" s="8" t="n">
        <x:v>0.9</x:v>
      </x:c>
      <x:c r="F796" s="8" t="s">
        <x:v>1617</x:v>
      </x:c>
      <x:c r="G796" s="8" t="s">
        <x:v>109</x:v>
      </x:c>
      <x:c r="H796" s="8" t="s">
        <x:v>2308</x:v>
      </x:c>
      <x:c r="I796" s="8" t="s">
        <x:v>2309</x:v>
      </x:c>
      <x:c r="J796" s="8" t="s">
        <x:v>112</x:v>
      </x:c>
      <x:c r="K796" s="8" t="s">
        <x:v>497</x:v>
      </x:c>
      <x:c r="L796" s="8" t="s">
        <x:v>497</x:v>
      </x:c>
      <x:c r="M796" s="8"/>
      <x:c r="N796" s="8"/>
      <x:c r="O796" s="8" t="s">
        <x:v>1622</x:v>
      </x:c>
      <x:c r="P796" s="8" t="s">
        <x:v>115</x:v>
      </x:c>
      <x:c r="Q796" s="8" t="s">
        <x:v>45</x:v>
      </x:c>
      <x:c r="R796" s="8" t="s">
        <x:v>1623</x:v>
      </x:c>
      <x:c r="S796" s="8"/>
      <x:c r="T796" s="8" t="s">
        <x:v>27</x:v>
      </x:c>
      <x:c r="U796" s="8" t="s">
        <x:v>883</x:v>
      </x:c>
      <x:c r="V796" s="8" t="s">
        <x:v>1624</x:v>
      </x:c>
    </x:row>
    <x:row r="797" ht="36" hidden="0" customHeight="1">
      <x:c r="A797" s="8" t="s">
        <x:v>2319</x:v>
      </x:c>
      <x:c r="B797" s="8" t="s">
        <x:v>2306</x:v>
      </x:c>
      <x:c r="C797" s="8"/>
      <x:c r="D797" s="8" t="s">
        <x:v>318</x:v>
      </x:c>
      <x:c r="E797" s="8" t="n">
        <x:v>0.01</x:v>
      </x:c>
      <x:c r="F797" s="8" t="s">
        <x:v>1617</x:v>
      </x:c>
      <x:c r="G797" s="8" t="s">
        <x:v>109</x:v>
      </x:c>
      <x:c r="H797" s="8" t="s">
        <x:v>2308</x:v>
      </x:c>
      <x:c r="I797" s="8" t="s">
        <x:v>2309</x:v>
      </x:c>
      <x:c r="J797" s="8" t="s">
        <x:v>112</x:v>
      </x:c>
      <x:c r="K797" s="8" t="s">
        <x:v>497</x:v>
      </x:c>
      <x:c r="L797" s="8" t="s">
        <x:v>497</x:v>
      </x:c>
      <x:c r="M797" s="8"/>
      <x:c r="N797" s="8"/>
      <x:c r="O797" s="8" t="s">
        <x:v>1622</x:v>
      </x:c>
      <x:c r="P797" s="8" t="s">
        <x:v>115</x:v>
      </x:c>
      <x:c r="Q797" s="8" t="s">
        <x:v>45</x:v>
      </x:c>
      <x:c r="R797" s="8" t="s">
        <x:v>1623</x:v>
      </x:c>
      <x:c r="S797" s="8"/>
      <x:c r="T797" s="8" t="s">
        <x:v>27</x:v>
      </x:c>
      <x:c r="U797" s="8" t="s">
        <x:v>883</x:v>
      </x:c>
      <x:c r="V797" s="8" t="s">
        <x:v>1624</x:v>
      </x:c>
    </x:row>
    <x:row r="798" ht="36" hidden="0" customHeight="1">
      <x:c r="A798" s="8" t="s">
        <x:v>2320</x:v>
      </x:c>
      <x:c r="B798" s="8" t="s">
        <x:v>2306</x:v>
      </x:c>
      <x:c r="C798" s="8"/>
      <x:c r="D798" s="8" t="s">
        <x:v>167</x:v>
      </x:c>
      <x:c r="E798" s="8" t="n">
        <x:v>100000</x:v>
      </x:c>
      <x:c r="F798" s="8" t="s">
        <x:v>1617</x:v>
      </x:c>
      <x:c r="G798" s="8" t="s">
        <x:v>109</x:v>
      </x:c>
      <x:c r="H798" s="8" t="s">
        <x:v>2308</x:v>
      </x:c>
      <x:c r="I798" s="8" t="s">
        <x:v>2309</x:v>
      </x:c>
      <x:c r="J798" s="8" t="s">
        <x:v>112</x:v>
      </x:c>
      <x:c r="K798" s="8" t="s">
        <x:v>497</x:v>
      </x:c>
      <x:c r="L798" s="8" t="s">
        <x:v>497</x:v>
      </x:c>
      <x:c r="M798" s="8"/>
      <x:c r="N798" s="8"/>
      <x:c r="O798" s="8" t="s">
        <x:v>1622</x:v>
      </x:c>
      <x:c r="P798" s="8" t="s">
        <x:v>115</x:v>
      </x:c>
      <x:c r="Q798" s="8" t="s">
        <x:v>45</x:v>
      </x:c>
      <x:c r="R798" s="8" t="s">
        <x:v>1623</x:v>
      </x:c>
      <x:c r="S798" s="8" t="s">
        <x:v>2321</x:v>
      </x:c>
      <x:c r="T798" s="8" t="s">
        <x:v>27</x:v>
      </x:c>
      <x:c r="U798" s="8" t="s">
        <x:v>883</x:v>
      </x:c>
      <x:c r="V798" s="8" t="s">
        <x:v>1624</x:v>
      </x:c>
    </x:row>
    <x:row r="799" ht="36" hidden="0" customHeight="1">
      <x:c r="A799" s="8" t="s">
        <x:v>2322</x:v>
      </x:c>
      <x:c r="B799" s="8" t="s">
        <x:v>2306</x:v>
      </x:c>
      <x:c r="C799" s="8"/>
      <x:c r="D799" s="8" t="s">
        <x:v>170</x:v>
      </x:c>
      <x:c r="E799" s="8" t="n">
        <x:v>150</x:v>
      </x:c>
      <x:c r="F799" s="8" t="s">
        <x:v>1617</x:v>
      </x:c>
      <x:c r="G799" s="8" t="s">
        <x:v>109</x:v>
      </x:c>
      <x:c r="H799" s="8" t="s">
        <x:v>2308</x:v>
      </x:c>
      <x:c r="I799" s="8" t="s">
        <x:v>2309</x:v>
      </x:c>
      <x:c r="J799" s="8" t="s">
        <x:v>112</x:v>
      </x:c>
      <x:c r="K799" s="8" t="s">
        <x:v>497</x:v>
      </x:c>
      <x:c r="L799" s="8" t="s">
        <x:v>497</x:v>
      </x:c>
      <x:c r="M799" s="8"/>
      <x:c r="N799" s="8"/>
      <x:c r="O799" s="8" t="s">
        <x:v>1622</x:v>
      </x:c>
      <x:c r="P799" s="8" t="s">
        <x:v>115</x:v>
      </x:c>
      <x:c r="Q799" s="8" t="s">
        <x:v>45</x:v>
      </x:c>
      <x:c r="R799" s="8" t="s">
        <x:v>1623</x:v>
      </x:c>
      <x:c r="S799" s="8" t="s">
        <x:v>990</x:v>
      </x:c>
      <x:c r="T799" s="8" t="s">
        <x:v>27</x:v>
      </x:c>
      <x:c r="U799" s="8" t="s">
        <x:v>883</x:v>
      </x:c>
      <x:c r="V799" s="8" t="s">
        <x:v>1624</x:v>
      </x:c>
    </x:row>
    <x:row r="800" ht="36" hidden="0" customHeight="1">
      <x:c r="A800" s="8" t="s">
        <x:v>2323</x:v>
      </x:c>
      <x:c r="B800" s="8" t="s">
        <x:v>2306</x:v>
      </x:c>
      <x:c r="C800" s="8"/>
      <x:c r="D800" s="8" t="s">
        <x:v>2199</x:v>
      </x:c>
      <x:c r="E800" s="8" t="n">
        <x:v>0.1</x:v>
      </x:c>
      <x:c r="F800" s="8" t="s">
        <x:v>1617</x:v>
      </x:c>
      <x:c r="G800" s="8" t="s">
        <x:v>109</x:v>
      </x:c>
      <x:c r="H800" s="8" t="s">
        <x:v>2308</x:v>
      </x:c>
      <x:c r="I800" s="8" t="s">
        <x:v>2309</x:v>
      </x:c>
      <x:c r="J800" s="8" t="s">
        <x:v>112</x:v>
      </x:c>
      <x:c r="K800" s="8" t="s">
        <x:v>497</x:v>
      </x:c>
      <x:c r="L800" s="8" t="s">
        <x:v>497</x:v>
      </x:c>
      <x:c r="M800" s="8"/>
      <x:c r="N800" s="8"/>
      <x:c r="O800" s="8" t="s">
        <x:v>1622</x:v>
      </x:c>
      <x:c r="P800" s="8" t="s">
        <x:v>115</x:v>
      </x:c>
      <x:c r="Q800" s="8" t="s">
        <x:v>45</x:v>
      </x:c>
      <x:c r="R800" s="8" t="s">
        <x:v>1623</x:v>
      </x:c>
      <x:c r="S800" s="8" t="s">
        <x:v>1348</x:v>
      </x:c>
      <x:c r="T800" s="8" t="s">
        <x:v>27</x:v>
      </x:c>
      <x:c r="U800" s="8" t="s">
        <x:v>883</x:v>
      </x:c>
      <x:c r="V800" s="8" t="s">
        <x:v>1624</x:v>
      </x:c>
    </x:row>
    <x:row r="801" ht="36" hidden="0" customHeight="1">
      <x:c r="A801" s="8" t="s">
        <x:v>2324</x:v>
      </x:c>
      <x:c r="B801" s="8" t="s">
        <x:v>2306</x:v>
      </x:c>
      <x:c r="C801" s="8"/>
      <x:c r="D801" s="8" t="s">
        <x:v>2161</x:v>
      </x:c>
      <x:c r="E801" s="8" t="s">
        <x:v>2325</x:v>
      </x:c>
      <x:c r="F801" s="8" t="s">
        <x:v>1617</x:v>
      </x:c>
      <x:c r="G801" s="8" t="s">
        <x:v>109</x:v>
      </x:c>
      <x:c r="H801" s="8" t="s">
        <x:v>2308</x:v>
      </x:c>
      <x:c r="I801" s="8" t="s">
        <x:v>2309</x:v>
      </x:c>
      <x:c r="J801" s="8" t="s">
        <x:v>112</x:v>
      </x:c>
      <x:c r="K801" s="8" t="s">
        <x:v>2326</x:v>
      </x:c>
      <x:c r="L801" s="8" t="s">
        <x:v>2326</x:v>
      </x:c>
      <x:c r="M801" s="8"/>
      <x:c r="N801" s="8"/>
      <x:c r="O801" s="8" t="s">
        <x:v>1622</x:v>
      </x:c>
      <x:c r="P801" s="8" t="s">
        <x:v>115</x:v>
      </x:c>
      <x:c r="Q801" s="8" t="s">
        <x:v>45</x:v>
      </x:c>
      <x:c r="R801" s="8" t="s">
        <x:v>1623</x:v>
      </x:c>
      <x:c r="S801" s="8"/>
      <x:c r="T801" s="8" t="s">
        <x:v>27</x:v>
      </x:c>
      <x:c r="U801" s="8" t="s">
        <x:v>883</x:v>
      </x:c>
      <x:c r="V801" s="8" t="s">
        <x:v>1624</x:v>
      </x:c>
    </x:row>
    <x:row r="802" ht="36" hidden="0" customHeight="1">
      <x:c r="A802" s="8" t="s">
        <x:v>2327</x:v>
      </x:c>
      <x:c r="B802" s="8" t="s">
        <x:v>2306</x:v>
      </x:c>
      <x:c r="C802" s="8"/>
      <x:c r="D802" s="8" t="s">
        <x:v>1626</x:v>
      </x:c>
      <x:c r="E802" s="8" t="s">
        <x:v>2328</x:v>
      </x:c>
      <x:c r="F802" s="8" t="s">
        <x:v>1617</x:v>
      </x:c>
      <x:c r="G802" s="8" t="s">
        <x:v>109</x:v>
      </x:c>
      <x:c r="H802" s="8" t="s">
        <x:v>2308</x:v>
      </x:c>
      <x:c r="I802" s="8" t="s">
        <x:v>2309</x:v>
      </x:c>
      <x:c r="J802" s="8" t="s">
        <x:v>112</x:v>
      </x:c>
      <x:c r="K802" s="8" t="s">
        <x:v>2326</x:v>
      </x:c>
      <x:c r="L802" s="8" t="s">
        <x:v>2326</x:v>
      </x:c>
      <x:c r="M802" s="8"/>
      <x:c r="N802" s="8"/>
      <x:c r="O802" s="8" t="s">
        <x:v>1622</x:v>
      </x:c>
      <x:c r="P802" s="8" t="s">
        <x:v>115</x:v>
      </x:c>
      <x:c r="Q802" s="8" t="s">
        <x:v>45</x:v>
      </x:c>
      <x:c r="R802" s="8" t="s">
        <x:v>1623</x:v>
      </x:c>
      <x:c r="S802" s="8"/>
      <x:c r="T802" s="8" t="s">
        <x:v>27</x:v>
      </x:c>
      <x:c r="U802" s="8" t="s">
        <x:v>883</x:v>
      </x:c>
      <x:c r="V802" s="8" t="s">
        <x:v>1624</x:v>
      </x:c>
    </x:row>
    <x:row r="803" ht="36" hidden="0" customHeight="1">
      <x:c r="A803" s="8" t="s">
        <x:v>2329</x:v>
      </x:c>
      <x:c r="B803" s="8" t="s">
        <x:v>2306</x:v>
      </x:c>
      <x:c r="C803" s="8"/>
      <x:c r="D803" s="8" t="s">
        <x:v>2330</x:v>
      </x:c>
      <x:c r="E803" s="8" t="n">
        <x:v>1</x:v>
      </x:c>
      <x:c r="F803" s="8" t="s">
        <x:v>1617</x:v>
      </x:c>
      <x:c r="G803" s="8" t="s">
        <x:v>109</x:v>
      </x:c>
      <x:c r="H803" s="8" t="s">
        <x:v>2308</x:v>
      </x:c>
      <x:c r="I803" s="8" t="s">
        <x:v>2309</x:v>
      </x:c>
      <x:c r="J803" s="8" t="s">
        <x:v>112</x:v>
      </x:c>
      <x:c r="K803" s="8" t="s">
        <x:v>2326</x:v>
      </x:c>
      <x:c r="L803" s="8" t="s">
        <x:v>2326</x:v>
      </x:c>
      <x:c r="M803" s="8"/>
      <x:c r="N803" s="8"/>
      <x:c r="O803" s="8" t="s">
        <x:v>1622</x:v>
      </x:c>
      <x:c r="P803" s="8" t="s">
        <x:v>115</x:v>
      </x:c>
      <x:c r="Q803" s="8" t="s">
        <x:v>45</x:v>
      </x:c>
      <x:c r="R803" s="8" t="s">
        <x:v>1623</x:v>
      </x:c>
      <x:c r="S803" s="8" t="s">
        <x:v>905</x:v>
      </x:c>
      <x:c r="T803" s="8" t="s">
        <x:v>27</x:v>
      </x:c>
      <x:c r="U803" s="8" t="s">
        <x:v>883</x:v>
      </x:c>
      <x:c r="V803" s="8" t="s">
        <x:v>1624</x:v>
      </x:c>
    </x:row>
    <x:row r="804" ht="36" hidden="0" customHeight="1">
      <x:c r="A804" s="8" t="s">
        <x:v>2331</x:v>
      </x:c>
      <x:c r="B804" s="8" t="s">
        <x:v>2306</x:v>
      </x:c>
      <x:c r="C804" s="8"/>
      <x:c r="D804" s="8" t="s">
        <x:v>1945</x:v>
      </x:c>
      <x:c r="E804" s="8" t="s">
        <x:v>2332</x:v>
      </x:c>
      <x:c r="F804" s="8" t="s">
        <x:v>1617</x:v>
      </x:c>
      <x:c r="G804" s="8" t="s">
        <x:v>109</x:v>
      </x:c>
      <x:c r="H804" s="8" t="s">
        <x:v>2308</x:v>
      </x:c>
      <x:c r="I804" s="8" t="s">
        <x:v>2309</x:v>
      </x:c>
      <x:c r="J804" s="8" t="s">
        <x:v>112</x:v>
      </x:c>
      <x:c r="K804" s="8" t="s">
        <x:v>2333</x:v>
      </x:c>
      <x:c r="L804" s="8" t="s">
        <x:v>2333</x:v>
      </x:c>
      <x:c r="M804" s="8"/>
      <x:c r="N804" s="8"/>
      <x:c r="O804" s="8" t="s">
        <x:v>1622</x:v>
      </x:c>
      <x:c r="P804" s="8" t="s">
        <x:v>115</x:v>
      </x:c>
      <x:c r="Q804" s="8" t="s">
        <x:v>45</x:v>
      </x:c>
      <x:c r="R804" s="8" t="s">
        <x:v>1623</x:v>
      </x:c>
      <x:c r="S804" s="8"/>
      <x:c r="T804" s="8" t="s">
        <x:v>27</x:v>
      </x:c>
      <x:c r="U804" s="8" t="s">
        <x:v>883</x:v>
      </x:c>
      <x:c r="V804" s="8" t="s">
        <x:v>1624</x:v>
      </x:c>
    </x:row>
    <x:row r="805" ht="36" hidden="0" customHeight="1">
      <x:c r="A805" s="8" t="s">
        <x:v>2334</x:v>
      </x:c>
      <x:c r="B805" s="8" t="s">
        <x:v>2306</x:v>
      </x:c>
      <x:c r="C805" s="8"/>
      <x:c r="D805" s="8" t="s">
        <x:v>1948</x:v>
      </x:c>
      <x:c r="E805" s="8" t="s">
        <x:v>2335</x:v>
      </x:c>
      <x:c r="F805" s="8" t="s">
        <x:v>1617</x:v>
      </x:c>
      <x:c r="G805" s="8" t="s">
        <x:v>109</x:v>
      </x:c>
      <x:c r="H805" s="8" t="s">
        <x:v>2308</x:v>
      </x:c>
      <x:c r="I805" s="8" t="s">
        <x:v>2309</x:v>
      </x:c>
      <x:c r="J805" s="8" t="s">
        <x:v>112</x:v>
      </x:c>
      <x:c r="K805" s="8" t="s">
        <x:v>2333</x:v>
      </x:c>
      <x:c r="L805" s="8" t="s">
        <x:v>2333</x:v>
      </x:c>
      <x:c r="M805" s="8"/>
      <x:c r="N805" s="8"/>
      <x:c r="O805" s="8" t="s">
        <x:v>1622</x:v>
      </x:c>
      <x:c r="P805" s="8" t="s">
        <x:v>115</x:v>
      </x:c>
      <x:c r="Q805" s="8" t="s">
        <x:v>45</x:v>
      </x:c>
      <x:c r="R805" s="8" t="s">
        <x:v>1623</x:v>
      </x:c>
      <x:c r="S805" s="8"/>
      <x:c r="T805" s="8" t="s">
        <x:v>27</x:v>
      </x:c>
      <x:c r="U805" s="8" t="s">
        <x:v>883</x:v>
      </x:c>
      <x:c r="V805" s="8" t="s">
        <x:v>1624</x:v>
      </x:c>
    </x:row>
    <x:row r="806" ht="36" hidden="0" customHeight="1">
      <x:c r="A806" s="8" t="s">
        <x:v>2336</x:v>
      </x:c>
      <x:c r="B806" s="8" t="s">
        <x:v>2306</x:v>
      </x:c>
      <x:c r="C806" s="8"/>
      <x:c r="D806" s="8" t="s">
        <x:v>2129</x:v>
      </x:c>
      <x:c r="E806" s="8" t="s">
        <x:v>2337</x:v>
      </x:c>
      <x:c r="F806" s="8" t="s">
        <x:v>1617</x:v>
      </x:c>
      <x:c r="G806" s="8" t="s">
        <x:v>109</x:v>
      </x:c>
      <x:c r="H806" s="8" t="s">
        <x:v>2308</x:v>
      </x:c>
      <x:c r="I806" s="8" t="s">
        <x:v>2309</x:v>
      </x:c>
      <x:c r="J806" s="8" t="s">
        <x:v>112</x:v>
      </x:c>
      <x:c r="K806" s="8" t="s">
        <x:v>2338</x:v>
      </x:c>
      <x:c r="L806" s="8" t="s">
        <x:v>2338</x:v>
      </x:c>
      <x:c r="M806" s="8"/>
      <x:c r="N806" s="8"/>
      <x:c r="O806" s="8" t="s">
        <x:v>1622</x:v>
      </x:c>
      <x:c r="P806" s="8" t="s">
        <x:v>115</x:v>
      </x:c>
      <x:c r="Q806" s="8" t="s">
        <x:v>45</x:v>
      </x:c>
      <x:c r="R806" s="8" t="s">
        <x:v>1623</x:v>
      </x:c>
      <x:c r="S806" s="8"/>
      <x:c r="T806" s="8" t="s">
        <x:v>27</x:v>
      </x:c>
      <x:c r="U806" s="8" t="s">
        <x:v>883</x:v>
      </x:c>
      <x:c r="V806" s="8" t="s">
        <x:v>1624</x:v>
      </x:c>
    </x:row>
    <x:row r="807" ht="36" hidden="0" customHeight="1">
      <x:c r="A807" s="8" t="s">
        <x:v>2339</x:v>
      </x:c>
      <x:c r="B807" s="8" t="s">
        <x:v>2306</x:v>
      </x:c>
      <x:c r="C807" s="8"/>
      <x:c r="D807" s="8" t="s">
        <x:v>2340</x:v>
      </x:c>
      <x:c r="E807" s="8" t="s">
        <x:v>2341</x:v>
      </x:c>
      <x:c r="F807" s="8" t="s">
        <x:v>1617</x:v>
      </x:c>
      <x:c r="G807" s="8" t="s">
        <x:v>187</x:v>
      </x:c>
      <x:c r="H807" s="8" t="s">
        <x:v>2308</x:v>
      </x:c>
      <x:c r="I807" s="8" t="s">
        <x:v>2309</x:v>
      </x:c>
      <x:c r="J807" s="8" t="s">
        <x:v>112</x:v>
      </x:c>
      <x:c r="K807" s="8" t="s">
        <x:v>2342</x:v>
      </x:c>
      <x:c r="L807" s="8" t="s">
        <x:v>2342</x:v>
      </x:c>
      <x:c r="M807" s="8"/>
      <x:c r="N807" s="8"/>
      <x:c r="O807" s="8" t="s">
        <x:v>1622</x:v>
      </x:c>
      <x:c r="P807" s="8" t="s">
        <x:v>115</x:v>
      </x:c>
      <x:c r="Q807" s="8" t="s">
        <x:v>45</x:v>
      </x:c>
      <x:c r="R807" s="8" t="s">
        <x:v>1623</x:v>
      </x:c>
      <x:c r="S807" s="8"/>
      <x:c r="T807" s="8" t="s">
        <x:v>27</x:v>
      </x:c>
      <x:c r="U807" s="8" t="s">
        <x:v>883</x:v>
      </x:c>
      <x:c r="V807" s="8" t="s">
        <x:v>1624</x:v>
      </x:c>
    </x:row>
    <x:row r="808" ht="36" hidden="0" customHeight="1">
      <x:c r="A808" s="8" t="s">
        <x:v>2343</x:v>
      </x:c>
      <x:c r="B808" s="8" t="s">
        <x:v>2344</x:v>
      </x:c>
      <x:c r="C808" s="8"/>
      <x:c r="D808" s="8" t="s">
        <x:v>2345</x:v>
      </x:c>
      <x:c r="E808" s="8" t="n">
        <x:v>3653</x:v>
      </x:c>
      <x:c r="F808" s="8" t="s">
        <x:v>1617</x:v>
      </x:c>
      <x:c r="G808" s="8" t="s">
        <x:v>109</x:v>
      </x:c>
      <x:c r="H808" s="8" t="s">
        <x:v>2346</x:v>
      </x:c>
      <x:c r="I808" s="8" t="s">
        <x:v>2347</x:v>
      </x:c>
      <x:c r="J808" s="8" t="s">
        <x:v>112</x:v>
      </x:c>
      <x:c r="K808" s="8" t="s">
        <x:v>2348</x:v>
      </x:c>
      <x:c r="L808" s="8" t="s">
        <x:v>2348</x:v>
      </x:c>
      <x:c r="M808" s="8"/>
      <x:c r="N808" s="8"/>
      <x:c r="O808" s="8" t="s">
        <x:v>1622</x:v>
      </x:c>
      <x:c r="P808" s="8" t="s">
        <x:v>115</x:v>
      </x:c>
      <x:c r="Q808" s="8" t="s">
        <x:v>45</x:v>
      </x:c>
      <x:c r="R808" s="8" t="s">
        <x:v>1623</x:v>
      </x:c>
      <x:c r="S808" s="8" t="s">
        <x:v>2349</x:v>
      </x:c>
      <x:c r="T808" s="8" t="s">
        <x:v>27</x:v>
      </x:c>
      <x:c r="U808" s="8" t="s">
        <x:v>883</x:v>
      </x:c>
      <x:c r="V808" s="8" t="s">
        <x:v>1624</x:v>
      </x:c>
    </x:row>
    <x:row r="809" ht="36" hidden="0" customHeight="1">
      <x:c r="A809" s="8" t="s">
        <x:v>2350</x:v>
      </x:c>
      <x:c r="B809" s="8" t="s">
        <x:v>2344</x:v>
      </x:c>
      <x:c r="C809" s="8"/>
      <x:c r="D809" s="8" t="s">
        <x:v>2351</x:v>
      </x:c>
      <x:c r="E809" s="8" t="n">
        <x:v>365</x:v>
      </x:c>
      <x:c r="F809" s="8" t="s">
        <x:v>1617</x:v>
      </x:c>
      <x:c r="G809" s="8" t="s">
        <x:v>109</x:v>
      </x:c>
      <x:c r="H809" s="8" t="s">
        <x:v>2346</x:v>
      </x:c>
      <x:c r="I809" s="8" t="s">
        <x:v>2347</x:v>
      </x:c>
      <x:c r="J809" s="8" t="s">
        <x:v>112</x:v>
      </x:c>
      <x:c r="K809" s="8" t="s">
        <x:v>2348</x:v>
      </x:c>
      <x:c r="L809" s="8" t="s">
        <x:v>2348</x:v>
      </x:c>
      <x:c r="M809" s="8"/>
      <x:c r="N809" s="8"/>
      <x:c r="O809" s="8" t="s">
        <x:v>1622</x:v>
      </x:c>
      <x:c r="P809" s="8" t="s">
        <x:v>115</x:v>
      </x:c>
      <x:c r="Q809" s="8" t="s">
        <x:v>45</x:v>
      </x:c>
      <x:c r="R809" s="8" t="s">
        <x:v>1623</x:v>
      </x:c>
      <x:c r="S809" s="8" t="s">
        <x:v>2352</x:v>
      </x:c>
      <x:c r="T809" s="8" t="s">
        <x:v>27</x:v>
      </x:c>
      <x:c r="U809" s="8" t="s">
        <x:v>883</x:v>
      </x:c>
      <x:c r="V809" s="8" t="s">
        <x:v>1624</x:v>
      </x:c>
    </x:row>
    <x:row r="810" ht="36" hidden="0" customHeight="1">
      <x:c r="A810" s="8" t="s">
        <x:v>2353</x:v>
      </x:c>
      <x:c r="B810" s="8" t="s">
        <x:v>2344</x:v>
      </x:c>
      <x:c r="C810" s="8"/>
      <x:c r="D810" s="8" t="s">
        <x:v>2354</x:v>
      </x:c>
      <x:c r="E810" s="8" t="s">
        <x:v>2355</x:v>
      </x:c>
      <x:c r="F810" s="8" t="s">
        <x:v>1617</x:v>
      </x:c>
      <x:c r="G810" s="8" t="s">
        <x:v>109</x:v>
      </x:c>
      <x:c r="H810" s="8" t="s">
        <x:v>2346</x:v>
      </x:c>
      <x:c r="I810" s="8" t="s">
        <x:v>2347</x:v>
      </x:c>
      <x:c r="J810" s="8" t="s">
        <x:v>112</x:v>
      </x:c>
      <x:c r="K810" s="8" t="s">
        <x:v>2348</x:v>
      </x:c>
      <x:c r="L810" s="8" t="s">
        <x:v>2348</x:v>
      </x:c>
      <x:c r="M810" s="8"/>
      <x:c r="N810" s="8"/>
      <x:c r="O810" s="8" t="s">
        <x:v>1622</x:v>
      </x:c>
      <x:c r="P810" s="8" t="s">
        <x:v>115</x:v>
      </x:c>
      <x:c r="Q810" s="8" t="s">
        <x:v>45</x:v>
      </x:c>
      <x:c r="R810" s="8" t="s">
        <x:v>1623</x:v>
      </x:c>
      <x:c r="S810" s="8"/>
      <x:c r="T810" s="8" t="s">
        <x:v>27</x:v>
      </x:c>
      <x:c r="U810" s="8" t="s">
        <x:v>883</x:v>
      </x:c>
      <x:c r="V810" s="8" t="s">
        <x:v>1624</x:v>
      </x:c>
    </x:row>
    <x:row r="811" ht="36" hidden="0" customHeight="1">
      <x:c r="A811" s="8" t="s">
        <x:v>2356</x:v>
      </x:c>
      <x:c r="B811" s="8" t="s">
        <x:v>2344</x:v>
      </x:c>
      <x:c r="C811" s="8"/>
      <x:c r="D811" s="8" t="s">
        <x:v>2357</x:v>
      </x:c>
      <x:c r="E811" s="8" t="n">
        <x:v>700</x:v>
      </x:c>
      <x:c r="F811" s="8" t="s">
        <x:v>1617</x:v>
      </x:c>
      <x:c r="G811" s="8" t="s">
        <x:v>109</x:v>
      </x:c>
      <x:c r="H811" s="8" t="s">
        <x:v>2346</x:v>
      </x:c>
      <x:c r="I811" s="8" t="s">
        <x:v>2347</x:v>
      </x:c>
      <x:c r="J811" s="8" t="s">
        <x:v>112</x:v>
      </x:c>
      <x:c r="K811" s="8" t="s">
        <x:v>2358</x:v>
      </x:c>
      <x:c r="L811" s="8" t="s">
        <x:v>2358</x:v>
      </x:c>
      <x:c r="M811" s="8"/>
      <x:c r="N811" s="8"/>
      <x:c r="O811" s="8" t="s">
        <x:v>1622</x:v>
      </x:c>
      <x:c r="P811" s="8" t="s">
        <x:v>115</x:v>
      </x:c>
      <x:c r="Q811" s="8" t="s">
        <x:v>45</x:v>
      </x:c>
      <x:c r="R811" s="8" t="s">
        <x:v>1623</x:v>
      </x:c>
      <x:c r="S811" s="8" t="s">
        <x:v>902</x:v>
      </x:c>
      <x:c r="T811" s="8" t="s">
        <x:v>27</x:v>
      </x:c>
      <x:c r="U811" s="8" t="s">
        <x:v>883</x:v>
      </x:c>
      <x:c r="V811" s="8" t="s">
        <x:v>1624</x:v>
      </x:c>
    </x:row>
    <x:row r="812" ht="36" hidden="0" customHeight="1">
      <x:c r="A812" s="8" t="s">
        <x:v>2359</x:v>
      </x:c>
      <x:c r="B812" s="8" t="s">
        <x:v>2344</x:v>
      </x:c>
      <x:c r="C812" s="8"/>
      <x:c r="D812" s="8" t="s">
        <x:v>2360</x:v>
      </x:c>
      <x:c r="E812" s="8" t="s">
        <x:v>2361</x:v>
      </x:c>
      <x:c r="F812" s="8" t="s">
        <x:v>1617</x:v>
      </x:c>
      <x:c r="G812" s="8" t="s">
        <x:v>109</x:v>
      </x:c>
      <x:c r="H812" s="8" t="s">
        <x:v>2346</x:v>
      </x:c>
      <x:c r="I812" s="8" t="s">
        <x:v>2347</x:v>
      </x:c>
      <x:c r="J812" s="8" t="s">
        <x:v>112</x:v>
      </x:c>
      <x:c r="K812" s="8" t="s">
        <x:v>2358</x:v>
      </x:c>
      <x:c r="L812" s="8" t="s">
        <x:v>2358</x:v>
      </x:c>
      <x:c r="M812" s="8"/>
      <x:c r="N812" s="8"/>
      <x:c r="O812" s="8" t="s">
        <x:v>1622</x:v>
      </x:c>
      <x:c r="P812" s="8" t="s">
        <x:v>115</x:v>
      </x:c>
      <x:c r="Q812" s="8" t="s">
        <x:v>45</x:v>
      </x:c>
      <x:c r="R812" s="8" t="s">
        <x:v>1623</x:v>
      </x:c>
      <x:c r="S812" s="8" t="s">
        <x:v>1879</x:v>
      </x:c>
      <x:c r="T812" s="8" t="s">
        <x:v>27</x:v>
      </x:c>
      <x:c r="U812" s="8" t="s">
        <x:v>883</x:v>
      </x:c>
      <x:c r="V812" s="8" t="s">
        <x:v>1624</x:v>
      </x:c>
    </x:row>
    <x:row r="813" ht="36" hidden="0" customHeight="1">
      <x:c r="A813" s="8" t="s">
        <x:v>2362</x:v>
      </x:c>
      <x:c r="B813" s="8" t="s">
        <x:v>2344</x:v>
      </x:c>
      <x:c r="C813" s="8"/>
      <x:c r="D813" s="8" t="s">
        <x:v>1889</x:v>
      </x:c>
      <x:c r="E813" s="8" t="s">
        <x:v>2363</x:v>
      </x:c>
      <x:c r="F813" s="8" t="s">
        <x:v>1617</x:v>
      </x:c>
      <x:c r="G813" s="8" t="s">
        <x:v>109</x:v>
      </x:c>
      <x:c r="H813" s="8" t="s">
        <x:v>2346</x:v>
      </x:c>
      <x:c r="I813" s="8" t="s">
        <x:v>2347</x:v>
      </x:c>
      <x:c r="J813" s="8" t="s">
        <x:v>112</x:v>
      </x:c>
      <x:c r="K813" s="8" t="s">
        <x:v>2364</x:v>
      </x:c>
      <x:c r="L813" s="8" t="s">
        <x:v>2364</x:v>
      </x:c>
      <x:c r="M813" s="8"/>
      <x:c r="N813" s="8"/>
      <x:c r="O813" s="8" t="s">
        <x:v>1622</x:v>
      </x:c>
      <x:c r="P813" s="8" t="s">
        <x:v>115</x:v>
      </x:c>
      <x:c r="Q813" s="8" t="s">
        <x:v>45</x:v>
      </x:c>
      <x:c r="R813" s="8" t="s">
        <x:v>1623</x:v>
      </x:c>
      <x:c r="S813" s="8"/>
      <x:c r="T813" s="8" t="s">
        <x:v>27</x:v>
      </x:c>
      <x:c r="U813" s="8" t="s">
        <x:v>883</x:v>
      </x:c>
      <x:c r="V813" s="8" t="s">
        <x:v>1624</x:v>
      </x:c>
    </x:row>
    <x:row r="814" ht="36" hidden="0" customHeight="1">
      <x:c r="A814" s="8" t="s">
        <x:v>2365</x:v>
      </x:c>
      <x:c r="B814" s="8" t="s">
        <x:v>2344</x:v>
      </x:c>
      <x:c r="C814" s="8"/>
      <x:c r="D814" s="8" t="s">
        <x:v>167</x:v>
      </x:c>
      <x:c r="E814" s="8" t="n">
        <x:v>16</x:v>
      </x:c>
      <x:c r="F814" s="8" t="s">
        <x:v>1617</x:v>
      </x:c>
      <x:c r="G814" s="8" t="s">
        <x:v>109</x:v>
      </x:c>
      <x:c r="H814" s="8" t="s">
        <x:v>2346</x:v>
      </x:c>
      <x:c r="I814" s="8" t="s">
        <x:v>2347</x:v>
      </x:c>
      <x:c r="J814" s="8" t="s">
        <x:v>112</x:v>
      </x:c>
      <x:c r="K814" s="8" t="s">
        <x:v>2364</x:v>
      </x:c>
      <x:c r="L814" s="8" t="s">
        <x:v>2364</x:v>
      </x:c>
      <x:c r="M814" s="8"/>
      <x:c r="N814" s="8"/>
      <x:c r="O814" s="8" t="s">
        <x:v>1622</x:v>
      </x:c>
      <x:c r="P814" s="8" t="s">
        <x:v>115</x:v>
      </x:c>
      <x:c r="Q814" s="8" t="s">
        <x:v>45</x:v>
      </x:c>
      <x:c r="R814" s="8" t="s">
        <x:v>1623</x:v>
      </x:c>
      <x:c r="S814" s="8" t="s">
        <x:v>1954</x:v>
      </x:c>
      <x:c r="T814" s="8" t="s">
        <x:v>27</x:v>
      </x:c>
      <x:c r="U814" s="8" t="s">
        <x:v>883</x:v>
      </x:c>
      <x:c r="V814" s="8" t="s">
        <x:v>1624</x:v>
      </x:c>
    </x:row>
    <x:row r="815" ht="36" hidden="0" customHeight="1">
      <x:c r="A815" s="8" t="s">
        <x:v>2366</x:v>
      </x:c>
      <x:c r="B815" s="8" t="s">
        <x:v>2344</x:v>
      </x:c>
      <x:c r="C815" s="8"/>
      <x:c r="D815" s="8" t="s">
        <x:v>170</x:v>
      </x:c>
      <x:c r="E815" s="8" t="n">
        <x:v>200</x:v>
      </x:c>
      <x:c r="F815" s="8" t="s">
        <x:v>1617</x:v>
      </x:c>
      <x:c r="G815" s="8" t="s">
        <x:v>109</x:v>
      </x:c>
      <x:c r="H815" s="8" t="s">
        <x:v>2346</x:v>
      </x:c>
      <x:c r="I815" s="8" t="s">
        <x:v>2347</x:v>
      </x:c>
      <x:c r="J815" s="8" t="s">
        <x:v>112</x:v>
      </x:c>
      <x:c r="K815" s="8" t="s">
        <x:v>2364</x:v>
      </x:c>
      <x:c r="L815" s="8" t="s">
        <x:v>2364</x:v>
      </x:c>
      <x:c r="M815" s="8"/>
      <x:c r="N815" s="8"/>
      <x:c r="O815" s="8" t="s">
        <x:v>1622</x:v>
      </x:c>
      <x:c r="P815" s="8" t="s">
        <x:v>115</x:v>
      </x:c>
      <x:c r="Q815" s="8" t="s">
        <x:v>45</x:v>
      </x:c>
      <x:c r="R815" s="8" t="s">
        <x:v>1623</x:v>
      </x:c>
      <x:c r="S815" s="8" t="s">
        <x:v>990</x:v>
      </x:c>
      <x:c r="T815" s="8" t="s">
        <x:v>27</x:v>
      </x:c>
      <x:c r="U815" s="8" t="s">
        <x:v>883</x:v>
      </x:c>
      <x:c r="V815" s="8" t="s">
        <x:v>1624</x:v>
      </x:c>
    </x:row>
    <x:row r="816" ht="36" hidden="0" customHeight="1">
      <x:c r="A816" s="8" t="s">
        <x:v>2367</x:v>
      </x:c>
      <x:c r="B816" s="8" t="s">
        <x:v>2344</x:v>
      </x:c>
      <x:c r="C816" s="8"/>
      <x:c r="D816" s="8" t="s">
        <x:v>1648</x:v>
      </x:c>
      <x:c r="E816" s="8" t="n">
        <x:v>0.01</x:v>
      </x:c>
      <x:c r="F816" s="8" t="s">
        <x:v>1617</x:v>
      </x:c>
      <x:c r="G816" s="8" t="s">
        <x:v>109</x:v>
      </x:c>
      <x:c r="H816" s="8" t="s">
        <x:v>2346</x:v>
      </x:c>
      <x:c r="I816" s="8" t="s">
        <x:v>2347</x:v>
      </x:c>
      <x:c r="J816" s="8" t="s">
        <x:v>112</x:v>
      </x:c>
      <x:c r="K816" s="8" t="s">
        <x:v>2364</x:v>
      </x:c>
      <x:c r="L816" s="8" t="s">
        <x:v>2364</x:v>
      </x:c>
      <x:c r="M816" s="8"/>
      <x:c r="N816" s="8"/>
      <x:c r="O816" s="8" t="s">
        <x:v>1622</x:v>
      </x:c>
      <x:c r="P816" s="8" t="s">
        <x:v>115</x:v>
      </x:c>
      <x:c r="Q816" s="8" t="s">
        <x:v>45</x:v>
      </x:c>
      <x:c r="R816" s="8" t="s">
        <x:v>1623</x:v>
      </x:c>
      <x:c r="S816" s="8"/>
      <x:c r="T816" s="8" t="s">
        <x:v>27</x:v>
      </x:c>
      <x:c r="U816" s="8" t="s">
        <x:v>883</x:v>
      </x:c>
      <x:c r="V816" s="8" t="s">
        <x:v>1624</x:v>
      </x:c>
    </x:row>
    <x:row r="817" ht="36" hidden="0" customHeight="1">
      <x:c r="A817" s="8" t="s">
        <x:v>2368</x:v>
      </x:c>
      <x:c r="B817" s="8" t="s">
        <x:v>2344</x:v>
      </x:c>
      <x:c r="C817" s="8"/>
      <x:c r="D817" s="8" t="s">
        <x:v>2369</x:v>
      </x:c>
      <x:c r="E817" s="8" t="n">
        <x:v>0.0001</x:v>
      </x:c>
      <x:c r="F817" s="8" t="s">
        <x:v>1617</x:v>
      </x:c>
      <x:c r="G817" s="8" t="s">
        <x:v>109</x:v>
      </x:c>
      <x:c r="H817" s="8" t="s">
        <x:v>2346</x:v>
      </x:c>
      <x:c r="I817" s="8" t="s">
        <x:v>2347</x:v>
      </x:c>
      <x:c r="J817" s="8" t="s">
        <x:v>112</x:v>
      </x:c>
      <x:c r="K817" s="8" t="s">
        <x:v>2364</x:v>
      </x:c>
      <x:c r="L817" s="8" t="s">
        <x:v>2364</x:v>
      </x:c>
      <x:c r="M817" s="8"/>
      <x:c r="N817" s="8"/>
      <x:c r="O817" s="8" t="s">
        <x:v>1622</x:v>
      </x:c>
      <x:c r="P817" s="8" t="s">
        <x:v>115</x:v>
      </x:c>
      <x:c r="Q817" s="8" t="s">
        <x:v>45</x:v>
      </x:c>
      <x:c r="R817" s="8" t="s">
        <x:v>1623</x:v>
      </x:c>
      <x:c r="S817" s="8"/>
      <x:c r="T817" s="8" t="s">
        <x:v>27</x:v>
      </x:c>
      <x:c r="U817" s="8" t="s">
        <x:v>883</x:v>
      </x:c>
      <x:c r="V817" s="8" t="s">
        <x:v>1624</x:v>
      </x:c>
    </x:row>
    <x:row r="818" ht="36" hidden="0" customHeight="1">
      <x:c r="A818" s="8" t="s">
        <x:v>2370</x:v>
      </x:c>
      <x:c r="B818" s="8" t="s">
        <x:v>2344</x:v>
      </x:c>
      <x:c r="C818" s="8"/>
      <x:c r="D818" s="8" t="s">
        <x:v>164</x:v>
      </x:c>
      <x:c r="E818" s="8" t="s">
        <x:v>2371</x:v>
      </x:c>
      <x:c r="F818" s="8" t="s">
        <x:v>1617</x:v>
      </x:c>
      <x:c r="G818" s="8" t="s">
        <x:v>109</x:v>
      </x:c>
      <x:c r="H818" s="8" t="s">
        <x:v>2346</x:v>
      </x:c>
      <x:c r="I818" s="8" t="s">
        <x:v>2347</x:v>
      </x:c>
      <x:c r="J818" s="8" t="s">
        <x:v>112</x:v>
      </x:c>
      <x:c r="K818" s="8" t="s">
        <x:v>2364</x:v>
      </x:c>
      <x:c r="L818" s="8" t="s">
        <x:v>2364</x:v>
      </x:c>
      <x:c r="M818" s="8"/>
      <x:c r="N818" s="8"/>
      <x:c r="O818" s="8" t="s">
        <x:v>1622</x:v>
      </x:c>
      <x:c r="P818" s="8" t="s">
        <x:v>115</x:v>
      </x:c>
      <x:c r="Q818" s="8" t="s">
        <x:v>45</x:v>
      </x:c>
      <x:c r="R818" s="8" t="s">
        <x:v>1623</x:v>
      </x:c>
      <x:c r="S818" s="8"/>
      <x:c r="T818" s="8" t="s">
        <x:v>27</x:v>
      </x:c>
      <x:c r="U818" s="8" t="s">
        <x:v>883</x:v>
      </x:c>
      <x:c r="V818" s="8" t="s">
        <x:v>1624</x:v>
      </x:c>
    </x:row>
    <x:row r="819" ht="36" hidden="0" customHeight="1">
      <x:c r="A819" s="8" t="s">
        <x:v>2372</x:v>
      </x:c>
      <x:c r="B819" s="8" t="s">
        <x:v>2344</x:v>
      </x:c>
      <x:c r="C819" s="8"/>
      <x:c r="D819" s="8" t="s">
        <x:v>2199</x:v>
      </x:c>
      <x:c r="E819" s="8" t="n">
        <x:v>0.2</x:v>
      </x:c>
      <x:c r="F819" s="8" t="s">
        <x:v>1617</x:v>
      </x:c>
      <x:c r="G819" s="8" t="s">
        <x:v>109</x:v>
      </x:c>
      <x:c r="H819" s="8" t="s">
        <x:v>2346</x:v>
      </x:c>
      <x:c r="I819" s="8" t="s">
        <x:v>2347</x:v>
      </x:c>
      <x:c r="J819" s="8" t="s">
        <x:v>112</x:v>
      </x:c>
      <x:c r="K819" s="8" t="s">
        <x:v>2364</x:v>
      </x:c>
      <x:c r="L819" s="8" t="s">
        <x:v>2364</x:v>
      </x:c>
      <x:c r="M819" s="8"/>
      <x:c r="N819" s="8"/>
      <x:c r="O819" s="8" t="s">
        <x:v>1622</x:v>
      </x:c>
      <x:c r="P819" s="8" t="s">
        <x:v>115</x:v>
      </x:c>
      <x:c r="Q819" s="8" t="s">
        <x:v>45</x:v>
      </x:c>
      <x:c r="R819" s="8" t="s">
        <x:v>1623</x:v>
      </x:c>
      <x:c r="S819" s="8" t="s">
        <x:v>1348</x:v>
      </x:c>
      <x:c r="T819" s="8" t="s">
        <x:v>27</x:v>
      </x:c>
      <x:c r="U819" s="8" t="s">
        <x:v>883</x:v>
      </x:c>
      <x:c r="V819" s="8" t="s">
        <x:v>1624</x:v>
      </x:c>
    </x:row>
    <x:row r="820" ht="36" hidden="0" customHeight="1">
      <x:c r="A820" s="8" t="s">
        <x:v>2373</x:v>
      </x:c>
      <x:c r="B820" s="8" t="s">
        <x:v>2344</x:v>
      </x:c>
      <x:c r="C820" s="8"/>
      <x:c r="D820" s="8" t="s">
        <x:v>2374</x:v>
      </x:c>
      <x:c r="E820" s="8" t="s">
        <x:v>2375</x:v>
      </x:c>
      <x:c r="F820" s="8" t="s">
        <x:v>1617</x:v>
      </x:c>
      <x:c r="G820" s="8" t="s">
        <x:v>109</x:v>
      </x:c>
      <x:c r="H820" s="8" t="s">
        <x:v>2346</x:v>
      </x:c>
      <x:c r="I820" s="8" t="s">
        <x:v>2347</x:v>
      </x:c>
      <x:c r="J820" s="8" t="s">
        <x:v>112</x:v>
      </x:c>
      <x:c r="K820" s="8" t="s">
        <x:v>2376</x:v>
      </x:c>
      <x:c r="L820" s="8" t="s">
        <x:v>2376</x:v>
      </x:c>
      <x:c r="M820" s="8"/>
      <x:c r="N820" s="8"/>
      <x:c r="O820" s="8" t="s">
        <x:v>1622</x:v>
      </x:c>
      <x:c r="P820" s="8" t="s">
        <x:v>115</x:v>
      </x:c>
      <x:c r="Q820" s="8" t="s">
        <x:v>45</x:v>
      </x:c>
      <x:c r="R820" s="8" t="s">
        <x:v>1623</x:v>
      </x:c>
      <x:c r="S820" s="8"/>
      <x:c r="T820" s="8" t="s">
        <x:v>27</x:v>
      </x:c>
      <x:c r="U820" s="8" t="s">
        <x:v>883</x:v>
      </x:c>
      <x:c r="V820" s="8" t="s">
        <x:v>1624</x:v>
      </x:c>
    </x:row>
    <x:row r="821" ht="36" hidden="0" customHeight="1">
      <x:c r="A821" s="8" t="s">
        <x:v>2377</x:v>
      </x:c>
      <x:c r="B821" s="8" t="s">
        <x:v>2344</x:v>
      </x:c>
      <x:c r="C821" s="8"/>
      <x:c r="D821" s="8" t="s">
        <x:v>1892</x:v>
      </x:c>
      <x:c r="E821" s="8" t="n">
        <x:v>1733</x:v>
      </x:c>
      <x:c r="F821" s="8" t="s">
        <x:v>1617</x:v>
      </x:c>
      <x:c r="G821" s="8" t="s">
        <x:v>109</x:v>
      </x:c>
      <x:c r="H821" s="8" t="s">
        <x:v>2346</x:v>
      </x:c>
      <x:c r="I821" s="8" t="s">
        <x:v>2347</x:v>
      </x:c>
      <x:c r="J821" s="8" t="s">
        <x:v>112</x:v>
      </x:c>
      <x:c r="K821" s="8" t="s">
        <x:v>2378</x:v>
      </x:c>
      <x:c r="L821" s="8" t="s">
        <x:v>2378</x:v>
      </x:c>
      <x:c r="M821" s="8"/>
      <x:c r="N821" s="8"/>
      <x:c r="O821" s="8" t="s">
        <x:v>1622</x:v>
      </x:c>
      <x:c r="P821" s="8" t="s">
        <x:v>115</x:v>
      </x:c>
      <x:c r="Q821" s="8" t="s">
        <x:v>45</x:v>
      </x:c>
      <x:c r="R821" s="8" t="s">
        <x:v>1623</x:v>
      </x:c>
      <x:c r="S821" s="8" t="s">
        <x:v>2379</x:v>
      </x:c>
      <x:c r="T821" s="8" t="s">
        <x:v>27</x:v>
      </x:c>
      <x:c r="U821" s="8" t="s">
        <x:v>883</x:v>
      </x:c>
      <x:c r="V821" s="8" t="s">
        <x:v>1624</x:v>
      </x:c>
    </x:row>
    <x:row r="822" ht="36" hidden="0" customHeight="1">
      <x:c r="A822" s="8" t="s">
        <x:v>2380</x:v>
      </x:c>
      <x:c r="B822" s="8" t="s">
        <x:v>2344</x:v>
      </x:c>
      <x:c r="C822" s="8"/>
      <x:c r="D822" s="8" t="s">
        <x:v>2381</x:v>
      </x:c>
      <x:c r="E822" s="8" t="n">
        <x:v>75.1</x:v>
      </x:c>
      <x:c r="F822" s="8" t="s">
        <x:v>1617</x:v>
      </x:c>
      <x:c r="G822" s="8" t="s">
        <x:v>109</x:v>
      </x:c>
      <x:c r="H822" s="8" t="s">
        <x:v>2346</x:v>
      </x:c>
      <x:c r="I822" s="8" t="s">
        <x:v>2347</x:v>
      </x:c>
      <x:c r="J822" s="8" t="s">
        <x:v>112</x:v>
      </x:c>
      <x:c r="K822" s="8" t="s">
        <x:v>2378</x:v>
      </x:c>
      <x:c r="L822" s="8" t="s">
        <x:v>2378</x:v>
      </x:c>
      <x:c r="M822" s="8"/>
      <x:c r="N822" s="8"/>
      <x:c r="O822" s="8" t="s">
        <x:v>1622</x:v>
      </x:c>
      <x:c r="P822" s="8" t="s">
        <x:v>115</x:v>
      </x:c>
      <x:c r="Q822" s="8" t="s">
        <x:v>45</x:v>
      </x:c>
      <x:c r="R822" s="8" t="s">
        <x:v>1623</x:v>
      </x:c>
      <x:c r="S822" s="8" t="s">
        <x:v>2382</x:v>
      </x:c>
      <x:c r="T822" s="8" t="s">
        <x:v>27</x:v>
      </x:c>
      <x:c r="U822" s="8" t="s">
        <x:v>883</x:v>
      </x:c>
      <x:c r="V822" s="8" t="s">
        <x:v>1624</x:v>
      </x:c>
    </x:row>
    <x:row r="823" ht="36" hidden="0" customHeight="1">
      <x:c r="A823" s="8" t="s">
        <x:v>2383</x:v>
      </x:c>
      <x:c r="B823" s="8" t="s">
        <x:v>2344</x:v>
      </x:c>
      <x:c r="C823" s="8"/>
      <x:c r="D823" s="8" t="s">
        <x:v>2384</x:v>
      </x:c>
      <x:c r="E823" s="8" t="n">
        <x:v>72.9</x:v>
      </x:c>
      <x:c r="F823" s="8" t="s">
        <x:v>1617</x:v>
      </x:c>
      <x:c r="G823" s="8" t="s">
        <x:v>109</x:v>
      </x:c>
      <x:c r="H823" s="8" t="s">
        <x:v>2346</x:v>
      </x:c>
      <x:c r="I823" s="8" t="s">
        <x:v>2347</x:v>
      </x:c>
      <x:c r="J823" s="8" t="s">
        <x:v>112</x:v>
      </x:c>
      <x:c r="K823" s="8" t="s">
        <x:v>2385</x:v>
      </x:c>
      <x:c r="L823" s="8" t="s">
        <x:v>2385</x:v>
      </x:c>
      <x:c r="M823" s="8"/>
      <x:c r="N823" s="8"/>
      <x:c r="O823" s="8" t="s">
        <x:v>1622</x:v>
      </x:c>
      <x:c r="P823" s="8" t="s">
        <x:v>115</x:v>
      </x:c>
      <x:c r="Q823" s="8" t="s">
        <x:v>45</x:v>
      </x:c>
      <x:c r="R823" s="8" t="s">
        <x:v>1623</x:v>
      </x:c>
      <x:c r="S823" s="8" t="s">
        <x:v>2382</x:v>
      </x:c>
      <x:c r="T823" s="8" t="s">
        <x:v>27</x:v>
      </x:c>
      <x:c r="U823" s="8" t="s">
        <x:v>883</x:v>
      </x:c>
      <x:c r="V823" s="8" t="s">
        <x:v>1624</x:v>
      </x:c>
    </x:row>
    <x:row r="824" ht="36" hidden="0" customHeight="1">
      <x:c r="A824" s="8" t="s">
        <x:v>2386</x:v>
      </x:c>
      <x:c r="B824" s="8" t="s">
        <x:v>2344</x:v>
      </x:c>
      <x:c r="C824" s="8"/>
      <x:c r="D824" s="8" t="s">
        <x:v>2387</x:v>
      </x:c>
      <x:c r="E824" s="8" t="s">
        <x:v>2388</x:v>
      </x:c>
      <x:c r="F824" s="8" t="s">
        <x:v>1617</x:v>
      </x:c>
      <x:c r="G824" s="8" t="s">
        <x:v>109</x:v>
      </x:c>
      <x:c r="H824" s="8" t="s">
        <x:v>2346</x:v>
      </x:c>
      <x:c r="I824" s="8" t="s">
        <x:v>2347</x:v>
      </x:c>
      <x:c r="J824" s="8" t="s">
        <x:v>112</x:v>
      </x:c>
      <x:c r="K824" s="8" t="s">
        <x:v>2376</x:v>
      </x:c>
      <x:c r="L824" s="8" t="s">
        <x:v>2376</x:v>
      </x:c>
      <x:c r="M824" s="8"/>
      <x:c r="N824" s="8"/>
      <x:c r="O824" s="8" t="s">
        <x:v>1622</x:v>
      </x:c>
      <x:c r="P824" s="8" t="s">
        <x:v>115</x:v>
      </x:c>
      <x:c r="Q824" s="8" t="s">
        <x:v>45</x:v>
      </x:c>
      <x:c r="R824" s="8" t="s">
        <x:v>1623</x:v>
      </x:c>
      <x:c r="S824" s="8"/>
      <x:c r="T824" s="8" t="s">
        <x:v>27</x:v>
      </x:c>
      <x:c r="U824" s="8" t="s">
        <x:v>883</x:v>
      </x:c>
      <x:c r="V824" s="8" t="s">
        <x:v>1624</x:v>
      </x:c>
    </x:row>
    <x:row r="825" ht="36" hidden="0" customHeight="1">
      <x:c r="A825" s="8" t="s">
        <x:v>2389</x:v>
      </x:c>
      <x:c r="B825" s="8" t="s">
        <x:v>2390</x:v>
      </x:c>
      <x:c r="C825" s="8"/>
      <x:c r="D825" s="8" t="s">
        <x:v>1615</x:v>
      </x:c>
      <x:c r="E825" s="8" t="s">
        <x:v>2391</x:v>
      </x:c>
      <x:c r="F825" s="8" t="s">
        <x:v>1617</x:v>
      </x:c>
      <x:c r="G825" s="8" t="s">
        <x:v>109</x:v>
      </x:c>
      <x:c r="H825" s="8" t="s">
        <x:v>2392</x:v>
      </x:c>
      <x:c r="I825" s="8" t="s">
        <x:v>2393</x:v>
      </x:c>
      <x:c r="J825" s="8" t="s">
        <x:v>112</x:v>
      </x:c>
      <x:c r="K825" s="8" t="s">
        <x:v>2394</x:v>
      </x:c>
      <x:c r="L825" s="8" t="s">
        <x:v>2394</x:v>
      </x:c>
      <x:c r="M825" s="8"/>
      <x:c r="N825" s="8"/>
      <x:c r="O825" s="8" t="s">
        <x:v>1622</x:v>
      </x:c>
      <x:c r="P825" s="8" t="s">
        <x:v>115</x:v>
      </x:c>
      <x:c r="Q825" s="8" t="s">
        <x:v>45</x:v>
      </x:c>
      <x:c r="R825" s="8" t="s">
        <x:v>1623</x:v>
      </x:c>
      <x:c r="S825" s="8"/>
      <x:c r="T825" s="8" t="s">
        <x:v>27</x:v>
      </x:c>
      <x:c r="U825" s="8" t="s">
        <x:v>883</x:v>
      </x:c>
      <x:c r="V825" s="8" t="s">
        <x:v>1624</x:v>
      </x:c>
    </x:row>
    <x:row r="826" ht="36" hidden="0" customHeight="1">
      <x:c r="A826" s="8" t="s">
        <x:v>2395</x:v>
      </x:c>
      <x:c r="B826" s="8" t="s">
        <x:v>2390</x:v>
      </x:c>
      <x:c r="C826" s="8"/>
      <x:c r="D826" s="8" t="s">
        <x:v>2396</x:v>
      </x:c>
      <x:c r="E826" s="8" t="n">
        <x:v>32</x:v>
      </x:c>
      <x:c r="F826" s="8" t="s">
        <x:v>1617</x:v>
      </x:c>
      <x:c r="G826" s="8" t="s">
        <x:v>109</x:v>
      </x:c>
      <x:c r="H826" s="8" t="s">
        <x:v>2392</x:v>
      </x:c>
      <x:c r="I826" s="8" t="s">
        <x:v>2393</x:v>
      </x:c>
      <x:c r="J826" s="8" t="s">
        <x:v>112</x:v>
      </x:c>
      <x:c r="K826" s="8" t="s">
        <x:v>2397</x:v>
      </x:c>
      <x:c r="L826" s="8" t="s">
        <x:v>2397</x:v>
      </x:c>
      <x:c r="M826" s="8"/>
      <x:c r="N826" s="8"/>
      <x:c r="O826" s="8" t="s">
        <x:v>1622</x:v>
      </x:c>
      <x:c r="P826" s="8" t="s">
        <x:v>115</x:v>
      </x:c>
      <x:c r="Q826" s="8" t="s">
        <x:v>45</x:v>
      </x:c>
      <x:c r="R826" s="8" t="s">
        <x:v>1623</x:v>
      </x:c>
      <x:c r="S826" s="8" t="s">
        <x:v>2398</x:v>
      </x:c>
      <x:c r="T826" s="8" t="s">
        <x:v>27</x:v>
      </x:c>
      <x:c r="U826" s="8" t="s">
        <x:v>883</x:v>
      </x:c>
      <x:c r="V826" s="8" t="s">
        <x:v>1624</x:v>
      </x:c>
    </x:row>
    <x:row r="827" ht="36" hidden="0" customHeight="1">
      <x:c r="A827" s="8" t="s">
        <x:v>2399</x:v>
      </x:c>
      <x:c r="B827" s="8" t="s">
        <x:v>2390</x:v>
      </x:c>
      <x:c r="C827" s="8"/>
      <x:c r="D827" s="8" t="s">
        <x:v>2239</x:v>
      </x:c>
      <x:c r="E827" s="8" t="s">
        <x:v>2400</x:v>
      </x:c>
      <x:c r="F827" s="8" t="s">
        <x:v>1617</x:v>
      </x:c>
      <x:c r="G827" s="8" t="s">
        <x:v>109</x:v>
      </x:c>
      <x:c r="H827" s="8" t="s">
        <x:v>2392</x:v>
      </x:c>
      <x:c r="I827" s="8" t="s">
        <x:v>2393</x:v>
      </x:c>
      <x:c r="J827" s="8" t="s">
        <x:v>112</x:v>
      </x:c>
      <x:c r="K827" s="8" t="s">
        <x:v>2397</x:v>
      </x:c>
      <x:c r="L827" s="8" t="s">
        <x:v>2397</x:v>
      </x:c>
      <x:c r="M827" s="8"/>
      <x:c r="N827" s="8"/>
      <x:c r="O827" s="8" t="s">
        <x:v>1622</x:v>
      </x:c>
      <x:c r="P827" s="8" t="s">
        <x:v>115</x:v>
      </x:c>
      <x:c r="Q827" s="8" t="s">
        <x:v>45</x:v>
      </x:c>
      <x:c r="R827" s="8" t="s">
        <x:v>1623</x:v>
      </x:c>
      <x:c r="S827" s="8"/>
      <x:c r="T827" s="8" t="s">
        <x:v>27</x:v>
      </x:c>
      <x:c r="U827" s="8" t="s">
        <x:v>883</x:v>
      </x:c>
      <x:c r="V827" s="8" t="s">
        <x:v>1624</x:v>
      </x:c>
    </x:row>
    <x:row r="828" ht="36" hidden="0" customHeight="1">
      <x:c r="A828" s="8" t="s">
        <x:v>2401</x:v>
      </x:c>
      <x:c r="B828" s="8" t="s">
        <x:v>2390</x:v>
      </x:c>
      <x:c r="C828" s="8"/>
      <x:c r="D828" s="8" t="s">
        <x:v>2199</x:v>
      </x:c>
      <x:c r="E828" s="8" t="n">
        <x:v>0.1</x:v>
      </x:c>
      <x:c r="F828" s="8" t="s">
        <x:v>1617</x:v>
      </x:c>
      <x:c r="G828" s="8" t="s">
        <x:v>109</x:v>
      </x:c>
      <x:c r="H828" s="8" t="s">
        <x:v>2392</x:v>
      </x:c>
      <x:c r="I828" s="8" t="s">
        <x:v>2393</x:v>
      </x:c>
      <x:c r="J828" s="8" t="s">
        <x:v>112</x:v>
      </x:c>
      <x:c r="K828" s="8" t="s">
        <x:v>2397</x:v>
      </x:c>
      <x:c r="L828" s="8" t="s">
        <x:v>2397</x:v>
      </x:c>
      <x:c r="M828" s="8"/>
      <x:c r="N828" s="8"/>
      <x:c r="O828" s="8" t="s">
        <x:v>1622</x:v>
      </x:c>
      <x:c r="P828" s="8" t="s">
        <x:v>115</x:v>
      </x:c>
      <x:c r="Q828" s="8" t="s">
        <x:v>45</x:v>
      </x:c>
      <x:c r="R828" s="8" t="s">
        <x:v>1623</x:v>
      </x:c>
      <x:c r="S828" s="8" t="s">
        <x:v>1348</x:v>
      </x:c>
      <x:c r="T828" s="8" t="s">
        <x:v>27</x:v>
      </x:c>
      <x:c r="U828" s="8" t="s">
        <x:v>883</x:v>
      </x:c>
      <x:c r="V828" s="8" t="s">
        <x:v>1624</x:v>
      </x:c>
    </x:row>
    <x:row r="829" ht="36" hidden="0" customHeight="1">
      <x:c r="A829" s="8" t="s">
        <x:v>2402</x:v>
      </x:c>
      <x:c r="B829" s="8" t="s">
        <x:v>2390</x:v>
      </x:c>
      <x:c r="C829" s="8"/>
      <x:c r="D829" s="8" t="s">
        <x:v>318</x:v>
      </x:c>
      <x:c r="E829" s="8" t="n">
        <x:v>0.0001</x:v>
      </x:c>
      <x:c r="F829" s="8" t="s">
        <x:v>1617</x:v>
      </x:c>
      <x:c r="G829" s="8" t="s">
        <x:v>109</x:v>
      </x:c>
      <x:c r="H829" s="8" t="s">
        <x:v>2392</x:v>
      </x:c>
      <x:c r="I829" s="8" t="s">
        <x:v>2393</x:v>
      </x:c>
      <x:c r="J829" s="8" t="s">
        <x:v>112</x:v>
      </x:c>
      <x:c r="K829" s="8" t="s">
        <x:v>2397</x:v>
      </x:c>
      <x:c r="L829" s="8" t="s">
        <x:v>2397</x:v>
      </x:c>
      <x:c r="M829" s="8"/>
      <x:c r="N829" s="8"/>
      <x:c r="O829" s="8" t="s">
        <x:v>1622</x:v>
      </x:c>
      <x:c r="P829" s="8" t="s">
        <x:v>115</x:v>
      </x:c>
      <x:c r="Q829" s="8" t="s">
        <x:v>45</x:v>
      </x:c>
      <x:c r="R829" s="8" t="s">
        <x:v>1623</x:v>
      </x:c>
      <x:c r="S829" s="8"/>
      <x:c r="T829" s="8" t="s">
        <x:v>27</x:v>
      </x:c>
      <x:c r="U829" s="8" t="s">
        <x:v>883</x:v>
      </x:c>
      <x:c r="V829" s="8" t="s">
        <x:v>1624</x:v>
      </x:c>
    </x:row>
    <x:row r="830" ht="36" hidden="0" customHeight="1">
      <x:c r="A830" s="8" t="s">
        <x:v>2403</x:v>
      </x:c>
      <x:c r="B830" s="8" t="s">
        <x:v>2390</x:v>
      </x:c>
      <x:c r="C830" s="8"/>
      <x:c r="D830" s="8" t="s">
        <x:v>167</x:v>
      </x:c>
      <x:c r="E830" s="8" t="n">
        <x:v>64</x:v>
      </x:c>
      <x:c r="F830" s="8" t="s">
        <x:v>1617</x:v>
      </x:c>
      <x:c r="G830" s="8" t="s">
        <x:v>109</x:v>
      </x:c>
      <x:c r="H830" s="8" t="s">
        <x:v>2392</x:v>
      </x:c>
      <x:c r="I830" s="8" t="s">
        <x:v>2393</x:v>
      </x:c>
      <x:c r="J830" s="8" t="s">
        <x:v>112</x:v>
      </x:c>
      <x:c r="K830" s="8" t="s">
        <x:v>2397</x:v>
      </x:c>
      <x:c r="L830" s="8" t="s">
        <x:v>2397</x:v>
      </x:c>
      <x:c r="M830" s="8"/>
      <x:c r="N830" s="8"/>
      <x:c r="O830" s="8" t="s">
        <x:v>1622</x:v>
      </x:c>
      <x:c r="P830" s="8" t="s">
        <x:v>115</x:v>
      </x:c>
      <x:c r="Q830" s="8" t="s">
        <x:v>45</x:v>
      </x:c>
      <x:c r="R830" s="8" t="s">
        <x:v>1623</x:v>
      </x:c>
      <x:c r="S830" s="8" t="s">
        <x:v>1954</x:v>
      </x:c>
      <x:c r="T830" s="8" t="s">
        <x:v>27</x:v>
      </x:c>
      <x:c r="U830" s="8" t="s">
        <x:v>883</x:v>
      </x:c>
      <x:c r="V830" s="8" t="s">
        <x:v>1624</x:v>
      </x:c>
    </x:row>
    <x:row r="831" ht="36" hidden="0" customHeight="1">
      <x:c r="A831" s="8" t="s">
        <x:v>2404</x:v>
      </x:c>
      <x:c r="B831" s="8" t="s">
        <x:v>2390</x:v>
      </x:c>
      <x:c r="C831" s="8"/>
      <x:c r="D831" s="8" t="s">
        <x:v>164</x:v>
      </x:c>
      <x:c r="E831" s="8" t="s">
        <x:v>165</x:v>
      </x:c>
      <x:c r="F831" s="8" t="s">
        <x:v>1617</x:v>
      </x:c>
      <x:c r="G831" s="8" t="s">
        <x:v>109</x:v>
      </x:c>
      <x:c r="H831" s="8" t="s">
        <x:v>2392</x:v>
      </x:c>
      <x:c r="I831" s="8" t="s">
        <x:v>2393</x:v>
      </x:c>
      <x:c r="J831" s="8" t="s">
        <x:v>112</x:v>
      </x:c>
      <x:c r="K831" s="8" t="s">
        <x:v>2405</x:v>
      </x:c>
      <x:c r="L831" s="8" t="s">
        <x:v>2405</x:v>
      </x:c>
      <x:c r="M831" s="8"/>
      <x:c r="N831" s="8"/>
      <x:c r="O831" s="8" t="s">
        <x:v>1622</x:v>
      </x:c>
      <x:c r="P831" s="8" t="s">
        <x:v>115</x:v>
      </x:c>
      <x:c r="Q831" s="8" t="s">
        <x:v>45</x:v>
      </x:c>
      <x:c r="R831" s="8" t="s">
        <x:v>1623</x:v>
      </x:c>
      <x:c r="S831" s="8"/>
      <x:c r="T831" s="8" t="s">
        <x:v>27</x:v>
      </x:c>
      <x:c r="U831" s="8" t="s">
        <x:v>883</x:v>
      </x:c>
      <x:c r="V831" s="8" t="s">
        <x:v>1624</x:v>
      </x:c>
    </x:row>
    <x:row r="832" ht="36" hidden="0" customHeight="1">
      <x:c r="A832" s="8" t="s">
        <x:v>2406</x:v>
      </x:c>
      <x:c r="B832" s="8" t="s">
        <x:v>2390</x:v>
      </x:c>
      <x:c r="C832" s="8"/>
      <x:c r="D832" s="8" t="s">
        <x:v>1948</x:v>
      </x:c>
      <x:c r="E832" s="8" t="s">
        <x:v>2407</x:v>
      </x:c>
      <x:c r="F832" s="8" t="s">
        <x:v>1617</x:v>
      </x:c>
      <x:c r="G832" s="8" t="s">
        <x:v>109</x:v>
      </x:c>
      <x:c r="H832" s="8" t="s">
        <x:v>2392</x:v>
      </x:c>
      <x:c r="I832" s="8" t="s">
        <x:v>2393</x:v>
      </x:c>
      <x:c r="J832" s="8" t="s">
        <x:v>112</x:v>
      </x:c>
      <x:c r="K832" s="8" t="s">
        <x:v>2408</x:v>
      </x:c>
      <x:c r="L832" s="8" t="s">
        <x:v>2408</x:v>
      </x:c>
      <x:c r="M832" s="8"/>
      <x:c r="N832" s="8"/>
      <x:c r="O832" s="8" t="s">
        <x:v>1622</x:v>
      </x:c>
      <x:c r="P832" s="8" t="s">
        <x:v>115</x:v>
      </x:c>
      <x:c r="Q832" s="8" t="s">
        <x:v>45</x:v>
      </x:c>
      <x:c r="R832" s="8" t="s">
        <x:v>1623</x:v>
      </x:c>
      <x:c r="S832" s="8"/>
      <x:c r="T832" s="8" t="s">
        <x:v>27</x:v>
      </x:c>
      <x:c r="U832" s="8" t="s">
        <x:v>883</x:v>
      </x:c>
      <x:c r="V832" s="8" t="s">
        <x:v>1624</x:v>
      </x:c>
    </x:row>
    <x:row r="833" ht="36" hidden="0" customHeight="1">
      <x:c r="A833" s="8" t="s">
        <x:v>2409</x:v>
      </x:c>
      <x:c r="B833" s="8" t="s">
        <x:v>2390</x:v>
      </x:c>
      <x:c r="C833" s="8"/>
      <x:c r="D833" s="8" t="s">
        <x:v>2410</x:v>
      </x:c>
      <x:c r="E833" s="8" t="n">
        <x:v>42</x:v>
      </x:c>
      <x:c r="F833" s="8" t="s">
        <x:v>1617</x:v>
      </x:c>
      <x:c r="G833" s="8" t="s">
        <x:v>109</x:v>
      </x:c>
      <x:c r="H833" s="8" t="s">
        <x:v>2392</x:v>
      </x:c>
      <x:c r="I833" s="8" t="s">
        <x:v>2393</x:v>
      </x:c>
      <x:c r="J833" s="8" t="s">
        <x:v>112</x:v>
      </x:c>
      <x:c r="K833" s="8" t="s">
        <x:v>2408</x:v>
      </x:c>
      <x:c r="L833" s="8" t="s">
        <x:v>2408</x:v>
      </x:c>
      <x:c r="M833" s="8"/>
      <x:c r="N833" s="8"/>
      <x:c r="O833" s="8" t="s">
        <x:v>1622</x:v>
      </x:c>
      <x:c r="P833" s="8" t="s">
        <x:v>115</x:v>
      </x:c>
      <x:c r="Q833" s="8" t="s">
        <x:v>45</x:v>
      </x:c>
      <x:c r="R833" s="8" t="s">
        <x:v>1623</x:v>
      </x:c>
      <x:c r="S833" s="8"/>
      <x:c r="T833" s="8" t="s">
        <x:v>27</x:v>
      </x:c>
      <x:c r="U833" s="8" t="s">
        <x:v>883</x:v>
      </x:c>
      <x:c r="V833" s="8" t="s">
        <x:v>1624</x:v>
      </x:c>
    </x:row>
    <x:row r="834" ht="36" hidden="0" customHeight="1">
      <x:c r="A834" s="8" t="s">
        <x:v>2411</x:v>
      </x:c>
      <x:c r="B834" s="8" t="s">
        <x:v>2390</x:v>
      </x:c>
      <x:c r="C834" s="8"/>
      <x:c r="D834" s="8" t="s">
        <x:v>2412</x:v>
      </x:c>
      <x:c r="E834" s="8" t="s">
        <x:v>2413</x:v>
      </x:c>
      <x:c r="F834" s="8" t="s">
        <x:v>1617</x:v>
      </x:c>
      <x:c r="G834" s="8" t="s">
        <x:v>109</x:v>
      </x:c>
      <x:c r="H834" s="8" t="s">
        <x:v>2392</x:v>
      </x:c>
      <x:c r="I834" s="8" t="s">
        <x:v>2393</x:v>
      </x:c>
      <x:c r="J834" s="8" t="s">
        <x:v>112</x:v>
      </x:c>
      <x:c r="K834" s="8" t="s">
        <x:v>2414</x:v>
      </x:c>
      <x:c r="L834" s="8" t="s">
        <x:v>2414</x:v>
      </x:c>
      <x:c r="M834" s="8"/>
      <x:c r="N834" s="8"/>
      <x:c r="O834" s="8" t="s">
        <x:v>1622</x:v>
      </x:c>
      <x:c r="P834" s="8" t="s">
        <x:v>115</x:v>
      </x:c>
      <x:c r="Q834" s="8" t="s">
        <x:v>45</x:v>
      </x:c>
      <x:c r="R834" s="8" t="s">
        <x:v>1623</x:v>
      </x:c>
      <x:c r="S834" s="8"/>
      <x:c r="T834" s="8" t="s">
        <x:v>27</x:v>
      </x:c>
      <x:c r="U834" s="8" t="s">
        <x:v>883</x:v>
      </x:c>
      <x:c r="V834" s="8" t="s">
        <x:v>1624</x:v>
      </x:c>
    </x:row>
    <x:row r="835" ht="36" hidden="0" customHeight="1">
      <x:c r="A835" s="8" t="s">
        <x:v>2415</x:v>
      </x:c>
      <x:c r="B835" s="8" t="s">
        <x:v>2390</x:v>
      </x:c>
      <x:c r="C835" s="8"/>
      <x:c r="D835" s="8" t="s">
        <x:v>2416</x:v>
      </x:c>
      <x:c r="E835" s="8" t="n">
        <x:v>0.722</x:v>
      </x:c>
      <x:c r="F835" s="8" t="s">
        <x:v>1617</x:v>
      </x:c>
      <x:c r="G835" s="8" t="s">
        <x:v>109</x:v>
      </x:c>
      <x:c r="H835" s="8" t="s">
        <x:v>2392</x:v>
      </x:c>
      <x:c r="I835" s="8" t="s">
        <x:v>2393</x:v>
      </x:c>
      <x:c r="J835" s="8" t="s">
        <x:v>112</x:v>
      </x:c>
      <x:c r="K835" s="8" t="s">
        <x:v>2397</x:v>
      </x:c>
      <x:c r="L835" s="8" t="s">
        <x:v>2397</x:v>
      </x:c>
      <x:c r="M835" s="8"/>
      <x:c r="N835" s="8"/>
      <x:c r="O835" s="8" t="s">
        <x:v>1622</x:v>
      </x:c>
      <x:c r="P835" s="8" t="s">
        <x:v>115</x:v>
      </x:c>
      <x:c r="Q835" s="8" t="s">
        <x:v>45</x:v>
      </x:c>
      <x:c r="R835" s="8" t="s">
        <x:v>1623</x:v>
      </x:c>
      <x:c r="S835" s="8" t="s">
        <x:v>1339</x:v>
      </x:c>
      <x:c r="T835" s="8" t="s">
        <x:v>27</x:v>
      </x:c>
      <x:c r="U835" s="8" t="s">
        <x:v>883</x:v>
      </x:c>
      <x:c r="V835" s="8" t="s">
        <x:v>1624</x:v>
      </x:c>
    </x:row>
    <x:row r="836" ht="36" hidden="0" customHeight="1">
      <x:c r="A836" s="8" t="s">
        <x:v>2417</x:v>
      </x:c>
      <x:c r="B836" s="8" t="s">
        <x:v>2390</x:v>
      </x:c>
      <x:c r="C836" s="8"/>
      <x:c r="D836" s="8" t="s">
        <x:v>2418</x:v>
      </x:c>
      <x:c r="E836" s="8" t="s">
        <x:v>2419</x:v>
      </x:c>
      <x:c r="F836" s="8" t="s">
        <x:v>1617</x:v>
      </x:c>
      <x:c r="G836" s="8" t="s">
        <x:v>187</x:v>
      </x:c>
      <x:c r="H836" s="8" t="s">
        <x:v>2392</x:v>
      </x:c>
      <x:c r="I836" s="8" t="s">
        <x:v>2393</x:v>
      </x:c>
      <x:c r="J836" s="8" t="s">
        <x:v>112</x:v>
      </x:c>
      <x:c r="K836" s="8" t="s">
        <x:v>2420</x:v>
      </x:c>
      <x:c r="L836" s="8" t="s">
        <x:v>2420</x:v>
      </x:c>
      <x:c r="M836" s="8"/>
      <x:c r="N836" s="8"/>
      <x:c r="O836" s="8" t="s">
        <x:v>1622</x:v>
      </x:c>
      <x:c r="P836" s="8" t="s">
        <x:v>115</x:v>
      </x:c>
      <x:c r="Q836" s="8" t="s">
        <x:v>45</x:v>
      </x:c>
      <x:c r="R836" s="8" t="s">
        <x:v>1623</x:v>
      </x:c>
      <x:c r="S836" s="8"/>
      <x:c r="T836" s="8" t="s">
        <x:v>27</x:v>
      </x:c>
      <x:c r="U836" s="8" t="s">
        <x:v>883</x:v>
      </x:c>
      <x:c r="V836" s="8" t="s">
        <x:v>1624</x:v>
      </x:c>
    </x:row>
    <x:row r="837" ht="36" hidden="0" customHeight="1">
      <x:c r="A837" s="8" t="s">
        <x:v>2421</x:v>
      </x:c>
      <x:c r="B837" s="8" t="s">
        <x:v>2390</x:v>
      </x:c>
      <x:c r="C837" s="8"/>
      <x:c r="D837" s="8" t="s">
        <x:v>2422</x:v>
      </x:c>
      <x:c r="E837" s="8" t="s">
        <x:v>2423</x:v>
      </x:c>
      <x:c r="F837" s="8" t="s">
        <x:v>1617</x:v>
      </x:c>
      <x:c r="G837" s="8" t="s">
        <x:v>109</x:v>
      </x:c>
      <x:c r="H837" s="8" t="s">
        <x:v>2392</x:v>
      </x:c>
      <x:c r="I837" s="8" t="s">
        <x:v>2393</x:v>
      </x:c>
      <x:c r="J837" s="8" t="s">
        <x:v>112</x:v>
      </x:c>
      <x:c r="K837" s="8" t="s">
        <x:v>2420</x:v>
      </x:c>
      <x:c r="L837" s="8" t="s">
        <x:v>2420</x:v>
      </x:c>
      <x:c r="M837" s="8"/>
      <x:c r="N837" s="8"/>
      <x:c r="O837" s="8" t="s">
        <x:v>1622</x:v>
      </x:c>
      <x:c r="P837" s="8" t="s">
        <x:v>115</x:v>
      </x:c>
      <x:c r="Q837" s="8" t="s">
        <x:v>45</x:v>
      </x:c>
      <x:c r="R837" s="8" t="s">
        <x:v>1623</x:v>
      </x:c>
      <x:c r="S837" s="8"/>
      <x:c r="T837" s="8" t="s">
        <x:v>27</x:v>
      </x:c>
      <x:c r="U837" s="8" t="s">
        <x:v>883</x:v>
      </x:c>
      <x:c r="V837" s="8" t="s">
        <x:v>1624</x:v>
      </x:c>
    </x:row>
    <x:row r="838" ht="36" hidden="0" customHeight="1">
      <x:c r="A838" s="8" t="s">
        <x:v>2424</x:v>
      </x:c>
      <x:c r="B838" s="8" t="s">
        <x:v>2425</x:v>
      </x:c>
      <x:c r="C838" s="8"/>
      <x:c r="D838" s="8" t="s">
        <x:v>1704</x:v>
      </x:c>
      <x:c r="E838" s="8" t="s">
        <x:v>2426</x:v>
      </x:c>
      <x:c r="F838" s="8" t="s">
        <x:v>1706</x:v>
      </x:c>
      <x:c r="G838" s="8" t="s">
        <x:v>109</x:v>
      </x:c>
      <x:c r="H838" s="8" t="s">
        <x:v>2427</x:v>
      </x:c>
      <x:c r="I838" s="8"/>
      <x:c r="J838" s="8" t="s">
        <x:v>112</x:v>
      </x:c>
      <x:c r="K838" s="8" t="s">
        <x:v>2428</x:v>
      </x:c>
      <x:c r="L838" s="8" t="s">
        <x:v>2429</x:v>
      </x:c>
      <x:c r="M838" s="8"/>
      <x:c r="N838" s="8"/>
      <x:c r="O838" s="8" t="s">
        <x:v>1622</x:v>
      </x:c>
      <x:c r="P838" s="8" t="s">
        <x:v>115</x:v>
      </x:c>
      <x:c r="Q838" s="8" t="s">
        <x:v>45</x:v>
      </x:c>
      <x:c r="R838" s="8" t="s">
        <x:v>1623</x:v>
      </x:c>
      <x:c r="S838" s="8"/>
      <x:c r="T838" s="8" t="s">
        <x:v>27</x:v>
      </x:c>
      <x:c r="U838" s="8" t="s">
        <x:v>883</x:v>
      </x:c>
      <x:c r="V838" s="8" t="s">
        <x:v>1624</x:v>
      </x:c>
    </x:row>
    <x:row r="839" ht="36" hidden="0" customHeight="1">
      <x:c r="A839" s="8" t="s">
        <x:v>2430</x:v>
      </x:c>
      <x:c r="B839" s="8" t="s">
        <x:v>2425</x:v>
      </x:c>
      <x:c r="C839" s="8"/>
      <x:c r="D839" s="8" t="s">
        <x:v>2431</x:v>
      </x:c>
      <x:c r="E839" s="8" t="s">
        <x:v>2432</x:v>
      </x:c>
      <x:c r="F839" s="8" t="s">
        <x:v>1706</x:v>
      </x:c>
      <x:c r="G839" s="8" t="s">
        <x:v>187</x:v>
      </x:c>
      <x:c r="H839" s="8" t="s">
        <x:v>2427</x:v>
      </x:c>
      <x:c r="I839" s="8"/>
      <x:c r="J839" s="8" t="s">
        <x:v>112</x:v>
      </x:c>
      <x:c r="K839" s="8" t="s">
        <x:v>2428</x:v>
      </x:c>
      <x:c r="L839" s="8" t="s">
        <x:v>2433</x:v>
      </x:c>
      <x:c r="M839" s="8"/>
      <x:c r="N839" s="8"/>
      <x:c r="O839" s="8" t="s">
        <x:v>1622</x:v>
      </x:c>
      <x:c r="P839" s="8" t="s">
        <x:v>115</x:v>
      </x:c>
      <x:c r="Q839" s="8" t="s">
        <x:v>45</x:v>
      </x:c>
      <x:c r="R839" s="8" t="s">
        <x:v>1623</x:v>
      </x:c>
      <x:c r="S839" s="8"/>
      <x:c r="T839" s="8" t="s">
        <x:v>27</x:v>
      </x:c>
      <x:c r="U839" s="8" t="s">
        <x:v>883</x:v>
      </x:c>
      <x:c r="V839" s="8" t="s">
        <x:v>1624</x:v>
      </x:c>
    </x:row>
    <x:row r="840" ht="36" hidden="0" customHeight="1">
      <x:c r="A840" s="8" t="s">
        <x:v>2434</x:v>
      </x:c>
      <x:c r="B840" s="8" t="s">
        <x:v>2425</x:v>
      </x:c>
      <x:c r="C840" s="8"/>
      <x:c r="D840" s="8" t="s">
        <x:v>2435</x:v>
      </x:c>
      <x:c r="E840" s="8" t="s">
        <x:v>2436</x:v>
      </x:c>
      <x:c r="F840" s="8" t="s">
        <x:v>1706</x:v>
      </x:c>
      <x:c r="G840" s="8" t="s">
        <x:v>187</x:v>
      </x:c>
      <x:c r="H840" s="8" t="s">
        <x:v>2427</x:v>
      </x:c>
      <x:c r="I840" s="8"/>
      <x:c r="J840" s="8" t="s">
        <x:v>112</x:v>
      </x:c>
      <x:c r="K840" s="8" t="s">
        <x:v>2428</x:v>
      </x:c>
      <x:c r="L840" s="8" t="s">
        <x:v>2433</x:v>
      </x:c>
      <x:c r="M840" s="8"/>
      <x:c r="N840" s="8"/>
      <x:c r="O840" s="8" t="s">
        <x:v>1622</x:v>
      </x:c>
      <x:c r="P840" s="8" t="s">
        <x:v>115</x:v>
      </x:c>
      <x:c r="Q840" s="8" t="s">
        <x:v>45</x:v>
      </x:c>
      <x:c r="R840" s="8" t="s">
        <x:v>1623</x:v>
      </x:c>
      <x:c r="S840" s="8"/>
      <x:c r="T840" s="8" t="s">
        <x:v>27</x:v>
      </x:c>
      <x:c r="U840" s="8" t="s">
        <x:v>883</x:v>
      </x:c>
      <x:c r="V840" s="8" t="s">
        <x:v>1624</x:v>
      </x:c>
    </x:row>
    <x:row r="841" ht="36" hidden="0" customHeight="1">
      <x:c r="A841" s="8" t="s">
        <x:v>2437</x:v>
      </x:c>
      <x:c r="B841" s="8" t="s">
        <x:v>2425</x:v>
      </x:c>
      <x:c r="C841" s="8"/>
      <x:c r="D841" s="8" t="s">
        <x:v>1747</x:v>
      </x:c>
      <x:c r="E841" s="8" t="s">
        <x:v>2438</x:v>
      </x:c>
      <x:c r="F841" s="8" t="s">
        <x:v>1706</x:v>
      </x:c>
      <x:c r="G841" s="8" t="s">
        <x:v>109</x:v>
      </x:c>
      <x:c r="H841" s="8" t="s">
        <x:v>2427</x:v>
      </x:c>
      <x:c r="I841" s="8"/>
      <x:c r="J841" s="8" t="s">
        <x:v>112</x:v>
      </x:c>
      <x:c r="K841" s="8" t="s">
        <x:v>2428</x:v>
      </x:c>
      <x:c r="L841" s="8" t="s">
        <x:v>1760</x:v>
      </x:c>
      <x:c r="M841" s="8"/>
      <x:c r="N841" s="8"/>
      <x:c r="O841" s="8" t="s">
        <x:v>1622</x:v>
      </x:c>
      <x:c r="P841" s="8" t="s">
        <x:v>115</x:v>
      </x:c>
      <x:c r="Q841" s="8" t="s">
        <x:v>45</x:v>
      </x:c>
      <x:c r="R841" s="8" t="s">
        <x:v>1623</x:v>
      </x:c>
      <x:c r="S841" s="8"/>
      <x:c r="T841" s="8" t="s">
        <x:v>27</x:v>
      </x:c>
      <x:c r="U841" s="8" t="s">
        <x:v>883</x:v>
      </x:c>
      <x:c r="V841" s="8" t="s">
        <x:v>1624</x:v>
      </x:c>
    </x:row>
    <x:row r="842" ht="36" hidden="0" customHeight="1">
      <x:c r="A842" s="8" t="s">
        <x:v>2439</x:v>
      </x:c>
      <x:c r="B842" s="8" t="s">
        <x:v>2425</x:v>
      </x:c>
      <x:c r="C842" s="8"/>
      <x:c r="D842" s="8" t="s">
        <x:v>2440</x:v>
      </x:c>
      <x:c r="E842" s="8" t="s">
        <x:v>2441</x:v>
      </x:c>
      <x:c r="F842" s="8" t="s">
        <x:v>1706</x:v>
      </x:c>
      <x:c r="G842" s="8" t="s">
        <x:v>109</x:v>
      </x:c>
      <x:c r="H842" s="8" t="s">
        <x:v>2427</x:v>
      </x:c>
      <x:c r="I842" s="8"/>
      <x:c r="J842" s="8" t="s">
        <x:v>112</x:v>
      </x:c>
      <x:c r="K842" s="8" t="s">
        <x:v>2428</x:v>
      </x:c>
      <x:c r="L842" s="8" t="s">
        <x:v>2442</x:v>
      </x:c>
      <x:c r="M842" s="8"/>
      <x:c r="N842" s="8"/>
      <x:c r="O842" s="8" t="s">
        <x:v>1622</x:v>
      </x:c>
      <x:c r="P842" s="8" t="s">
        <x:v>115</x:v>
      </x:c>
      <x:c r="Q842" s="8" t="s">
        <x:v>45</x:v>
      </x:c>
      <x:c r="R842" s="8" t="s">
        <x:v>1623</x:v>
      </x:c>
      <x:c r="S842" s="8"/>
      <x:c r="T842" s="8" t="s">
        <x:v>27</x:v>
      </x:c>
      <x:c r="U842" s="8" t="s">
        <x:v>883</x:v>
      </x:c>
      <x:c r="V842" s="8" t="s">
        <x:v>1624</x:v>
      </x:c>
    </x:row>
    <x:row r="843" ht="36" hidden="0" customHeight="1">
      <x:c r="A843" s="8" t="s">
        <x:v>2443</x:v>
      </x:c>
      <x:c r="B843" s="8" t="s">
        <x:v>2444</x:v>
      </x:c>
      <x:c r="C843" s="8"/>
      <x:c r="D843" s="8" t="s">
        <x:v>2445</x:v>
      </x:c>
      <x:c r="E843" s="8" t="s">
        <x:v>2446</x:v>
      </x:c>
      <x:c r="F843" s="8" t="s">
        <x:v>1706</x:v>
      </x:c>
      <x:c r="G843" s="8" t="s">
        <x:v>109</x:v>
      </x:c>
      <x:c r="H843" s="8" t="s">
        <x:v>2447</x:v>
      </x:c>
      <x:c r="I843" s="8" t="s">
        <x:v>2448</x:v>
      </x:c>
      <x:c r="J843" s="8" t="s">
        <x:v>112</x:v>
      </x:c>
      <x:c r="K843" s="8" t="s">
        <x:v>2449</x:v>
      </x:c>
      <x:c r="L843" s="8" t="s">
        <x:v>1778</x:v>
      </x:c>
      <x:c r="M843" s="8"/>
      <x:c r="N843" s="8"/>
      <x:c r="O843" s="8" t="s">
        <x:v>1622</x:v>
      </x:c>
      <x:c r="P843" s="8" t="s">
        <x:v>115</x:v>
      </x:c>
      <x:c r="Q843" s="8" t="s">
        <x:v>45</x:v>
      </x:c>
      <x:c r="R843" s="8" t="s">
        <x:v>1623</x:v>
      </x:c>
      <x:c r="S843" s="8"/>
      <x:c r="T843" s="8" t="s">
        <x:v>27</x:v>
      </x:c>
      <x:c r="U843" s="8" t="s">
        <x:v>883</x:v>
      </x:c>
      <x:c r="V843" s="8" t="s">
        <x:v>1624</x:v>
      </x:c>
    </x:row>
    <x:row r="844" ht="36" hidden="0" customHeight="1">
      <x:c r="A844" s="8" t="s">
        <x:v>2450</x:v>
      </x:c>
      <x:c r="B844" s="8" t="s">
        <x:v>2444</x:v>
      </x:c>
      <x:c r="C844" s="8"/>
      <x:c r="D844" s="8" t="s">
        <x:v>2451</x:v>
      </x:c>
      <x:c r="E844" s="8" t="s">
        <x:v>2452</x:v>
      </x:c>
      <x:c r="F844" s="8" t="s">
        <x:v>1706</x:v>
      </x:c>
      <x:c r="G844" s="8" t="s">
        <x:v>187</x:v>
      </x:c>
      <x:c r="H844" s="8" t="s">
        <x:v>2447</x:v>
      </x:c>
      <x:c r="I844" s="8" t="s">
        <x:v>2448</x:v>
      </x:c>
      <x:c r="J844" s="8" t="s">
        <x:v>112</x:v>
      </x:c>
      <x:c r="K844" s="8" t="s">
        <x:v>2453</x:v>
      </x:c>
      <x:c r="L844" s="8" t="s">
        <x:v>2454</x:v>
      </x:c>
      <x:c r="M844" s="8"/>
      <x:c r="N844" s="8"/>
      <x:c r="O844" s="8" t="s">
        <x:v>1622</x:v>
      </x:c>
      <x:c r="P844" s="8" t="s">
        <x:v>115</x:v>
      </x:c>
      <x:c r="Q844" s="8" t="s">
        <x:v>45</x:v>
      </x:c>
      <x:c r="R844" s="8" t="s">
        <x:v>1623</x:v>
      </x:c>
      <x:c r="S844" s="8"/>
      <x:c r="T844" s="8" t="s">
        <x:v>27</x:v>
      </x:c>
      <x:c r="U844" s="8" t="s">
        <x:v>883</x:v>
      </x:c>
      <x:c r="V844" s="8" t="s">
        <x:v>1624</x:v>
      </x:c>
    </x:row>
    <x:row r="845" ht="36" hidden="0" customHeight="1">
      <x:c r="A845" s="8" t="s">
        <x:v>2455</x:v>
      </x:c>
      <x:c r="B845" s="8" t="s">
        <x:v>2444</x:v>
      </x:c>
      <x:c r="C845" s="8"/>
      <x:c r="D845" s="8" t="s">
        <x:v>2456</x:v>
      </x:c>
      <x:c r="E845" s="8" t="s">
        <x:v>2457</x:v>
      </x:c>
      <x:c r="F845" s="8" t="s">
        <x:v>1706</x:v>
      </x:c>
      <x:c r="G845" s="8" t="s">
        <x:v>109</x:v>
      </x:c>
      <x:c r="H845" s="8" t="s">
        <x:v>2447</x:v>
      </x:c>
      <x:c r="I845" s="8" t="s">
        <x:v>2448</x:v>
      </x:c>
      <x:c r="J845" s="8" t="s">
        <x:v>112</x:v>
      </x:c>
      <x:c r="K845" s="8" t="s">
        <x:v>2458</x:v>
      </x:c>
      <x:c r="L845" s="8" t="s">
        <x:v>2459</x:v>
      </x:c>
      <x:c r="M845" s="8"/>
      <x:c r="N845" s="8"/>
      <x:c r="O845" s="8" t="s">
        <x:v>1622</x:v>
      </x:c>
      <x:c r="P845" s="8" t="s">
        <x:v>115</x:v>
      </x:c>
      <x:c r="Q845" s="8" t="s">
        <x:v>45</x:v>
      </x:c>
      <x:c r="R845" s="8" t="s">
        <x:v>1623</x:v>
      </x:c>
      <x:c r="S845" s="8"/>
      <x:c r="T845" s="8" t="s">
        <x:v>27</x:v>
      </x:c>
      <x:c r="U845" s="8" t="s">
        <x:v>883</x:v>
      </x:c>
      <x:c r="V845" s="8" t="s">
        <x:v>1624</x:v>
      </x:c>
    </x:row>
    <x:row r="846" ht="36" hidden="0" customHeight="1">
      <x:c r="A846" s="8" t="s">
        <x:v>2460</x:v>
      </x:c>
      <x:c r="B846" s="8" t="s">
        <x:v>2461</x:v>
      </x:c>
      <x:c r="C846" s="8"/>
      <x:c r="D846" s="8" t="s">
        <x:v>2462</x:v>
      </x:c>
      <x:c r="E846" s="8" t="n">
        <x:v>1345096</x:v>
      </x:c>
      <x:c r="F846" s="8" t="s">
        <x:v>1617</x:v>
      </x:c>
      <x:c r="G846" s="8" t="s">
        <x:v>109</x:v>
      </x:c>
      <x:c r="H846" s="8" t="s">
        <x:v>2463</x:v>
      </x:c>
      <x:c r="I846" s="8" t="s">
        <x:v>2464</x:v>
      </x:c>
      <x:c r="J846" s="8" t="s">
        <x:v>112</x:v>
      </x:c>
      <x:c r="K846" s="8" t="s">
        <x:v>2465</x:v>
      </x:c>
      <x:c r="L846" s="8" t="s">
        <x:v>2465</x:v>
      </x:c>
      <x:c r="M846" s="8"/>
      <x:c r="N846" s="8"/>
      <x:c r="O846" s="8" t="s">
        <x:v>1622</x:v>
      </x:c>
      <x:c r="P846" s="8" t="s">
        <x:v>115</x:v>
      </x:c>
      <x:c r="Q846" s="8" t="s">
        <x:v>45</x:v>
      </x:c>
      <x:c r="R846" s="8" t="s">
        <x:v>1623</x:v>
      </x:c>
      <x:c r="S846" s="8" t="s">
        <x:v>2466</x:v>
      </x:c>
      <x:c r="T846" s="8" t="s">
        <x:v>27</x:v>
      </x:c>
      <x:c r="U846" s="8" t="s">
        <x:v>883</x:v>
      </x:c>
      <x:c r="V846" s="8" t="s">
        <x:v>1624</x:v>
      </x:c>
    </x:row>
    <x:row r="847" ht="36" hidden="0" customHeight="1">
      <x:c r="A847" s="8" t="s">
        <x:v>2467</x:v>
      </x:c>
      <x:c r="B847" s="8" t="s">
        <x:v>2461</x:v>
      </x:c>
      <x:c r="C847" s="8"/>
      <x:c r="D847" s="8" t="s">
        <x:v>2468</x:v>
      </x:c>
      <x:c r="E847" s="8" t="s">
        <x:v>2469</x:v>
      </x:c>
      <x:c r="F847" s="8" t="s">
        <x:v>1617</x:v>
      </x:c>
      <x:c r="G847" s="8" t="s">
        <x:v>109</x:v>
      </x:c>
      <x:c r="H847" s="8" t="s">
        <x:v>2463</x:v>
      </x:c>
      <x:c r="I847" s="8" t="s">
        <x:v>2464</x:v>
      </x:c>
      <x:c r="J847" s="8" t="s">
        <x:v>112</x:v>
      </x:c>
      <x:c r="K847" s="8" t="s">
        <x:v>2470</x:v>
      </x:c>
      <x:c r="L847" s="8" t="s">
        <x:v>2470</x:v>
      </x:c>
      <x:c r="M847" s="8"/>
      <x:c r="N847" s="8"/>
      <x:c r="O847" s="8" t="s">
        <x:v>1622</x:v>
      </x:c>
      <x:c r="P847" s="8" t="s">
        <x:v>115</x:v>
      </x:c>
      <x:c r="Q847" s="8" t="s">
        <x:v>45</x:v>
      </x:c>
      <x:c r="R847" s="8" t="s">
        <x:v>1623</x:v>
      </x:c>
      <x:c r="S847" s="8"/>
      <x:c r="T847" s="8" t="s">
        <x:v>27</x:v>
      </x:c>
      <x:c r="U847" s="8" t="s">
        <x:v>883</x:v>
      </x:c>
      <x:c r="V847" s="8" t="s">
        <x:v>1624</x:v>
      </x:c>
    </x:row>
    <x:row r="848" ht="36" hidden="0" customHeight="1">
      <x:c r="A848" s="8" t="s">
        <x:v>2471</x:v>
      </x:c>
      <x:c r="B848" s="8" t="s">
        <x:v>2461</x:v>
      </x:c>
      <x:c r="C848" s="8"/>
      <x:c r="D848" s="8" t="s">
        <x:v>2472</x:v>
      </x:c>
      <x:c r="E848" s="8" t="s">
        <x:v>2473</x:v>
      </x:c>
      <x:c r="F848" s="8" t="s">
        <x:v>1617</x:v>
      </x:c>
      <x:c r="G848" s="8" t="s">
        <x:v>109</x:v>
      </x:c>
      <x:c r="H848" s="8" t="s">
        <x:v>2463</x:v>
      </x:c>
      <x:c r="I848" s="8" t="s">
        <x:v>2464</x:v>
      </x:c>
      <x:c r="J848" s="8" t="s">
        <x:v>112</x:v>
      </x:c>
      <x:c r="K848" s="8" t="s">
        <x:v>2470</x:v>
      </x:c>
      <x:c r="L848" s="8" t="s">
        <x:v>2470</x:v>
      </x:c>
      <x:c r="M848" s="8"/>
      <x:c r="N848" s="8"/>
      <x:c r="O848" s="8" t="s">
        <x:v>1622</x:v>
      </x:c>
      <x:c r="P848" s="8" t="s">
        <x:v>115</x:v>
      </x:c>
      <x:c r="Q848" s="8" t="s">
        <x:v>45</x:v>
      </x:c>
      <x:c r="R848" s="8" t="s">
        <x:v>1623</x:v>
      </x:c>
      <x:c r="S848" s="8"/>
      <x:c r="T848" s="8" t="s">
        <x:v>27</x:v>
      </x:c>
      <x:c r="U848" s="8" t="s">
        <x:v>883</x:v>
      </x:c>
      <x:c r="V848" s="8" t="s">
        <x:v>1624</x:v>
      </x:c>
    </x:row>
    <x:row r="849" ht="36" hidden="0" customHeight="1">
      <x:c r="A849" s="8" t="s">
        <x:v>2474</x:v>
      </x:c>
      <x:c r="B849" s="8" t="s">
        <x:v>2461</x:v>
      </x:c>
      <x:c r="C849" s="8"/>
      <x:c r="D849" s="8" t="s">
        <x:v>2475</x:v>
      </x:c>
      <x:c r="E849" s="8" t="s">
        <x:v>2476</x:v>
      </x:c>
      <x:c r="F849" s="8" t="s">
        <x:v>1617</x:v>
      </x:c>
      <x:c r="G849" s="8" t="s">
        <x:v>109</x:v>
      </x:c>
      <x:c r="H849" s="8" t="s">
        <x:v>2463</x:v>
      </x:c>
      <x:c r="I849" s="8" t="s">
        <x:v>2464</x:v>
      </x:c>
      <x:c r="J849" s="8" t="s">
        <x:v>112</x:v>
      </x:c>
      <x:c r="K849" s="8" t="s">
        <x:v>2477</x:v>
      </x:c>
      <x:c r="L849" s="8" t="s">
        <x:v>2477</x:v>
      </x:c>
      <x:c r="M849" s="8"/>
      <x:c r="N849" s="8"/>
      <x:c r="O849" s="8" t="s">
        <x:v>1622</x:v>
      </x:c>
      <x:c r="P849" s="8" t="s">
        <x:v>115</x:v>
      </x:c>
      <x:c r="Q849" s="8" t="s">
        <x:v>45</x:v>
      </x:c>
      <x:c r="R849" s="8" t="s">
        <x:v>1623</x:v>
      </x:c>
      <x:c r="S849" s="8"/>
      <x:c r="T849" s="8" t="s">
        <x:v>27</x:v>
      </x:c>
      <x:c r="U849" s="8" t="s">
        <x:v>883</x:v>
      </x:c>
      <x:c r="V849" s="8" t="s">
        <x:v>1624</x:v>
      </x:c>
    </x:row>
    <x:row r="850" ht="36" hidden="0" customHeight="1">
      <x:c r="A850" s="8" t="s">
        <x:v>2478</x:v>
      </x:c>
      <x:c r="B850" s="8" t="s">
        <x:v>2461</x:v>
      </x:c>
      <x:c r="C850" s="8"/>
      <x:c r="D850" s="8" t="s">
        <x:v>2479</x:v>
      </x:c>
      <x:c r="E850" s="8" t="s">
        <x:v>2480</x:v>
      </x:c>
      <x:c r="F850" s="8" t="s">
        <x:v>1617</x:v>
      </x:c>
      <x:c r="G850" s="8" t="s">
        <x:v>109</x:v>
      </x:c>
      <x:c r="H850" s="8" t="s">
        <x:v>2463</x:v>
      </x:c>
      <x:c r="I850" s="8" t="s">
        <x:v>2464</x:v>
      </x:c>
      <x:c r="J850" s="8" t="s">
        <x:v>112</x:v>
      </x:c>
      <x:c r="K850" s="8" t="s">
        <x:v>2481</x:v>
      </x:c>
      <x:c r="L850" s="8" t="s">
        <x:v>2481</x:v>
      </x:c>
      <x:c r="M850" s="8"/>
      <x:c r="N850" s="8"/>
      <x:c r="O850" s="8" t="s">
        <x:v>1622</x:v>
      </x:c>
      <x:c r="P850" s="8" t="s">
        <x:v>115</x:v>
      </x:c>
      <x:c r="Q850" s="8" t="s">
        <x:v>45</x:v>
      </x:c>
      <x:c r="R850" s="8" t="s">
        <x:v>1623</x:v>
      </x:c>
      <x:c r="S850" s="8"/>
      <x:c r="T850" s="8" t="s">
        <x:v>27</x:v>
      </x:c>
      <x:c r="U850" s="8" t="s">
        <x:v>883</x:v>
      </x:c>
      <x:c r="V850" s="8" t="s">
        <x:v>1624</x:v>
      </x:c>
    </x:row>
    <x:row r="851" ht="36" hidden="0" customHeight="1">
      <x:c r="A851" s="8" t="s">
        <x:v>2482</x:v>
      </x:c>
      <x:c r="B851" s="8" t="s">
        <x:v>2461</x:v>
      </x:c>
      <x:c r="C851" s="8"/>
      <x:c r="D851" s="8" t="s">
        <x:v>2483</x:v>
      </x:c>
      <x:c r="E851" s="8" t="s">
        <x:v>2484</x:v>
      </x:c>
      <x:c r="F851" s="8" t="s">
        <x:v>1617</x:v>
      </x:c>
      <x:c r="G851" s="8" t="s">
        <x:v>109</x:v>
      </x:c>
      <x:c r="H851" s="8" t="s">
        <x:v>2463</x:v>
      </x:c>
      <x:c r="I851" s="8" t="s">
        <x:v>2464</x:v>
      </x:c>
      <x:c r="J851" s="8" t="s">
        <x:v>112</x:v>
      </x:c>
      <x:c r="K851" s="8" t="s">
        <x:v>2481</x:v>
      </x:c>
      <x:c r="L851" s="8" t="s">
        <x:v>2481</x:v>
      </x:c>
      <x:c r="M851" s="8"/>
      <x:c r="N851" s="8"/>
      <x:c r="O851" s="8" t="s">
        <x:v>1622</x:v>
      </x:c>
      <x:c r="P851" s="8" t="s">
        <x:v>115</x:v>
      </x:c>
      <x:c r="Q851" s="8" t="s">
        <x:v>45</x:v>
      </x:c>
      <x:c r="R851" s="8" t="s">
        <x:v>1623</x:v>
      </x:c>
      <x:c r="S851" s="8"/>
      <x:c r="T851" s="8" t="s">
        <x:v>27</x:v>
      </x:c>
      <x:c r="U851" s="8" t="s">
        <x:v>883</x:v>
      </x:c>
      <x:c r="V851" s="8" t="s">
        <x:v>1624</x:v>
      </x:c>
    </x:row>
    <x:row r="852" ht="36" hidden="0" customHeight="1">
      <x:c r="A852" s="8" t="s">
        <x:v>2485</x:v>
      </x:c>
      <x:c r="B852" s="8" t="s">
        <x:v>2461</x:v>
      </x:c>
      <x:c r="C852" s="8"/>
      <x:c r="D852" s="8" t="s">
        <x:v>2486</x:v>
      </x:c>
      <x:c r="E852" s="8" t="s">
        <x:v>2487</x:v>
      </x:c>
      <x:c r="F852" s="8" t="s">
        <x:v>1617</x:v>
      </x:c>
      <x:c r="G852" s="8" t="s">
        <x:v>109</x:v>
      </x:c>
      <x:c r="H852" s="8" t="s">
        <x:v>2463</x:v>
      </x:c>
      <x:c r="I852" s="8" t="s">
        <x:v>2464</x:v>
      </x:c>
      <x:c r="J852" s="8" t="s">
        <x:v>112</x:v>
      </x:c>
      <x:c r="K852" s="8" t="s">
        <x:v>2481</x:v>
      </x:c>
      <x:c r="L852" s="8" t="s">
        <x:v>2481</x:v>
      </x:c>
      <x:c r="M852" s="8"/>
      <x:c r="N852" s="8"/>
      <x:c r="O852" s="8" t="s">
        <x:v>1622</x:v>
      </x:c>
      <x:c r="P852" s="8" t="s">
        <x:v>115</x:v>
      </x:c>
      <x:c r="Q852" s="8" t="s">
        <x:v>45</x:v>
      </x:c>
      <x:c r="R852" s="8" t="s">
        <x:v>1623</x:v>
      </x:c>
      <x:c r="S852" s="8"/>
      <x:c r="T852" s="8" t="s">
        <x:v>27</x:v>
      </x:c>
      <x:c r="U852" s="8" t="s">
        <x:v>883</x:v>
      </x:c>
      <x:c r="V852" s="8" t="s">
        <x:v>1624</x:v>
      </x:c>
    </x:row>
    <x:row r="853" ht="36" hidden="0" customHeight="1">
      <x:c r="A853" s="8" t="s">
        <x:v>2488</x:v>
      </x:c>
      <x:c r="B853" s="8" t="s">
        <x:v>2461</x:v>
      </x:c>
      <x:c r="C853" s="8"/>
      <x:c r="D853" s="8" t="s">
        <x:v>2489</x:v>
      </x:c>
      <x:c r="E853" s="8" t="s">
        <x:v>2490</x:v>
      </x:c>
      <x:c r="F853" s="8" t="s">
        <x:v>1617</x:v>
      </x:c>
      <x:c r="G853" s="8" t="s">
        <x:v>187</x:v>
      </x:c>
      <x:c r="H853" s="8" t="s">
        <x:v>2463</x:v>
      </x:c>
      <x:c r="I853" s="8" t="s">
        <x:v>2464</x:v>
      </x:c>
      <x:c r="J853" s="8" t="s">
        <x:v>112</x:v>
      </x:c>
      <x:c r="K853" s="8" t="s">
        <x:v>2481</x:v>
      </x:c>
      <x:c r="L853" s="8" t="s">
        <x:v>2481</x:v>
      </x:c>
      <x:c r="M853" s="8"/>
      <x:c r="N853" s="8"/>
      <x:c r="O853" s="8" t="s">
        <x:v>1622</x:v>
      </x:c>
      <x:c r="P853" s="8" t="s">
        <x:v>115</x:v>
      </x:c>
      <x:c r="Q853" s="8" t="s">
        <x:v>45</x:v>
      </x:c>
      <x:c r="R853" s="8" t="s">
        <x:v>1623</x:v>
      </x:c>
      <x:c r="S853" s="8"/>
      <x:c r="T853" s="8" t="s">
        <x:v>27</x:v>
      </x:c>
      <x:c r="U853" s="8" t="s">
        <x:v>883</x:v>
      </x:c>
      <x:c r="V853" s="8" t="s">
        <x:v>1624</x:v>
      </x:c>
    </x:row>
    <x:row r="854" ht="36" hidden="0" customHeight="1">
      <x:c r="A854" s="8" t="s">
        <x:v>2491</x:v>
      </x:c>
      <x:c r="B854" s="8" t="s">
        <x:v>2492</x:v>
      </x:c>
      <x:c r="C854" s="8"/>
      <x:c r="D854" s="8" t="s">
        <x:v>2493</x:v>
      </x:c>
      <x:c r="E854" s="8" t="n">
        <x:v>291</x:v>
      </x:c>
      <x:c r="F854" s="8" t="s">
        <x:v>1617</x:v>
      </x:c>
      <x:c r="G854" s="8" t="s">
        <x:v>109</x:v>
      </x:c>
      <x:c r="H854" s="8" t="s">
        <x:v>2494</x:v>
      </x:c>
      <x:c r="I854" s="8" t="s">
        <x:v>2495</x:v>
      </x:c>
      <x:c r="J854" s="8" t="s">
        <x:v>112</x:v>
      </x:c>
      <x:c r="K854" s="8" t="s">
        <x:v>2481</x:v>
      </x:c>
      <x:c r="L854" s="8" t="s">
        <x:v>2481</x:v>
      </x:c>
      <x:c r="M854" s="8"/>
      <x:c r="N854" s="8"/>
      <x:c r="O854" s="8" t="s">
        <x:v>1622</x:v>
      </x:c>
      <x:c r="P854" s="8" t="s">
        <x:v>115</x:v>
      </x:c>
      <x:c r="Q854" s="8" t="s">
        <x:v>45</x:v>
      </x:c>
      <x:c r="R854" s="8" t="s">
        <x:v>1623</x:v>
      </x:c>
      <x:c r="S854" s="8" t="s">
        <x:v>2496</x:v>
      </x:c>
      <x:c r="T854" s="8" t="s">
        <x:v>27</x:v>
      </x:c>
      <x:c r="U854" s="8" t="s">
        <x:v>883</x:v>
      </x:c>
      <x:c r="V854" s="8" t="s">
        <x:v>1624</x:v>
      </x:c>
    </x:row>
    <x:row r="855" ht="36" hidden="0" customHeight="1">
      <x:c r="A855" s="8" t="s">
        <x:v>2497</x:v>
      </x:c>
      <x:c r="B855" s="8" t="s">
        <x:v>2492</x:v>
      </x:c>
      <x:c r="C855" s="8"/>
      <x:c r="D855" s="8" t="s">
        <x:v>2498</x:v>
      </x:c>
      <x:c r="E855" s="8" t="n">
        <x:v>234</x:v>
      </x:c>
      <x:c r="F855" s="8" t="s">
        <x:v>1617</x:v>
      </x:c>
      <x:c r="G855" s="8" t="s">
        <x:v>109</x:v>
      </x:c>
      <x:c r="H855" s="8" t="s">
        <x:v>2494</x:v>
      </x:c>
      <x:c r="I855" s="8" t="s">
        <x:v>2495</x:v>
      </x:c>
      <x:c r="J855" s="8" t="s">
        <x:v>112</x:v>
      </x:c>
      <x:c r="K855" s="8" t="s">
        <x:v>2481</x:v>
      </x:c>
      <x:c r="L855" s="8" t="s">
        <x:v>2481</x:v>
      </x:c>
      <x:c r="M855" s="8"/>
      <x:c r="N855" s="8"/>
      <x:c r="O855" s="8" t="s">
        <x:v>1622</x:v>
      </x:c>
      <x:c r="P855" s="8" t="s">
        <x:v>115</x:v>
      </x:c>
      <x:c r="Q855" s="8" t="s">
        <x:v>45</x:v>
      </x:c>
      <x:c r="R855" s="8" t="s">
        <x:v>1623</x:v>
      </x:c>
      <x:c r="S855" s="8" t="s">
        <x:v>2499</x:v>
      </x:c>
      <x:c r="T855" s="8" t="s">
        <x:v>27</x:v>
      </x:c>
      <x:c r="U855" s="8" t="s">
        <x:v>883</x:v>
      </x:c>
      <x:c r="V855" s="8" t="s">
        <x:v>1624</x:v>
      </x:c>
    </x:row>
    <x:row r="856" ht="36" hidden="0" customHeight="1">
      <x:c r="A856" s="8" t="s">
        <x:v>2500</x:v>
      </x:c>
      <x:c r="B856" s="8" t="s">
        <x:v>2492</x:v>
      </x:c>
      <x:c r="C856" s="8"/>
      <x:c r="D856" s="8" t="s">
        <x:v>2501</x:v>
      </x:c>
      <x:c r="E856" s="8" t="n">
        <x:v>33</x:v>
      </x:c>
      <x:c r="F856" s="8" t="s">
        <x:v>1617</x:v>
      </x:c>
      <x:c r="G856" s="8" t="s">
        <x:v>109</x:v>
      </x:c>
      <x:c r="H856" s="8" t="s">
        <x:v>2494</x:v>
      </x:c>
      <x:c r="I856" s="8" t="s">
        <x:v>2495</x:v>
      </x:c>
      <x:c r="J856" s="8" t="s">
        <x:v>112</x:v>
      </x:c>
      <x:c r="K856" s="8" t="s">
        <x:v>2481</x:v>
      </x:c>
      <x:c r="L856" s="8" t="s">
        <x:v>2481</x:v>
      </x:c>
      <x:c r="M856" s="8"/>
      <x:c r="N856" s="8"/>
      <x:c r="O856" s="8" t="s">
        <x:v>1622</x:v>
      </x:c>
      <x:c r="P856" s="8" t="s">
        <x:v>115</x:v>
      </x:c>
      <x:c r="Q856" s="8" t="s">
        <x:v>45</x:v>
      </x:c>
      <x:c r="R856" s="8" t="s">
        <x:v>1623</x:v>
      </x:c>
      <x:c r="S856" s="8" t="s">
        <x:v>2499</x:v>
      </x:c>
      <x:c r="T856" s="8" t="s">
        <x:v>27</x:v>
      </x:c>
      <x:c r="U856" s="8" t="s">
        <x:v>883</x:v>
      </x:c>
      <x:c r="V856" s="8" t="s">
        <x:v>1624</x:v>
      </x:c>
    </x:row>
    <x:row r="857" ht="36" hidden="0" customHeight="1">
      <x:c r="A857" s="8" t="s">
        <x:v>2502</x:v>
      </x:c>
      <x:c r="B857" s="8" t="s">
        <x:v>2492</x:v>
      </x:c>
      <x:c r="C857" s="8"/>
      <x:c r="D857" s="8" t="s">
        <x:v>2503</x:v>
      </x:c>
      <x:c r="E857" s="8" t="n">
        <x:v>22</x:v>
      </x:c>
      <x:c r="F857" s="8" t="s">
        <x:v>1617</x:v>
      </x:c>
      <x:c r="G857" s="8" t="s">
        <x:v>109</x:v>
      </x:c>
      <x:c r="H857" s="8" t="s">
        <x:v>2494</x:v>
      </x:c>
      <x:c r="I857" s="8" t="s">
        <x:v>2495</x:v>
      </x:c>
      <x:c r="J857" s="8" t="s">
        <x:v>112</x:v>
      </x:c>
      <x:c r="K857" s="8" t="s">
        <x:v>2481</x:v>
      </x:c>
      <x:c r="L857" s="8" t="s">
        <x:v>2481</x:v>
      </x:c>
      <x:c r="M857" s="8"/>
      <x:c r="N857" s="8"/>
      <x:c r="O857" s="8" t="s">
        <x:v>1622</x:v>
      </x:c>
      <x:c r="P857" s="8" t="s">
        <x:v>115</x:v>
      </x:c>
      <x:c r="Q857" s="8" t="s">
        <x:v>45</x:v>
      </x:c>
      <x:c r="R857" s="8" t="s">
        <x:v>1623</x:v>
      </x:c>
      <x:c r="S857" s="8" t="s">
        <x:v>2499</x:v>
      </x:c>
      <x:c r="T857" s="8" t="s">
        <x:v>27</x:v>
      </x:c>
      <x:c r="U857" s="8" t="s">
        <x:v>883</x:v>
      </x:c>
      <x:c r="V857" s="8" t="s">
        <x:v>1624</x:v>
      </x:c>
    </x:row>
    <x:row r="858" ht="36" hidden="0" customHeight="1">
      <x:c r="A858" s="8" t="s">
        <x:v>2504</x:v>
      </x:c>
      <x:c r="B858" s="8" t="s">
        <x:v>2492</x:v>
      </x:c>
      <x:c r="C858" s="8"/>
      <x:c r="D858" s="8" t="s">
        <x:v>2505</x:v>
      </x:c>
      <x:c r="E858" s="8" t="n">
        <x:v>2</x:v>
      </x:c>
      <x:c r="F858" s="8" t="s">
        <x:v>1617</x:v>
      </x:c>
      <x:c r="G858" s="8" t="s">
        <x:v>109</x:v>
      </x:c>
      <x:c r="H858" s="8" t="s">
        <x:v>2494</x:v>
      </x:c>
      <x:c r="I858" s="8" t="s">
        <x:v>2495</x:v>
      </x:c>
      <x:c r="J858" s="8" t="s">
        <x:v>112</x:v>
      </x:c>
      <x:c r="K858" s="8" t="s">
        <x:v>2481</x:v>
      </x:c>
      <x:c r="L858" s="8" t="s">
        <x:v>2481</x:v>
      </x:c>
      <x:c r="M858" s="8"/>
      <x:c r="N858" s="8"/>
      <x:c r="O858" s="8" t="s">
        <x:v>1622</x:v>
      </x:c>
      <x:c r="P858" s="8" t="s">
        <x:v>115</x:v>
      </x:c>
      <x:c r="Q858" s="8" t="s">
        <x:v>45</x:v>
      </x:c>
      <x:c r="R858" s="8" t="s">
        <x:v>1623</x:v>
      </x:c>
      <x:c r="S858" s="8" t="s">
        <x:v>2499</x:v>
      </x:c>
      <x:c r="T858" s="8" t="s">
        <x:v>27</x:v>
      </x:c>
      <x:c r="U858" s="8" t="s">
        <x:v>883</x:v>
      </x:c>
      <x:c r="V858" s="8" t="s">
        <x:v>1624</x:v>
      </x:c>
    </x:row>
    <x:row r="859" ht="36" hidden="0" customHeight="1">
      <x:c r="A859" s="8" t="s">
        <x:v>2506</x:v>
      </x:c>
      <x:c r="B859" s="8" t="s">
        <x:v>2492</x:v>
      </x:c>
      <x:c r="C859" s="8"/>
      <x:c r="D859" s="8" t="s">
        <x:v>2507</x:v>
      </x:c>
      <x:c r="E859" s="8" t="s">
        <x:v>2508</x:v>
      </x:c>
      <x:c r="F859" s="8" t="s">
        <x:v>1617</x:v>
      </x:c>
      <x:c r="G859" s="8" t="s">
        <x:v>109</x:v>
      </x:c>
      <x:c r="H859" s="8" t="s">
        <x:v>2494</x:v>
      </x:c>
      <x:c r="I859" s="8" t="s">
        <x:v>2495</x:v>
      </x:c>
      <x:c r="J859" s="8" t="s">
        <x:v>112</x:v>
      </x:c>
      <x:c r="K859" s="8" t="s">
        <x:v>2481</x:v>
      </x:c>
      <x:c r="L859" s="8" t="s">
        <x:v>2481</x:v>
      </x:c>
      <x:c r="M859" s="8"/>
      <x:c r="N859" s="8"/>
      <x:c r="O859" s="8" t="s">
        <x:v>1622</x:v>
      </x:c>
      <x:c r="P859" s="8" t="s">
        <x:v>115</x:v>
      </x:c>
      <x:c r="Q859" s="8" t="s">
        <x:v>45</x:v>
      </x:c>
      <x:c r="R859" s="8" t="s">
        <x:v>1623</x:v>
      </x:c>
      <x:c r="S859" s="8"/>
      <x:c r="T859" s="8" t="s">
        <x:v>27</x:v>
      </x:c>
      <x:c r="U859" s="8" t="s">
        <x:v>883</x:v>
      </x:c>
      <x:c r="V859" s="8" t="s">
        <x:v>1624</x:v>
      </x:c>
    </x:row>
    <x:row r="860" ht="36" hidden="0" customHeight="1">
      <x:c r="A860" s="8" t="s">
        <x:v>2509</x:v>
      </x:c>
      <x:c r="B860" s="8" t="s">
        <x:v>2492</x:v>
      </x:c>
      <x:c r="C860" s="8"/>
      <x:c r="D860" s="8" t="s">
        <x:v>2510</x:v>
      </x:c>
      <x:c r="E860" s="8" t="s">
        <x:v>2511</x:v>
      </x:c>
      <x:c r="F860" s="8" t="s">
        <x:v>1617</x:v>
      </x:c>
      <x:c r="G860" s="8" t="s">
        <x:v>109</x:v>
      </x:c>
      <x:c r="H860" s="8" t="s">
        <x:v>2494</x:v>
      </x:c>
      <x:c r="I860" s="8" t="s">
        <x:v>2495</x:v>
      </x:c>
      <x:c r="J860" s="8" t="s">
        <x:v>112</x:v>
      </x:c>
      <x:c r="K860" s="8" t="s">
        <x:v>2512</x:v>
      </x:c>
      <x:c r="L860" s="8" t="s">
        <x:v>2512</x:v>
      </x:c>
      <x:c r="M860" s="8"/>
      <x:c r="N860" s="8"/>
      <x:c r="O860" s="8" t="s">
        <x:v>1622</x:v>
      </x:c>
      <x:c r="P860" s="8" t="s">
        <x:v>115</x:v>
      </x:c>
      <x:c r="Q860" s="8" t="s">
        <x:v>45</x:v>
      </x:c>
      <x:c r="R860" s="8" t="s">
        <x:v>1623</x:v>
      </x:c>
      <x:c r="S860" s="8"/>
      <x:c r="T860" s="8" t="s">
        <x:v>27</x:v>
      </x:c>
      <x:c r="U860" s="8" t="s">
        <x:v>883</x:v>
      </x:c>
      <x:c r="V860" s="8" t="s">
        <x:v>1624</x:v>
      </x:c>
    </x:row>
    <x:row r="861" ht="36" hidden="0" customHeight="1">
      <x:c r="A861" s="8" t="s">
        <x:v>2513</x:v>
      </x:c>
      <x:c r="B861" s="8" t="s">
        <x:v>2492</x:v>
      </x:c>
      <x:c r="C861" s="8"/>
      <x:c r="D861" s="8" t="s">
        <x:v>2514</x:v>
      </x:c>
      <x:c r="E861" s="8" t="s">
        <x:v>2515</x:v>
      </x:c>
      <x:c r="F861" s="8" t="s">
        <x:v>1617</x:v>
      </x:c>
      <x:c r="G861" s="8" t="s">
        <x:v>187</x:v>
      </x:c>
      <x:c r="H861" s="8" t="s">
        <x:v>2494</x:v>
      </x:c>
      <x:c r="I861" s="8" t="s">
        <x:v>2495</x:v>
      </x:c>
      <x:c r="J861" s="8" t="s">
        <x:v>112</x:v>
      </x:c>
      <x:c r="K861" s="8" t="s">
        <x:v>2512</x:v>
      </x:c>
      <x:c r="L861" s="8" t="s">
        <x:v>2512</x:v>
      </x:c>
      <x:c r="M861" s="8"/>
      <x:c r="N861" s="8"/>
      <x:c r="O861" s="8" t="s">
        <x:v>1622</x:v>
      </x:c>
      <x:c r="P861" s="8" t="s">
        <x:v>115</x:v>
      </x:c>
      <x:c r="Q861" s="8" t="s">
        <x:v>45</x:v>
      </x:c>
      <x:c r="R861" s="8" t="s">
        <x:v>1623</x:v>
      </x:c>
      <x:c r="S861" s="8"/>
      <x:c r="T861" s="8" t="s">
        <x:v>27</x:v>
      </x:c>
      <x:c r="U861" s="8" t="s">
        <x:v>883</x:v>
      </x:c>
      <x:c r="V861" s="8" t="s">
        <x:v>1624</x:v>
      </x:c>
    </x:row>
    <x:row r="862" ht="36" hidden="0" customHeight="1">
      <x:c r="A862" s="8" t="s">
        <x:v>2516</x:v>
      </x:c>
      <x:c r="B862" s="8" t="s">
        <x:v>2517</x:v>
      </x:c>
      <x:c r="C862" s="8"/>
      <x:c r="D862" s="8" t="s">
        <x:v>2518</x:v>
      </x:c>
      <x:c r="E862" s="8" t="n">
        <x:v>3994</x:v>
      </x:c>
      <x:c r="F862" s="8" t="s">
        <x:v>1617</x:v>
      </x:c>
      <x:c r="G862" s="8" t="s">
        <x:v>109</x:v>
      </x:c>
      <x:c r="H862" s="8" t="s">
        <x:v>2519</x:v>
      </x:c>
      <x:c r="I862" s="8" t="s">
        <x:v>2520</x:v>
      </x:c>
      <x:c r="J862" s="8" t="s">
        <x:v>112</x:v>
      </x:c>
      <x:c r="K862" s="8" t="s">
        <x:v>2521</x:v>
      </x:c>
      <x:c r="L862" s="8" t="s">
        <x:v>2521</x:v>
      </x:c>
      <x:c r="M862" s="8"/>
      <x:c r="N862" s="8"/>
      <x:c r="O862" s="8" t="s">
        <x:v>1622</x:v>
      </x:c>
      <x:c r="P862" s="8" t="s">
        <x:v>115</x:v>
      </x:c>
      <x:c r="Q862" s="8" t="s">
        <x:v>45</x:v>
      </x:c>
      <x:c r="R862" s="8" t="s">
        <x:v>1623</x:v>
      </x:c>
      <x:c r="S862" s="8" t="s">
        <x:v>2466</x:v>
      </x:c>
      <x:c r="T862" s="8" t="s">
        <x:v>27</x:v>
      </x:c>
      <x:c r="U862" s="8" t="s">
        <x:v>883</x:v>
      </x:c>
      <x:c r="V862" s="8" t="s">
        <x:v>1624</x:v>
      </x:c>
    </x:row>
    <x:row r="863" ht="36" hidden="0" customHeight="1">
      <x:c r="A863" s="8" t="s">
        <x:v>2522</x:v>
      </x:c>
      <x:c r="B863" s="8" t="s">
        <x:v>2517</x:v>
      </x:c>
      <x:c r="C863" s="8"/>
      <x:c r="D863" s="8" t="s">
        <x:v>2523</x:v>
      </x:c>
      <x:c r="E863" s="8" t="n">
        <x:v>33</x:v>
      </x:c>
      <x:c r="F863" s="8" t="s">
        <x:v>1617</x:v>
      </x:c>
      <x:c r="G863" s="8" t="s">
        <x:v>109</x:v>
      </x:c>
      <x:c r="H863" s="8" t="s">
        <x:v>2519</x:v>
      </x:c>
      <x:c r="I863" s="8" t="s">
        <x:v>2520</x:v>
      </x:c>
      <x:c r="J863" s="8" t="s">
        <x:v>112</x:v>
      </x:c>
      <x:c r="K863" s="8" t="s">
        <x:v>2521</x:v>
      </x:c>
      <x:c r="L863" s="8" t="s">
        <x:v>2521</x:v>
      </x:c>
      <x:c r="M863" s="8"/>
      <x:c r="N863" s="8"/>
      <x:c r="O863" s="8" t="s">
        <x:v>1622</x:v>
      </x:c>
      <x:c r="P863" s="8" t="s">
        <x:v>115</x:v>
      </x:c>
      <x:c r="Q863" s="8" t="s">
        <x:v>45</x:v>
      </x:c>
      <x:c r="R863" s="8" t="s">
        <x:v>1623</x:v>
      </x:c>
      <x:c r="S863" s="8" t="s">
        <x:v>2524</x:v>
      </x:c>
      <x:c r="T863" s="8" t="s">
        <x:v>27</x:v>
      </x:c>
      <x:c r="U863" s="8" t="s">
        <x:v>883</x:v>
      </x:c>
      <x:c r="V863" s="8" t="s">
        <x:v>1624</x:v>
      </x:c>
    </x:row>
    <x:row r="864" ht="36" hidden="0" customHeight="1">
      <x:c r="A864" s="8" t="s">
        <x:v>2525</x:v>
      </x:c>
      <x:c r="B864" s="8" t="s">
        <x:v>2517</x:v>
      </x:c>
      <x:c r="C864" s="8"/>
      <x:c r="D864" s="8" t="s">
        <x:v>2526</x:v>
      </x:c>
      <x:c r="E864" s="8" t="s">
        <x:v>2527</x:v>
      </x:c>
      <x:c r="F864" s="8" t="s">
        <x:v>1617</x:v>
      </x:c>
      <x:c r="G864" s="8" t="s">
        <x:v>109</x:v>
      </x:c>
      <x:c r="H864" s="8" t="s">
        <x:v>2519</x:v>
      </x:c>
      <x:c r="I864" s="8" t="s">
        <x:v>2520</x:v>
      </x:c>
      <x:c r="J864" s="8" t="s">
        <x:v>112</x:v>
      </x:c>
      <x:c r="K864" s="8" t="s">
        <x:v>2521</x:v>
      </x:c>
      <x:c r="L864" s="8" t="s">
        <x:v>2521</x:v>
      </x:c>
      <x:c r="M864" s="8"/>
      <x:c r="N864" s="8"/>
      <x:c r="O864" s="8" t="s">
        <x:v>1622</x:v>
      </x:c>
      <x:c r="P864" s="8" t="s">
        <x:v>115</x:v>
      </x:c>
      <x:c r="Q864" s="8" t="s">
        <x:v>45</x:v>
      </x:c>
      <x:c r="R864" s="8" t="s">
        <x:v>1623</x:v>
      </x:c>
      <x:c r="S864" s="8"/>
      <x:c r="T864" s="8" t="s">
        <x:v>27</x:v>
      </x:c>
      <x:c r="U864" s="8" t="s">
        <x:v>883</x:v>
      </x:c>
      <x:c r="V864" s="8" t="s">
        <x:v>1624</x:v>
      </x:c>
    </x:row>
    <x:row r="865" ht="36" hidden="0" customHeight="1">
      <x:c r="A865" s="8" t="s">
        <x:v>2528</x:v>
      </x:c>
      <x:c r="B865" s="8" t="s">
        <x:v>2517</x:v>
      </x:c>
      <x:c r="C865" s="8"/>
      <x:c r="D865" s="8" t="s">
        <x:v>2345</x:v>
      </x:c>
      <x:c r="E865" s="8" t="n">
        <x:v>2667</x:v>
      </x:c>
      <x:c r="F865" s="8" t="s">
        <x:v>1617</x:v>
      </x:c>
      <x:c r="G865" s="8" t="s">
        <x:v>109</x:v>
      </x:c>
      <x:c r="H865" s="8" t="s">
        <x:v>2519</x:v>
      </x:c>
      <x:c r="I865" s="8" t="s">
        <x:v>2520</x:v>
      </x:c>
      <x:c r="J865" s="8" t="s">
        <x:v>112</x:v>
      </x:c>
      <x:c r="K865" s="8" t="s">
        <x:v>2521</x:v>
      </x:c>
      <x:c r="L865" s="8" t="s">
        <x:v>2521</x:v>
      </x:c>
      <x:c r="M865" s="8"/>
      <x:c r="N865" s="8"/>
      <x:c r="O865" s="8" t="s">
        <x:v>1622</x:v>
      </x:c>
      <x:c r="P865" s="8" t="s">
        <x:v>115</x:v>
      </x:c>
      <x:c r="Q865" s="8" t="s">
        <x:v>45</x:v>
      </x:c>
      <x:c r="R865" s="8" t="s">
        <x:v>1623</x:v>
      </x:c>
      <x:c r="S865" s="8" t="s">
        <x:v>2466</x:v>
      </x:c>
      <x:c r="T865" s="8" t="s">
        <x:v>27</x:v>
      </x:c>
      <x:c r="U865" s="8" t="s">
        <x:v>883</x:v>
      </x:c>
      <x:c r="V865" s="8" t="s">
        <x:v>1624</x:v>
      </x:c>
    </x:row>
    <x:row r="866" ht="36" hidden="0" customHeight="1">
      <x:c r="A866" s="8" t="s">
        <x:v>2529</x:v>
      </x:c>
      <x:c r="B866" s="8" t="s">
        <x:v>2517</x:v>
      </x:c>
      <x:c r="C866" s="8"/>
      <x:c r="D866" s="8" t="s">
        <x:v>2351</x:v>
      </x:c>
      <x:c r="E866" s="8" t="n">
        <x:v>667</x:v>
      </x:c>
      <x:c r="F866" s="8" t="s">
        <x:v>1617</x:v>
      </x:c>
      <x:c r="G866" s="8" t="s">
        <x:v>109</x:v>
      </x:c>
      <x:c r="H866" s="8" t="s">
        <x:v>2519</x:v>
      </x:c>
      <x:c r="I866" s="8" t="s">
        <x:v>2520</x:v>
      </x:c>
      <x:c r="J866" s="8" t="s">
        <x:v>112</x:v>
      </x:c>
      <x:c r="K866" s="8" t="s">
        <x:v>2521</x:v>
      </x:c>
      <x:c r="L866" s="8" t="s">
        <x:v>2521</x:v>
      </x:c>
      <x:c r="M866" s="8"/>
      <x:c r="N866" s="8"/>
      <x:c r="O866" s="8" t="s">
        <x:v>1622</x:v>
      </x:c>
      <x:c r="P866" s="8" t="s">
        <x:v>115</x:v>
      </x:c>
      <x:c r="Q866" s="8" t="s">
        <x:v>45</x:v>
      </x:c>
      <x:c r="R866" s="8" t="s">
        <x:v>1623</x:v>
      </x:c>
      <x:c r="S866" s="8" t="s">
        <x:v>2466</x:v>
      </x:c>
      <x:c r="T866" s="8" t="s">
        <x:v>27</x:v>
      </x:c>
      <x:c r="U866" s="8" t="s">
        <x:v>883</x:v>
      </x:c>
      <x:c r="V866" s="8" t="s">
        <x:v>1624</x:v>
      </x:c>
    </x:row>
    <x:row r="867" ht="36" hidden="0" customHeight="1">
      <x:c r="A867" s="8" t="s">
        <x:v>2530</x:v>
      </x:c>
      <x:c r="B867" s="8" t="s">
        <x:v>2517</x:v>
      </x:c>
      <x:c r="C867" s="8"/>
      <x:c r="D867" s="8" t="s">
        <x:v>2531</x:v>
      </x:c>
      <x:c r="E867" s="8" t="n">
        <x:v>660</x:v>
      </x:c>
      <x:c r="F867" s="8" t="s">
        <x:v>1617</x:v>
      </x:c>
      <x:c r="G867" s="8" t="s">
        <x:v>109</x:v>
      </x:c>
      <x:c r="H867" s="8" t="s">
        <x:v>2519</x:v>
      </x:c>
      <x:c r="I867" s="8" t="s">
        <x:v>2520</x:v>
      </x:c>
      <x:c r="J867" s="8" t="s">
        <x:v>112</x:v>
      </x:c>
      <x:c r="K867" s="8" t="s">
        <x:v>2521</x:v>
      </x:c>
      <x:c r="L867" s="8" t="s">
        <x:v>2521</x:v>
      </x:c>
      <x:c r="M867" s="8"/>
      <x:c r="N867" s="8"/>
      <x:c r="O867" s="8" t="s">
        <x:v>1622</x:v>
      </x:c>
      <x:c r="P867" s="8" t="s">
        <x:v>115</x:v>
      </x:c>
      <x:c r="Q867" s="8" t="s">
        <x:v>45</x:v>
      </x:c>
      <x:c r="R867" s="8" t="s">
        <x:v>1623</x:v>
      </x:c>
      <x:c r="S867" s="8" t="s">
        <x:v>2466</x:v>
      </x:c>
      <x:c r="T867" s="8" t="s">
        <x:v>27</x:v>
      </x:c>
      <x:c r="U867" s="8" t="s">
        <x:v>883</x:v>
      </x:c>
      <x:c r="V867" s="8" t="s">
        <x:v>1624</x:v>
      </x:c>
    </x:row>
    <x:row r="868" ht="36" hidden="0" customHeight="1">
      <x:c r="A868" s="8" t="s">
        <x:v>2532</x:v>
      </x:c>
      <x:c r="B868" s="8" t="s">
        <x:v>2517</x:v>
      </x:c>
      <x:c r="C868" s="8"/>
      <x:c r="D868" s="8" t="s">
        <x:v>2533</x:v>
      </x:c>
      <x:c r="E868" s="8" t="s">
        <x:v>2534</x:v>
      </x:c>
      <x:c r="F868" s="8" t="s">
        <x:v>1617</x:v>
      </x:c>
      <x:c r="G868" s="8" t="s">
        <x:v>109</x:v>
      </x:c>
      <x:c r="H868" s="8" t="s">
        <x:v>2519</x:v>
      </x:c>
      <x:c r="I868" s="8" t="s">
        <x:v>2520</x:v>
      </x:c>
      <x:c r="J868" s="8" t="s">
        <x:v>112</x:v>
      </x:c>
      <x:c r="K868" s="8" t="s">
        <x:v>2535</x:v>
      </x:c>
      <x:c r="L868" s="8" t="s">
        <x:v>2535</x:v>
      </x:c>
      <x:c r="M868" s="8"/>
      <x:c r="N868" s="8"/>
      <x:c r="O868" s="8" t="s">
        <x:v>1622</x:v>
      </x:c>
      <x:c r="P868" s="8" t="s">
        <x:v>115</x:v>
      </x:c>
      <x:c r="Q868" s="8" t="s">
        <x:v>45</x:v>
      </x:c>
      <x:c r="R868" s="8" t="s">
        <x:v>1623</x:v>
      </x:c>
      <x:c r="S868" s="8"/>
      <x:c r="T868" s="8" t="s">
        <x:v>27</x:v>
      </x:c>
      <x:c r="U868" s="8" t="s">
        <x:v>883</x:v>
      </x:c>
      <x:c r="V868" s="8" t="s">
        <x:v>1624</x:v>
      </x:c>
    </x:row>
    <x:row r="869" ht="36" hidden="0" customHeight="1">
      <x:c r="A869" s="8" t="s">
        <x:v>2536</x:v>
      </x:c>
      <x:c r="B869" s="8" t="s">
        <x:v>2517</x:v>
      </x:c>
      <x:c r="C869" s="8"/>
      <x:c r="D869" s="8" t="s">
        <x:v>2537</x:v>
      </x:c>
      <x:c r="E869" s="8" t="s">
        <x:v>2538</x:v>
      </x:c>
      <x:c r="F869" s="8" t="s">
        <x:v>1617</x:v>
      </x:c>
      <x:c r="G869" s="8" t="s">
        <x:v>109</x:v>
      </x:c>
      <x:c r="H869" s="8" t="s">
        <x:v>2519</x:v>
      </x:c>
      <x:c r="I869" s="8" t="s">
        <x:v>2520</x:v>
      </x:c>
      <x:c r="J869" s="8" t="s">
        <x:v>112</x:v>
      </x:c>
      <x:c r="K869" s="8" t="s">
        <x:v>2535</x:v>
      </x:c>
      <x:c r="L869" s="8" t="s">
        <x:v>2535</x:v>
      </x:c>
      <x:c r="M869" s="8"/>
      <x:c r="N869" s="8"/>
      <x:c r="O869" s="8" t="s">
        <x:v>1622</x:v>
      </x:c>
      <x:c r="P869" s="8" t="s">
        <x:v>115</x:v>
      </x:c>
      <x:c r="Q869" s="8" t="s">
        <x:v>45</x:v>
      </x:c>
      <x:c r="R869" s="8" t="s">
        <x:v>1623</x:v>
      </x:c>
      <x:c r="S869" s="8"/>
      <x:c r="T869" s="8" t="s">
        <x:v>27</x:v>
      </x:c>
      <x:c r="U869" s="8" t="s">
        <x:v>883</x:v>
      </x:c>
      <x:c r="V869" s="8" t="s">
        <x:v>1624</x:v>
      </x:c>
    </x:row>
    <x:row r="870" ht="36" hidden="0" customHeight="1">
      <x:c r="A870" s="8" t="s">
        <x:v>2539</x:v>
      </x:c>
      <x:c r="B870" s="8" t="s">
        <x:v>2517</x:v>
      </x:c>
      <x:c r="C870" s="8"/>
      <x:c r="D870" s="8" t="s">
        <x:v>2540</x:v>
      </x:c>
      <x:c r="E870" s="8" t="s">
        <x:v>2541</x:v>
      </x:c>
      <x:c r="F870" s="8" t="s">
        <x:v>1617</x:v>
      </x:c>
      <x:c r="G870" s="8" t="s">
        <x:v>187</x:v>
      </x:c>
      <x:c r="H870" s="8" t="s">
        <x:v>2519</x:v>
      </x:c>
      <x:c r="I870" s="8" t="s">
        <x:v>2520</x:v>
      </x:c>
      <x:c r="J870" s="8" t="s">
        <x:v>112</x:v>
      </x:c>
      <x:c r="K870" s="8" t="s">
        <x:v>2535</x:v>
      </x:c>
      <x:c r="L870" s="8" t="s">
        <x:v>2535</x:v>
      </x:c>
      <x:c r="M870" s="8"/>
      <x:c r="N870" s="8"/>
      <x:c r="O870" s="8" t="s">
        <x:v>1622</x:v>
      </x:c>
      <x:c r="P870" s="8" t="s">
        <x:v>115</x:v>
      </x:c>
      <x:c r="Q870" s="8" t="s">
        <x:v>45</x:v>
      </x:c>
      <x:c r="R870" s="8" t="s">
        <x:v>1623</x:v>
      </x:c>
      <x:c r="S870" s="8"/>
      <x:c r="T870" s="8" t="s">
        <x:v>27</x:v>
      </x:c>
      <x:c r="U870" s="8" t="s">
        <x:v>883</x:v>
      </x:c>
      <x:c r="V870" s="8" t="s">
        <x:v>1624</x:v>
      </x:c>
    </x:row>
    <x:row r="871" ht="36" hidden="0" customHeight="1">
      <x:c r="A871" s="8" t="s">
        <x:v>2542</x:v>
      </x:c>
      <x:c r="B871" s="8" t="s">
        <x:v>2517</x:v>
      </x:c>
      <x:c r="C871" s="8"/>
      <x:c r="D871" s="8" t="s">
        <x:v>2543</x:v>
      </x:c>
      <x:c r="E871" s="8" t="s">
        <x:v>2544</x:v>
      </x:c>
      <x:c r="F871" s="8" t="s">
        <x:v>1617</x:v>
      </x:c>
      <x:c r="G871" s="8" t="s">
        <x:v>109</x:v>
      </x:c>
      <x:c r="H871" s="8" t="s">
        <x:v>2519</x:v>
      </x:c>
      <x:c r="I871" s="8" t="s">
        <x:v>2520</x:v>
      </x:c>
      <x:c r="J871" s="8" t="s">
        <x:v>112</x:v>
      </x:c>
      <x:c r="K871" s="8" t="s">
        <x:v>2545</x:v>
      </x:c>
      <x:c r="L871" s="8" t="s">
        <x:v>2545</x:v>
      </x:c>
      <x:c r="M871" s="8"/>
      <x:c r="N871" s="8"/>
      <x:c r="O871" s="8" t="s">
        <x:v>1622</x:v>
      </x:c>
      <x:c r="P871" s="8" t="s">
        <x:v>115</x:v>
      </x:c>
      <x:c r="Q871" s="8" t="s">
        <x:v>45</x:v>
      </x:c>
      <x:c r="R871" s="8" t="s">
        <x:v>1623</x:v>
      </x:c>
      <x:c r="S871" s="8"/>
      <x:c r="T871" s="8" t="s">
        <x:v>27</x:v>
      </x:c>
      <x:c r="U871" s="8" t="s">
        <x:v>883</x:v>
      </x:c>
      <x:c r="V871" s="8" t="s">
        <x:v>1624</x:v>
      </x:c>
    </x:row>
    <x:row r="872" ht="36" hidden="0" customHeight="1">
      <x:c r="A872" s="8" t="s">
        <x:v>2546</x:v>
      </x:c>
      <x:c r="B872" s="8" t="s">
        <x:v>2517</x:v>
      </x:c>
      <x:c r="C872" s="8"/>
      <x:c r="D872" s="8" t="s">
        <x:v>2547</x:v>
      </x:c>
      <x:c r="E872" s="8" t="s">
        <x:v>2548</x:v>
      </x:c>
      <x:c r="F872" s="8" t="s">
        <x:v>1617</x:v>
      </x:c>
      <x:c r="G872" s="8" t="s">
        <x:v>109</x:v>
      </x:c>
      <x:c r="H872" s="8" t="s">
        <x:v>2519</x:v>
      </x:c>
      <x:c r="I872" s="8" t="s">
        <x:v>2520</x:v>
      </x:c>
      <x:c r="J872" s="8" t="s">
        <x:v>112</x:v>
      </x:c>
      <x:c r="K872" s="8" t="s">
        <x:v>2545</x:v>
      </x:c>
      <x:c r="L872" s="8" t="s">
        <x:v>2545</x:v>
      </x:c>
      <x:c r="M872" s="8"/>
      <x:c r="N872" s="8"/>
      <x:c r="O872" s="8" t="s">
        <x:v>1622</x:v>
      </x:c>
      <x:c r="P872" s="8" t="s">
        <x:v>115</x:v>
      </x:c>
      <x:c r="Q872" s="8" t="s">
        <x:v>45</x:v>
      </x:c>
      <x:c r="R872" s="8" t="s">
        <x:v>1623</x:v>
      </x:c>
      <x:c r="S872" s="8"/>
      <x:c r="T872" s="8" t="s">
        <x:v>27</x:v>
      </x:c>
      <x:c r="U872" s="8" t="s">
        <x:v>883</x:v>
      </x:c>
      <x:c r="V872" s="8" t="s">
        <x:v>1624</x:v>
      </x:c>
    </x:row>
    <x:row r="873" ht="36" hidden="0" customHeight="1">
      <x:c r="A873" s="8" t="s">
        <x:v>2549</x:v>
      </x:c>
      <x:c r="B873" s="8" t="s">
        <x:v>2517</x:v>
      </x:c>
      <x:c r="C873" s="8"/>
      <x:c r="D873" s="8" t="s">
        <x:v>2550</x:v>
      </x:c>
      <x:c r="E873" s="8" t="s">
        <x:v>2551</x:v>
      </x:c>
      <x:c r="F873" s="8" t="s">
        <x:v>1617</x:v>
      </x:c>
      <x:c r="G873" s="8" t="s">
        <x:v>181</x:v>
      </x:c>
      <x:c r="H873" s="8" t="s">
        <x:v>2519</x:v>
      </x:c>
      <x:c r="I873" s="8" t="s">
        <x:v>2520</x:v>
      </x:c>
      <x:c r="J873" s="8" t="s">
        <x:v>112</x:v>
      </x:c>
      <x:c r="K873" s="8" t="s">
        <x:v>2521</x:v>
      </x:c>
      <x:c r="L873" s="8" t="s">
        <x:v>2521</x:v>
      </x:c>
      <x:c r="M873" s="8"/>
      <x:c r="N873" s="8"/>
      <x:c r="O873" s="8" t="s">
        <x:v>1622</x:v>
      </x:c>
      <x:c r="P873" s="8" t="s">
        <x:v>115</x:v>
      </x:c>
      <x:c r="Q873" s="8" t="s">
        <x:v>45</x:v>
      </x:c>
      <x:c r="R873" s="8" t="s">
        <x:v>2552</x:v>
      </x:c>
      <x:c r="S873" s="8"/>
      <x:c r="T873" s="8" t="s">
        <x:v>27</x:v>
      </x:c>
      <x:c r="U873" s="8" t="s">
        <x:v>883</x:v>
      </x:c>
      <x:c r="V873" s="8" t="s">
        <x:v>1624</x:v>
      </x:c>
    </x:row>
    <x:row r="874" ht="36" hidden="0" customHeight="1">
      <x:c r="A874" s="8" t="s">
        <x:v>2553</x:v>
      </x:c>
      <x:c r="B874" s="8" t="s">
        <x:v>2554</x:v>
      </x:c>
      <x:c r="C874" s="8"/>
      <x:c r="D874" s="8" t="s">
        <x:v>164</x:v>
      </x:c>
      <x:c r="E874" s="8" t="s">
        <x:v>165</x:v>
      </x:c>
      <x:c r="F874" s="8" t="s">
        <x:v>1617</x:v>
      </x:c>
      <x:c r="G874" s="8" t="s">
        <x:v>109</x:v>
      </x:c>
      <x:c r="H874" s="8" t="s">
        <x:v>2555</x:v>
      </x:c>
      <x:c r="I874" s="8" t="s">
        <x:v>2556</x:v>
      </x:c>
      <x:c r="J874" s="8" t="s">
        <x:v>112</x:v>
      </x:c>
      <x:c r="K874" s="8" t="s">
        <x:v>2557</x:v>
      </x:c>
      <x:c r="L874" s="8" t="s">
        <x:v>2557</x:v>
      </x:c>
      <x:c r="M874" s="8"/>
      <x:c r="N874" s="8"/>
      <x:c r="O874" s="8" t="s">
        <x:v>1622</x:v>
      </x:c>
      <x:c r="P874" s="8" t="s">
        <x:v>115</x:v>
      </x:c>
      <x:c r="Q874" s="8" t="s">
        <x:v>45</x:v>
      </x:c>
      <x:c r="R874" s="8" t="s">
        <x:v>1623</x:v>
      </x:c>
      <x:c r="S874" s="8"/>
      <x:c r="T874" s="8" t="s">
        <x:v>27</x:v>
      </x:c>
      <x:c r="U874" s="8" t="s">
        <x:v>883</x:v>
      </x:c>
      <x:c r="V874" s="8" t="s">
        <x:v>1624</x:v>
      </x:c>
    </x:row>
    <x:row r="875" ht="36" hidden="0" customHeight="1">
      <x:c r="A875" s="8" t="s">
        <x:v>2558</x:v>
      </x:c>
      <x:c r="B875" s="8" t="s">
        <x:v>2554</x:v>
      </x:c>
      <x:c r="C875" s="8"/>
      <x:c r="D875" s="8" t="s">
        <x:v>318</x:v>
      </x:c>
      <x:c r="E875" s="8" t="n">
        <x:v>0.0001</x:v>
      </x:c>
      <x:c r="F875" s="8" t="s">
        <x:v>1617</x:v>
      </x:c>
      <x:c r="G875" s="8" t="s">
        <x:v>109</x:v>
      </x:c>
      <x:c r="H875" s="8" t="s">
        <x:v>2555</x:v>
      </x:c>
      <x:c r="I875" s="8" t="s">
        <x:v>2556</x:v>
      </x:c>
      <x:c r="J875" s="8" t="s">
        <x:v>112</x:v>
      </x:c>
      <x:c r="K875" s="8" t="s">
        <x:v>2557</x:v>
      </x:c>
      <x:c r="L875" s="8" t="s">
        <x:v>2557</x:v>
      </x:c>
      <x:c r="M875" s="8"/>
      <x:c r="N875" s="8"/>
      <x:c r="O875" s="8" t="s">
        <x:v>1622</x:v>
      </x:c>
      <x:c r="P875" s="8" t="s">
        <x:v>115</x:v>
      </x:c>
      <x:c r="Q875" s="8" t="s">
        <x:v>45</x:v>
      </x:c>
      <x:c r="R875" s="8" t="s">
        <x:v>1623</x:v>
      </x:c>
      <x:c r="S875" s="8"/>
      <x:c r="T875" s="8" t="s">
        <x:v>27</x:v>
      </x:c>
      <x:c r="U875" s="8" t="s">
        <x:v>883</x:v>
      </x:c>
      <x:c r="V875" s="8" t="s">
        <x:v>1624</x:v>
      </x:c>
    </x:row>
    <x:row r="876" ht="36" hidden="0" customHeight="1">
      <x:c r="A876" s="8" t="s">
        <x:v>2559</x:v>
      </x:c>
      <x:c r="B876" s="8" t="s">
        <x:v>2554</x:v>
      </x:c>
      <x:c r="C876" s="8"/>
      <x:c r="D876" s="8" t="s">
        <x:v>402</x:v>
      </x:c>
      <x:c r="E876" s="8" t="n">
        <x:v>1E-005</x:v>
      </x:c>
      <x:c r="F876" s="8" t="s">
        <x:v>1617</x:v>
      </x:c>
      <x:c r="G876" s="8" t="s">
        <x:v>109</x:v>
      </x:c>
      <x:c r="H876" s="8" t="s">
        <x:v>2555</x:v>
      </x:c>
      <x:c r="I876" s="8" t="s">
        <x:v>2556</x:v>
      </x:c>
      <x:c r="J876" s="8" t="s">
        <x:v>112</x:v>
      </x:c>
      <x:c r="K876" s="8" t="s">
        <x:v>2557</x:v>
      </x:c>
      <x:c r="L876" s="8" t="s">
        <x:v>2557</x:v>
      </x:c>
      <x:c r="M876" s="8"/>
      <x:c r="N876" s="8"/>
      <x:c r="O876" s="8" t="s">
        <x:v>1622</x:v>
      </x:c>
      <x:c r="P876" s="8" t="s">
        <x:v>115</x:v>
      </x:c>
      <x:c r="Q876" s="8" t="s">
        <x:v>45</x:v>
      </x:c>
      <x:c r="R876" s="8" t="s">
        <x:v>1623</x:v>
      </x:c>
      <x:c r="S876" s="8"/>
      <x:c r="T876" s="8" t="s">
        <x:v>27</x:v>
      </x:c>
      <x:c r="U876" s="8" t="s">
        <x:v>883</x:v>
      </x:c>
      <x:c r="V876" s="8" t="s">
        <x:v>1624</x:v>
      </x:c>
    </x:row>
    <x:row r="877" ht="36" hidden="0" customHeight="1">
      <x:c r="A877" s="8" t="s">
        <x:v>2560</x:v>
      </x:c>
      <x:c r="B877" s="8" t="s">
        <x:v>2554</x:v>
      </x:c>
      <x:c r="C877" s="8"/>
      <x:c r="D877" s="8" t="s">
        <x:v>2561</x:v>
      </x:c>
      <x:c r="E877" s="8" t="n">
        <x:v>500</x:v>
      </x:c>
      <x:c r="F877" s="8" t="s">
        <x:v>1617</x:v>
      </x:c>
      <x:c r="G877" s="8" t="s">
        <x:v>109</x:v>
      </x:c>
      <x:c r="H877" s="8" t="s">
        <x:v>2555</x:v>
      </x:c>
      <x:c r="I877" s="8" t="s">
        <x:v>2556</x:v>
      </x:c>
      <x:c r="J877" s="8" t="s">
        <x:v>112</x:v>
      </x:c>
      <x:c r="K877" s="8" t="s">
        <x:v>2557</x:v>
      </x:c>
      <x:c r="L877" s="8" t="s">
        <x:v>2557</x:v>
      </x:c>
      <x:c r="M877" s="8"/>
      <x:c r="N877" s="8"/>
      <x:c r="O877" s="8" t="s">
        <x:v>1622</x:v>
      </x:c>
      <x:c r="P877" s="8" t="s">
        <x:v>115</x:v>
      </x:c>
      <x:c r="Q877" s="8" t="s">
        <x:v>45</x:v>
      </x:c>
      <x:c r="R877" s="8" t="s">
        <x:v>1623</x:v>
      </x:c>
      <x:c r="S877" s="8" t="s">
        <x:v>990</x:v>
      </x:c>
      <x:c r="T877" s="8" t="s">
        <x:v>27</x:v>
      </x:c>
      <x:c r="U877" s="8" t="s">
        <x:v>883</x:v>
      </x:c>
      <x:c r="V877" s="8" t="s">
        <x:v>1624</x:v>
      </x:c>
    </x:row>
    <x:row r="878" ht="36" hidden="0" customHeight="1">
      <x:c r="A878" s="8" t="s">
        <x:v>2562</x:v>
      </x:c>
      <x:c r="B878" s="8" t="s">
        <x:v>2554</x:v>
      </x:c>
      <x:c r="C878" s="8"/>
      <x:c r="D878" s="8" t="s">
        <x:v>2563</x:v>
      </x:c>
      <x:c r="E878" s="8" t="n">
        <x:v>200</x:v>
      </x:c>
      <x:c r="F878" s="8" t="s">
        <x:v>1617</x:v>
      </x:c>
      <x:c r="G878" s="8" t="s">
        <x:v>109</x:v>
      </x:c>
      <x:c r="H878" s="8" t="s">
        <x:v>2555</x:v>
      </x:c>
      <x:c r="I878" s="8" t="s">
        <x:v>2556</x:v>
      </x:c>
      <x:c r="J878" s="8" t="s">
        <x:v>112</x:v>
      </x:c>
      <x:c r="K878" s="8" t="s">
        <x:v>2557</x:v>
      </x:c>
      <x:c r="L878" s="8" t="s">
        <x:v>2557</x:v>
      </x:c>
      <x:c r="M878" s="8"/>
      <x:c r="N878" s="8"/>
      <x:c r="O878" s="8" t="s">
        <x:v>1622</x:v>
      </x:c>
      <x:c r="P878" s="8" t="s">
        <x:v>115</x:v>
      </x:c>
      <x:c r="Q878" s="8" t="s">
        <x:v>45</x:v>
      </x:c>
      <x:c r="R878" s="8" t="s">
        <x:v>1623</x:v>
      </x:c>
      <x:c r="S878" s="8" t="s">
        <x:v>990</x:v>
      </x:c>
      <x:c r="T878" s="8" t="s">
        <x:v>27</x:v>
      </x:c>
      <x:c r="U878" s="8" t="s">
        <x:v>883</x:v>
      </x:c>
      <x:c r="V878" s="8" t="s">
        <x:v>1624</x:v>
      </x:c>
    </x:row>
    <x:row r="879" ht="36" hidden="0" customHeight="1">
      <x:c r="A879" s="8" t="s">
        <x:v>2564</x:v>
      </x:c>
      <x:c r="B879" s="8" t="s">
        <x:v>2554</x:v>
      </x:c>
      <x:c r="C879" s="8"/>
      <x:c r="D879" s="8" t="s">
        <x:v>2565</x:v>
      </x:c>
      <x:c r="E879" s="8" t="s">
        <x:v>2566</x:v>
      </x:c>
      <x:c r="F879" s="8" t="s">
        <x:v>1617</x:v>
      </x:c>
      <x:c r="G879" s="8" t="s">
        <x:v>109</x:v>
      </x:c>
      <x:c r="H879" s="8" t="s">
        <x:v>2555</x:v>
      </x:c>
      <x:c r="I879" s="8" t="s">
        <x:v>2556</x:v>
      </x:c>
      <x:c r="J879" s="8" t="s">
        <x:v>112</x:v>
      </x:c>
      <x:c r="K879" s="8" t="s">
        <x:v>2567</x:v>
      </x:c>
      <x:c r="L879" s="8" t="s">
        <x:v>2567</x:v>
      </x:c>
      <x:c r="M879" s="8"/>
      <x:c r="N879" s="8"/>
      <x:c r="O879" s="8" t="s">
        <x:v>1622</x:v>
      </x:c>
      <x:c r="P879" s="8" t="s">
        <x:v>115</x:v>
      </x:c>
      <x:c r="Q879" s="8" t="s">
        <x:v>45</x:v>
      </x:c>
      <x:c r="R879" s="8" t="s">
        <x:v>1623</x:v>
      </x:c>
      <x:c r="S879" s="8"/>
      <x:c r="T879" s="8" t="s">
        <x:v>27</x:v>
      </x:c>
      <x:c r="U879" s="8" t="s">
        <x:v>883</x:v>
      </x:c>
      <x:c r="V879" s="8" t="s">
        <x:v>1624</x:v>
      </x:c>
    </x:row>
    <x:row r="880" ht="36" hidden="0" customHeight="1">
      <x:c r="A880" s="8" t="s">
        <x:v>2568</x:v>
      </x:c>
      <x:c r="B880" s="8" t="s">
        <x:v>2554</x:v>
      </x:c>
      <x:c r="C880" s="8"/>
      <x:c r="D880" s="8" t="s">
        <x:v>2569</x:v>
      </x:c>
      <x:c r="E880" s="8" t="s">
        <x:v>2570</x:v>
      </x:c>
      <x:c r="F880" s="8" t="s">
        <x:v>1617</x:v>
      </x:c>
      <x:c r="G880" s="8" t="s">
        <x:v>109</x:v>
      </x:c>
      <x:c r="H880" s="8" t="s">
        <x:v>2555</x:v>
      </x:c>
      <x:c r="I880" s="8" t="s">
        <x:v>2556</x:v>
      </x:c>
      <x:c r="J880" s="8" t="s">
        <x:v>112</x:v>
      </x:c>
      <x:c r="K880" s="8" t="s">
        <x:v>2567</x:v>
      </x:c>
      <x:c r="L880" s="8" t="s">
        <x:v>2567</x:v>
      </x:c>
      <x:c r="M880" s="8"/>
      <x:c r="N880" s="8"/>
      <x:c r="O880" s="8" t="s">
        <x:v>1622</x:v>
      </x:c>
      <x:c r="P880" s="8" t="s">
        <x:v>115</x:v>
      </x:c>
      <x:c r="Q880" s="8" t="s">
        <x:v>45</x:v>
      </x:c>
      <x:c r="R880" s="8" t="s">
        <x:v>1623</x:v>
      </x:c>
      <x:c r="S880" s="8"/>
      <x:c r="T880" s="8" t="s">
        <x:v>27</x:v>
      </x:c>
      <x:c r="U880" s="8" t="s">
        <x:v>883</x:v>
      </x:c>
      <x:c r="V880" s="8" t="s">
        <x:v>1624</x:v>
      </x:c>
    </x:row>
    <x:row r="881" ht="36" hidden="0" customHeight="1">
      <x:c r="A881" s="8" t="s">
        <x:v>2571</x:v>
      </x:c>
      <x:c r="B881" s="8" t="s">
        <x:v>2554</x:v>
      </x:c>
      <x:c r="C881" s="8"/>
      <x:c r="D881" s="8" t="s">
        <x:v>1989</x:v>
      </x:c>
      <x:c r="E881" s="8" t="s">
        <x:v>2572</x:v>
      </x:c>
      <x:c r="F881" s="8" t="s">
        <x:v>1617</x:v>
      </x:c>
      <x:c r="G881" s="8" t="s">
        <x:v>109</x:v>
      </x:c>
      <x:c r="H881" s="8" t="s">
        <x:v>2555</x:v>
      </x:c>
      <x:c r="I881" s="8" t="s">
        <x:v>2556</x:v>
      </x:c>
      <x:c r="J881" s="8" t="s">
        <x:v>112</x:v>
      </x:c>
      <x:c r="K881" s="8" t="s">
        <x:v>2567</x:v>
      </x:c>
      <x:c r="L881" s="8" t="s">
        <x:v>2567</x:v>
      </x:c>
      <x:c r="M881" s="8"/>
      <x:c r="N881" s="8"/>
      <x:c r="O881" s="8" t="s">
        <x:v>1622</x:v>
      </x:c>
      <x:c r="P881" s="8" t="s">
        <x:v>115</x:v>
      </x:c>
      <x:c r="Q881" s="8" t="s">
        <x:v>45</x:v>
      </x:c>
      <x:c r="R881" s="8" t="s">
        <x:v>1623</x:v>
      </x:c>
      <x:c r="S881" s="8"/>
      <x:c r="T881" s="8" t="s">
        <x:v>27</x:v>
      </x:c>
      <x:c r="U881" s="8" t="s">
        <x:v>883</x:v>
      </x:c>
      <x:c r="V881" s="8" t="s">
        <x:v>1624</x:v>
      </x:c>
    </x:row>
    <x:row r="882" ht="36" hidden="0" customHeight="1">
      <x:c r="A882" s="8" t="s">
        <x:v>2573</x:v>
      </x:c>
      <x:c r="B882" s="8" t="s">
        <x:v>2554</x:v>
      </x:c>
      <x:c r="C882" s="8"/>
      <x:c r="D882" s="8" t="s">
        <x:v>2574</x:v>
      </x:c>
      <x:c r="E882" s="8" t="s">
        <x:v>2575</x:v>
      </x:c>
      <x:c r="F882" s="8" t="s">
        <x:v>1617</x:v>
      </x:c>
      <x:c r="G882" s="8" t="s">
        <x:v>109</x:v>
      </x:c>
      <x:c r="H882" s="8" t="s">
        <x:v>2555</x:v>
      </x:c>
      <x:c r="I882" s="8" t="s">
        <x:v>2556</x:v>
      </x:c>
      <x:c r="J882" s="8" t="s">
        <x:v>112</x:v>
      </x:c>
      <x:c r="K882" s="8" t="s">
        <x:v>2576</x:v>
      </x:c>
      <x:c r="L882" s="8" t="s">
        <x:v>2576</x:v>
      </x:c>
      <x:c r="M882" s="8"/>
      <x:c r="N882" s="8"/>
      <x:c r="O882" s="8" t="s">
        <x:v>1622</x:v>
      </x:c>
      <x:c r="P882" s="8" t="s">
        <x:v>115</x:v>
      </x:c>
      <x:c r="Q882" s="8" t="s">
        <x:v>45</x:v>
      </x:c>
      <x:c r="R882" s="8" t="s">
        <x:v>1623</x:v>
      </x:c>
      <x:c r="S882" s="8"/>
      <x:c r="T882" s="8" t="s">
        <x:v>27</x:v>
      </x:c>
      <x:c r="U882" s="8" t="s">
        <x:v>883</x:v>
      </x:c>
      <x:c r="V882" s="8" t="s">
        <x:v>1624</x:v>
      </x:c>
    </x:row>
    <x:row r="883" ht="36" hidden="0" customHeight="1">
      <x:c r="A883" s="8" t="s">
        <x:v>2577</x:v>
      </x:c>
      <x:c r="B883" s="8" t="s">
        <x:v>2554</x:v>
      </x:c>
      <x:c r="C883" s="8"/>
      <x:c r="D883" s="8" t="s">
        <x:v>2578</x:v>
      </x:c>
      <x:c r="E883" s="8" t="s">
        <x:v>2579</x:v>
      </x:c>
      <x:c r="F883" s="8" t="s">
        <x:v>1617</x:v>
      </x:c>
      <x:c r="G883" s="8" t="s">
        <x:v>109</x:v>
      </x:c>
      <x:c r="H883" s="8" t="s">
        <x:v>2555</x:v>
      </x:c>
      <x:c r="I883" s="8" t="s">
        <x:v>2556</x:v>
      </x:c>
      <x:c r="J883" s="8" t="s">
        <x:v>112</x:v>
      </x:c>
      <x:c r="K883" s="8" t="s">
        <x:v>2580</x:v>
      </x:c>
      <x:c r="L883" s="8" t="s">
        <x:v>2580</x:v>
      </x:c>
      <x:c r="M883" s="8"/>
      <x:c r="N883" s="8"/>
      <x:c r="O883" s="8" t="s">
        <x:v>1622</x:v>
      </x:c>
      <x:c r="P883" s="8" t="s">
        <x:v>115</x:v>
      </x:c>
      <x:c r="Q883" s="8" t="s">
        <x:v>45</x:v>
      </x:c>
      <x:c r="R883" s="8" t="s">
        <x:v>1623</x:v>
      </x:c>
      <x:c r="S883" s="8"/>
      <x:c r="T883" s="8" t="s">
        <x:v>27</x:v>
      </x:c>
      <x:c r="U883" s="8" t="s">
        <x:v>883</x:v>
      </x:c>
      <x:c r="V883" s="8" t="s">
        <x:v>1624</x:v>
      </x:c>
    </x:row>
    <x:row r="884" ht="36" hidden="0" customHeight="1">
      <x:c r="A884" s="8" t="s">
        <x:v>2581</x:v>
      </x:c>
      <x:c r="B884" s="8" t="s">
        <x:v>2554</x:v>
      </x:c>
      <x:c r="C884" s="8"/>
      <x:c r="D884" s="8" t="s">
        <x:v>2582</x:v>
      </x:c>
      <x:c r="E884" s="8" t="s">
        <x:v>446</x:v>
      </x:c>
      <x:c r="F884" s="8" t="s">
        <x:v>1617</x:v>
      </x:c>
      <x:c r="G884" s="8" t="s">
        <x:v>109</x:v>
      </x:c>
      <x:c r="H884" s="8" t="s">
        <x:v>2555</x:v>
      </x:c>
      <x:c r="I884" s="8" t="s">
        <x:v>2556</x:v>
      </x:c>
      <x:c r="J884" s="8" t="s">
        <x:v>112</x:v>
      </x:c>
      <x:c r="K884" s="8" t="s">
        <x:v>2580</x:v>
      </x:c>
      <x:c r="L884" s="8" t="s">
        <x:v>2580</x:v>
      </x:c>
      <x:c r="M884" s="8"/>
      <x:c r="N884" s="8"/>
      <x:c r="O884" s="8" t="s">
        <x:v>1622</x:v>
      </x:c>
      <x:c r="P884" s="8" t="s">
        <x:v>115</x:v>
      </x:c>
      <x:c r="Q884" s="8" t="s">
        <x:v>45</x:v>
      </x:c>
      <x:c r="R884" s="8" t="s">
        <x:v>1623</x:v>
      </x:c>
      <x:c r="S884" s="8"/>
      <x:c r="T884" s="8" t="s">
        <x:v>27</x:v>
      </x:c>
      <x:c r="U884" s="8" t="s">
        <x:v>883</x:v>
      </x:c>
      <x:c r="V884" s="8" t="s">
        <x:v>1624</x:v>
      </x:c>
    </x:row>
    <x:row r="885" ht="36" hidden="0" customHeight="1">
      <x:c r="A885" s="8" t="s">
        <x:v>2583</x:v>
      </x:c>
      <x:c r="B885" s="8" t="s">
        <x:v>2554</x:v>
      </x:c>
      <x:c r="C885" s="8"/>
      <x:c r="D885" s="8" t="s">
        <x:v>2584</x:v>
      </x:c>
      <x:c r="E885" s="8" t="s">
        <x:v>2585</x:v>
      </x:c>
      <x:c r="F885" s="8" t="s">
        <x:v>1617</x:v>
      </x:c>
      <x:c r="G885" s="8" t="s">
        <x:v>109</x:v>
      </x:c>
      <x:c r="H885" s="8" t="s">
        <x:v>2555</x:v>
      </x:c>
      <x:c r="I885" s="8" t="s">
        <x:v>2556</x:v>
      </x:c>
      <x:c r="J885" s="8" t="s">
        <x:v>112</x:v>
      </x:c>
      <x:c r="K885" s="8" t="s">
        <x:v>2586</x:v>
      </x:c>
      <x:c r="L885" s="8" t="s">
        <x:v>2586</x:v>
      </x:c>
      <x:c r="M885" s="8"/>
      <x:c r="N885" s="8"/>
      <x:c r="O885" s="8" t="s">
        <x:v>1622</x:v>
      </x:c>
      <x:c r="P885" s="8" t="s">
        <x:v>115</x:v>
      </x:c>
      <x:c r="Q885" s="8" t="s">
        <x:v>45</x:v>
      </x:c>
      <x:c r="R885" s="8" t="s">
        <x:v>1623</x:v>
      </x:c>
      <x:c r="S885" s="8"/>
      <x:c r="T885" s="8" t="s">
        <x:v>27</x:v>
      </x:c>
      <x:c r="U885" s="8" t="s">
        <x:v>883</x:v>
      </x:c>
      <x:c r="V885" s="8" t="s">
        <x:v>1624</x:v>
      </x:c>
    </x:row>
    <x:row r="886" ht="36" hidden="0" customHeight="1">
      <x:c r="A886" s="8" t="s">
        <x:v>2587</x:v>
      </x:c>
      <x:c r="B886" s="8" t="s">
        <x:v>2554</x:v>
      </x:c>
      <x:c r="C886" s="8"/>
      <x:c r="D886" s="8" t="s">
        <x:v>2588</x:v>
      </x:c>
      <x:c r="E886" s="8" t="n">
        <x:v>8</x:v>
      </x:c>
      <x:c r="F886" s="8" t="s">
        <x:v>1617</x:v>
      </x:c>
      <x:c r="G886" s="8" t="s">
        <x:v>109</x:v>
      </x:c>
      <x:c r="H886" s="8" t="s">
        <x:v>2555</x:v>
      </x:c>
      <x:c r="I886" s="8" t="s">
        <x:v>2556</x:v>
      </x:c>
      <x:c r="J886" s="8" t="s">
        <x:v>112</x:v>
      </x:c>
      <x:c r="K886" s="8" t="s">
        <x:v>2589</x:v>
      </x:c>
      <x:c r="L886" s="8" t="s">
        <x:v>2589</x:v>
      </x:c>
      <x:c r="M886" s="8"/>
      <x:c r="N886" s="8"/>
      <x:c r="O886" s="8" t="s">
        <x:v>1622</x:v>
      </x:c>
      <x:c r="P886" s="8" t="s">
        <x:v>115</x:v>
      </x:c>
      <x:c r="Q886" s="8" t="s">
        <x:v>45</x:v>
      </x:c>
      <x:c r="R886" s="8" t="s">
        <x:v>1623</x:v>
      </x:c>
      <x:c r="S886" s="8" t="s">
        <x:v>914</x:v>
      </x:c>
      <x:c r="T886" s="8" t="s">
        <x:v>27</x:v>
      </x:c>
      <x:c r="U886" s="8" t="s">
        <x:v>883</x:v>
      </x:c>
      <x:c r="V886" s="8" t="s">
        <x:v>1624</x:v>
      </x:c>
    </x:row>
    <x:row r="887" ht="36" hidden="0" customHeight="1">
      <x:c r="A887" s="8" t="s">
        <x:v>2590</x:v>
      </x:c>
      <x:c r="B887" s="8" t="s">
        <x:v>2554</x:v>
      </x:c>
      <x:c r="C887" s="8"/>
      <x:c r="D887" s="8" t="s">
        <x:v>1682</x:v>
      </x:c>
      <x:c r="E887" s="8" t="n">
        <x:v>4</x:v>
      </x:c>
      <x:c r="F887" s="8" t="s">
        <x:v>1617</x:v>
      </x:c>
      <x:c r="G887" s="8" t="s">
        <x:v>109</x:v>
      </x:c>
      <x:c r="H887" s="8" t="s">
        <x:v>2555</x:v>
      </x:c>
      <x:c r="I887" s="8" t="s">
        <x:v>2556</x:v>
      </x:c>
      <x:c r="J887" s="8" t="s">
        <x:v>112</x:v>
      </x:c>
      <x:c r="K887" s="8" t="s">
        <x:v>2589</x:v>
      </x:c>
      <x:c r="L887" s="8" t="s">
        <x:v>2589</x:v>
      </x:c>
      <x:c r="M887" s="8"/>
      <x:c r="N887" s="8"/>
      <x:c r="O887" s="8" t="s">
        <x:v>1622</x:v>
      </x:c>
      <x:c r="P887" s="8" t="s">
        <x:v>115</x:v>
      </x:c>
      <x:c r="Q887" s="8" t="s">
        <x:v>45</x:v>
      </x:c>
      <x:c r="R887" s="8" t="s">
        <x:v>1623</x:v>
      </x:c>
      <x:c r="S887" s="8" t="s">
        <x:v>902</x:v>
      </x:c>
      <x:c r="T887" s="8" t="s">
        <x:v>27</x:v>
      </x:c>
      <x:c r="U887" s="8" t="s">
        <x:v>883</x:v>
      </x:c>
      <x:c r="V887" s="8" t="s">
        <x:v>1624</x:v>
      </x:c>
    </x:row>
    <x:row r="888" ht="36" hidden="0" customHeight="1">
      <x:c r="A888" s="8" t="s">
        <x:v>2591</x:v>
      </x:c>
      <x:c r="B888" s="8" t="s">
        <x:v>2554</x:v>
      </x:c>
      <x:c r="C888" s="8"/>
      <x:c r="D888" s="8" t="s">
        <x:v>2154</x:v>
      </x:c>
      <x:c r="E888" s="8" t="s">
        <x:v>2592</x:v>
      </x:c>
      <x:c r="F888" s="8" t="s">
        <x:v>1617</x:v>
      </x:c>
      <x:c r="G888" s="8" t="s">
        <x:v>109</x:v>
      </x:c>
      <x:c r="H888" s="8" t="s">
        <x:v>2555</x:v>
      </x:c>
      <x:c r="I888" s="8" t="s">
        <x:v>2556</x:v>
      </x:c>
      <x:c r="J888" s="8" t="s">
        <x:v>112</x:v>
      </x:c>
      <x:c r="K888" s="8" t="s">
        <x:v>1696</x:v>
      </x:c>
      <x:c r="L888" s="8" t="s">
        <x:v>1696</x:v>
      </x:c>
      <x:c r="M888" s="8"/>
      <x:c r="N888" s="8"/>
      <x:c r="O888" s="8" t="s">
        <x:v>1622</x:v>
      </x:c>
      <x:c r="P888" s="8" t="s">
        <x:v>115</x:v>
      </x:c>
      <x:c r="Q888" s="8" t="s">
        <x:v>45</x:v>
      </x:c>
      <x:c r="R888" s="8" t="s">
        <x:v>1623</x:v>
      </x:c>
      <x:c r="S888" s="8"/>
      <x:c r="T888" s="8" t="s">
        <x:v>27</x:v>
      </x:c>
      <x:c r="U888" s="8" t="s">
        <x:v>883</x:v>
      </x:c>
      <x:c r="V888" s="8" t="s">
        <x:v>1624</x:v>
      </x:c>
    </x:row>
    <x:row r="889" ht="36" hidden="0" customHeight="1">
      <x:c r="A889" s="8" t="s">
        <x:v>2593</x:v>
      </x:c>
      <x:c r="B889" s="8" t="s">
        <x:v>2554</x:v>
      </x:c>
      <x:c r="C889" s="8"/>
      <x:c r="D889" s="8" t="s">
        <x:v>1066</x:v>
      </x:c>
      <x:c r="E889" s="8" t="s">
        <x:v>2594</x:v>
      </x:c>
      <x:c r="F889" s="8" t="s">
        <x:v>1617</x:v>
      </x:c>
      <x:c r="G889" s="8" t="s">
        <x:v>109</x:v>
      </x:c>
      <x:c r="H889" s="8" t="s">
        <x:v>2555</x:v>
      </x:c>
      <x:c r="I889" s="8" t="s">
        <x:v>2556</x:v>
      </x:c>
      <x:c r="J889" s="8" t="s">
        <x:v>112</x:v>
      </x:c>
      <x:c r="K889" s="8" t="s">
        <x:v>1696</x:v>
      </x:c>
      <x:c r="L889" s="8" t="s">
        <x:v>1696</x:v>
      </x:c>
      <x:c r="M889" s="8"/>
      <x:c r="N889" s="8"/>
      <x:c r="O889" s="8" t="s">
        <x:v>1622</x:v>
      </x:c>
      <x:c r="P889" s="8" t="s">
        <x:v>115</x:v>
      </x:c>
      <x:c r="Q889" s="8" t="s">
        <x:v>45</x:v>
      </x:c>
      <x:c r="R889" s="8" t="s">
        <x:v>1623</x:v>
      </x:c>
      <x:c r="S889" s="8"/>
      <x:c r="T889" s="8" t="s">
        <x:v>27</x:v>
      </x:c>
      <x:c r="U889" s="8" t="s">
        <x:v>883</x:v>
      </x:c>
      <x:c r="V889" s="8" t="s">
        <x:v>1624</x:v>
      </x:c>
    </x:row>
    <x:row r="890" ht="36" hidden="0" customHeight="1">
      <x:c r="A890" s="8" t="s">
        <x:v>2595</x:v>
      </x:c>
      <x:c r="B890" s="8" t="s">
        <x:v>2554</x:v>
      </x:c>
      <x:c r="C890" s="8"/>
      <x:c r="D890" s="8" t="s">
        <x:v>871</x:v>
      </x:c>
      <x:c r="E890" s="8" t="s">
        <x:v>2596</x:v>
      </x:c>
      <x:c r="F890" s="8" t="s">
        <x:v>1617</x:v>
      </x:c>
      <x:c r="G890" s="8" t="s">
        <x:v>109</x:v>
      </x:c>
      <x:c r="H890" s="8" t="s">
        <x:v>2555</x:v>
      </x:c>
      <x:c r="I890" s="8" t="s">
        <x:v>2556</x:v>
      </x:c>
      <x:c r="J890" s="8" t="s">
        <x:v>112</x:v>
      </x:c>
      <x:c r="K890" s="8" t="s">
        <x:v>1700</x:v>
      </x:c>
      <x:c r="L890" s="8" t="s">
        <x:v>1700</x:v>
      </x:c>
      <x:c r="M890" s="8"/>
      <x:c r="N890" s="8"/>
      <x:c r="O890" s="8" t="s">
        <x:v>1622</x:v>
      </x:c>
      <x:c r="P890" s="8" t="s">
        <x:v>115</x:v>
      </x:c>
      <x:c r="Q890" s="8" t="s">
        <x:v>45</x:v>
      </x:c>
      <x:c r="R890" s="8" t="s">
        <x:v>1623</x:v>
      </x:c>
      <x:c r="S890" s="8"/>
      <x:c r="T890" s="8" t="s">
        <x:v>27</x:v>
      </x:c>
      <x:c r="U890" s="8" t="s">
        <x:v>883</x:v>
      </x:c>
      <x:c r="V890" s="8" t="s">
        <x:v>1624</x:v>
      </x:c>
    </x:row>
    <x:row r="891" ht="36" hidden="0" customHeight="1">
      <x:c r="A891" s="8" t="s">
        <x:v>2597</x:v>
      </x:c>
      <x:c r="B891" s="8" t="s">
        <x:v>2598</x:v>
      </x:c>
      <x:c r="C891" s="8"/>
      <x:c r="D891" s="8" t="s">
        <x:v>2307</x:v>
      </x:c>
      <x:c r="E891" s="8" t="n">
        <x:v>3</x:v>
      </x:c>
      <x:c r="F891" s="8" t="s">
        <x:v>1617</x:v>
      </x:c>
      <x:c r="G891" s="8" t="s">
        <x:v>109</x:v>
      </x:c>
      <x:c r="H891" s="8" t="s">
        <x:v>2599</x:v>
      </x:c>
      <x:c r="I891" s="8" t="s">
        <x:v>2600</x:v>
      </x:c>
      <x:c r="J891" s="8" t="s">
        <x:v>2601</x:v>
      </x:c>
      <x:c r="K891" s="8" t="s">
        <x:v>2602</x:v>
      </x:c>
      <x:c r="L891" s="8" t="s">
        <x:v>2602</x:v>
      </x:c>
      <x:c r="M891" s="8"/>
      <x:c r="N891" s="8"/>
      <x:c r="O891" s="8" t="s">
        <x:v>1622</x:v>
      </x:c>
      <x:c r="P891" s="8" t="s">
        <x:v>115</x:v>
      </x:c>
      <x:c r="Q891" s="8" t="s">
        <x:v>45</x:v>
      </x:c>
      <x:c r="R891" s="8" t="s">
        <x:v>2603</x:v>
      </x:c>
      <x:c r="S891" s="8" t="s">
        <x:v>1343</x:v>
      </x:c>
      <x:c r="T891" s="8" t="s">
        <x:v>27</x:v>
      </x:c>
      <x:c r="U891" s="8" t="s">
        <x:v>883</x:v>
      </x:c>
      <x:c r="V891" s="8" t="s">
        <x:v>1624</x:v>
      </x:c>
    </x:row>
    <x:row r="892" ht="36" hidden="0" customHeight="1">
      <x:c r="A892" s="8" t="s">
        <x:v>2604</x:v>
      </x:c>
      <x:c r="B892" s="8" t="s">
        <x:v>2598</x:v>
      </x:c>
      <x:c r="C892" s="8"/>
      <x:c r="D892" s="8" t="s">
        <x:v>450</x:v>
      </x:c>
      <x:c r="E892" s="8" t="n">
        <x:v>128</x:v>
      </x:c>
      <x:c r="F892" s="8" t="s">
        <x:v>1617</x:v>
      </x:c>
      <x:c r="G892" s="8" t="s">
        <x:v>109</x:v>
      </x:c>
      <x:c r="H892" s="8" t="s">
        <x:v>2599</x:v>
      </x:c>
      <x:c r="I892" s="8" t="s">
        <x:v>2600</x:v>
      </x:c>
      <x:c r="J892" s="8" t="s">
        <x:v>2601</x:v>
      </x:c>
      <x:c r="K892" s="8" t="s">
        <x:v>2602</x:v>
      </x:c>
      <x:c r="L892" s="8" t="s">
        <x:v>2602</x:v>
      </x:c>
      <x:c r="M892" s="8"/>
      <x:c r="N892" s="8"/>
      <x:c r="O892" s="8" t="s">
        <x:v>1622</x:v>
      </x:c>
      <x:c r="P892" s="8" t="s">
        <x:v>115</x:v>
      </x:c>
      <x:c r="Q892" s="8" t="s">
        <x:v>45</x:v>
      </x:c>
      <x:c r="R892" s="8" t="s">
        <x:v>2603</x:v>
      </x:c>
      <x:c r="S892" s="8" t="s">
        <x:v>2605</x:v>
      </x:c>
      <x:c r="T892" s="8" t="s">
        <x:v>27</x:v>
      </x:c>
      <x:c r="U892" s="8" t="s">
        <x:v>883</x:v>
      </x:c>
      <x:c r="V892" s="8" t="s">
        <x:v>1624</x:v>
      </x:c>
    </x:row>
    <x:row r="893" ht="36" hidden="0" customHeight="1">
      <x:c r="A893" s="8" t="s">
        <x:v>2606</x:v>
      </x:c>
      <x:c r="B893" s="8" t="s">
        <x:v>2598</x:v>
      </x:c>
      <x:c r="C893" s="8"/>
      <x:c r="D893" s="8" t="s">
        <x:v>445</x:v>
      </x:c>
      <x:c r="E893" s="8" t="s">
        <x:v>446</x:v>
      </x:c>
      <x:c r="F893" s="8" t="s">
        <x:v>1617</x:v>
      </x:c>
      <x:c r="G893" s="8" t="s">
        <x:v>109</x:v>
      </x:c>
      <x:c r="H893" s="8" t="s">
        <x:v>2599</x:v>
      </x:c>
      <x:c r="I893" s="8" t="s">
        <x:v>2600</x:v>
      </x:c>
      <x:c r="J893" s="8" t="s">
        <x:v>2601</x:v>
      </x:c>
      <x:c r="K893" s="8" t="s">
        <x:v>2602</x:v>
      </x:c>
      <x:c r="L893" s="8" t="s">
        <x:v>2602</x:v>
      </x:c>
      <x:c r="M893" s="8"/>
      <x:c r="N893" s="8"/>
      <x:c r="O893" s="8" t="s">
        <x:v>1622</x:v>
      </x:c>
      <x:c r="P893" s="8" t="s">
        <x:v>115</x:v>
      </x:c>
      <x:c r="Q893" s="8" t="s">
        <x:v>45</x:v>
      </x:c>
      <x:c r="R893" s="8" t="s">
        <x:v>2603</x:v>
      </x:c>
      <x:c r="S893" s="8"/>
      <x:c r="T893" s="8" t="s">
        <x:v>27</x:v>
      </x:c>
      <x:c r="U893" s="8" t="s">
        <x:v>883</x:v>
      </x:c>
      <x:c r="V893" s="8" t="s">
        <x:v>1624</x:v>
      </x:c>
    </x:row>
    <x:row r="894" ht="36" hidden="0" customHeight="1">
      <x:c r="A894" s="8" t="s">
        <x:v>2607</x:v>
      </x:c>
      <x:c r="B894" s="8" t="s">
        <x:v>2598</x:v>
      </x:c>
      <x:c r="C894" s="8"/>
      <x:c r="D894" s="8" t="s">
        <x:v>164</x:v>
      </x:c>
      <x:c r="E894" s="8" t="s">
        <x:v>165</x:v>
      </x:c>
      <x:c r="F894" s="8" t="s">
        <x:v>1617</x:v>
      </x:c>
      <x:c r="G894" s="8" t="s">
        <x:v>109</x:v>
      </x:c>
      <x:c r="H894" s="8" t="s">
        <x:v>2599</x:v>
      </x:c>
      <x:c r="I894" s="8" t="s">
        <x:v>2600</x:v>
      </x:c>
      <x:c r="J894" s="8" t="s">
        <x:v>2601</x:v>
      </x:c>
      <x:c r="K894" s="8" t="s">
        <x:v>2602</x:v>
      </x:c>
      <x:c r="L894" s="8" t="s">
        <x:v>2602</x:v>
      </x:c>
      <x:c r="M894" s="8"/>
      <x:c r="N894" s="8"/>
      <x:c r="O894" s="8" t="s">
        <x:v>1622</x:v>
      </x:c>
      <x:c r="P894" s="8" t="s">
        <x:v>115</x:v>
      </x:c>
      <x:c r="Q894" s="8" t="s">
        <x:v>45</x:v>
      </x:c>
      <x:c r="R894" s="8" t="s">
        <x:v>2603</x:v>
      </x:c>
      <x:c r="S894" s="8"/>
      <x:c r="T894" s="8" t="s">
        <x:v>27</x:v>
      </x:c>
      <x:c r="U894" s="8" t="s">
        <x:v>883</x:v>
      </x:c>
      <x:c r="V894" s="8" t="s">
        <x:v>1624</x:v>
      </x:c>
    </x:row>
    <x:row r="895" ht="36" hidden="0" customHeight="1">
      <x:c r="A895" s="8" t="s">
        <x:v>2608</x:v>
      </x:c>
      <x:c r="B895" s="8" t="s">
        <x:v>2598</x:v>
      </x:c>
      <x:c r="C895" s="8"/>
      <x:c r="D895" s="8" t="s">
        <x:v>2609</x:v>
      </x:c>
      <x:c r="E895" s="8" t="s">
        <x:v>2610</x:v>
      </x:c>
      <x:c r="F895" s="8" t="s">
        <x:v>1617</x:v>
      </x:c>
      <x:c r="G895" s="8" t="s">
        <x:v>109</x:v>
      </x:c>
      <x:c r="H895" s="8" t="s">
        <x:v>2599</x:v>
      </x:c>
      <x:c r="I895" s="8" t="s">
        <x:v>2600</x:v>
      </x:c>
      <x:c r="J895" s="8" t="s">
        <x:v>2601</x:v>
      </x:c>
      <x:c r="K895" s="8" t="s">
        <x:v>2602</x:v>
      </x:c>
      <x:c r="L895" s="8" t="s">
        <x:v>2602</x:v>
      </x:c>
      <x:c r="M895" s="8"/>
      <x:c r="N895" s="8"/>
      <x:c r="O895" s="8" t="s">
        <x:v>1622</x:v>
      </x:c>
      <x:c r="P895" s="8" t="s">
        <x:v>115</x:v>
      </x:c>
      <x:c r="Q895" s="8" t="s">
        <x:v>45</x:v>
      </x:c>
      <x:c r="R895" s="8" t="s">
        <x:v>2603</x:v>
      </x:c>
      <x:c r="S895" s="8"/>
      <x:c r="T895" s="8" t="s">
        <x:v>27</x:v>
      </x:c>
      <x:c r="U895" s="8" t="s">
        <x:v>883</x:v>
      </x:c>
      <x:c r="V895" s="8" t="s">
        <x:v>1624</x:v>
      </x:c>
    </x:row>
    <x:row r="896" ht="36" hidden="0" customHeight="1">
      <x:c r="A896" s="8" t="s">
        <x:v>2611</x:v>
      </x:c>
      <x:c r="B896" s="8" t="s">
        <x:v>2598</x:v>
      </x:c>
      <x:c r="C896" s="8"/>
      <x:c r="D896" s="8" t="s">
        <x:v>1945</x:v>
      </x:c>
      <x:c r="E896" s="8" t="s">
        <x:v>2612</x:v>
      </x:c>
      <x:c r="F896" s="8" t="s">
        <x:v>1617</x:v>
      </x:c>
      <x:c r="G896" s="8" t="s">
        <x:v>109</x:v>
      </x:c>
      <x:c r="H896" s="8" t="s">
        <x:v>2599</x:v>
      </x:c>
      <x:c r="I896" s="8" t="s">
        <x:v>2600</x:v>
      </x:c>
      <x:c r="J896" s="8" t="s">
        <x:v>2601</x:v>
      </x:c>
      <x:c r="K896" s="8" t="s">
        <x:v>2602</x:v>
      </x:c>
      <x:c r="L896" s="8" t="s">
        <x:v>2602</x:v>
      </x:c>
      <x:c r="M896" s="8"/>
      <x:c r="N896" s="8"/>
      <x:c r="O896" s="8" t="s">
        <x:v>1622</x:v>
      </x:c>
      <x:c r="P896" s="8" t="s">
        <x:v>115</x:v>
      </x:c>
      <x:c r="Q896" s="8" t="s">
        <x:v>45</x:v>
      </x:c>
      <x:c r="R896" s="8" t="s">
        <x:v>2603</x:v>
      </x:c>
      <x:c r="S896" s="8"/>
      <x:c r="T896" s="8" t="s">
        <x:v>27</x:v>
      </x:c>
      <x:c r="U896" s="8" t="s">
        <x:v>883</x:v>
      </x:c>
      <x:c r="V896" s="8" t="s">
        <x:v>1624</x:v>
      </x:c>
    </x:row>
    <x:row r="897" ht="36" hidden="0" customHeight="1">
      <x:c r="A897" s="8" t="s">
        <x:v>2613</x:v>
      </x:c>
      <x:c r="B897" s="8" t="s">
        <x:v>2598</x:v>
      </x:c>
      <x:c r="C897" s="8"/>
      <x:c r="D897" s="8" t="s">
        <x:v>2614</x:v>
      </x:c>
      <x:c r="E897" s="8" t="s">
        <x:v>2615</x:v>
      </x:c>
      <x:c r="F897" s="8" t="s">
        <x:v>1617</x:v>
      </x:c>
      <x:c r="G897" s="8" t="s">
        <x:v>109</x:v>
      </x:c>
      <x:c r="H897" s="8" t="s">
        <x:v>2599</x:v>
      </x:c>
      <x:c r="I897" s="8" t="s">
        <x:v>2600</x:v>
      </x:c>
      <x:c r="J897" s="8" t="s">
        <x:v>2601</x:v>
      </x:c>
      <x:c r="K897" s="8" t="s">
        <x:v>2602</x:v>
      </x:c>
      <x:c r="L897" s="8" t="s">
        <x:v>2602</x:v>
      </x:c>
      <x:c r="M897" s="8"/>
      <x:c r="N897" s="8"/>
      <x:c r="O897" s="8" t="s">
        <x:v>1622</x:v>
      </x:c>
      <x:c r="P897" s="8" t="s">
        <x:v>115</x:v>
      </x:c>
      <x:c r="Q897" s="8" t="s">
        <x:v>45</x:v>
      </x:c>
      <x:c r="R897" s="8" t="s">
        <x:v>2603</x:v>
      </x:c>
      <x:c r="S897" s="8"/>
      <x:c r="T897" s="8" t="s">
        <x:v>27</x:v>
      </x:c>
      <x:c r="U897" s="8" t="s">
        <x:v>883</x:v>
      </x:c>
      <x:c r="V897" s="8" t="s">
        <x:v>1624</x:v>
      </x:c>
    </x:row>
    <x:row r="898" ht="36" hidden="0" customHeight="1">
      <x:c r="A898" s="8" t="s">
        <x:v>2616</x:v>
      </x:c>
      <x:c r="B898" s="8" t="s">
        <x:v>2598</x:v>
      </x:c>
      <x:c r="C898" s="8"/>
      <x:c r="D898" s="8" t="s">
        <x:v>2617</x:v>
      </x:c>
      <x:c r="E898" s="8" t="n">
        <x:v>2000</x:v>
      </x:c>
      <x:c r="F898" s="8" t="s">
        <x:v>1617</x:v>
      </x:c>
      <x:c r="G898" s="8" t="s">
        <x:v>109</x:v>
      </x:c>
      <x:c r="H898" s="8" t="s">
        <x:v>2599</x:v>
      </x:c>
      <x:c r="I898" s="8" t="s">
        <x:v>2600</x:v>
      </x:c>
      <x:c r="J898" s="8" t="s">
        <x:v>2601</x:v>
      </x:c>
      <x:c r="K898" s="8" t="s">
        <x:v>2602</x:v>
      </x:c>
      <x:c r="L898" s="8" t="s">
        <x:v>2602</x:v>
      </x:c>
      <x:c r="M898" s="8"/>
      <x:c r="N898" s="8"/>
      <x:c r="O898" s="8" t="s">
        <x:v>1622</x:v>
      </x:c>
      <x:c r="P898" s="8" t="s">
        <x:v>115</x:v>
      </x:c>
      <x:c r="Q898" s="8" t="s">
        <x:v>45</x:v>
      </x:c>
      <x:c r="R898" s="8" t="s">
        <x:v>2603</x:v>
      </x:c>
      <x:c r="S898" s="8" t="s">
        <x:v>990</x:v>
      </x:c>
      <x:c r="T898" s="8" t="s">
        <x:v>27</x:v>
      </x:c>
      <x:c r="U898" s="8" t="s">
        <x:v>883</x:v>
      </x:c>
      <x:c r="V898" s="8" t="s">
        <x:v>1624</x:v>
      </x:c>
    </x:row>
    <x:row r="899" ht="36" hidden="0" customHeight="1">
      <x:c r="A899" s="8" t="s">
        <x:v>2618</x:v>
      </x:c>
      <x:c r="B899" s="8" t="s">
        <x:v>2598</x:v>
      </x:c>
      <x:c r="C899" s="8"/>
      <x:c r="D899" s="8" t="s">
        <x:v>2619</x:v>
      </x:c>
      <x:c r="E899" s="8" t="s">
        <x:v>2620</x:v>
      </x:c>
      <x:c r="F899" s="8" t="s">
        <x:v>1617</x:v>
      </x:c>
      <x:c r="G899" s="8" t="s">
        <x:v>109</x:v>
      </x:c>
      <x:c r="H899" s="8" t="s">
        <x:v>2599</x:v>
      </x:c>
      <x:c r="I899" s="8" t="s">
        <x:v>2600</x:v>
      </x:c>
      <x:c r="J899" s="8" t="s">
        <x:v>2601</x:v>
      </x:c>
      <x:c r="K899" s="8" t="s">
        <x:v>2602</x:v>
      </x:c>
      <x:c r="L899" s="8" t="s">
        <x:v>2602</x:v>
      </x:c>
      <x:c r="M899" s="8"/>
      <x:c r="N899" s="8"/>
      <x:c r="O899" s="8" t="s">
        <x:v>1622</x:v>
      </x:c>
      <x:c r="P899" s="8" t="s">
        <x:v>115</x:v>
      </x:c>
      <x:c r="Q899" s="8" t="s">
        <x:v>45</x:v>
      </x:c>
      <x:c r="R899" s="8" t="s">
        <x:v>2603</x:v>
      </x:c>
      <x:c r="S899" s="8" t="s">
        <x:v>1670</x:v>
      </x:c>
      <x:c r="T899" s="8" t="s">
        <x:v>27</x:v>
      </x:c>
      <x:c r="U899" s="8" t="s">
        <x:v>883</x:v>
      </x:c>
      <x:c r="V899" s="8" t="s">
        <x:v>1624</x:v>
      </x:c>
    </x:row>
    <x:row r="900" ht="36" hidden="0" customHeight="1">
      <x:c r="A900" s="8" t="s">
        <x:v>2621</x:v>
      </x:c>
      <x:c r="B900" s="8" t="s">
        <x:v>2598</x:v>
      </x:c>
      <x:c r="C900" s="8"/>
      <x:c r="D900" s="8" t="s">
        <x:v>1892</x:v>
      </x:c>
      <x:c r="E900" s="8" t="n">
        <x:v>90</x:v>
      </x:c>
      <x:c r="F900" s="8" t="s">
        <x:v>1617</x:v>
      </x:c>
      <x:c r="G900" s="8" t="s">
        <x:v>109</x:v>
      </x:c>
      <x:c r="H900" s="8" t="s">
        <x:v>2599</x:v>
      </x:c>
      <x:c r="I900" s="8" t="s">
        <x:v>2600</x:v>
      </x:c>
      <x:c r="J900" s="8" t="s">
        <x:v>2601</x:v>
      </x:c>
      <x:c r="K900" s="8" t="s">
        <x:v>2602</x:v>
      </x:c>
      <x:c r="L900" s="8" t="s">
        <x:v>2602</x:v>
      </x:c>
      <x:c r="M900" s="8"/>
      <x:c r="N900" s="8"/>
      <x:c r="O900" s="8" t="s">
        <x:v>1622</x:v>
      </x:c>
      <x:c r="P900" s="8" t="s">
        <x:v>115</x:v>
      </x:c>
      <x:c r="Q900" s="8" t="s">
        <x:v>45</x:v>
      </x:c>
      <x:c r="R900" s="8" t="s">
        <x:v>2603</x:v>
      </x:c>
      <x:c r="S900" s="8" t="s">
        <x:v>1893</x:v>
      </x:c>
      <x:c r="T900" s="8" t="s">
        <x:v>27</x:v>
      </x:c>
      <x:c r="U900" s="8" t="s">
        <x:v>883</x:v>
      </x:c>
      <x:c r="V900" s="8" t="s">
        <x:v>1624</x:v>
      </x:c>
    </x:row>
    <x:row r="901" ht="36" hidden="0" customHeight="1">
      <x:c r="A901" s="8" t="s">
        <x:v>2622</x:v>
      </x:c>
      <x:c r="B901" s="8" t="s">
        <x:v>2598</x:v>
      </x:c>
      <x:c r="C901" s="8"/>
      <x:c r="D901" s="8" t="s">
        <x:v>1889</x:v>
      </x:c>
      <x:c r="E901" s="8" t="s">
        <x:v>2623</x:v>
      </x:c>
      <x:c r="F901" s="8" t="s">
        <x:v>1617</x:v>
      </x:c>
      <x:c r="G901" s="8" t="s">
        <x:v>109</x:v>
      </x:c>
      <x:c r="H901" s="8" t="s">
        <x:v>2599</x:v>
      </x:c>
      <x:c r="I901" s="8" t="s">
        <x:v>2600</x:v>
      </x:c>
      <x:c r="J901" s="8" t="s">
        <x:v>2601</x:v>
      </x:c>
      <x:c r="K901" s="8" t="s">
        <x:v>2602</x:v>
      </x:c>
      <x:c r="L901" s="8" t="s">
        <x:v>2602</x:v>
      </x:c>
      <x:c r="M901" s="8"/>
      <x:c r="N901" s="8"/>
      <x:c r="O901" s="8" t="s">
        <x:v>1622</x:v>
      </x:c>
      <x:c r="P901" s="8" t="s">
        <x:v>115</x:v>
      </x:c>
      <x:c r="Q901" s="8" t="s">
        <x:v>45</x:v>
      </x:c>
      <x:c r="R901" s="8" t="s">
        <x:v>2603</x:v>
      </x:c>
      <x:c r="S901" s="8"/>
      <x:c r="T901" s="8" t="s">
        <x:v>27</x:v>
      </x:c>
      <x:c r="U901" s="8" t="s">
        <x:v>883</x:v>
      </x:c>
      <x:c r="V901" s="8" t="s">
        <x:v>1624</x:v>
      </x:c>
    </x:row>
    <x:row r="902" ht="36" hidden="0" customHeight="1">
      <x:c r="A902" s="8" t="s">
        <x:v>2624</x:v>
      </x:c>
      <x:c r="B902" s="8" t="s">
        <x:v>2598</x:v>
      </x:c>
      <x:c r="C902" s="8"/>
      <x:c r="D902" s="8" t="s">
        <x:v>2625</x:v>
      </x:c>
      <x:c r="E902" s="8" t="s">
        <x:v>2626</x:v>
      </x:c>
      <x:c r="F902" s="8" t="s">
        <x:v>1617</x:v>
      </x:c>
      <x:c r="G902" s="8" t="s">
        <x:v>109</x:v>
      </x:c>
      <x:c r="H902" s="8" t="s">
        <x:v>2599</x:v>
      </x:c>
      <x:c r="I902" s="8" t="s">
        <x:v>2600</x:v>
      </x:c>
      <x:c r="J902" s="8" t="s">
        <x:v>2601</x:v>
      </x:c>
      <x:c r="K902" s="8" t="s">
        <x:v>2602</x:v>
      </x:c>
      <x:c r="L902" s="8" t="s">
        <x:v>2602</x:v>
      </x:c>
      <x:c r="M902" s="8"/>
      <x:c r="N902" s="8"/>
      <x:c r="O902" s="8" t="s">
        <x:v>1622</x:v>
      </x:c>
      <x:c r="P902" s="8" t="s">
        <x:v>115</x:v>
      </x:c>
      <x:c r="Q902" s="8" t="s">
        <x:v>45</x:v>
      </x:c>
      <x:c r="R902" s="8" t="s">
        <x:v>2603</x:v>
      </x:c>
      <x:c r="S902" s="8"/>
      <x:c r="T902" s="8" t="s">
        <x:v>27</x:v>
      </x:c>
      <x:c r="U902" s="8" t="s">
        <x:v>883</x:v>
      </x:c>
      <x:c r="V902" s="8" t="s">
        <x:v>1624</x:v>
      </x:c>
    </x:row>
    <x:row r="903" ht="36" hidden="0" customHeight="1">
      <x:c r="A903" s="8" t="s">
        <x:v>2627</x:v>
      </x:c>
      <x:c r="B903" s="8" t="s">
        <x:v>2598</x:v>
      </x:c>
      <x:c r="C903" s="8"/>
      <x:c r="D903" s="8" t="s">
        <x:v>2628</x:v>
      </x:c>
      <x:c r="E903" s="8" t="n">
        <x:v>10</x:v>
      </x:c>
      <x:c r="F903" s="8" t="s">
        <x:v>1617</x:v>
      </x:c>
      <x:c r="G903" s="8" t="s">
        <x:v>109</x:v>
      </x:c>
      <x:c r="H903" s="8" t="s">
        <x:v>2599</x:v>
      </x:c>
      <x:c r="I903" s="8" t="s">
        <x:v>2600</x:v>
      </x:c>
      <x:c r="J903" s="8" t="s">
        <x:v>2601</x:v>
      </x:c>
      <x:c r="K903" s="8" t="s">
        <x:v>2602</x:v>
      </x:c>
      <x:c r="L903" s="8" t="s">
        <x:v>2602</x:v>
      </x:c>
      <x:c r="M903" s="8"/>
      <x:c r="N903" s="8"/>
      <x:c r="O903" s="8" t="s">
        <x:v>1622</x:v>
      </x:c>
      <x:c r="P903" s="8" t="s">
        <x:v>115</x:v>
      </x:c>
      <x:c r="Q903" s="8" t="s">
        <x:v>45</x:v>
      </x:c>
      <x:c r="R903" s="8" t="s">
        <x:v>2603</x:v>
      </x:c>
      <x:c r="S903" s="8" t="s">
        <x:v>2379</x:v>
      </x:c>
      <x:c r="T903" s="8" t="s">
        <x:v>27</x:v>
      </x:c>
      <x:c r="U903" s="8" t="s">
        <x:v>883</x:v>
      </x:c>
      <x:c r="V903" s="8" t="s">
        <x:v>1624</x:v>
      </x:c>
    </x:row>
    <x:row r="904" ht="36" hidden="0" customHeight="1">
      <x:c r="A904" s="8" t="s">
        <x:v>2629</x:v>
      </x:c>
      <x:c r="B904" s="8" t="s">
        <x:v>2598</x:v>
      </x:c>
      <x:c r="C904" s="8"/>
      <x:c r="D904" s="8" t="s">
        <x:v>2630</x:v>
      </x:c>
      <x:c r="E904" s="8" t="n">
        <x:v>5</x:v>
      </x:c>
      <x:c r="F904" s="8" t="s">
        <x:v>1617</x:v>
      </x:c>
      <x:c r="G904" s="8" t="s">
        <x:v>109</x:v>
      </x:c>
      <x:c r="H904" s="8" t="s">
        <x:v>2599</x:v>
      </x:c>
      <x:c r="I904" s="8" t="s">
        <x:v>2600</x:v>
      </x:c>
      <x:c r="J904" s="8" t="s">
        <x:v>2601</x:v>
      </x:c>
      <x:c r="K904" s="8" t="s">
        <x:v>2602</x:v>
      </x:c>
      <x:c r="L904" s="8" t="s">
        <x:v>2602</x:v>
      </x:c>
      <x:c r="M904" s="8"/>
      <x:c r="N904" s="8"/>
      <x:c r="O904" s="8" t="s">
        <x:v>1622</x:v>
      </x:c>
      <x:c r="P904" s="8" t="s">
        <x:v>115</x:v>
      </x:c>
      <x:c r="Q904" s="8" t="s">
        <x:v>45</x:v>
      </x:c>
      <x:c r="R904" s="8" t="s">
        <x:v>2603</x:v>
      </x:c>
      <x:c r="S904" s="8" t="s">
        <x:v>2379</x:v>
      </x:c>
      <x:c r="T904" s="8" t="s">
        <x:v>27</x:v>
      </x:c>
      <x:c r="U904" s="8" t="s">
        <x:v>883</x:v>
      </x:c>
      <x:c r="V904" s="8" t="s">
        <x:v>1624</x:v>
      </x:c>
    </x:row>
    <x:row r="905" ht="36" hidden="0" customHeight="1">
      <x:c r="A905" s="8" t="s">
        <x:v>2631</x:v>
      </x:c>
      <x:c r="B905" s="8" t="s">
        <x:v>2598</x:v>
      </x:c>
      <x:c r="C905" s="8"/>
      <x:c r="D905" s="8" t="s">
        <x:v>2632</x:v>
      </x:c>
      <x:c r="E905" s="8" t="s">
        <x:v>2633</x:v>
      </x:c>
      <x:c r="F905" s="8" t="s">
        <x:v>1617</x:v>
      </x:c>
      <x:c r="G905" s="8" t="s">
        <x:v>109</x:v>
      </x:c>
      <x:c r="H905" s="8" t="s">
        <x:v>2599</x:v>
      </x:c>
      <x:c r="I905" s="8" t="s">
        <x:v>2600</x:v>
      </x:c>
      <x:c r="J905" s="8" t="s">
        <x:v>2601</x:v>
      </x:c>
      <x:c r="K905" s="8" t="s">
        <x:v>2602</x:v>
      </x:c>
      <x:c r="L905" s="8" t="s">
        <x:v>2602</x:v>
      </x:c>
      <x:c r="M905" s="8"/>
      <x:c r="N905" s="8"/>
      <x:c r="O905" s="8" t="s">
        <x:v>1622</x:v>
      </x:c>
      <x:c r="P905" s="8" t="s">
        <x:v>115</x:v>
      </x:c>
      <x:c r="Q905" s="8" t="s">
        <x:v>45</x:v>
      </x:c>
      <x:c r="R905" s="8" t="s">
        <x:v>2603</x:v>
      </x:c>
      <x:c r="S905" s="8"/>
      <x:c r="T905" s="8" t="s">
        <x:v>27</x:v>
      </x:c>
      <x:c r="U905" s="8" t="s">
        <x:v>883</x:v>
      </x:c>
      <x:c r="V905" s="8" t="s">
        <x:v>1624</x:v>
      </x:c>
    </x:row>
    <x:row r="906" ht="36" hidden="0" customHeight="1">
      <x:c r="A906" s="8" t="s">
        <x:v>2634</x:v>
      </x:c>
      <x:c r="B906" s="8" t="s">
        <x:v>2598</x:v>
      </x:c>
      <x:c r="C906" s="8"/>
      <x:c r="D906" s="8" t="s">
        <x:v>2635</x:v>
      </x:c>
      <x:c r="E906" s="8" t="s">
        <x:v>2636</x:v>
      </x:c>
      <x:c r="F906" s="8" t="s">
        <x:v>1617</x:v>
      </x:c>
      <x:c r="G906" s="8" t="s">
        <x:v>109</x:v>
      </x:c>
      <x:c r="H906" s="8" t="s">
        <x:v>2599</x:v>
      </x:c>
      <x:c r="I906" s="8" t="s">
        <x:v>2600</x:v>
      </x:c>
      <x:c r="J906" s="8" t="s">
        <x:v>2601</x:v>
      </x:c>
      <x:c r="K906" s="8" t="s">
        <x:v>2602</x:v>
      </x:c>
      <x:c r="L906" s="8" t="s">
        <x:v>2602</x:v>
      </x:c>
      <x:c r="M906" s="8"/>
      <x:c r="N906" s="8"/>
      <x:c r="O906" s="8" t="s">
        <x:v>1622</x:v>
      </x:c>
      <x:c r="P906" s="8" t="s">
        <x:v>115</x:v>
      </x:c>
      <x:c r="Q906" s="8" t="s">
        <x:v>45</x:v>
      </x:c>
      <x:c r="R906" s="8" t="s">
        <x:v>2603</x:v>
      </x:c>
      <x:c r="S906" s="8"/>
      <x:c r="T906" s="8" t="s">
        <x:v>27</x:v>
      </x:c>
      <x:c r="U906" s="8" t="s">
        <x:v>883</x:v>
      </x:c>
      <x:c r="V906" s="8" t="s">
        <x:v>1624</x:v>
      </x:c>
    </x:row>
    <x:row r="907" ht="36" hidden="0" customHeight="1">
      <x:c r="A907" s="8" t="s">
        <x:v>2637</x:v>
      </x:c>
      <x:c r="B907" s="8" t="s">
        <x:v>2598</x:v>
      </x:c>
      <x:c r="C907" s="8"/>
      <x:c r="D907" s="8" t="s">
        <x:v>2638</x:v>
      </x:c>
      <x:c r="E907" s="8" t="s">
        <x:v>2639</x:v>
      </x:c>
      <x:c r="F907" s="8" t="s">
        <x:v>1617</x:v>
      </x:c>
      <x:c r="G907" s="8" t="s">
        <x:v>187</x:v>
      </x:c>
      <x:c r="H907" s="8" t="s">
        <x:v>2599</x:v>
      </x:c>
      <x:c r="I907" s="8" t="s">
        <x:v>2600</x:v>
      </x:c>
      <x:c r="J907" s="8" t="s">
        <x:v>2601</x:v>
      </x:c>
      <x:c r="K907" s="8" t="s">
        <x:v>2602</x:v>
      </x:c>
      <x:c r="L907" s="8" t="s">
        <x:v>2602</x:v>
      </x:c>
      <x:c r="M907" s="8"/>
      <x:c r="N907" s="8"/>
      <x:c r="O907" s="8" t="s">
        <x:v>1622</x:v>
      </x:c>
      <x:c r="P907" s="8" t="s">
        <x:v>115</x:v>
      </x:c>
      <x:c r="Q907" s="8" t="s">
        <x:v>45</x:v>
      </x:c>
      <x:c r="R907" s="8" t="s">
        <x:v>2603</x:v>
      </x:c>
      <x:c r="S907" s="8"/>
      <x:c r="T907" s="8" t="s">
        <x:v>27</x:v>
      </x:c>
      <x:c r="U907" s="8" t="s">
        <x:v>883</x:v>
      </x:c>
      <x:c r="V907" s="8" t="s">
        <x:v>1624</x:v>
      </x:c>
    </x:row>
    <x:row r="908" ht="36" hidden="0" customHeight="1">
      <x:c r="A908" s="8" t="s">
        <x:v>2640</x:v>
      </x:c>
      <x:c r="B908" s="8" t="s">
        <x:v>2598</x:v>
      </x:c>
      <x:c r="C908" s="8"/>
      <x:c r="D908" s="8" t="s">
        <x:v>2641</x:v>
      </x:c>
      <x:c r="E908" s="8" t="n">
        <x:v>30</x:v>
      </x:c>
      <x:c r="F908" s="8" t="s">
        <x:v>1617</x:v>
      </x:c>
      <x:c r="G908" s="8" t="s">
        <x:v>109</x:v>
      </x:c>
      <x:c r="H908" s="8" t="s">
        <x:v>2599</x:v>
      </x:c>
      <x:c r="I908" s="8" t="s">
        <x:v>2600</x:v>
      </x:c>
      <x:c r="J908" s="8" t="s">
        <x:v>2601</x:v>
      </x:c>
      <x:c r="K908" s="8" t="s">
        <x:v>2642</x:v>
      </x:c>
      <x:c r="L908" s="8" t="s">
        <x:v>2642</x:v>
      </x:c>
      <x:c r="M908" s="8"/>
      <x:c r="N908" s="8"/>
      <x:c r="O908" s="8" t="s">
        <x:v>1622</x:v>
      </x:c>
      <x:c r="P908" s="8" t="s">
        <x:v>115</x:v>
      </x:c>
      <x:c r="Q908" s="8" t="s">
        <x:v>45</x:v>
      </x:c>
      <x:c r="R908" s="8" t="s">
        <x:v>2603</x:v>
      </x:c>
      <x:c r="S908" s="8" t="s">
        <x:v>2643</x:v>
      </x:c>
      <x:c r="T908" s="8" t="s">
        <x:v>27</x:v>
      </x:c>
      <x:c r="U908" s="8" t="s">
        <x:v>883</x:v>
      </x:c>
      <x:c r="V908" s="8" t="s">
        <x:v>1624</x:v>
      </x:c>
    </x:row>
    <x:row r="909" ht="48" hidden="0" customHeight="1">
      <x:c r="A909" s="8" t="s">
        <x:v>2644</x:v>
      </x:c>
      <x:c r="B909" s="8" t="s">
        <x:v>2645</x:v>
      </x:c>
      <x:c r="C909" s="8"/>
      <x:c r="D909" s="8" t="s">
        <x:v>1615</x:v>
      </x:c>
      <x:c r="E909" s="8" t="s">
        <x:v>2646</x:v>
      </x:c>
      <x:c r="F909" s="8" t="s">
        <x:v>1617</x:v>
      </x:c>
      <x:c r="G909" s="8" t="s">
        <x:v>109</x:v>
      </x:c>
      <x:c r="H909" s="8" t="s">
        <x:v>2647</x:v>
      </x:c>
      <x:c r="I909" s="8"/>
      <x:c r="J909" s="8" t="s">
        <x:v>2648</x:v>
      </x:c>
      <x:c r="K909" s="8" t="s">
        <x:v>2649</x:v>
      </x:c>
      <x:c r="L909" s="8" t="s">
        <x:v>2649</x:v>
      </x:c>
      <x:c r="M909" s="8"/>
      <x:c r="N909" s="8" t="s">
        <x:v>2650</x:v>
      </x:c>
      <x:c r="O909" s="8" t="s">
        <x:v>1622</x:v>
      </x:c>
      <x:c r="P909" s="8" t="s">
        <x:v>115</x:v>
      </x:c>
      <x:c r="Q909" s="8" t="s">
        <x:v>45</x:v>
      </x:c>
      <x:c r="R909" s="8" t="s">
        <x:v>2651</x:v>
      </x:c>
      <x:c r="S909" s="8"/>
      <x:c r="T909" s="8" t="s">
        <x:v>27</x:v>
      </x:c>
      <x:c r="U909" s="8" t="s">
        <x:v>883</x:v>
      </x:c>
      <x:c r="V909" s="8" t="s">
        <x:v>1624</x:v>
      </x:c>
    </x:row>
    <x:row r="910" ht="48" hidden="0" customHeight="1">
      <x:c r="A910" s="8" t="s">
        <x:v>2652</x:v>
      </x:c>
      <x:c r="B910" s="8" t="s">
        <x:v>2645</x:v>
      </x:c>
      <x:c r="C910" s="8"/>
      <x:c r="D910" s="8" t="s">
        <x:v>2307</x:v>
      </x:c>
      <x:c r="E910" s="8" t="n">
        <x:v>2</x:v>
      </x:c>
      <x:c r="F910" s="8" t="s">
        <x:v>1617</x:v>
      </x:c>
      <x:c r="G910" s="8" t="s">
        <x:v>109</x:v>
      </x:c>
      <x:c r="H910" s="8" t="s">
        <x:v>2647</x:v>
      </x:c>
      <x:c r="I910" s="8"/>
      <x:c r="J910" s="8" t="s">
        <x:v>2648</x:v>
      </x:c>
      <x:c r="K910" s="8" t="s">
        <x:v>2653</x:v>
      </x:c>
      <x:c r="L910" s="8" t="s">
        <x:v>2653</x:v>
      </x:c>
      <x:c r="M910" s="8"/>
      <x:c r="N910" s="8" t="s">
        <x:v>2654</x:v>
      </x:c>
      <x:c r="O910" s="8" t="s">
        <x:v>1622</x:v>
      </x:c>
      <x:c r="P910" s="8" t="s">
        <x:v>115</x:v>
      </x:c>
      <x:c r="Q910" s="8" t="s">
        <x:v>45</x:v>
      </x:c>
      <x:c r="R910" s="8" t="s">
        <x:v>2651</x:v>
      </x:c>
      <x:c r="S910" s="8" t="s">
        <x:v>1343</x:v>
      </x:c>
      <x:c r="T910" s="8" t="s">
        <x:v>27</x:v>
      </x:c>
      <x:c r="U910" s="8" t="s">
        <x:v>883</x:v>
      </x:c>
      <x:c r="V910" s="8" t="s">
        <x:v>1624</x:v>
      </x:c>
    </x:row>
    <x:row r="911" ht="48" hidden="0" customHeight="1">
      <x:c r="A911" s="8" t="s">
        <x:v>2655</x:v>
      </x:c>
      <x:c r="B911" s="8" t="s">
        <x:v>2645</x:v>
      </x:c>
      <x:c r="C911" s="8"/>
      <x:c r="D911" s="8" t="s">
        <x:v>450</x:v>
      </x:c>
      <x:c r="E911" s="8" t="n">
        <x:v>512</x:v>
      </x:c>
      <x:c r="F911" s="8" t="s">
        <x:v>1617</x:v>
      </x:c>
      <x:c r="G911" s="8" t="s">
        <x:v>109</x:v>
      </x:c>
      <x:c r="H911" s="8" t="s">
        <x:v>2647</x:v>
      </x:c>
      <x:c r="I911" s="8"/>
      <x:c r="J911" s="8" t="s">
        <x:v>2648</x:v>
      </x:c>
      <x:c r="K911" s="8" t="s">
        <x:v>2653</x:v>
      </x:c>
      <x:c r="L911" s="8" t="s">
        <x:v>2653</x:v>
      </x:c>
      <x:c r="M911" s="8"/>
      <x:c r="N911" s="8" t="s">
        <x:v>2654</x:v>
      </x:c>
      <x:c r="O911" s="8" t="s">
        <x:v>1622</x:v>
      </x:c>
      <x:c r="P911" s="8" t="s">
        <x:v>115</x:v>
      </x:c>
      <x:c r="Q911" s="8" t="s">
        <x:v>45</x:v>
      </x:c>
      <x:c r="R911" s="8" t="s">
        <x:v>2651</x:v>
      </x:c>
      <x:c r="S911" s="8" t="s">
        <x:v>2656</x:v>
      </x:c>
      <x:c r="T911" s="8" t="s">
        <x:v>27</x:v>
      </x:c>
      <x:c r="U911" s="8" t="s">
        <x:v>883</x:v>
      </x:c>
      <x:c r="V911" s="8" t="s">
        <x:v>1624</x:v>
      </x:c>
    </x:row>
    <x:row r="912" ht="48" hidden="0" customHeight="1">
      <x:c r="A912" s="8" t="s">
        <x:v>2657</x:v>
      </x:c>
      <x:c r="B912" s="8" t="s">
        <x:v>2645</x:v>
      </x:c>
      <x:c r="C912" s="8"/>
      <x:c r="D912" s="8" t="s">
        <x:v>445</x:v>
      </x:c>
      <x:c r="E912" s="8" t="s">
        <x:v>446</x:v>
      </x:c>
      <x:c r="F912" s="8" t="s">
        <x:v>1617</x:v>
      </x:c>
      <x:c r="G912" s="8" t="s">
        <x:v>109</x:v>
      </x:c>
      <x:c r="H912" s="8" t="s">
        <x:v>2647</x:v>
      </x:c>
      <x:c r="I912" s="8"/>
      <x:c r="J912" s="8" t="s">
        <x:v>2648</x:v>
      </x:c>
      <x:c r="K912" s="8" t="s">
        <x:v>2653</x:v>
      </x:c>
      <x:c r="L912" s="8" t="s">
        <x:v>2653</x:v>
      </x:c>
      <x:c r="M912" s="8"/>
      <x:c r="N912" s="8" t="s">
        <x:v>2654</x:v>
      </x:c>
      <x:c r="O912" s="8" t="s">
        <x:v>1622</x:v>
      </x:c>
      <x:c r="P912" s="8" t="s">
        <x:v>115</x:v>
      </x:c>
      <x:c r="Q912" s="8" t="s">
        <x:v>45</x:v>
      </x:c>
      <x:c r="R912" s="8" t="s">
        <x:v>2651</x:v>
      </x:c>
      <x:c r="S912" s="8"/>
      <x:c r="T912" s="8" t="s">
        <x:v>27</x:v>
      </x:c>
      <x:c r="U912" s="8" t="s">
        <x:v>883</x:v>
      </x:c>
      <x:c r="V912" s="8" t="s">
        <x:v>1624</x:v>
      </x:c>
    </x:row>
    <x:row r="913" ht="48" hidden="0" customHeight="1">
      <x:c r="A913" s="8" t="s">
        <x:v>2658</x:v>
      </x:c>
      <x:c r="B913" s="8" t="s">
        <x:v>2645</x:v>
      </x:c>
      <x:c r="C913" s="8"/>
      <x:c r="D913" s="8" t="s">
        <x:v>2199</x:v>
      </x:c>
      <x:c r="E913" s="8" t="n">
        <x:v>0.2</x:v>
      </x:c>
      <x:c r="F913" s="8" t="s">
        <x:v>1617</x:v>
      </x:c>
      <x:c r="G913" s="8" t="s">
        <x:v>109</x:v>
      </x:c>
      <x:c r="H913" s="8" t="s">
        <x:v>2647</x:v>
      </x:c>
      <x:c r="I913" s="8"/>
      <x:c r="J913" s="8" t="s">
        <x:v>2648</x:v>
      </x:c>
      <x:c r="K913" s="8" t="s">
        <x:v>2653</x:v>
      </x:c>
      <x:c r="L913" s="8" t="s">
        <x:v>2653</x:v>
      </x:c>
      <x:c r="M913" s="8"/>
      <x:c r="N913" s="8" t="s">
        <x:v>2654</x:v>
      </x:c>
      <x:c r="O913" s="8" t="s">
        <x:v>1622</x:v>
      </x:c>
      <x:c r="P913" s="8" t="s">
        <x:v>115</x:v>
      </x:c>
      <x:c r="Q913" s="8" t="s">
        <x:v>45</x:v>
      </x:c>
      <x:c r="R913" s="8" t="s">
        <x:v>2651</x:v>
      </x:c>
      <x:c r="S913" s="8" t="s">
        <x:v>1348</x:v>
      </x:c>
      <x:c r="T913" s="8" t="s">
        <x:v>27</x:v>
      </x:c>
      <x:c r="U913" s="8" t="s">
        <x:v>883</x:v>
      </x:c>
      <x:c r="V913" s="8" t="s">
        <x:v>1624</x:v>
      </x:c>
    </x:row>
    <x:row r="914" ht="48" hidden="0" customHeight="1">
      <x:c r="A914" s="8" t="s">
        <x:v>2659</x:v>
      </x:c>
      <x:c r="B914" s="8" t="s">
        <x:v>2645</x:v>
      </x:c>
      <x:c r="C914" s="8"/>
      <x:c r="D914" s="8" t="s">
        <x:v>167</x:v>
      </x:c>
      <x:c r="E914" s="8" t="n">
        <x:v>300</x:v>
      </x:c>
      <x:c r="F914" s="8" t="s">
        <x:v>1617</x:v>
      </x:c>
      <x:c r="G914" s="8" t="s">
        <x:v>109</x:v>
      </x:c>
      <x:c r="H914" s="8" t="s">
        <x:v>2647</x:v>
      </x:c>
      <x:c r="I914" s="8"/>
      <x:c r="J914" s="8" t="s">
        <x:v>2648</x:v>
      </x:c>
      <x:c r="K914" s="8" t="s">
        <x:v>2649</x:v>
      </x:c>
      <x:c r="L914" s="8" t="s">
        <x:v>2649</x:v>
      </x:c>
      <x:c r="M914" s="8"/>
      <x:c r="N914" s="8" t="s">
        <x:v>2650</x:v>
      </x:c>
      <x:c r="O914" s="8" t="s">
        <x:v>1622</x:v>
      </x:c>
      <x:c r="P914" s="8" t="s">
        <x:v>115</x:v>
      </x:c>
      <x:c r="Q914" s="8" t="s">
        <x:v>45</x:v>
      </x:c>
      <x:c r="R914" s="8" t="s">
        <x:v>2651</x:v>
      </x:c>
      <x:c r="S914" s="8" t="s">
        <x:v>2660</x:v>
      </x:c>
      <x:c r="T914" s="8" t="s">
        <x:v>27</x:v>
      </x:c>
      <x:c r="U914" s="8" t="s">
        <x:v>883</x:v>
      </x:c>
      <x:c r="V914" s="8" t="s">
        <x:v>1624</x:v>
      </x:c>
    </x:row>
    <x:row r="915" ht="48" hidden="0" customHeight="1">
      <x:c r="A915" s="8" t="s">
        <x:v>2661</x:v>
      </x:c>
      <x:c r="B915" s="8" t="s">
        <x:v>2645</x:v>
      </x:c>
      <x:c r="C915" s="8"/>
      <x:c r="D915" s="8" t="s">
        <x:v>2252</x:v>
      </x:c>
      <x:c r="E915" s="8" t="n">
        <x:v>8000</x:v>
      </x:c>
      <x:c r="F915" s="8" t="s">
        <x:v>1617</x:v>
      </x:c>
      <x:c r="G915" s="8" t="s">
        <x:v>109</x:v>
      </x:c>
      <x:c r="H915" s="8" t="s">
        <x:v>2647</x:v>
      </x:c>
      <x:c r="I915" s="8"/>
      <x:c r="J915" s="8" t="s">
        <x:v>2648</x:v>
      </x:c>
      <x:c r="K915" s="8" t="s">
        <x:v>2649</x:v>
      </x:c>
      <x:c r="L915" s="8" t="s">
        <x:v>2649</x:v>
      </x:c>
      <x:c r="M915" s="8"/>
      <x:c r="N915" s="8" t="s">
        <x:v>2650</x:v>
      </x:c>
      <x:c r="O915" s="8" t="s">
        <x:v>1622</x:v>
      </x:c>
      <x:c r="P915" s="8" t="s">
        <x:v>115</x:v>
      </x:c>
      <x:c r="Q915" s="8" t="s">
        <x:v>45</x:v>
      </x:c>
      <x:c r="R915" s="8" t="s">
        <x:v>2651</x:v>
      </x:c>
      <x:c r="S915" s="8" t="s">
        <x:v>990</x:v>
      </x:c>
      <x:c r="T915" s="8" t="s">
        <x:v>27</x:v>
      </x:c>
      <x:c r="U915" s="8" t="s">
        <x:v>883</x:v>
      </x:c>
      <x:c r="V915" s="8" t="s">
        <x:v>1624</x:v>
      </x:c>
    </x:row>
    <x:row r="916" ht="48" hidden="0" customHeight="1">
      <x:c r="A916" s="8" t="s">
        <x:v>2662</x:v>
      </x:c>
      <x:c r="B916" s="8" t="s">
        <x:v>2645</x:v>
      </x:c>
      <x:c r="C916" s="8"/>
      <x:c r="D916" s="8" t="s">
        <x:v>1961</x:v>
      </x:c>
      <x:c r="E916" s="8" t="n">
        <x:v>500</x:v>
      </x:c>
      <x:c r="F916" s="8" t="s">
        <x:v>1617</x:v>
      </x:c>
      <x:c r="G916" s="8" t="s">
        <x:v>109</x:v>
      </x:c>
      <x:c r="H916" s="8" t="s">
        <x:v>2647</x:v>
      </x:c>
      <x:c r="I916" s="8"/>
      <x:c r="J916" s="8" t="s">
        <x:v>2648</x:v>
      </x:c>
      <x:c r="K916" s="8" t="s">
        <x:v>2663</x:v>
      </x:c>
      <x:c r="L916" s="8" t="s">
        <x:v>2663</x:v>
      </x:c>
      <x:c r="M916" s="8"/>
      <x:c r="N916" s="8" t="s">
        <x:v>2664</x:v>
      </x:c>
      <x:c r="O916" s="8" t="s">
        <x:v>1622</x:v>
      </x:c>
      <x:c r="P916" s="8" t="s">
        <x:v>115</x:v>
      </x:c>
      <x:c r="Q916" s="8" t="s">
        <x:v>45</x:v>
      </x:c>
      <x:c r="R916" s="8" t="s">
        <x:v>2651</x:v>
      </x:c>
      <x:c r="S916" s="8" t="s">
        <x:v>2254</x:v>
      </x:c>
      <x:c r="T916" s="8" t="s">
        <x:v>27</x:v>
      </x:c>
      <x:c r="U916" s="8" t="s">
        <x:v>883</x:v>
      </x:c>
      <x:c r="V916" s="8" t="s">
        <x:v>1624</x:v>
      </x:c>
    </x:row>
    <x:row r="917" ht="48" hidden="0" customHeight="1">
      <x:c r="A917" s="8" t="s">
        <x:v>2665</x:v>
      </x:c>
      <x:c r="B917" s="8" t="s">
        <x:v>2645</x:v>
      </x:c>
      <x:c r="C917" s="8"/>
      <x:c r="D917" s="8" t="s">
        <x:v>1892</x:v>
      </x:c>
      <x:c r="E917" s="8" t="n">
        <x:v>8</x:v>
      </x:c>
      <x:c r="F917" s="8" t="s">
        <x:v>1617</x:v>
      </x:c>
      <x:c r="G917" s="8" t="s">
        <x:v>109</x:v>
      </x:c>
      <x:c r="H917" s="8" t="s">
        <x:v>2647</x:v>
      </x:c>
      <x:c r="I917" s="8"/>
      <x:c r="J917" s="8" t="s">
        <x:v>2648</x:v>
      </x:c>
      <x:c r="K917" s="8" t="s">
        <x:v>2663</x:v>
      </x:c>
      <x:c r="L917" s="8" t="s">
        <x:v>2663</x:v>
      </x:c>
      <x:c r="M917" s="8"/>
      <x:c r="N917" s="8" t="s">
        <x:v>2664</x:v>
      </x:c>
      <x:c r="O917" s="8" t="s">
        <x:v>1622</x:v>
      </x:c>
      <x:c r="P917" s="8" t="s">
        <x:v>115</x:v>
      </x:c>
      <x:c r="Q917" s="8" t="s">
        <x:v>45</x:v>
      </x:c>
      <x:c r="R917" s="8" t="s">
        <x:v>2651</x:v>
      </x:c>
      <x:c r="S917" s="8" t="s">
        <x:v>2379</x:v>
      </x:c>
      <x:c r="T917" s="8" t="s">
        <x:v>27</x:v>
      </x:c>
      <x:c r="U917" s="8" t="s">
        <x:v>883</x:v>
      </x:c>
      <x:c r="V917" s="8" t="s">
        <x:v>1624</x:v>
      </x:c>
    </x:row>
    <x:row r="918" ht="48" hidden="0" customHeight="1">
      <x:c r="A918" s="8" t="s">
        <x:v>2666</x:v>
      </x:c>
      <x:c r="B918" s="8" t="s">
        <x:v>2645</x:v>
      </x:c>
      <x:c r="C918" s="8"/>
      <x:c r="D918" s="8" t="s">
        <x:v>1889</x:v>
      </x:c>
      <x:c r="E918" s="8" t="s">
        <x:v>2667</x:v>
      </x:c>
      <x:c r="F918" s="8" t="s">
        <x:v>1617</x:v>
      </x:c>
      <x:c r="G918" s="8" t="s">
        <x:v>109</x:v>
      </x:c>
      <x:c r="H918" s="8" t="s">
        <x:v>2647</x:v>
      </x:c>
      <x:c r="I918" s="8"/>
      <x:c r="J918" s="8" t="s">
        <x:v>2648</x:v>
      </x:c>
      <x:c r="K918" s="8" t="s">
        <x:v>2663</x:v>
      </x:c>
      <x:c r="L918" s="8" t="s">
        <x:v>2663</x:v>
      </x:c>
      <x:c r="M918" s="8"/>
      <x:c r="N918" s="8" t="s">
        <x:v>2664</x:v>
      </x:c>
      <x:c r="O918" s="8" t="s">
        <x:v>1622</x:v>
      </x:c>
      <x:c r="P918" s="8" t="s">
        <x:v>115</x:v>
      </x:c>
      <x:c r="Q918" s="8" t="s">
        <x:v>45</x:v>
      </x:c>
      <x:c r="R918" s="8" t="s">
        <x:v>2651</x:v>
      </x:c>
      <x:c r="S918" s="8"/>
      <x:c r="T918" s="8" t="s">
        <x:v>27</x:v>
      </x:c>
      <x:c r="U918" s="8" t="s">
        <x:v>883</x:v>
      </x:c>
      <x:c r="V918" s="8" t="s">
        <x:v>1624</x:v>
      </x:c>
    </x:row>
    <x:row r="919" ht="48" hidden="0" customHeight="1">
      <x:c r="A919" s="8" t="s">
        <x:v>2668</x:v>
      </x:c>
      <x:c r="B919" s="8" t="s">
        <x:v>2645</x:v>
      </x:c>
      <x:c r="C919" s="8"/>
      <x:c r="D919" s="8" t="s">
        <x:v>2161</x:v>
      </x:c>
      <x:c r="E919" s="8" t="s">
        <x:v>2669</x:v>
      </x:c>
      <x:c r="F919" s="8" t="s">
        <x:v>1617</x:v>
      </x:c>
      <x:c r="G919" s="8" t="s">
        <x:v>109</x:v>
      </x:c>
      <x:c r="H919" s="8" t="s">
        <x:v>2647</x:v>
      </x:c>
      <x:c r="I919" s="8"/>
      <x:c r="J919" s="8" t="s">
        <x:v>2648</x:v>
      </x:c>
      <x:c r="K919" s="8" t="s">
        <x:v>2653</x:v>
      </x:c>
      <x:c r="L919" s="8" t="s">
        <x:v>2653</x:v>
      </x:c>
      <x:c r="M919" s="8"/>
      <x:c r="N919" s="8" t="s">
        <x:v>2654</x:v>
      </x:c>
      <x:c r="O919" s="8" t="s">
        <x:v>1622</x:v>
      </x:c>
      <x:c r="P919" s="8" t="s">
        <x:v>115</x:v>
      </x:c>
      <x:c r="Q919" s="8" t="s">
        <x:v>45</x:v>
      </x:c>
      <x:c r="R919" s="8" t="s">
        <x:v>2651</x:v>
      </x:c>
      <x:c r="S919" s="8"/>
      <x:c r="T919" s="8" t="s">
        <x:v>27</x:v>
      </x:c>
      <x:c r="U919" s="8" t="s">
        <x:v>883</x:v>
      </x:c>
      <x:c r="V919" s="8" t="s">
        <x:v>1624</x:v>
      </x:c>
    </x:row>
    <x:row r="920" ht="48" hidden="0" customHeight="1">
      <x:c r="A920" s="8" t="s">
        <x:v>2670</x:v>
      </x:c>
      <x:c r="B920" s="8" t="s">
        <x:v>2645</x:v>
      </x:c>
      <x:c r="C920" s="8"/>
      <x:c r="D920" s="8" t="s">
        <x:v>2671</x:v>
      </x:c>
      <x:c r="E920" s="8" t="s">
        <x:v>2672</x:v>
      </x:c>
      <x:c r="F920" s="8" t="s">
        <x:v>1617</x:v>
      </x:c>
      <x:c r="G920" s="8" t="s">
        <x:v>109</x:v>
      </x:c>
      <x:c r="H920" s="8" t="s">
        <x:v>2647</x:v>
      </x:c>
      <x:c r="I920" s="8"/>
      <x:c r="J920" s="8" t="s">
        <x:v>2648</x:v>
      </x:c>
      <x:c r="K920" s="8" t="s">
        <x:v>2653</x:v>
      </x:c>
      <x:c r="L920" s="8" t="s">
        <x:v>2653</x:v>
      </x:c>
      <x:c r="M920" s="8"/>
      <x:c r="N920" s="8" t="s">
        <x:v>2654</x:v>
      </x:c>
      <x:c r="O920" s="8" t="s">
        <x:v>1622</x:v>
      </x:c>
      <x:c r="P920" s="8" t="s">
        <x:v>115</x:v>
      </x:c>
      <x:c r="Q920" s="8" t="s">
        <x:v>45</x:v>
      </x:c>
      <x:c r="R920" s="8" t="s">
        <x:v>2651</x:v>
      </x:c>
      <x:c r="S920" s="8"/>
      <x:c r="T920" s="8" t="s">
        <x:v>27</x:v>
      </x:c>
      <x:c r="U920" s="8" t="s">
        <x:v>883</x:v>
      </x:c>
      <x:c r="V920" s="8" t="s">
        <x:v>1624</x:v>
      </x:c>
    </x:row>
    <x:row r="921" ht="48" hidden="0" customHeight="1">
      <x:c r="A921" s="8" t="s">
        <x:v>2673</x:v>
      </x:c>
      <x:c r="B921" s="8" t="s">
        <x:v>2645</x:v>
      </x:c>
      <x:c r="C921" s="8"/>
      <x:c r="D921" s="8" t="s">
        <x:v>237</x:v>
      </x:c>
      <x:c r="E921" s="8" t="s">
        <x:v>2674</x:v>
      </x:c>
      <x:c r="F921" s="8" t="s">
        <x:v>1617</x:v>
      </x:c>
      <x:c r="G921" s="8" t="s">
        <x:v>109</x:v>
      </x:c>
      <x:c r="H921" s="8" t="s">
        <x:v>2647</x:v>
      </x:c>
      <x:c r="I921" s="8"/>
      <x:c r="J921" s="8" t="s">
        <x:v>2648</x:v>
      </x:c>
      <x:c r="K921" s="8" t="s">
        <x:v>2653</x:v>
      </x:c>
      <x:c r="L921" s="8" t="s">
        <x:v>2653</x:v>
      </x:c>
      <x:c r="M921" s="8"/>
      <x:c r="N921" s="8" t="s">
        <x:v>2654</x:v>
      </x:c>
      <x:c r="O921" s="8" t="s">
        <x:v>1622</x:v>
      </x:c>
      <x:c r="P921" s="8" t="s">
        <x:v>115</x:v>
      </x:c>
      <x:c r="Q921" s="8" t="s">
        <x:v>45</x:v>
      </x:c>
      <x:c r="R921" s="8" t="s">
        <x:v>2651</x:v>
      </x:c>
      <x:c r="S921" s="8"/>
      <x:c r="T921" s="8" t="s">
        <x:v>27</x:v>
      </x:c>
      <x:c r="U921" s="8" t="s">
        <x:v>883</x:v>
      </x:c>
      <x:c r="V921" s="8" t="s">
        <x:v>1624</x:v>
      </x:c>
    </x:row>
    <x:row r="922" ht="48" hidden="0" customHeight="1">
      <x:c r="A922" s="8" t="s">
        <x:v>2675</x:v>
      </x:c>
      <x:c r="B922" s="8" t="s">
        <x:v>2645</x:v>
      </x:c>
      <x:c r="C922" s="8"/>
      <x:c r="D922" s="8" t="s">
        <x:v>2345</x:v>
      </x:c>
      <x:c r="E922" s="8" t="n">
        <x:v>2895</x:v>
      </x:c>
      <x:c r="F922" s="8" t="s">
        <x:v>1617</x:v>
      </x:c>
      <x:c r="G922" s="8" t="s">
        <x:v>109</x:v>
      </x:c>
      <x:c r="H922" s="8" t="s">
        <x:v>2647</x:v>
      </x:c>
      <x:c r="I922" s="8"/>
      <x:c r="J922" s="8" t="s">
        <x:v>2648</x:v>
      </x:c>
      <x:c r="K922" s="8" t="s">
        <x:v>2663</x:v>
      </x:c>
      <x:c r="L922" s="8" t="s">
        <x:v>2663</x:v>
      </x:c>
      <x:c r="M922" s="8"/>
      <x:c r="N922" s="8" t="s">
        <x:v>2664</x:v>
      </x:c>
      <x:c r="O922" s="8" t="s">
        <x:v>1622</x:v>
      </x:c>
      <x:c r="P922" s="8" t="s">
        <x:v>115</x:v>
      </x:c>
      <x:c r="Q922" s="8" t="s">
        <x:v>45</x:v>
      </x:c>
      <x:c r="R922" s="8" t="s">
        <x:v>2651</x:v>
      </x:c>
      <x:c r="S922" s="8" t="s">
        <x:v>2660</x:v>
      </x:c>
      <x:c r="T922" s="8" t="s">
        <x:v>27</x:v>
      </x:c>
      <x:c r="U922" s="8" t="s">
        <x:v>883</x:v>
      </x:c>
      <x:c r="V922" s="8" t="s">
        <x:v>1624</x:v>
      </x:c>
    </x:row>
    <x:row r="923" ht="48" hidden="0" customHeight="1">
      <x:c r="A923" s="8" t="s">
        <x:v>2676</x:v>
      </x:c>
      <x:c r="B923" s="8" t="s">
        <x:v>2645</x:v>
      </x:c>
      <x:c r="C923" s="8"/>
      <x:c r="D923" s="8" t="s">
        <x:v>2351</x:v>
      </x:c>
      <x:c r="E923" s="8" t="n">
        <x:v>621</x:v>
      </x:c>
      <x:c r="F923" s="8" t="s">
        <x:v>1617</x:v>
      </x:c>
      <x:c r="G923" s="8" t="s">
        <x:v>109</x:v>
      </x:c>
      <x:c r="H923" s="8" t="s">
        <x:v>2647</x:v>
      </x:c>
      <x:c r="I923" s="8"/>
      <x:c r="J923" s="8" t="s">
        <x:v>2648</x:v>
      </x:c>
      <x:c r="K923" s="8" t="s">
        <x:v>2663</x:v>
      </x:c>
      <x:c r="L923" s="8" t="s">
        <x:v>2663</x:v>
      </x:c>
      <x:c r="M923" s="8"/>
      <x:c r="N923" s="8" t="s">
        <x:v>2664</x:v>
      </x:c>
      <x:c r="O923" s="8" t="s">
        <x:v>1622</x:v>
      </x:c>
      <x:c r="P923" s="8" t="s">
        <x:v>115</x:v>
      </x:c>
      <x:c r="Q923" s="8" t="s">
        <x:v>45</x:v>
      </x:c>
      <x:c r="R923" s="8" t="s">
        <x:v>2651</x:v>
      </x:c>
      <x:c r="S923" s="8" t="s">
        <x:v>2660</x:v>
      </x:c>
      <x:c r="T923" s="8" t="s">
        <x:v>27</x:v>
      </x:c>
      <x:c r="U923" s="8" t="s">
        <x:v>883</x:v>
      </x:c>
      <x:c r="V923" s="8" t="s">
        <x:v>1624</x:v>
      </x:c>
    </x:row>
    <x:row r="924" ht="48" hidden="0" customHeight="1">
      <x:c r="A924" s="8" t="s">
        <x:v>2677</x:v>
      </x:c>
      <x:c r="B924" s="8" t="s">
        <x:v>2645</x:v>
      </x:c>
      <x:c r="C924" s="8"/>
      <x:c r="D924" s="8" t="s">
        <x:v>2531</x:v>
      </x:c>
      <x:c r="E924" s="8" t="n">
        <x:v>621</x:v>
      </x:c>
      <x:c r="F924" s="8" t="s">
        <x:v>1617</x:v>
      </x:c>
      <x:c r="G924" s="8" t="s">
        <x:v>109</x:v>
      </x:c>
      <x:c r="H924" s="8" t="s">
        <x:v>2647</x:v>
      </x:c>
      <x:c r="I924" s="8"/>
      <x:c r="J924" s="8" t="s">
        <x:v>2648</x:v>
      </x:c>
      <x:c r="K924" s="8" t="s">
        <x:v>2663</x:v>
      </x:c>
      <x:c r="L924" s="8" t="s">
        <x:v>2663</x:v>
      </x:c>
      <x:c r="M924" s="8"/>
      <x:c r="N924" s="8" t="s">
        <x:v>2664</x:v>
      </x:c>
      <x:c r="O924" s="8" t="s">
        <x:v>1622</x:v>
      </x:c>
      <x:c r="P924" s="8" t="s">
        <x:v>115</x:v>
      </x:c>
      <x:c r="Q924" s="8" t="s">
        <x:v>45</x:v>
      </x:c>
      <x:c r="R924" s="8" t="s">
        <x:v>2651</x:v>
      </x:c>
      <x:c r="S924" s="8" t="s">
        <x:v>2660</x:v>
      </x:c>
      <x:c r="T924" s="8" t="s">
        <x:v>27</x:v>
      </x:c>
      <x:c r="U924" s="8" t="s">
        <x:v>883</x:v>
      </x:c>
      <x:c r="V924" s="8" t="s">
        <x:v>1624</x:v>
      </x:c>
    </x:row>
    <x:row r="925" ht="48" hidden="0" customHeight="1">
      <x:c r="A925" s="8" t="s">
        <x:v>2678</x:v>
      </x:c>
      <x:c r="B925" s="8" t="s">
        <x:v>2645</x:v>
      </x:c>
      <x:c r="C925" s="8"/>
      <x:c r="D925" s="8" t="s">
        <x:v>2177</x:v>
      </x:c>
      <x:c r="E925" s="8" t="s">
        <x:v>2679</x:v>
      </x:c>
      <x:c r="F925" s="8" t="s">
        <x:v>1617</x:v>
      </x:c>
      <x:c r="G925" s="8" t="s">
        <x:v>109</x:v>
      </x:c>
      <x:c r="H925" s="8" t="s">
        <x:v>2647</x:v>
      </x:c>
      <x:c r="I925" s="8"/>
      <x:c r="J925" s="8" t="s">
        <x:v>2648</x:v>
      </x:c>
      <x:c r="K925" s="8" t="s">
        <x:v>2663</x:v>
      </x:c>
      <x:c r="L925" s="8" t="s">
        <x:v>2663</x:v>
      </x:c>
      <x:c r="M925" s="8"/>
      <x:c r="N925" s="8" t="s">
        <x:v>2664</x:v>
      </x:c>
      <x:c r="O925" s="8" t="s">
        <x:v>1622</x:v>
      </x:c>
      <x:c r="P925" s="8" t="s">
        <x:v>115</x:v>
      </x:c>
      <x:c r="Q925" s="8" t="s">
        <x:v>45</x:v>
      </x:c>
      <x:c r="R925" s="8" t="s">
        <x:v>2651</x:v>
      </x:c>
      <x:c r="S925" s="8"/>
      <x:c r="T925" s="8" t="s">
        <x:v>27</x:v>
      </x:c>
      <x:c r="U925" s="8" t="s">
        <x:v>883</x:v>
      </x:c>
      <x:c r="V925" s="8" t="s">
        <x:v>1624</x:v>
      </x:c>
    </x:row>
    <x:row r="926" ht="36" hidden="0" customHeight="1">
      <x:c r="A926" s="8" t="s">
        <x:v>2680</x:v>
      </x:c>
      <x:c r="B926" s="8" t="s">
        <x:v>2681</x:v>
      </x:c>
      <x:c r="C926" s="8"/>
      <x:c r="D926" s="8" t="s">
        <x:v>1864</x:v>
      </x:c>
      <x:c r="E926" s="8" t="s">
        <x:v>2682</x:v>
      </x:c>
      <x:c r="F926" s="8" t="s">
        <x:v>2683</x:v>
      </x:c>
      <x:c r="G926" s="8" t="s">
        <x:v>109</x:v>
      </x:c>
      <x:c r="H926" s="8" t="s">
        <x:v>2684</x:v>
      </x:c>
      <x:c r="I926" s="8" t="s">
        <x:v>2685</x:v>
      </x:c>
      <x:c r="J926" s="8" t="s">
        <x:v>2601</x:v>
      </x:c>
      <x:c r="K926" s="8" t="s">
        <x:v>2686</x:v>
      </x:c>
      <x:c r="L926" s="8" t="s">
        <x:v>2686</x:v>
      </x:c>
      <x:c r="M926" s="8"/>
      <x:c r="N926" s="8"/>
      <x:c r="O926" s="8" t="s">
        <x:v>1622</x:v>
      </x:c>
      <x:c r="P926" s="8" t="s">
        <x:v>115</x:v>
      </x:c>
      <x:c r="Q926" s="8" t="s">
        <x:v>45</x:v>
      </x:c>
      <x:c r="R926" s="8" t="s">
        <x:v>2687</x:v>
      </x:c>
      <x:c r="S926" s="8"/>
      <x:c r="T926" s="8" t="s">
        <x:v>27</x:v>
      </x:c>
      <x:c r="U926" s="8" t="s">
        <x:v>883</x:v>
      </x:c>
      <x:c r="V926" s="8" t="s">
        <x:v>1624</x:v>
      </x:c>
    </x:row>
    <x:row r="927" ht="36" hidden="0" customHeight="1">
      <x:c r="A927" s="8" t="s">
        <x:v>2688</x:v>
      </x:c>
      <x:c r="B927" s="8" t="s">
        <x:v>2681</x:v>
      </x:c>
      <x:c r="C927" s="8"/>
      <x:c r="D927" s="8" t="s">
        <x:v>2689</x:v>
      </x:c>
      <x:c r="E927" s="8" t="s">
        <x:v>2690</x:v>
      </x:c>
      <x:c r="F927" s="8" t="s">
        <x:v>2683</x:v>
      </x:c>
      <x:c r="G927" s="8" t="s">
        <x:v>109</x:v>
      </x:c>
      <x:c r="H927" s="8" t="s">
        <x:v>2684</x:v>
      </x:c>
      <x:c r="I927" s="8" t="s">
        <x:v>2685</x:v>
      </x:c>
      <x:c r="J927" s="8" t="s">
        <x:v>2601</x:v>
      </x:c>
      <x:c r="K927" s="8" t="s">
        <x:v>2691</x:v>
      </x:c>
      <x:c r="L927" s="8" t="s">
        <x:v>2691</x:v>
      </x:c>
      <x:c r="M927" s="8"/>
      <x:c r="N927" s="8"/>
      <x:c r="O927" s="8" t="s">
        <x:v>1622</x:v>
      </x:c>
      <x:c r="P927" s="8" t="s">
        <x:v>115</x:v>
      </x:c>
      <x:c r="Q927" s="8" t="s">
        <x:v>45</x:v>
      </x:c>
      <x:c r="R927" s="8" t="s">
        <x:v>2687</x:v>
      </x:c>
      <x:c r="S927" s="8"/>
      <x:c r="T927" s="8" t="s">
        <x:v>27</x:v>
      </x:c>
      <x:c r="U927" s="8" t="s">
        <x:v>883</x:v>
      </x:c>
      <x:c r="V927" s="8" t="s">
        <x:v>1624</x:v>
      </x:c>
    </x:row>
    <x:row r="928" ht="36" hidden="0" customHeight="1">
      <x:c r="A928" s="8" t="s">
        <x:v>2692</x:v>
      </x:c>
      <x:c r="B928" s="8" t="s">
        <x:v>2681</x:v>
      </x:c>
      <x:c r="C928" s="8"/>
      <x:c r="D928" s="8" t="s">
        <x:v>2693</x:v>
      </x:c>
      <x:c r="E928" s="8" t="s">
        <x:v>2694</x:v>
      </x:c>
      <x:c r="F928" s="8" t="s">
        <x:v>2683</x:v>
      </x:c>
      <x:c r="G928" s="8" t="s">
        <x:v>109</x:v>
      </x:c>
      <x:c r="H928" s="8" t="s">
        <x:v>2684</x:v>
      </x:c>
      <x:c r="I928" s="8" t="s">
        <x:v>2685</x:v>
      </x:c>
      <x:c r="J928" s="8" t="s">
        <x:v>2601</x:v>
      </x:c>
      <x:c r="K928" s="8" t="s">
        <x:v>2695</x:v>
      </x:c>
      <x:c r="L928" s="8" t="s">
        <x:v>2695</x:v>
      </x:c>
      <x:c r="M928" s="8"/>
      <x:c r="N928" s="8"/>
      <x:c r="O928" s="8" t="s">
        <x:v>1622</x:v>
      </x:c>
      <x:c r="P928" s="8" t="s">
        <x:v>115</x:v>
      </x:c>
      <x:c r="Q928" s="8" t="s">
        <x:v>45</x:v>
      </x:c>
      <x:c r="R928" s="8" t="s">
        <x:v>2687</x:v>
      </x:c>
      <x:c r="S928" s="8"/>
      <x:c r="T928" s="8" t="s">
        <x:v>27</x:v>
      </x:c>
      <x:c r="U928" s="8" t="s">
        <x:v>883</x:v>
      </x:c>
      <x:c r="V928" s="8" t="s">
        <x:v>1624</x:v>
      </x:c>
    </x:row>
    <x:row r="929" ht="36" hidden="0" customHeight="1">
      <x:c r="A929" s="8" t="s">
        <x:v>2696</x:v>
      </x:c>
      <x:c r="B929" s="8" t="s">
        <x:v>2681</x:v>
      </x:c>
      <x:c r="C929" s="8"/>
      <x:c r="D929" s="8" t="s">
        <x:v>2697</x:v>
      </x:c>
      <x:c r="E929" s="8" t="s">
        <x:v>2698</x:v>
      </x:c>
      <x:c r="F929" s="8" t="s">
        <x:v>2683</x:v>
      </x:c>
      <x:c r="G929" s="8" t="s">
        <x:v>109</x:v>
      </x:c>
      <x:c r="H929" s="8" t="s">
        <x:v>2684</x:v>
      </x:c>
      <x:c r="I929" s="8" t="s">
        <x:v>2685</x:v>
      </x:c>
      <x:c r="J929" s="8" t="s">
        <x:v>2601</x:v>
      </x:c>
      <x:c r="K929" s="8" t="s">
        <x:v>2699</x:v>
      </x:c>
      <x:c r="L929" s="8" t="s">
        <x:v>2699</x:v>
      </x:c>
      <x:c r="M929" s="8"/>
      <x:c r="N929" s="8"/>
      <x:c r="O929" s="8" t="s">
        <x:v>1622</x:v>
      </x:c>
      <x:c r="P929" s="8" t="s">
        <x:v>115</x:v>
      </x:c>
      <x:c r="Q929" s="8" t="s">
        <x:v>45</x:v>
      </x:c>
      <x:c r="R929" s="8" t="s">
        <x:v>2687</x:v>
      </x:c>
      <x:c r="S929" s="8"/>
      <x:c r="T929" s="8" t="s">
        <x:v>27</x:v>
      </x:c>
      <x:c r="U929" s="8" t="s">
        <x:v>883</x:v>
      </x:c>
      <x:c r="V929" s="8" t="s">
        <x:v>1624</x:v>
      </x:c>
    </x:row>
    <x:row r="930" ht="36" hidden="0" customHeight="1">
      <x:c r="A930" s="8" t="s">
        <x:v>2700</x:v>
      </x:c>
      <x:c r="B930" s="8" t="s">
        <x:v>2681</x:v>
      </x:c>
      <x:c r="C930" s="8"/>
      <x:c r="D930" s="8" t="s">
        <x:v>2701</x:v>
      </x:c>
      <x:c r="E930" s="8" t="s">
        <x:v>2702</x:v>
      </x:c>
      <x:c r="F930" s="8" t="s">
        <x:v>2683</x:v>
      </x:c>
      <x:c r="G930" s="8" t="s">
        <x:v>109</x:v>
      </x:c>
      <x:c r="H930" s="8" t="s">
        <x:v>2684</x:v>
      </x:c>
      <x:c r="I930" s="8" t="s">
        <x:v>2685</x:v>
      </x:c>
      <x:c r="J930" s="8" t="s">
        <x:v>2601</x:v>
      </x:c>
      <x:c r="K930" s="8" t="s">
        <x:v>2703</x:v>
      </x:c>
      <x:c r="L930" s="8" t="s">
        <x:v>2703</x:v>
      </x:c>
      <x:c r="M930" s="8"/>
      <x:c r="N930" s="8"/>
      <x:c r="O930" s="8" t="s">
        <x:v>1622</x:v>
      </x:c>
      <x:c r="P930" s="8" t="s">
        <x:v>115</x:v>
      </x:c>
      <x:c r="Q930" s="8" t="s">
        <x:v>45</x:v>
      </x:c>
      <x:c r="R930" s="8" t="s">
        <x:v>2687</x:v>
      </x:c>
      <x:c r="S930" s="8"/>
      <x:c r="T930" s="8" t="s">
        <x:v>27</x:v>
      </x:c>
      <x:c r="U930" s="8" t="s">
        <x:v>883</x:v>
      </x:c>
      <x:c r="V930" s="8" t="s">
        <x:v>1624</x:v>
      </x:c>
    </x:row>
    <x:row r="931" ht="36" hidden="0" customHeight="1">
      <x:c r="A931" s="8" t="s">
        <x:v>2704</x:v>
      </x:c>
      <x:c r="B931" s="8" t="s">
        <x:v>2681</x:v>
      </x:c>
      <x:c r="C931" s="8"/>
      <x:c r="D931" s="8" t="s">
        <x:v>2705</x:v>
      </x:c>
      <x:c r="E931" s="8" t="n">
        <x:v>0.25</x:v>
      </x:c>
      <x:c r="F931" s="8" t="s">
        <x:v>2683</x:v>
      </x:c>
      <x:c r="G931" s="8" t="s">
        <x:v>109</x:v>
      </x:c>
      <x:c r="H931" s="8" t="s">
        <x:v>2684</x:v>
      </x:c>
      <x:c r="I931" s="8" t="s">
        <x:v>2685</x:v>
      </x:c>
      <x:c r="J931" s="8" t="s">
        <x:v>2601</x:v>
      </x:c>
      <x:c r="K931" s="8" t="s">
        <x:v>2686</x:v>
      </x:c>
      <x:c r="L931" s="8" t="s">
        <x:v>2686</x:v>
      </x:c>
      <x:c r="M931" s="8"/>
      <x:c r="N931" s="8"/>
      <x:c r="O931" s="8" t="s">
        <x:v>1622</x:v>
      </x:c>
      <x:c r="P931" s="8" t="s">
        <x:v>115</x:v>
      </x:c>
      <x:c r="Q931" s="8" t="s">
        <x:v>45</x:v>
      </x:c>
      <x:c r="R931" s="8" t="s">
        <x:v>2687</x:v>
      </x:c>
      <x:c r="S931" s="8"/>
      <x:c r="T931" s="8" t="s">
        <x:v>27</x:v>
      </x:c>
      <x:c r="U931" s="8" t="s">
        <x:v>883</x:v>
      </x:c>
      <x:c r="V931" s="8" t="s">
        <x:v>1624</x:v>
      </x:c>
    </x:row>
    <x:row r="932" ht="36" hidden="0" customHeight="1">
      <x:c r="A932" s="8" t="s">
        <x:v>2706</x:v>
      </x:c>
      <x:c r="B932" s="8" t="s">
        <x:v>2681</x:v>
      </x:c>
      <x:c r="C932" s="8"/>
      <x:c r="D932" s="8" t="s">
        <x:v>2707</x:v>
      </x:c>
      <x:c r="E932" s="8" t="n">
        <x:v>1</x:v>
      </x:c>
      <x:c r="F932" s="8" t="s">
        <x:v>2683</x:v>
      </x:c>
      <x:c r="G932" s="8" t="s">
        <x:v>109</x:v>
      </x:c>
      <x:c r="H932" s="8" t="s">
        <x:v>2684</x:v>
      </x:c>
      <x:c r="I932" s="8" t="s">
        <x:v>2685</x:v>
      </x:c>
      <x:c r="J932" s="8" t="s">
        <x:v>2601</x:v>
      </x:c>
      <x:c r="K932" s="8" t="s">
        <x:v>2686</x:v>
      </x:c>
      <x:c r="L932" s="8" t="s">
        <x:v>2686</x:v>
      </x:c>
      <x:c r="M932" s="8"/>
      <x:c r="N932" s="8"/>
      <x:c r="O932" s="8" t="s">
        <x:v>1622</x:v>
      </x:c>
      <x:c r="P932" s="8" t="s">
        <x:v>115</x:v>
      </x:c>
      <x:c r="Q932" s="8" t="s">
        <x:v>45</x:v>
      </x:c>
      <x:c r="R932" s="8" t="s">
        <x:v>2687</x:v>
      </x:c>
      <x:c r="S932" s="8"/>
      <x:c r="T932" s="8" t="s">
        <x:v>27</x:v>
      </x:c>
      <x:c r="U932" s="8" t="s">
        <x:v>883</x:v>
      </x:c>
      <x:c r="V932" s="8" t="s">
        <x:v>1624</x:v>
      </x:c>
    </x:row>
    <x:row r="933" ht="36" hidden="0" customHeight="1">
      <x:c r="A933" s="8" t="s">
        <x:v>2708</x:v>
      </x:c>
      <x:c r="B933" s="8" t="s">
        <x:v>2681</x:v>
      </x:c>
      <x:c r="C933" s="8"/>
      <x:c r="D933" s="8" t="s">
        <x:v>2709</x:v>
      </x:c>
      <x:c r="E933" s="8" t="n">
        <x:v>1</x:v>
      </x:c>
      <x:c r="F933" s="8" t="s">
        <x:v>2683</x:v>
      </x:c>
      <x:c r="G933" s="8" t="s">
        <x:v>109</x:v>
      </x:c>
      <x:c r="H933" s="8" t="s">
        <x:v>2684</x:v>
      </x:c>
      <x:c r="I933" s="8" t="s">
        <x:v>2685</x:v>
      </x:c>
      <x:c r="J933" s="8" t="s">
        <x:v>2601</x:v>
      </x:c>
      <x:c r="K933" s="8" t="s">
        <x:v>2686</x:v>
      </x:c>
      <x:c r="L933" s="8" t="s">
        <x:v>2686</x:v>
      </x:c>
      <x:c r="M933" s="8"/>
      <x:c r="N933" s="8"/>
      <x:c r="O933" s="8" t="s">
        <x:v>1622</x:v>
      </x:c>
      <x:c r="P933" s="8" t="s">
        <x:v>115</x:v>
      </x:c>
      <x:c r="Q933" s="8" t="s">
        <x:v>45</x:v>
      </x:c>
      <x:c r="R933" s="8" t="s">
        <x:v>2687</x:v>
      </x:c>
      <x:c r="S933" s="8"/>
      <x:c r="T933" s="8" t="s">
        <x:v>27</x:v>
      </x:c>
      <x:c r="U933" s="8" t="s">
        <x:v>883</x:v>
      </x:c>
      <x:c r="V933" s="8" t="s">
        <x:v>1624</x:v>
      </x:c>
    </x:row>
    <x:row r="934" ht="36" hidden="0" customHeight="1">
      <x:c r="A934" s="8" t="s">
        <x:v>2710</x:v>
      </x:c>
      <x:c r="B934" s="8" t="s">
        <x:v>2681</x:v>
      </x:c>
      <x:c r="C934" s="8"/>
      <x:c r="D934" s="8" t="s">
        <x:v>2711</x:v>
      </x:c>
      <x:c r="E934" s="8" t="n">
        <x:v>1</x:v>
      </x:c>
      <x:c r="F934" s="8" t="s">
        <x:v>2683</x:v>
      </x:c>
      <x:c r="G934" s="8" t="s">
        <x:v>109</x:v>
      </x:c>
      <x:c r="H934" s="8" t="s">
        <x:v>2684</x:v>
      </x:c>
      <x:c r="I934" s="8" t="s">
        <x:v>2685</x:v>
      </x:c>
      <x:c r="J934" s="8" t="s">
        <x:v>2601</x:v>
      </x:c>
      <x:c r="K934" s="8" t="s">
        <x:v>2686</x:v>
      </x:c>
      <x:c r="L934" s="8" t="s">
        <x:v>2686</x:v>
      </x:c>
      <x:c r="M934" s="8"/>
      <x:c r="N934" s="8"/>
      <x:c r="O934" s="8" t="s">
        <x:v>1622</x:v>
      </x:c>
      <x:c r="P934" s="8" t="s">
        <x:v>115</x:v>
      </x:c>
      <x:c r="Q934" s="8" t="s">
        <x:v>45</x:v>
      </x:c>
      <x:c r="R934" s="8" t="s">
        <x:v>2687</x:v>
      </x:c>
      <x:c r="S934" s="8"/>
      <x:c r="T934" s="8" t="s">
        <x:v>27</x:v>
      </x:c>
      <x:c r="U934" s="8" t="s">
        <x:v>883</x:v>
      </x:c>
      <x:c r="V934" s="8" t="s">
        <x:v>1624</x:v>
      </x:c>
    </x:row>
    <x:row r="935" ht="36" hidden="0" customHeight="1">
      <x:c r="A935" s="8" t="s">
        <x:v>2712</x:v>
      </x:c>
      <x:c r="B935" s="8" t="s">
        <x:v>2681</x:v>
      </x:c>
      <x:c r="C935" s="8"/>
      <x:c r="D935" s="8" t="s">
        <x:v>2713</x:v>
      </x:c>
      <x:c r="E935" s="8" t="s">
        <x:v>2714</x:v>
      </x:c>
      <x:c r="F935" s="8" t="s">
        <x:v>2683</x:v>
      </x:c>
      <x:c r="G935" s="8" t="s">
        <x:v>109</x:v>
      </x:c>
      <x:c r="H935" s="8" t="s">
        <x:v>2684</x:v>
      </x:c>
      <x:c r="I935" s="8" t="s">
        <x:v>2685</x:v>
      </x:c>
      <x:c r="J935" s="8" t="s">
        <x:v>2601</x:v>
      </x:c>
      <x:c r="K935" s="8" t="s">
        <x:v>2715</x:v>
      </x:c>
      <x:c r="L935" s="8" t="s">
        <x:v>2715</x:v>
      </x:c>
      <x:c r="M935" s="8"/>
      <x:c r="N935" s="8"/>
      <x:c r="O935" s="8" t="s">
        <x:v>1622</x:v>
      </x:c>
      <x:c r="P935" s="8" t="s">
        <x:v>115</x:v>
      </x:c>
      <x:c r="Q935" s="8" t="s">
        <x:v>45</x:v>
      </x:c>
      <x:c r="R935" s="8" t="s">
        <x:v>2687</x:v>
      </x:c>
      <x:c r="S935" s="8"/>
      <x:c r="T935" s="8" t="s">
        <x:v>27</x:v>
      </x:c>
      <x:c r="U935" s="8" t="s">
        <x:v>883</x:v>
      </x:c>
      <x:c r="V935" s="8" t="s">
        <x:v>1624</x:v>
      </x:c>
    </x:row>
    <x:row r="936" ht="36" hidden="0" customHeight="1">
      <x:c r="A936" s="8" t="s">
        <x:v>2716</x:v>
      </x:c>
      <x:c r="B936" s="8" t="s">
        <x:v>2681</x:v>
      </x:c>
      <x:c r="C936" s="8"/>
      <x:c r="D936" s="8" t="s">
        <x:v>2717</x:v>
      </x:c>
      <x:c r="E936" s="8" t="s">
        <x:v>2718</x:v>
      </x:c>
      <x:c r="F936" s="8" t="s">
        <x:v>2683</x:v>
      </x:c>
      <x:c r="G936" s="8" t="s">
        <x:v>109</x:v>
      </x:c>
      <x:c r="H936" s="8" t="s">
        <x:v>2684</x:v>
      </x:c>
      <x:c r="I936" s="8" t="s">
        <x:v>2685</x:v>
      </x:c>
      <x:c r="J936" s="8" t="s">
        <x:v>2601</x:v>
      </x:c>
      <x:c r="K936" s="8" t="s">
        <x:v>2715</x:v>
      </x:c>
      <x:c r="L936" s="8" t="s">
        <x:v>2715</x:v>
      </x:c>
      <x:c r="M936" s="8"/>
      <x:c r="N936" s="8"/>
      <x:c r="O936" s="8" t="s">
        <x:v>1622</x:v>
      </x:c>
      <x:c r="P936" s="8" t="s">
        <x:v>115</x:v>
      </x:c>
      <x:c r="Q936" s="8" t="s">
        <x:v>45</x:v>
      </x:c>
      <x:c r="R936" s="8" t="s">
        <x:v>2687</x:v>
      </x:c>
      <x:c r="S936" s="8"/>
      <x:c r="T936" s="8" t="s">
        <x:v>27</x:v>
      </x:c>
      <x:c r="U936" s="8" t="s">
        <x:v>883</x:v>
      </x:c>
      <x:c r="V936" s="8" t="s">
        <x:v>1624</x:v>
      </x:c>
    </x:row>
    <x:row r="937" ht="36" hidden="0" customHeight="1">
      <x:c r="A937" s="8" t="s">
        <x:v>2719</x:v>
      </x:c>
      <x:c r="B937" s="8" t="s">
        <x:v>2681</x:v>
      </x:c>
      <x:c r="C937" s="8"/>
      <x:c r="D937" s="8" t="s">
        <x:v>164</x:v>
      </x:c>
      <x:c r="E937" s="8" t="s">
        <x:v>1363</x:v>
      </x:c>
      <x:c r="F937" s="8" t="s">
        <x:v>2683</x:v>
      </x:c>
      <x:c r="G937" s="8" t="s">
        <x:v>109</x:v>
      </x:c>
      <x:c r="H937" s="8" t="s">
        <x:v>2684</x:v>
      </x:c>
      <x:c r="I937" s="8" t="s">
        <x:v>2685</x:v>
      </x:c>
      <x:c r="J937" s="8" t="s">
        <x:v>2601</x:v>
      </x:c>
      <x:c r="K937" s="8" t="s">
        <x:v>2715</x:v>
      </x:c>
      <x:c r="L937" s="8" t="s">
        <x:v>2715</x:v>
      </x:c>
      <x:c r="M937" s="8"/>
      <x:c r="N937" s="8"/>
      <x:c r="O937" s="8" t="s">
        <x:v>1622</x:v>
      </x:c>
      <x:c r="P937" s="8" t="s">
        <x:v>115</x:v>
      </x:c>
      <x:c r="Q937" s="8" t="s">
        <x:v>45</x:v>
      </x:c>
      <x:c r="R937" s="8" t="s">
        <x:v>2687</x:v>
      </x:c>
      <x:c r="S937" s="8"/>
      <x:c r="T937" s="8" t="s">
        <x:v>27</x:v>
      </x:c>
      <x:c r="U937" s="8" t="s">
        <x:v>883</x:v>
      </x:c>
      <x:c r="V937" s="8" t="s">
        <x:v>1624</x:v>
      </x:c>
    </x:row>
    <x:row r="938" ht="36" hidden="0" customHeight="1">
      <x:c r="A938" s="8" t="s">
        <x:v>2720</x:v>
      </x:c>
      <x:c r="B938" s="8" t="s">
        <x:v>2681</x:v>
      </x:c>
      <x:c r="C938" s="8"/>
      <x:c r="D938" s="8" t="s">
        <x:v>318</x:v>
      </x:c>
      <x:c r="E938" s="8" t="n">
        <x:v>0.001</x:v>
      </x:c>
      <x:c r="F938" s="8" t="s">
        <x:v>2683</x:v>
      </x:c>
      <x:c r="G938" s="8" t="s">
        <x:v>109</x:v>
      </x:c>
      <x:c r="H938" s="8" t="s">
        <x:v>2684</x:v>
      </x:c>
      <x:c r="I938" s="8" t="s">
        <x:v>2685</x:v>
      </x:c>
      <x:c r="J938" s="8" t="s">
        <x:v>2601</x:v>
      </x:c>
      <x:c r="K938" s="8" t="s">
        <x:v>2715</x:v>
      </x:c>
      <x:c r="L938" s="8" t="s">
        <x:v>2715</x:v>
      </x:c>
      <x:c r="M938" s="8"/>
      <x:c r="N938" s="8"/>
      <x:c r="O938" s="8" t="s">
        <x:v>1622</x:v>
      </x:c>
      <x:c r="P938" s="8" t="s">
        <x:v>115</x:v>
      </x:c>
      <x:c r="Q938" s="8" t="s">
        <x:v>45</x:v>
      </x:c>
      <x:c r="R938" s="8" t="s">
        <x:v>2687</x:v>
      </x:c>
      <x:c r="S938" s="8"/>
      <x:c r="T938" s="8" t="s">
        <x:v>27</x:v>
      </x:c>
      <x:c r="U938" s="8" t="s">
        <x:v>883</x:v>
      </x:c>
      <x:c r="V938" s="8" t="s">
        <x:v>1624</x:v>
      </x:c>
    </x:row>
    <x:row r="939" ht="36" hidden="0" customHeight="1">
      <x:c r="A939" s="8" t="s">
        <x:v>2721</x:v>
      </x:c>
      <x:c r="B939" s="8" t="s">
        <x:v>2681</x:v>
      </x:c>
      <x:c r="C939" s="8"/>
      <x:c r="D939" s="8" t="s">
        <x:v>1652</x:v>
      </x:c>
      <x:c r="E939" s="8" t="s">
        <x:v>2722</x:v>
      </x:c>
      <x:c r="F939" s="8" t="s">
        <x:v>2683</x:v>
      </x:c>
      <x:c r="G939" s="8" t="s">
        <x:v>109</x:v>
      </x:c>
      <x:c r="H939" s="8" t="s">
        <x:v>2684</x:v>
      </x:c>
      <x:c r="I939" s="8" t="s">
        <x:v>2685</x:v>
      </x:c>
      <x:c r="J939" s="8" t="s">
        <x:v>2601</x:v>
      </x:c>
      <x:c r="K939" s="8" t="s">
        <x:v>2715</x:v>
      </x:c>
      <x:c r="L939" s="8" t="s">
        <x:v>2715</x:v>
      </x:c>
      <x:c r="M939" s="8"/>
      <x:c r="N939" s="8"/>
      <x:c r="O939" s="8" t="s">
        <x:v>1622</x:v>
      </x:c>
      <x:c r="P939" s="8" t="s">
        <x:v>115</x:v>
      </x:c>
      <x:c r="Q939" s="8" t="s">
        <x:v>45</x:v>
      </x:c>
      <x:c r="R939" s="8" t="s">
        <x:v>2687</x:v>
      </x:c>
      <x:c r="S939" s="8"/>
      <x:c r="T939" s="8" t="s">
        <x:v>27</x:v>
      </x:c>
      <x:c r="U939" s="8" t="s">
        <x:v>883</x:v>
      </x:c>
      <x:c r="V939" s="8" t="s">
        <x:v>1624</x:v>
      </x:c>
    </x:row>
    <x:row r="940" ht="36" hidden="0" customHeight="1">
      <x:c r="A940" s="8" t="s">
        <x:v>2723</x:v>
      </x:c>
      <x:c r="B940" s="8" t="s">
        <x:v>2681</x:v>
      </x:c>
      <x:c r="C940" s="8"/>
      <x:c r="D940" s="8" t="s">
        <x:v>167</x:v>
      </x:c>
      <x:c r="E940" s="8" t="n">
        <x:v>8</x:v>
      </x:c>
      <x:c r="F940" s="8" t="s">
        <x:v>2683</x:v>
      </x:c>
      <x:c r="G940" s="8" t="s">
        <x:v>109</x:v>
      </x:c>
      <x:c r="H940" s="8" t="s">
        <x:v>2684</x:v>
      </x:c>
      <x:c r="I940" s="8" t="s">
        <x:v>2685</x:v>
      </x:c>
      <x:c r="J940" s="8" t="s">
        <x:v>2601</x:v>
      </x:c>
      <x:c r="K940" s="8" t="s">
        <x:v>2715</x:v>
      </x:c>
      <x:c r="L940" s="8" t="s">
        <x:v>2715</x:v>
      </x:c>
      <x:c r="M940" s="8"/>
      <x:c r="N940" s="8"/>
      <x:c r="O940" s="8" t="s">
        <x:v>1622</x:v>
      </x:c>
      <x:c r="P940" s="8" t="s">
        <x:v>115</x:v>
      </x:c>
      <x:c r="Q940" s="8" t="s">
        <x:v>45</x:v>
      </x:c>
      <x:c r="R940" s="8" t="s">
        <x:v>2687</x:v>
      </x:c>
      <x:c r="S940" s="8" t="s">
        <x:v>1954</x:v>
      </x:c>
      <x:c r="T940" s="8" t="s">
        <x:v>27</x:v>
      </x:c>
      <x:c r="U940" s="8" t="s">
        <x:v>883</x:v>
      </x:c>
      <x:c r="V940" s="8" t="s">
        <x:v>1624</x:v>
      </x:c>
    </x:row>
    <x:row r="941" ht="36" hidden="0" customHeight="1">
      <x:c r="A941" s="8" t="s">
        <x:v>2724</x:v>
      </x:c>
      <x:c r="B941" s="8" t="s">
        <x:v>2681</x:v>
      </x:c>
      <x:c r="C941" s="8"/>
      <x:c r="D941" s="8" t="s">
        <x:v>1889</x:v>
      </x:c>
      <x:c r="E941" s="8" t="s">
        <x:v>2725</x:v>
      </x:c>
      <x:c r="F941" s="8" t="s">
        <x:v>2683</x:v>
      </x:c>
      <x:c r="G941" s="8" t="s">
        <x:v>109</x:v>
      </x:c>
      <x:c r="H941" s="8" t="s">
        <x:v>2684</x:v>
      </x:c>
      <x:c r="I941" s="8" t="s">
        <x:v>2685</x:v>
      </x:c>
      <x:c r="J941" s="8" t="s">
        <x:v>2601</x:v>
      </x:c>
      <x:c r="K941" s="8" t="s">
        <x:v>2715</x:v>
      </x:c>
      <x:c r="L941" s="8" t="s">
        <x:v>2715</x:v>
      </x:c>
      <x:c r="M941" s="8"/>
      <x:c r="N941" s="8"/>
      <x:c r="O941" s="8" t="s">
        <x:v>1622</x:v>
      </x:c>
      <x:c r="P941" s="8" t="s">
        <x:v>115</x:v>
      </x:c>
      <x:c r="Q941" s="8" t="s">
        <x:v>45</x:v>
      </x:c>
      <x:c r="R941" s="8" t="s">
        <x:v>2687</x:v>
      </x:c>
      <x:c r="S941" s="8"/>
      <x:c r="T941" s="8" t="s">
        <x:v>27</x:v>
      </x:c>
      <x:c r="U941" s="8" t="s">
        <x:v>883</x:v>
      </x:c>
      <x:c r="V941" s="8" t="s">
        <x:v>1624</x:v>
      </x:c>
    </x:row>
    <x:row r="942" ht="36" hidden="0" customHeight="1">
      <x:c r="A942" s="8" t="s">
        <x:v>2726</x:v>
      </x:c>
      <x:c r="B942" s="8" t="s">
        <x:v>2681</x:v>
      </x:c>
      <x:c r="C942" s="8"/>
      <x:c r="D942" s="8" t="s">
        <x:v>1961</x:v>
      </x:c>
      <x:c r="E942" s="8" t="n">
        <x:v>50</x:v>
      </x:c>
      <x:c r="F942" s="8" t="s">
        <x:v>2683</x:v>
      </x:c>
      <x:c r="G942" s="8" t="s">
        <x:v>109</x:v>
      </x:c>
      <x:c r="H942" s="8" t="s">
        <x:v>2684</x:v>
      </x:c>
      <x:c r="I942" s="8" t="s">
        <x:v>2685</x:v>
      </x:c>
      <x:c r="J942" s="8" t="s">
        <x:v>2601</x:v>
      </x:c>
      <x:c r="K942" s="8" t="s">
        <x:v>2715</x:v>
      </x:c>
      <x:c r="L942" s="8" t="s">
        <x:v>2715</x:v>
      </x:c>
      <x:c r="M942" s="8"/>
      <x:c r="N942" s="8"/>
      <x:c r="O942" s="8" t="s">
        <x:v>1622</x:v>
      </x:c>
      <x:c r="P942" s="8" t="s">
        <x:v>115</x:v>
      </x:c>
      <x:c r="Q942" s="8" t="s">
        <x:v>45</x:v>
      </x:c>
      <x:c r="R942" s="8" t="s">
        <x:v>2687</x:v>
      </x:c>
      <x:c r="S942" s="8" t="s">
        <x:v>2254</x:v>
      </x:c>
      <x:c r="T942" s="8" t="s">
        <x:v>27</x:v>
      </x:c>
      <x:c r="U942" s="8" t="s">
        <x:v>883</x:v>
      </x:c>
      <x:c r="V942" s="8" t="s">
        <x:v>1624</x:v>
      </x:c>
    </x:row>
    <x:row r="943" ht="36" hidden="0" customHeight="1">
      <x:c r="A943" s="8" t="s">
        <x:v>2727</x:v>
      </x:c>
      <x:c r="B943" s="8" t="s">
        <x:v>2681</x:v>
      </x:c>
      <x:c r="C943" s="8"/>
      <x:c r="D943" s="8" t="s">
        <x:v>2728</x:v>
      </x:c>
      <x:c r="E943" s="8" t="n">
        <x:v>3</x:v>
      </x:c>
      <x:c r="F943" s="8" t="s">
        <x:v>2683</x:v>
      </x:c>
      <x:c r="G943" s="8" t="s">
        <x:v>109</x:v>
      </x:c>
      <x:c r="H943" s="8" t="s">
        <x:v>2684</x:v>
      </x:c>
      <x:c r="I943" s="8" t="s">
        <x:v>2685</x:v>
      </x:c>
      <x:c r="J943" s="8" t="s">
        <x:v>2601</x:v>
      </x:c>
      <x:c r="K943" s="8" t="s">
        <x:v>2729</x:v>
      </x:c>
      <x:c r="L943" s="8" t="s">
        <x:v>2729</x:v>
      </x:c>
      <x:c r="M943" s="8"/>
      <x:c r="N943" s="8"/>
      <x:c r="O943" s="8" t="s">
        <x:v>1622</x:v>
      </x:c>
      <x:c r="P943" s="8" t="s">
        <x:v>115</x:v>
      </x:c>
      <x:c r="Q943" s="8" t="s">
        <x:v>45</x:v>
      </x:c>
      <x:c r="R943" s="8" t="s">
        <x:v>2687</x:v>
      </x:c>
      <x:c r="S943" s="8" t="s">
        <x:v>1343</x:v>
      </x:c>
      <x:c r="T943" s="8" t="s">
        <x:v>27</x:v>
      </x:c>
      <x:c r="U943" s="8" t="s">
        <x:v>883</x:v>
      </x:c>
      <x:c r="V943" s="8" t="s">
        <x:v>1624</x:v>
      </x:c>
    </x:row>
    <x:row r="944" ht="36" hidden="0" customHeight="1">
      <x:c r="A944" s="8" t="s">
        <x:v>2730</x:v>
      </x:c>
      <x:c r="B944" s="8" t="s">
        <x:v>2681</x:v>
      </x:c>
      <x:c r="C944" s="8"/>
      <x:c r="D944" s="8" t="s">
        <x:v>227</x:v>
      </x:c>
      <x:c r="E944" s="8" t="n">
        <x:v>128</x:v>
      </x:c>
      <x:c r="F944" s="8" t="s">
        <x:v>2683</x:v>
      </x:c>
      <x:c r="G944" s="8" t="s">
        <x:v>109</x:v>
      </x:c>
      <x:c r="H944" s="8" t="s">
        <x:v>2684</x:v>
      </x:c>
      <x:c r="I944" s="8" t="s">
        <x:v>2685</x:v>
      </x:c>
      <x:c r="J944" s="8" t="s">
        <x:v>2601</x:v>
      </x:c>
      <x:c r="K944" s="8" t="s">
        <x:v>2729</x:v>
      </x:c>
      <x:c r="L944" s="8" t="s">
        <x:v>2729</x:v>
      </x:c>
      <x:c r="M944" s="8"/>
      <x:c r="N944" s="8"/>
      <x:c r="O944" s="8" t="s">
        <x:v>1622</x:v>
      </x:c>
      <x:c r="P944" s="8" t="s">
        <x:v>115</x:v>
      </x:c>
      <x:c r="Q944" s="8" t="s">
        <x:v>45</x:v>
      </x:c>
      <x:c r="R944" s="8" t="s">
        <x:v>2687</x:v>
      </x:c>
      <x:c r="S944" s="8" t="s">
        <x:v>2731</x:v>
      </x:c>
      <x:c r="T944" s="8" t="s">
        <x:v>27</x:v>
      </x:c>
      <x:c r="U944" s="8" t="s">
        <x:v>883</x:v>
      </x:c>
      <x:c r="V944" s="8" t="s">
        <x:v>1624</x:v>
      </x:c>
    </x:row>
    <x:row r="945" ht="36" hidden="0" customHeight="1">
      <x:c r="A945" s="8" t="s">
        <x:v>2732</x:v>
      </x:c>
      <x:c r="B945" s="8" t="s">
        <x:v>2681</x:v>
      </x:c>
      <x:c r="C945" s="8"/>
      <x:c r="D945" s="8" t="s">
        <x:v>2733</x:v>
      </x:c>
      <x:c r="E945" s="8" t="n">
        <x:v>32</x:v>
      </x:c>
      <x:c r="F945" s="8" t="s">
        <x:v>2683</x:v>
      </x:c>
      <x:c r="G945" s="8" t="s">
        <x:v>109</x:v>
      </x:c>
      <x:c r="H945" s="8" t="s">
        <x:v>2684</x:v>
      </x:c>
      <x:c r="I945" s="8" t="s">
        <x:v>2685</x:v>
      </x:c>
      <x:c r="J945" s="8" t="s">
        <x:v>2601</x:v>
      </x:c>
      <x:c r="K945" s="8" t="s">
        <x:v>2729</x:v>
      </x:c>
      <x:c r="L945" s="8" t="s">
        <x:v>2729</x:v>
      </x:c>
      <x:c r="M945" s="8"/>
      <x:c r="N945" s="8"/>
      <x:c r="O945" s="8" t="s">
        <x:v>1622</x:v>
      </x:c>
      <x:c r="P945" s="8" t="s">
        <x:v>115</x:v>
      </x:c>
      <x:c r="Q945" s="8" t="s">
        <x:v>45</x:v>
      </x:c>
      <x:c r="R945" s="8" t="s">
        <x:v>2687</x:v>
      </x:c>
      <x:c r="S945" s="8"/>
      <x:c r="T945" s="8" t="s">
        <x:v>27</x:v>
      </x:c>
      <x:c r="U945" s="8" t="s">
        <x:v>883</x:v>
      </x:c>
      <x:c r="V945" s="8" t="s">
        <x:v>1624</x:v>
      </x:c>
    </x:row>
    <x:row r="946" ht="36" hidden="0" customHeight="1">
      <x:c r="A946" s="8" t="s">
        <x:v>2734</x:v>
      </x:c>
      <x:c r="B946" s="8" t="s">
        <x:v>2681</x:v>
      </x:c>
      <x:c r="C946" s="8"/>
      <x:c r="D946" s="8" t="s">
        <x:v>2735</x:v>
      </x:c>
      <x:c r="E946" s="8" t="n">
        <x:v>52</x:v>
      </x:c>
      <x:c r="F946" s="8" t="s">
        <x:v>2683</x:v>
      </x:c>
      <x:c r="G946" s="8" t="s">
        <x:v>109</x:v>
      </x:c>
      <x:c r="H946" s="8" t="s">
        <x:v>2684</x:v>
      </x:c>
      <x:c r="I946" s="8" t="s">
        <x:v>2685</x:v>
      </x:c>
      <x:c r="J946" s="8" t="s">
        <x:v>2601</x:v>
      </x:c>
      <x:c r="K946" s="8" t="s">
        <x:v>2729</x:v>
      </x:c>
      <x:c r="L946" s="8" t="s">
        <x:v>2729</x:v>
      </x:c>
      <x:c r="M946" s="8"/>
      <x:c r="N946" s="8"/>
      <x:c r="O946" s="8" t="s">
        <x:v>1622</x:v>
      </x:c>
      <x:c r="P946" s="8" t="s">
        <x:v>115</x:v>
      </x:c>
      <x:c r="Q946" s="8" t="s">
        <x:v>45</x:v>
      </x:c>
      <x:c r="R946" s="8" t="s">
        <x:v>2687</x:v>
      </x:c>
      <x:c r="S946" s="8" t="s">
        <x:v>2736</x:v>
      </x:c>
      <x:c r="T946" s="8" t="s">
        <x:v>27</x:v>
      </x:c>
      <x:c r="U946" s="8" t="s">
        <x:v>883</x:v>
      </x:c>
      <x:c r="V946" s="8" t="s">
        <x:v>1624</x:v>
      </x:c>
    </x:row>
    <x:row r="947" ht="36" hidden="0" customHeight="1">
      <x:c r="A947" s="8" t="s">
        <x:v>2737</x:v>
      </x:c>
      <x:c r="B947" s="8" t="s">
        <x:v>2681</x:v>
      </x:c>
      <x:c r="C947" s="8"/>
      <x:c r="D947" s="8" t="s">
        <x:v>2345</x:v>
      </x:c>
      <x:c r="E947" s="8" t="n">
        <x:v>634</x:v>
      </x:c>
      <x:c r="F947" s="8" t="s">
        <x:v>2683</x:v>
      </x:c>
      <x:c r="G947" s="8" t="s">
        <x:v>109</x:v>
      </x:c>
      <x:c r="H947" s="8" t="s">
        <x:v>2684</x:v>
      </x:c>
      <x:c r="I947" s="8" t="s">
        <x:v>2685</x:v>
      </x:c>
      <x:c r="J947" s="8" t="s">
        <x:v>2601</x:v>
      </x:c>
      <x:c r="K947" s="8" t="s">
        <x:v>2738</x:v>
      </x:c>
      <x:c r="L947" s="8" t="s">
        <x:v>2738</x:v>
      </x:c>
      <x:c r="M947" s="8"/>
      <x:c r="N947" s="8"/>
      <x:c r="O947" s="8" t="s">
        <x:v>1622</x:v>
      </x:c>
      <x:c r="P947" s="8" t="s">
        <x:v>115</x:v>
      </x:c>
      <x:c r="Q947" s="8" t="s">
        <x:v>45</x:v>
      </x:c>
      <x:c r="R947" s="8" t="s">
        <x:v>2687</x:v>
      </x:c>
      <x:c r="S947" s="8" t="s">
        <x:v>2739</x:v>
      </x:c>
      <x:c r="T947" s="8" t="s">
        <x:v>27</x:v>
      </x:c>
      <x:c r="U947" s="8" t="s">
        <x:v>883</x:v>
      </x:c>
      <x:c r="V947" s="8" t="s">
        <x:v>1624</x:v>
      </x:c>
    </x:row>
    <x:row r="948" ht="36" hidden="0" customHeight="1">
      <x:c r="A948" s="8" t="s">
        <x:v>2740</x:v>
      </x:c>
      <x:c r="B948" s="8" t="s">
        <x:v>2681</x:v>
      </x:c>
      <x:c r="C948" s="8"/>
      <x:c r="D948" s="8" t="s">
        <x:v>2351</x:v>
      </x:c>
      <x:c r="E948" s="8" t="n">
        <x:v>211</x:v>
      </x:c>
      <x:c r="F948" s="8" t="s">
        <x:v>2683</x:v>
      </x:c>
      <x:c r="G948" s="8" t="s">
        <x:v>109</x:v>
      </x:c>
      <x:c r="H948" s="8" t="s">
        <x:v>2684</x:v>
      </x:c>
      <x:c r="I948" s="8" t="s">
        <x:v>2685</x:v>
      </x:c>
      <x:c r="J948" s="8" t="s">
        <x:v>2601</x:v>
      </x:c>
      <x:c r="K948" s="8" t="s">
        <x:v>2738</x:v>
      </x:c>
      <x:c r="L948" s="8" t="s">
        <x:v>2738</x:v>
      </x:c>
      <x:c r="M948" s="8"/>
      <x:c r="N948" s="8"/>
      <x:c r="O948" s="8" t="s">
        <x:v>1622</x:v>
      </x:c>
      <x:c r="P948" s="8" t="s">
        <x:v>115</x:v>
      </x:c>
      <x:c r="Q948" s="8" t="s">
        <x:v>45</x:v>
      </x:c>
      <x:c r="R948" s="8" t="s">
        <x:v>2687</x:v>
      </x:c>
      <x:c r="S948" s="8" t="s">
        <x:v>2739</x:v>
      </x:c>
      <x:c r="T948" s="8" t="s">
        <x:v>27</x:v>
      </x:c>
      <x:c r="U948" s="8" t="s">
        <x:v>883</x:v>
      </x:c>
      <x:c r="V948" s="8" t="s">
        <x:v>1624</x:v>
      </x:c>
    </x:row>
    <x:row r="949" ht="36" hidden="0" customHeight="1">
      <x:c r="A949" s="8" t="s">
        <x:v>2741</x:v>
      </x:c>
      <x:c r="B949" s="8" t="s">
        <x:v>2681</x:v>
      </x:c>
      <x:c r="C949" s="8"/>
      <x:c r="D949" s="8" t="s">
        <x:v>2531</x:v>
      </x:c>
      <x:c r="E949" s="8" t="n">
        <x:v>211</x:v>
      </x:c>
      <x:c r="F949" s="8" t="s">
        <x:v>2683</x:v>
      </x:c>
      <x:c r="G949" s="8" t="s">
        <x:v>109</x:v>
      </x:c>
      <x:c r="H949" s="8" t="s">
        <x:v>2684</x:v>
      </x:c>
      <x:c r="I949" s="8" t="s">
        <x:v>2685</x:v>
      </x:c>
      <x:c r="J949" s="8" t="s">
        <x:v>2601</x:v>
      </x:c>
      <x:c r="K949" s="8" t="s">
        <x:v>2738</x:v>
      </x:c>
      <x:c r="L949" s="8" t="s">
        <x:v>2738</x:v>
      </x:c>
      <x:c r="M949" s="8"/>
      <x:c r="N949" s="8"/>
      <x:c r="O949" s="8" t="s">
        <x:v>1622</x:v>
      </x:c>
      <x:c r="P949" s="8" t="s">
        <x:v>115</x:v>
      </x:c>
      <x:c r="Q949" s="8" t="s">
        <x:v>45</x:v>
      </x:c>
      <x:c r="R949" s="8" t="s">
        <x:v>2687</x:v>
      </x:c>
      <x:c r="S949" s="8" t="s">
        <x:v>2739</x:v>
      </x:c>
      <x:c r="T949" s="8" t="s">
        <x:v>27</x:v>
      </x:c>
      <x:c r="U949" s="8" t="s">
        <x:v>883</x:v>
      </x:c>
      <x:c r="V949" s="8" t="s">
        <x:v>1624</x:v>
      </x:c>
    </x:row>
    <x:row r="950" ht="36" hidden="0" customHeight="1">
      <x:c r="A950" s="8" t="s">
        <x:v>2742</x:v>
      </x:c>
      <x:c r="B950" s="8" t="s">
        <x:v>2681</x:v>
      </x:c>
      <x:c r="C950" s="8"/>
      <x:c r="D950" s="8" t="s">
        <x:v>2743</x:v>
      </x:c>
      <x:c r="E950" s="8" t="n">
        <x:v>0.1035</x:v>
      </x:c>
      <x:c r="F950" s="8" t="s">
        <x:v>2683</x:v>
      </x:c>
      <x:c r="G950" s="8" t="s">
        <x:v>109</x:v>
      </x:c>
      <x:c r="H950" s="8" t="s">
        <x:v>2684</x:v>
      </x:c>
      <x:c r="I950" s="8" t="s">
        <x:v>2685</x:v>
      </x:c>
      <x:c r="J950" s="8" t="s">
        <x:v>2601</x:v>
      </x:c>
      <x:c r="K950" s="8" t="s">
        <x:v>2744</x:v>
      </x:c>
      <x:c r="L950" s="8" t="s">
        <x:v>2744</x:v>
      </x:c>
      <x:c r="M950" s="8"/>
      <x:c r="N950" s="8"/>
      <x:c r="O950" s="8" t="s">
        <x:v>1622</x:v>
      </x:c>
      <x:c r="P950" s="8" t="s">
        <x:v>115</x:v>
      </x:c>
      <x:c r="Q950" s="8" t="s">
        <x:v>45</x:v>
      </x:c>
      <x:c r="R950" s="8" t="s">
        <x:v>2687</x:v>
      </x:c>
      <x:c r="S950" s="8" t="s">
        <x:v>1339</x:v>
      </x:c>
      <x:c r="T950" s="8" t="s">
        <x:v>27</x:v>
      </x:c>
      <x:c r="U950" s="8" t="s">
        <x:v>883</x:v>
      </x:c>
      <x:c r="V950" s="8" t="s">
        <x:v>1624</x:v>
      </x:c>
    </x:row>
    <x:row r="951" ht="24" hidden="0" customHeight="1">
      <x:c r="A951" s="8" t="s">
        <x:v>2745</x:v>
      </x:c>
      <x:c r="B951" s="8" t="s">
        <x:v>2181</x:v>
      </x:c>
      <x:c r="C951" s="8"/>
      <x:c r="D951" s="8" t="s">
        <x:v>2746</x:v>
      </x:c>
      <x:c r="E951" s="8" t="s">
        <x:v>2747</x:v>
      </x:c>
      <x:c r="F951" s="8" t="s">
        <x:v>2748</x:v>
      </x:c>
      <x:c r="G951" s="8" t="s">
        <x:v>181</x:v>
      </x:c>
      <x:c r="H951" s="8" t="s">
        <x:v>2183</x:v>
      </x:c>
      <x:c r="I951" s="8" t="s">
        <x:v>2184</x:v>
      </x:c>
      <x:c r="J951" s="8" t="s">
        <x:v>112</x:v>
      </x:c>
      <x:c r="K951" s="8" t="s">
        <x:v>2221</x:v>
      </x:c>
      <x:c r="L951" s="8" t="s">
        <x:v>2221</x:v>
      </x:c>
      <x:c r="M951" s="8"/>
      <x:c r="N951" s="8"/>
      <x:c r="O951" s="8" t="s">
        <x:v>1622</x:v>
      </x:c>
      <x:c r="P951" s="8" t="s">
        <x:v>115</x:v>
      </x:c>
      <x:c r="Q951" s="8" t="s">
        <x:v>45</x:v>
      </x:c>
      <x:c r="R951" s="8" t="s">
        <x:v>2749</x:v>
      </x:c>
      <x:c r="S951" s="8"/>
      <x:c r="T951" s="8" t="s">
        <x:v>27</x:v>
      </x:c>
      <x:c r="U951" s="8" t="s">
        <x:v>883</x:v>
      </x:c>
      <x:c r="V951" s="8" t="s">
        <x:v>1624</x:v>
      </x:c>
    </x:row>
    <x:row r="952" ht="24" hidden="0" customHeight="1">
      <x:c r="A952" s="8" t="s">
        <x:v>2750</x:v>
      </x:c>
      <x:c r="B952" s="8" t="s">
        <x:v>1871</x:v>
      </x:c>
      <x:c r="C952" s="8"/>
      <x:c r="D952" s="8" t="s">
        <x:v>2751</x:v>
      </x:c>
      <x:c r="E952" s="8" t="s">
        <x:v>2752</x:v>
      </x:c>
      <x:c r="F952" s="8" t="s">
        <x:v>2748</x:v>
      </x:c>
      <x:c r="G952" s="8" t="s">
        <x:v>181</x:v>
      </x:c>
      <x:c r="H952" s="8" t="s">
        <x:v>1873</x:v>
      </x:c>
      <x:c r="I952" s="8" t="s">
        <x:v>1874</x:v>
      </x:c>
      <x:c r="J952" s="8" t="s">
        <x:v>112</x:v>
      </x:c>
      <x:c r="K952" s="8" t="s">
        <x:v>1887</x:v>
      </x:c>
      <x:c r="L952" s="8" t="s">
        <x:v>1887</x:v>
      </x:c>
      <x:c r="M952" s="8"/>
      <x:c r="N952" s="8"/>
      <x:c r="O952" s="8" t="s">
        <x:v>1622</x:v>
      </x:c>
      <x:c r="P952" s="8" t="s">
        <x:v>115</x:v>
      </x:c>
      <x:c r="Q952" s="8" t="s">
        <x:v>45</x:v>
      </x:c>
      <x:c r="R952" s="8" t="s">
        <x:v>2749</x:v>
      </x:c>
      <x:c r="S952" s="8"/>
      <x:c r="T952" s="8" t="s">
        <x:v>27</x:v>
      </x:c>
      <x:c r="U952" s="8" t="s">
        <x:v>883</x:v>
      </x:c>
      <x:c r="V952" s="8" t="s">
        <x:v>1624</x:v>
      </x:c>
    </x:row>
    <x:row r="953" ht="24" hidden="0" customHeight="1">
      <x:c r="A953" s="8" t="s">
        <x:v>2753</x:v>
      </x:c>
      <x:c r="B953" s="8" t="s">
        <x:v>2390</x:v>
      </x:c>
      <x:c r="C953" s="8"/>
      <x:c r="D953" s="8" t="s">
        <x:v>2754</x:v>
      </x:c>
      <x:c r="E953" s="8" t="s">
        <x:v>2755</x:v>
      </x:c>
      <x:c r="F953" s="8" t="s">
        <x:v>2748</x:v>
      </x:c>
      <x:c r="G953" s="8" t="s">
        <x:v>181</x:v>
      </x:c>
      <x:c r="H953" s="8" t="s">
        <x:v>2392</x:v>
      </x:c>
      <x:c r="I953" s="8" t="s">
        <x:v>2393</x:v>
      </x:c>
      <x:c r="J953" s="8" t="s">
        <x:v>112</x:v>
      </x:c>
      <x:c r="K953" s="8" t="s">
        <x:v>2420</x:v>
      </x:c>
      <x:c r="L953" s="8" t="s">
        <x:v>2420</x:v>
      </x:c>
      <x:c r="M953" s="8"/>
      <x:c r="N953" s="8"/>
      <x:c r="O953" s="8" t="s">
        <x:v>1622</x:v>
      </x:c>
      <x:c r="P953" s="8" t="s">
        <x:v>115</x:v>
      </x:c>
      <x:c r="Q953" s="8" t="s">
        <x:v>45</x:v>
      </x:c>
      <x:c r="R953" s="8" t="s">
        <x:v>2749</x:v>
      </x:c>
      <x:c r="S953" s="8"/>
      <x:c r="T953" s="8" t="s">
        <x:v>27</x:v>
      </x:c>
      <x:c r="U953" s="8" t="s">
        <x:v>883</x:v>
      </x:c>
      <x:c r="V953" s="8" t="s">
        <x:v>1624</x:v>
      </x:c>
    </x:row>
    <x:row r="954" ht="24" hidden="0" customHeight="1">
      <x:c r="A954" s="8" t="s">
        <x:v>2756</x:v>
      </x:c>
      <x:c r="B954" s="8" t="s">
        <x:v>2598</x:v>
      </x:c>
      <x:c r="C954" s="8"/>
      <x:c r="D954" s="8" t="s">
        <x:v>2757</x:v>
      </x:c>
      <x:c r="E954" s="8" t="s">
        <x:v>2758</x:v>
      </x:c>
      <x:c r="F954" s="8" t="s">
        <x:v>2748</x:v>
      </x:c>
      <x:c r="G954" s="8" t="s">
        <x:v>181</x:v>
      </x:c>
      <x:c r="H954" s="8" t="s">
        <x:v>2599</x:v>
      </x:c>
      <x:c r="I954" s="8" t="s">
        <x:v>2600</x:v>
      </x:c>
      <x:c r="J954" s="8" t="s">
        <x:v>2601</x:v>
      </x:c>
      <x:c r="K954" s="8" t="s">
        <x:v>2602</x:v>
      </x:c>
      <x:c r="L954" s="8" t="s">
        <x:v>2602</x:v>
      </x:c>
      <x:c r="M954" s="8"/>
      <x:c r="N954" s="8"/>
      <x:c r="O954" s="8" t="s">
        <x:v>1622</x:v>
      </x:c>
      <x:c r="P954" s="8" t="s">
        <x:v>115</x:v>
      </x:c>
      <x:c r="Q954" s="8" t="s">
        <x:v>45</x:v>
      </x:c>
      <x:c r="R954" s="8" t="s">
        <x:v>2749</x:v>
      </x:c>
      <x:c r="S954" s="8"/>
      <x:c r="T954" s="8" t="s">
        <x:v>27</x:v>
      </x:c>
      <x:c r="U954" s="8" t="s">
        <x:v>883</x:v>
      </x:c>
      <x:c r="V954" s="8" t="s">
        <x:v>1624</x:v>
      </x:c>
    </x:row>
    <x:row r="955" ht="36" hidden="0" customHeight="1">
      <x:c r="A955" s="8" t="s">
        <x:v>2759</x:v>
      </x:c>
      <x:c r="B955" s="8" t="s">
        <x:v>2760</x:v>
      </x:c>
      <x:c r="C955" s="8"/>
      <x:c r="D955" s="8" t="s">
        <x:v>1842</x:v>
      </x:c>
      <x:c r="E955" s="8" t="s">
        <x:v>2761</x:v>
      </x:c>
      <x:c r="F955" s="8" t="s">
        <x:v>1617</x:v>
      </x:c>
      <x:c r="G955" s="8" t="s">
        <x:v>109</x:v>
      </x:c>
      <x:c r="H955" s="8" t="s">
        <x:v>2762</x:v>
      </x:c>
      <x:c r="I955" s="8" t="s">
        <x:v>2763</x:v>
      </x:c>
      <x:c r="J955" s="8" t="s">
        <x:v>112</x:v>
      </x:c>
      <x:c r="K955" s="8" t="s">
        <x:v>2208</x:v>
      </x:c>
      <x:c r="L955" s="8" t="s">
        <x:v>2208</x:v>
      </x:c>
      <x:c r="M955" s="8"/>
      <x:c r="N955" s="8"/>
      <x:c r="O955" s="8" t="s">
        <x:v>1622</x:v>
      </x:c>
      <x:c r="P955" s="8" t="s">
        <x:v>115</x:v>
      </x:c>
      <x:c r="Q955" s="8" t="s">
        <x:v>45</x:v>
      </x:c>
      <x:c r="R955" s="8" t="s">
        <x:v>1623</x:v>
      </x:c>
      <x:c r="S955" s="8"/>
      <x:c r="T955" s="8" t="s">
        <x:v>27</x:v>
      </x:c>
      <x:c r="U955" s="8" t="s">
        <x:v>883</x:v>
      </x:c>
      <x:c r="V955" s="8" t="s">
        <x:v>2764</x:v>
      </x:c>
    </x:row>
    <x:row r="956" ht="36" hidden="0" customHeight="1">
      <x:c r="A956" s="8" t="s">
        <x:v>2765</x:v>
      </x:c>
      <x:c r="B956" s="8" t="s">
        <x:v>2760</x:v>
      </x:c>
      <x:c r="C956" s="8"/>
      <x:c r="D956" s="8" t="s">
        <x:v>2588</x:v>
      </x:c>
      <x:c r="E956" s="8" t="n">
        <x:v>1</x:v>
      </x:c>
      <x:c r="F956" s="8" t="s">
        <x:v>1617</x:v>
      </x:c>
      <x:c r="G956" s="8" t="s">
        <x:v>109</x:v>
      </x:c>
      <x:c r="H956" s="8" t="s">
        <x:v>2762</x:v>
      </x:c>
      <x:c r="I956" s="8" t="s">
        <x:v>2763</x:v>
      </x:c>
      <x:c r="J956" s="8" t="s">
        <x:v>112</x:v>
      </x:c>
      <x:c r="K956" s="8" t="s">
        <x:v>2208</x:v>
      </x:c>
      <x:c r="L956" s="8" t="s">
        <x:v>2208</x:v>
      </x:c>
      <x:c r="M956" s="8"/>
      <x:c r="N956" s="8"/>
      <x:c r="O956" s="8" t="s">
        <x:v>1622</x:v>
      </x:c>
      <x:c r="P956" s="8" t="s">
        <x:v>115</x:v>
      </x:c>
      <x:c r="Q956" s="8" t="s">
        <x:v>45</x:v>
      </x:c>
      <x:c r="R956" s="8" t="s">
        <x:v>1623</x:v>
      </x:c>
      <x:c r="S956" s="8" t="s">
        <x:v>2766</x:v>
      </x:c>
      <x:c r="T956" s="8" t="s">
        <x:v>27</x:v>
      </x:c>
      <x:c r="U956" s="8" t="s">
        <x:v>883</x:v>
      </x:c>
      <x:c r="V956" s="8" t="s">
        <x:v>2764</x:v>
      </x:c>
    </x:row>
    <x:row r="957" ht="36" hidden="0" customHeight="1">
      <x:c r="A957" s="8" t="s">
        <x:v>2767</x:v>
      </x:c>
      <x:c r="B957" s="8" t="s">
        <x:v>2760</x:v>
      </x:c>
      <x:c r="C957" s="8"/>
      <x:c r="D957" s="8" t="s">
        <x:v>2768</x:v>
      </x:c>
      <x:c r="E957" s="8" t="n">
        <x:v>24</x:v>
      </x:c>
      <x:c r="F957" s="8" t="s">
        <x:v>1617</x:v>
      </x:c>
      <x:c r="G957" s="8" t="s">
        <x:v>109</x:v>
      </x:c>
      <x:c r="H957" s="8" t="s">
        <x:v>2762</x:v>
      </x:c>
      <x:c r="I957" s="8" t="s">
        <x:v>2763</x:v>
      </x:c>
      <x:c r="J957" s="8" t="s">
        <x:v>112</x:v>
      </x:c>
      <x:c r="K957" s="8" t="s">
        <x:v>2208</x:v>
      </x:c>
      <x:c r="L957" s="8" t="s">
        <x:v>2208</x:v>
      </x:c>
      <x:c r="M957" s="8"/>
      <x:c r="N957" s="8"/>
      <x:c r="O957" s="8" t="s">
        <x:v>1622</x:v>
      </x:c>
      <x:c r="P957" s="8" t="s">
        <x:v>115</x:v>
      </x:c>
      <x:c r="Q957" s="8" t="s">
        <x:v>45</x:v>
      </x:c>
      <x:c r="R957" s="8" t="s">
        <x:v>1623</x:v>
      </x:c>
      <x:c r="S957" s="8" t="s">
        <x:v>1494</x:v>
      </x:c>
      <x:c r="T957" s="8" t="s">
        <x:v>27</x:v>
      </x:c>
      <x:c r="U957" s="8" t="s">
        <x:v>883</x:v>
      </x:c>
      <x:c r="V957" s="8" t="s">
        <x:v>2764</x:v>
      </x:c>
    </x:row>
    <x:row r="958" ht="36" hidden="0" customHeight="1">
      <x:c r="A958" s="8" t="s">
        <x:v>2769</x:v>
      </x:c>
      <x:c r="B958" s="8" t="s">
        <x:v>2760</x:v>
      </x:c>
      <x:c r="C958" s="8"/>
      <x:c r="D958" s="8" t="s">
        <x:v>1898</x:v>
      </x:c>
      <x:c r="E958" s="8" t="s">
        <x:v>2770</x:v>
      </x:c>
      <x:c r="F958" s="8" t="s">
        <x:v>1617</x:v>
      </x:c>
      <x:c r="G958" s="8" t="s">
        <x:v>109</x:v>
      </x:c>
      <x:c r="H958" s="8" t="s">
        <x:v>2762</x:v>
      </x:c>
      <x:c r="I958" s="8" t="s">
        <x:v>2763</x:v>
      </x:c>
      <x:c r="J958" s="8" t="s">
        <x:v>112</x:v>
      </x:c>
      <x:c r="K958" s="8" t="s">
        <x:v>2208</x:v>
      </x:c>
      <x:c r="L958" s="8" t="s">
        <x:v>2208</x:v>
      </x:c>
      <x:c r="M958" s="8"/>
      <x:c r="N958" s="8"/>
      <x:c r="O958" s="8" t="s">
        <x:v>1622</x:v>
      </x:c>
      <x:c r="P958" s="8" t="s">
        <x:v>115</x:v>
      </x:c>
      <x:c r="Q958" s="8" t="s">
        <x:v>45</x:v>
      </x:c>
      <x:c r="R958" s="8" t="s">
        <x:v>1623</x:v>
      </x:c>
      <x:c r="S958" s="8"/>
      <x:c r="T958" s="8" t="s">
        <x:v>27</x:v>
      </x:c>
      <x:c r="U958" s="8" t="s">
        <x:v>883</x:v>
      </x:c>
      <x:c r="V958" s="8" t="s">
        <x:v>2764</x:v>
      </x:c>
    </x:row>
    <x:row r="959" ht="36" hidden="0" customHeight="1">
      <x:c r="A959" s="8" t="s">
        <x:v>2771</x:v>
      </x:c>
      <x:c r="B959" s="8" t="s">
        <x:v>2760</x:v>
      </x:c>
      <x:c r="C959" s="8"/>
      <x:c r="D959" s="8" t="s">
        <x:v>2291</x:v>
      </x:c>
      <x:c r="E959" s="8" t="n">
        <x:v>2019</x:v>
      </x:c>
      <x:c r="F959" s="8" t="s">
        <x:v>1617</x:v>
      </x:c>
      <x:c r="G959" s="8" t="s">
        <x:v>109</x:v>
      </x:c>
      <x:c r="H959" s="8" t="s">
        <x:v>2762</x:v>
      </x:c>
      <x:c r="I959" s="8" t="s">
        <x:v>2763</x:v>
      </x:c>
      <x:c r="J959" s="8" t="s">
        <x:v>112</x:v>
      </x:c>
      <x:c r="K959" s="8" t="s">
        <x:v>2208</x:v>
      </x:c>
      <x:c r="L959" s="8" t="s">
        <x:v>2208</x:v>
      </x:c>
      <x:c r="M959" s="8"/>
      <x:c r="N959" s="8"/>
      <x:c r="O959" s="8" t="s">
        <x:v>1622</x:v>
      </x:c>
      <x:c r="P959" s="8" t="s">
        <x:v>115</x:v>
      </x:c>
      <x:c r="Q959" s="8" t="s">
        <x:v>45</x:v>
      </x:c>
      <x:c r="R959" s="8" t="s">
        <x:v>1623</x:v>
      </x:c>
      <x:c r="S959" s="8"/>
      <x:c r="T959" s="8" t="s">
        <x:v>27</x:v>
      </x:c>
      <x:c r="U959" s="8" t="s">
        <x:v>883</x:v>
      </x:c>
      <x:c r="V959" s="8" t="s">
        <x:v>2764</x:v>
      </x:c>
    </x:row>
    <x:row r="960" ht="36" hidden="0" customHeight="1">
      <x:c r="A960" s="8" t="s">
        <x:v>2772</x:v>
      </x:c>
      <x:c r="B960" s="8" t="s">
        <x:v>2760</x:v>
      </x:c>
      <x:c r="C960" s="8"/>
      <x:c r="D960" s="8" t="s">
        <x:v>1615</x:v>
      </x:c>
      <x:c r="E960" s="8" t="s">
        <x:v>2773</x:v>
      </x:c>
      <x:c r="F960" s="8" t="s">
        <x:v>1617</x:v>
      </x:c>
      <x:c r="G960" s="8" t="s">
        <x:v>109</x:v>
      </x:c>
      <x:c r="H960" s="8" t="s">
        <x:v>2762</x:v>
      </x:c>
      <x:c r="I960" s="8" t="s">
        <x:v>2763</x:v>
      </x:c>
      <x:c r="J960" s="8" t="s">
        <x:v>112</x:v>
      </x:c>
      <x:c r="K960" s="8" t="s">
        <x:v>2774</x:v>
      </x:c>
      <x:c r="L960" s="8" t="s">
        <x:v>2774</x:v>
      </x:c>
      <x:c r="M960" s="8"/>
      <x:c r="N960" s="8"/>
      <x:c r="O960" s="8" t="s">
        <x:v>1622</x:v>
      </x:c>
      <x:c r="P960" s="8" t="s">
        <x:v>115</x:v>
      </x:c>
      <x:c r="Q960" s="8" t="s">
        <x:v>45</x:v>
      </x:c>
      <x:c r="R960" s="8" t="s">
        <x:v>1623</x:v>
      </x:c>
      <x:c r="S960" s="8"/>
      <x:c r="T960" s="8" t="s">
        <x:v>27</x:v>
      </x:c>
      <x:c r="U960" s="8" t="s">
        <x:v>883</x:v>
      </x:c>
      <x:c r="V960" s="8" t="s">
        <x:v>2764</x:v>
      </x:c>
    </x:row>
    <x:row r="961" ht="36" hidden="0" customHeight="1">
      <x:c r="A961" s="8" t="s">
        <x:v>2775</x:v>
      </x:c>
      <x:c r="B961" s="8" t="s">
        <x:v>2760</x:v>
      </x:c>
      <x:c r="C961" s="8"/>
      <x:c r="D961" s="8" t="s">
        <x:v>2161</x:v>
      </x:c>
      <x:c r="E961" s="8" t="s">
        <x:v>2776</x:v>
      </x:c>
      <x:c r="F961" s="8" t="s">
        <x:v>1617</x:v>
      </x:c>
      <x:c r="G961" s="8" t="s">
        <x:v>109</x:v>
      </x:c>
      <x:c r="H961" s="8" t="s">
        <x:v>2762</x:v>
      </x:c>
      <x:c r="I961" s="8" t="s">
        <x:v>2763</x:v>
      </x:c>
      <x:c r="J961" s="8" t="s">
        <x:v>112</x:v>
      </x:c>
      <x:c r="K961" s="8" t="s">
        <x:v>2777</x:v>
      </x:c>
      <x:c r="L961" s="8" t="s">
        <x:v>2777</x:v>
      </x:c>
      <x:c r="M961" s="8"/>
      <x:c r="N961" s="8"/>
      <x:c r="O961" s="8" t="s">
        <x:v>1622</x:v>
      </x:c>
      <x:c r="P961" s="8" t="s">
        <x:v>115</x:v>
      </x:c>
      <x:c r="Q961" s="8" t="s">
        <x:v>45</x:v>
      </x:c>
      <x:c r="R961" s="8" t="s">
        <x:v>1623</x:v>
      </x:c>
      <x:c r="S961" s="8"/>
      <x:c r="T961" s="8" t="s">
        <x:v>27</x:v>
      </x:c>
      <x:c r="U961" s="8" t="s">
        <x:v>883</x:v>
      </x:c>
      <x:c r="V961" s="8" t="s">
        <x:v>2764</x:v>
      </x:c>
    </x:row>
    <x:row r="962" ht="36" hidden="0" customHeight="1">
      <x:c r="A962" s="8" t="s">
        <x:v>2778</x:v>
      </x:c>
      <x:c r="B962" s="8" t="s">
        <x:v>2760</x:v>
      </x:c>
      <x:c r="C962" s="8"/>
      <x:c r="D962" s="8" t="s">
        <x:v>1626</x:v>
      </x:c>
      <x:c r="E962" s="8" t="s">
        <x:v>2779</x:v>
      </x:c>
      <x:c r="F962" s="8" t="s">
        <x:v>1617</x:v>
      </x:c>
      <x:c r="G962" s="8" t="s">
        <x:v>109</x:v>
      </x:c>
      <x:c r="H962" s="8" t="s">
        <x:v>2762</x:v>
      </x:c>
      <x:c r="I962" s="8" t="s">
        <x:v>2763</x:v>
      </x:c>
      <x:c r="J962" s="8" t="s">
        <x:v>112</x:v>
      </x:c>
      <x:c r="K962" s="8" t="s">
        <x:v>2777</x:v>
      </x:c>
      <x:c r="L962" s="8" t="s">
        <x:v>2777</x:v>
      </x:c>
      <x:c r="M962" s="8"/>
      <x:c r="N962" s="8"/>
      <x:c r="O962" s="8" t="s">
        <x:v>1622</x:v>
      </x:c>
      <x:c r="P962" s="8" t="s">
        <x:v>115</x:v>
      </x:c>
      <x:c r="Q962" s="8" t="s">
        <x:v>45</x:v>
      </x:c>
      <x:c r="R962" s="8" t="s">
        <x:v>1623</x:v>
      </x:c>
      <x:c r="S962" s="8"/>
      <x:c r="T962" s="8" t="s">
        <x:v>27</x:v>
      </x:c>
      <x:c r="U962" s="8" t="s">
        <x:v>883</x:v>
      </x:c>
      <x:c r="V962" s="8" t="s">
        <x:v>2764</x:v>
      </x:c>
    </x:row>
    <x:row r="963" ht="36" hidden="0" customHeight="1">
      <x:c r="A963" s="8" t="s">
        <x:v>2780</x:v>
      </x:c>
      <x:c r="B963" s="8" t="s">
        <x:v>2760</x:v>
      </x:c>
      <x:c r="C963" s="8"/>
      <x:c r="D963" s="8" t="s">
        <x:v>1945</x:v>
      </x:c>
      <x:c r="E963" s="8" t="s">
        <x:v>2781</x:v>
      </x:c>
      <x:c r="F963" s="8" t="s">
        <x:v>1617</x:v>
      </x:c>
      <x:c r="G963" s="8" t="s">
        <x:v>109</x:v>
      </x:c>
      <x:c r="H963" s="8" t="s">
        <x:v>2762</x:v>
      </x:c>
      <x:c r="I963" s="8" t="s">
        <x:v>2763</x:v>
      </x:c>
      <x:c r="J963" s="8" t="s">
        <x:v>112</x:v>
      </x:c>
      <x:c r="K963" s="8" t="s">
        <x:v>2777</x:v>
      </x:c>
      <x:c r="L963" s="8" t="s">
        <x:v>2777</x:v>
      </x:c>
      <x:c r="M963" s="8"/>
      <x:c r="N963" s="8"/>
      <x:c r="O963" s="8" t="s">
        <x:v>1622</x:v>
      </x:c>
      <x:c r="P963" s="8" t="s">
        <x:v>115</x:v>
      </x:c>
      <x:c r="Q963" s="8" t="s">
        <x:v>45</x:v>
      </x:c>
      <x:c r="R963" s="8" t="s">
        <x:v>1623</x:v>
      </x:c>
      <x:c r="S963" s="8"/>
      <x:c r="T963" s="8" t="s">
        <x:v>27</x:v>
      </x:c>
      <x:c r="U963" s="8" t="s">
        <x:v>883</x:v>
      </x:c>
      <x:c r="V963" s="8" t="s">
        <x:v>2764</x:v>
      </x:c>
    </x:row>
    <x:row r="964" ht="36" hidden="0" customHeight="1">
      <x:c r="A964" s="8" t="s">
        <x:v>2782</x:v>
      </x:c>
      <x:c r="B964" s="8" t="s">
        <x:v>2760</x:v>
      </x:c>
      <x:c r="C964" s="8"/>
      <x:c r="D964" s="8" t="s">
        <x:v>2783</x:v>
      </x:c>
      <x:c r="E964" s="8" t="s">
        <x:v>2784</x:v>
      </x:c>
      <x:c r="F964" s="8" t="s">
        <x:v>1617</x:v>
      </x:c>
      <x:c r="G964" s="8" t="s">
        <x:v>109</x:v>
      </x:c>
      <x:c r="H964" s="8" t="s">
        <x:v>2762</x:v>
      </x:c>
      <x:c r="I964" s="8" t="s">
        <x:v>2763</x:v>
      </x:c>
      <x:c r="J964" s="8" t="s">
        <x:v>112</x:v>
      </x:c>
      <x:c r="K964" s="8" t="s">
        <x:v>2785</x:v>
      </x:c>
      <x:c r="L964" s="8" t="s">
        <x:v>2785</x:v>
      </x:c>
      <x:c r="M964" s="8"/>
      <x:c r="N964" s="8"/>
      <x:c r="O964" s="8" t="s">
        <x:v>1622</x:v>
      </x:c>
      <x:c r="P964" s="8" t="s">
        <x:v>115</x:v>
      </x:c>
      <x:c r="Q964" s="8" t="s">
        <x:v>45</x:v>
      </x:c>
      <x:c r="R964" s="8" t="s">
        <x:v>1623</x:v>
      </x:c>
      <x:c r="S964" s="8"/>
      <x:c r="T964" s="8" t="s">
        <x:v>27</x:v>
      </x:c>
      <x:c r="U964" s="8" t="s">
        <x:v>883</x:v>
      </x:c>
      <x:c r="V964" s="8" t="s">
        <x:v>2764</x:v>
      </x:c>
    </x:row>
    <x:row r="965" ht="36" hidden="0" customHeight="1">
      <x:c r="A965" s="8" t="s">
        <x:v>2786</x:v>
      </x:c>
      <x:c r="B965" s="8" t="s">
        <x:v>2760</x:v>
      </x:c>
      <x:c r="C965" s="8"/>
      <x:c r="D965" s="8" t="s">
        <x:v>1775</x:v>
      </x:c>
      <x:c r="E965" s="8" t="s">
        <x:v>2787</x:v>
      </x:c>
      <x:c r="F965" s="8" t="s">
        <x:v>1617</x:v>
      </x:c>
      <x:c r="G965" s="8" t="s">
        <x:v>109</x:v>
      </x:c>
      <x:c r="H965" s="8" t="s">
        <x:v>2762</x:v>
      </x:c>
      <x:c r="I965" s="8" t="s">
        <x:v>2763</x:v>
      </x:c>
      <x:c r="J965" s="8" t="s">
        <x:v>112</x:v>
      </x:c>
      <x:c r="K965" s="8" t="s">
        <x:v>2788</x:v>
      </x:c>
      <x:c r="L965" s="8" t="s">
        <x:v>2788</x:v>
      </x:c>
      <x:c r="M965" s="8"/>
      <x:c r="N965" s="8"/>
      <x:c r="O965" s="8" t="s">
        <x:v>1622</x:v>
      </x:c>
      <x:c r="P965" s="8" t="s">
        <x:v>115</x:v>
      </x:c>
      <x:c r="Q965" s="8" t="s">
        <x:v>45</x:v>
      </x:c>
      <x:c r="R965" s="8" t="s">
        <x:v>1623</x:v>
      </x:c>
      <x:c r="S965" s="8"/>
      <x:c r="T965" s="8" t="s">
        <x:v>27</x:v>
      </x:c>
      <x:c r="U965" s="8" t="s">
        <x:v>883</x:v>
      </x:c>
      <x:c r="V965" s="8" t="s">
        <x:v>2764</x:v>
      </x:c>
    </x:row>
    <x:row r="966" ht="36" hidden="0" customHeight="1">
      <x:c r="A966" s="8" t="s">
        <x:v>2789</x:v>
      </x:c>
      <x:c r="B966" s="8" t="s">
        <x:v>2760</x:v>
      </x:c>
      <x:c r="C966" s="8"/>
      <x:c r="D966" s="8" t="s">
        <x:v>2790</x:v>
      </x:c>
      <x:c r="E966" s="8" t="s">
        <x:v>2791</x:v>
      </x:c>
      <x:c r="F966" s="8" t="s">
        <x:v>1617</x:v>
      </x:c>
      <x:c r="G966" s="8" t="s">
        <x:v>109</x:v>
      </x:c>
      <x:c r="H966" s="8" t="s">
        <x:v>2762</x:v>
      </x:c>
      <x:c r="I966" s="8" t="s">
        <x:v>2763</x:v>
      </x:c>
      <x:c r="J966" s="8" t="s">
        <x:v>112</x:v>
      </x:c>
      <x:c r="K966" s="8" t="s">
        <x:v>2792</x:v>
      </x:c>
      <x:c r="L966" s="8" t="s">
        <x:v>2792</x:v>
      </x:c>
      <x:c r="M966" s="8"/>
      <x:c r="N966" s="8"/>
      <x:c r="O966" s="8" t="s">
        <x:v>1622</x:v>
      </x:c>
      <x:c r="P966" s="8" t="s">
        <x:v>115</x:v>
      </x:c>
      <x:c r="Q966" s="8" t="s">
        <x:v>45</x:v>
      </x:c>
      <x:c r="R966" s="8" t="s">
        <x:v>1623</x:v>
      </x:c>
      <x:c r="S966" s="8"/>
      <x:c r="T966" s="8" t="s">
        <x:v>27</x:v>
      </x:c>
      <x:c r="U966" s="8" t="s">
        <x:v>883</x:v>
      </x:c>
      <x:c r="V966" s="8" t="s">
        <x:v>2764</x:v>
      </x:c>
    </x:row>
    <x:row r="967" ht="36" hidden="0" customHeight="1">
      <x:c r="A967" s="8" t="s">
        <x:v>2793</x:v>
      </x:c>
      <x:c r="B967" s="8" t="s">
        <x:v>2760</x:v>
      </x:c>
      <x:c r="C967" s="8"/>
      <x:c r="D967" s="8" t="s">
        <x:v>2794</x:v>
      </x:c>
      <x:c r="E967" s="8" t="s">
        <x:v>2795</x:v>
      </x:c>
      <x:c r="F967" s="8" t="s">
        <x:v>1617</x:v>
      </x:c>
      <x:c r="G967" s="8" t="s">
        <x:v>109</x:v>
      </x:c>
      <x:c r="H967" s="8" t="s">
        <x:v>2762</x:v>
      </x:c>
      <x:c r="I967" s="8" t="s">
        <x:v>2763</x:v>
      </x:c>
      <x:c r="J967" s="8" t="s">
        <x:v>112</x:v>
      </x:c>
      <x:c r="K967" s="8" t="s">
        <x:v>2792</x:v>
      </x:c>
      <x:c r="L967" s="8" t="s">
        <x:v>2792</x:v>
      </x:c>
      <x:c r="M967" s="8"/>
      <x:c r="N967" s="8"/>
      <x:c r="O967" s="8" t="s">
        <x:v>1622</x:v>
      </x:c>
      <x:c r="P967" s="8" t="s">
        <x:v>115</x:v>
      </x:c>
      <x:c r="Q967" s="8" t="s">
        <x:v>45</x:v>
      </x:c>
      <x:c r="R967" s="8" t="s">
        <x:v>1623</x:v>
      </x:c>
      <x:c r="S967" s="8"/>
      <x:c r="T967" s="8" t="s">
        <x:v>27</x:v>
      </x:c>
      <x:c r="U967" s="8" t="s">
        <x:v>883</x:v>
      </x:c>
      <x:c r="V967" s="8" t="s">
        <x:v>2764</x:v>
      </x:c>
    </x:row>
    <x:row r="968" ht="36" hidden="0" customHeight="1">
      <x:c r="A968" s="8" t="s">
        <x:v>2796</x:v>
      </x:c>
      <x:c r="B968" s="8" t="s">
        <x:v>2760</x:v>
      </x:c>
      <x:c r="C968" s="8"/>
      <x:c r="D968" s="8" t="s">
        <x:v>2797</x:v>
      </x:c>
      <x:c r="E968" s="8" t="s">
        <x:v>2798</x:v>
      </x:c>
      <x:c r="F968" s="8" t="s">
        <x:v>1617</x:v>
      </x:c>
      <x:c r="G968" s="8" t="s">
        <x:v>109</x:v>
      </x:c>
      <x:c r="H968" s="8" t="s">
        <x:v>2762</x:v>
      </x:c>
      <x:c r="I968" s="8" t="s">
        <x:v>2763</x:v>
      </x:c>
      <x:c r="J968" s="8" t="s">
        <x:v>112</x:v>
      </x:c>
      <x:c r="K968" s="8" t="s">
        <x:v>2792</x:v>
      </x:c>
      <x:c r="L968" s="8" t="s">
        <x:v>2792</x:v>
      </x:c>
      <x:c r="M968" s="8"/>
      <x:c r="N968" s="8"/>
      <x:c r="O968" s="8" t="s">
        <x:v>1622</x:v>
      </x:c>
      <x:c r="P968" s="8" t="s">
        <x:v>115</x:v>
      </x:c>
      <x:c r="Q968" s="8" t="s">
        <x:v>45</x:v>
      </x:c>
      <x:c r="R968" s="8" t="s">
        <x:v>1623</x:v>
      </x:c>
      <x:c r="S968" s="8" t="s">
        <x:v>1684</x:v>
      </x:c>
      <x:c r="T968" s="8" t="s">
        <x:v>27</x:v>
      </x:c>
      <x:c r="U968" s="8" t="s">
        <x:v>883</x:v>
      </x:c>
      <x:c r="V968" s="8" t="s">
        <x:v>2764</x:v>
      </x:c>
    </x:row>
    <x:row r="969" ht="36" hidden="0" customHeight="1">
      <x:c r="A969" s="8" t="s">
        <x:v>2799</x:v>
      </x:c>
      <x:c r="B969" s="8" t="s">
        <x:v>2760</x:v>
      </x:c>
      <x:c r="C969" s="8"/>
      <x:c r="D969" s="8" t="s">
        <x:v>2800</x:v>
      </x:c>
      <x:c r="E969" s="8" t="n">
        <x:v>48</x:v>
      </x:c>
      <x:c r="F969" s="8" t="s">
        <x:v>1617</x:v>
      </x:c>
      <x:c r="G969" s="8" t="s">
        <x:v>109</x:v>
      </x:c>
      <x:c r="H969" s="8" t="s">
        <x:v>2762</x:v>
      </x:c>
      <x:c r="I969" s="8" t="s">
        <x:v>2763</x:v>
      </x:c>
      <x:c r="J969" s="8" t="s">
        <x:v>112</x:v>
      </x:c>
      <x:c r="K969" s="8" t="s">
        <x:v>2792</x:v>
      </x:c>
      <x:c r="L969" s="8" t="s">
        <x:v>2792</x:v>
      </x:c>
      <x:c r="M969" s="8"/>
      <x:c r="N969" s="8"/>
      <x:c r="O969" s="8" t="s">
        <x:v>1622</x:v>
      </x:c>
      <x:c r="P969" s="8" t="s">
        <x:v>115</x:v>
      </x:c>
      <x:c r="Q969" s="8" t="s">
        <x:v>45</x:v>
      </x:c>
      <x:c r="R969" s="8" t="s">
        <x:v>1623</x:v>
      </x:c>
      <x:c r="S969" s="8" t="s">
        <x:v>1343</x:v>
      </x:c>
      <x:c r="T969" s="8" t="s">
        <x:v>27</x:v>
      </x:c>
      <x:c r="U969" s="8" t="s">
        <x:v>883</x:v>
      </x:c>
      <x:c r="V969" s="8" t="s">
        <x:v>2764</x:v>
      </x:c>
    </x:row>
    <x:row r="970" ht="36" hidden="0" customHeight="1">
      <x:c r="A970" s="8" t="s">
        <x:v>2801</x:v>
      </x:c>
      <x:c r="B970" s="8" t="s">
        <x:v>2802</x:v>
      </x:c>
      <x:c r="C970" s="8"/>
      <x:c r="D970" s="8" t="s">
        <x:v>2154</x:v>
      </x:c>
      <x:c r="E970" s="8" t="s">
        <x:v>1487</x:v>
      </x:c>
      <x:c r="F970" s="8" t="s">
        <x:v>1617</x:v>
      </x:c>
      <x:c r="G970" s="8" t="s">
        <x:v>109</x:v>
      </x:c>
      <x:c r="H970" s="8" t="s">
        <x:v>2803</x:v>
      </x:c>
      <x:c r="I970" s="8" t="s">
        <x:v>2804</x:v>
      </x:c>
      <x:c r="J970" s="8" t="s">
        <x:v>112</x:v>
      </x:c>
      <x:c r="K970" s="8" t="s">
        <x:v>2805</x:v>
      </x:c>
      <x:c r="L970" s="8" t="s">
        <x:v>2805</x:v>
      </x:c>
      <x:c r="M970" s="8"/>
      <x:c r="N970" s="8"/>
      <x:c r="O970" s="8" t="s">
        <x:v>1622</x:v>
      </x:c>
      <x:c r="P970" s="8" t="s">
        <x:v>115</x:v>
      </x:c>
      <x:c r="Q970" s="8" t="s">
        <x:v>45</x:v>
      </x:c>
      <x:c r="R970" s="8" t="s">
        <x:v>1623</x:v>
      </x:c>
      <x:c r="S970" s="8"/>
      <x:c r="T970" s="8" t="s">
        <x:v>27</x:v>
      </x:c>
      <x:c r="U970" s="8" t="s">
        <x:v>883</x:v>
      </x:c>
      <x:c r="V970" s="8" t="s">
        <x:v>2764</x:v>
      </x:c>
    </x:row>
    <x:row r="971" ht="36" hidden="0" customHeight="1">
      <x:c r="A971" s="8" t="s">
        <x:v>2806</x:v>
      </x:c>
      <x:c r="B971" s="8" t="s">
        <x:v>2802</x:v>
      </x:c>
      <x:c r="C971" s="8"/>
      <x:c r="D971" s="8" t="s">
        <x:v>2158</x:v>
      </x:c>
      <x:c r="E971" s="8" t="s">
        <x:v>2807</x:v>
      </x:c>
      <x:c r="F971" s="8" t="s">
        <x:v>1617</x:v>
      </x:c>
      <x:c r="G971" s="8" t="s">
        <x:v>109</x:v>
      </x:c>
      <x:c r="H971" s="8" t="s">
        <x:v>2803</x:v>
      </x:c>
      <x:c r="I971" s="8" t="s">
        <x:v>2804</x:v>
      </x:c>
      <x:c r="J971" s="8" t="s">
        <x:v>112</x:v>
      </x:c>
      <x:c r="K971" s="8" t="s">
        <x:v>2805</x:v>
      </x:c>
      <x:c r="L971" s="8" t="s">
        <x:v>2805</x:v>
      </x:c>
      <x:c r="M971" s="8"/>
      <x:c r="N971" s="8"/>
      <x:c r="O971" s="8" t="s">
        <x:v>1622</x:v>
      </x:c>
      <x:c r="P971" s="8" t="s">
        <x:v>115</x:v>
      </x:c>
      <x:c r="Q971" s="8" t="s">
        <x:v>45</x:v>
      </x:c>
      <x:c r="R971" s="8" t="s">
        <x:v>1623</x:v>
      </x:c>
      <x:c r="S971" s="8"/>
      <x:c r="T971" s="8" t="s">
        <x:v>27</x:v>
      </x:c>
      <x:c r="U971" s="8" t="s">
        <x:v>883</x:v>
      </x:c>
      <x:c r="V971" s="8" t="s">
        <x:v>2764</x:v>
      </x:c>
    </x:row>
    <x:row r="972" ht="36" hidden="0" customHeight="1">
      <x:c r="A972" s="8" t="s">
        <x:v>2808</x:v>
      </x:c>
      <x:c r="B972" s="8" t="s">
        <x:v>2802</x:v>
      </x:c>
      <x:c r="C972" s="8"/>
      <x:c r="D972" s="8" t="s">
        <x:v>1682</x:v>
      </x:c>
      <x:c r="E972" s="8" t="s">
        <x:v>2167</x:v>
      </x:c>
      <x:c r="F972" s="8" t="s">
        <x:v>1617</x:v>
      </x:c>
      <x:c r="G972" s="8" t="s">
        <x:v>109</x:v>
      </x:c>
      <x:c r="H972" s="8" t="s">
        <x:v>2803</x:v>
      </x:c>
      <x:c r="I972" s="8" t="s">
        <x:v>2804</x:v>
      </x:c>
      <x:c r="J972" s="8" t="s">
        <x:v>112</x:v>
      </x:c>
      <x:c r="K972" s="8" t="s">
        <x:v>2805</x:v>
      </x:c>
      <x:c r="L972" s="8" t="s">
        <x:v>2805</x:v>
      </x:c>
      <x:c r="M972" s="8"/>
      <x:c r="N972" s="8"/>
      <x:c r="O972" s="8" t="s">
        <x:v>1622</x:v>
      </x:c>
      <x:c r="P972" s="8" t="s">
        <x:v>115</x:v>
      </x:c>
      <x:c r="Q972" s="8" t="s">
        <x:v>45</x:v>
      </x:c>
      <x:c r="R972" s="8" t="s">
        <x:v>1623</x:v>
      </x:c>
      <x:c r="S972" s="8" t="s">
        <x:v>1684</x:v>
      </x:c>
      <x:c r="T972" s="8" t="s">
        <x:v>27</x:v>
      </x:c>
      <x:c r="U972" s="8" t="s">
        <x:v>883</x:v>
      </x:c>
      <x:c r="V972" s="8" t="s">
        <x:v>2764</x:v>
      </x:c>
    </x:row>
    <x:row r="973" ht="36" hidden="0" customHeight="1">
      <x:c r="A973" s="8" t="s">
        <x:v>2809</x:v>
      </x:c>
      <x:c r="B973" s="8" t="s">
        <x:v>2802</x:v>
      </x:c>
      <x:c r="C973" s="8"/>
      <x:c r="D973" s="8" t="s">
        <x:v>2810</x:v>
      </x:c>
      <x:c r="E973" s="8" t="s">
        <x:v>2811</x:v>
      </x:c>
      <x:c r="F973" s="8" t="s">
        <x:v>1617</x:v>
      </x:c>
      <x:c r="G973" s="8" t="s">
        <x:v>109</x:v>
      </x:c>
      <x:c r="H973" s="8" t="s">
        <x:v>2803</x:v>
      </x:c>
      <x:c r="I973" s="8" t="s">
        <x:v>2804</x:v>
      </x:c>
      <x:c r="J973" s="8" t="s">
        <x:v>112</x:v>
      </x:c>
      <x:c r="K973" s="8" t="s">
        <x:v>2805</x:v>
      </x:c>
      <x:c r="L973" s="8" t="s">
        <x:v>2805</x:v>
      </x:c>
      <x:c r="M973" s="8"/>
      <x:c r="N973" s="8"/>
      <x:c r="O973" s="8" t="s">
        <x:v>1622</x:v>
      </x:c>
      <x:c r="P973" s="8" t="s">
        <x:v>115</x:v>
      </x:c>
      <x:c r="Q973" s="8" t="s">
        <x:v>45</x:v>
      </x:c>
      <x:c r="R973" s="8" t="s">
        <x:v>1623</x:v>
      </x:c>
      <x:c r="S973" s="8"/>
      <x:c r="T973" s="8" t="s">
        <x:v>27</x:v>
      </x:c>
      <x:c r="U973" s="8" t="s">
        <x:v>883</x:v>
      </x:c>
      <x:c r="V973" s="8" t="s">
        <x:v>2764</x:v>
      </x:c>
    </x:row>
    <x:row r="974" ht="36" hidden="0" customHeight="1">
      <x:c r="A974" s="8" t="s">
        <x:v>2812</x:v>
      </x:c>
      <x:c r="B974" s="8" t="s">
        <x:v>2802</x:v>
      </x:c>
      <x:c r="C974" s="8"/>
      <x:c r="D974" s="8" t="s">
        <x:v>2813</x:v>
      </x:c>
      <x:c r="E974" s="8" t="s">
        <x:v>2814</x:v>
      </x:c>
      <x:c r="F974" s="8" t="s">
        <x:v>1617</x:v>
      </x:c>
      <x:c r="G974" s="8" t="s">
        <x:v>109</x:v>
      </x:c>
      <x:c r="H974" s="8" t="s">
        <x:v>2803</x:v>
      </x:c>
      <x:c r="I974" s="8" t="s">
        <x:v>2804</x:v>
      </x:c>
      <x:c r="J974" s="8" t="s">
        <x:v>112</x:v>
      </x:c>
      <x:c r="K974" s="8" t="s">
        <x:v>2805</x:v>
      </x:c>
      <x:c r="L974" s="8" t="s">
        <x:v>2805</x:v>
      </x:c>
      <x:c r="M974" s="8"/>
      <x:c r="N974" s="8"/>
      <x:c r="O974" s="8" t="s">
        <x:v>1622</x:v>
      </x:c>
      <x:c r="P974" s="8" t="s">
        <x:v>115</x:v>
      </x:c>
      <x:c r="Q974" s="8" t="s">
        <x:v>45</x:v>
      </x:c>
      <x:c r="R974" s="8" t="s">
        <x:v>1623</x:v>
      </x:c>
      <x:c r="S974" s="8" t="s">
        <x:v>2171</x:v>
      </x:c>
      <x:c r="T974" s="8" t="s">
        <x:v>27</x:v>
      </x:c>
      <x:c r="U974" s="8" t="s">
        <x:v>883</x:v>
      </x:c>
      <x:c r="V974" s="8" t="s">
        <x:v>2764</x:v>
      </x:c>
    </x:row>
    <x:row r="975" ht="36" hidden="0" customHeight="1">
      <x:c r="A975" s="8" t="s">
        <x:v>2815</x:v>
      </x:c>
      <x:c r="B975" s="8" t="s">
        <x:v>2802</x:v>
      </x:c>
      <x:c r="C975" s="8"/>
      <x:c r="D975" s="8" t="s">
        <x:v>2816</x:v>
      </x:c>
      <x:c r="E975" s="8" t="s">
        <x:v>2817</x:v>
      </x:c>
      <x:c r="F975" s="8" t="s">
        <x:v>1617</x:v>
      </x:c>
      <x:c r="G975" s="8" t="s">
        <x:v>109</x:v>
      </x:c>
      <x:c r="H975" s="8" t="s">
        <x:v>2803</x:v>
      </x:c>
      <x:c r="I975" s="8" t="s">
        <x:v>2804</x:v>
      </x:c>
      <x:c r="J975" s="8" t="s">
        <x:v>112</x:v>
      </x:c>
      <x:c r="K975" s="8" t="s">
        <x:v>2805</x:v>
      </x:c>
      <x:c r="L975" s="8" t="s">
        <x:v>2805</x:v>
      </x:c>
      <x:c r="M975" s="8"/>
      <x:c r="N975" s="8"/>
      <x:c r="O975" s="8" t="s">
        <x:v>1622</x:v>
      </x:c>
      <x:c r="P975" s="8" t="s">
        <x:v>115</x:v>
      </x:c>
      <x:c r="Q975" s="8" t="s">
        <x:v>45</x:v>
      </x:c>
      <x:c r="R975" s="8" t="s">
        <x:v>1623</x:v>
      </x:c>
      <x:c r="S975" s="8" t="s">
        <x:v>1560</x:v>
      </x:c>
      <x:c r="T975" s="8" t="s">
        <x:v>27</x:v>
      </x:c>
      <x:c r="U975" s="8" t="s">
        <x:v>883</x:v>
      </x:c>
      <x:c r="V975" s="8" t="s">
        <x:v>2764</x:v>
      </x:c>
    </x:row>
    <x:row r="976" ht="36" hidden="0" customHeight="1">
      <x:c r="A976" s="8" t="s">
        <x:v>2818</x:v>
      </x:c>
      <x:c r="B976" s="8" t="s">
        <x:v>2802</x:v>
      </x:c>
      <x:c r="C976" s="8"/>
      <x:c r="D976" s="8" t="s">
        <x:v>2819</x:v>
      </x:c>
      <x:c r="E976" s="8" t="s">
        <x:v>2820</x:v>
      </x:c>
      <x:c r="F976" s="8" t="s">
        <x:v>1617</x:v>
      </x:c>
      <x:c r="G976" s="8" t="s">
        <x:v>109</x:v>
      </x:c>
      <x:c r="H976" s="8" t="s">
        <x:v>2803</x:v>
      </x:c>
      <x:c r="I976" s="8" t="s">
        <x:v>2804</x:v>
      </x:c>
      <x:c r="J976" s="8" t="s">
        <x:v>112</x:v>
      </x:c>
      <x:c r="K976" s="8" t="s">
        <x:v>2805</x:v>
      </x:c>
      <x:c r="L976" s="8" t="s">
        <x:v>2805</x:v>
      </x:c>
      <x:c r="M976" s="8"/>
      <x:c r="N976" s="8"/>
      <x:c r="O976" s="8" t="s">
        <x:v>1622</x:v>
      </x:c>
      <x:c r="P976" s="8" t="s">
        <x:v>115</x:v>
      </x:c>
      <x:c r="Q976" s="8" t="s">
        <x:v>45</x:v>
      </x:c>
      <x:c r="R976" s="8" t="s">
        <x:v>1623</x:v>
      </x:c>
      <x:c r="S976" s="8" t="s">
        <x:v>2821</x:v>
      </x:c>
      <x:c r="T976" s="8" t="s">
        <x:v>27</x:v>
      </x:c>
      <x:c r="U976" s="8" t="s">
        <x:v>883</x:v>
      </x:c>
      <x:c r="V976" s="8" t="s">
        <x:v>2764</x:v>
      </x:c>
    </x:row>
    <x:row r="977" ht="36" hidden="0" customHeight="1">
      <x:c r="A977" s="8" t="s">
        <x:v>2822</x:v>
      </x:c>
      <x:c r="B977" s="8" t="s">
        <x:v>2802</x:v>
      </x:c>
      <x:c r="C977" s="8"/>
      <x:c r="D977" s="8" t="s">
        <x:v>2823</x:v>
      </x:c>
      <x:c r="E977" s="8" t="s">
        <x:v>2824</x:v>
      </x:c>
      <x:c r="F977" s="8" t="s">
        <x:v>1617</x:v>
      </x:c>
      <x:c r="G977" s="8" t="s">
        <x:v>109</x:v>
      </x:c>
      <x:c r="H977" s="8" t="s">
        <x:v>2803</x:v>
      </x:c>
      <x:c r="I977" s="8" t="s">
        <x:v>2804</x:v>
      </x:c>
      <x:c r="J977" s="8" t="s">
        <x:v>112</x:v>
      </x:c>
      <x:c r="K977" s="8" t="s">
        <x:v>2805</x:v>
      </x:c>
      <x:c r="L977" s="8" t="s">
        <x:v>2805</x:v>
      </x:c>
      <x:c r="M977" s="8"/>
      <x:c r="N977" s="8"/>
      <x:c r="O977" s="8" t="s">
        <x:v>1622</x:v>
      </x:c>
      <x:c r="P977" s="8" t="s">
        <x:v>115</x:v>
      </x:c>
      <x:c r="Q977" s="8" t="s">
        <x:v>45</x:v>
      </x:c>
      <x:c r="R977" s="8" t="s">
        <x:v>1623</x:v>
      </x:c>
      <x:c r="S977" s="8" t="s">
        <x:v>2825</x:v>
      </x:c>
      <x:c r="T977" s="8" t="s">
        <x:v>27</x:v>
      </x:c>
      <x:c r="U977" s="8" t="s">
        <x:v>883</x:v>
      </x:c>
      <x:c r="V977" s="8" t="s">
        <x:v>2764</x:v>
      </x:c>
    </x:row>
    <x:row r="978" ht="36" hidden="0" customHeight="1">
      <x:c r="A978" s="8" t="s">
        <x:v>2826</x:v>
      </x:c>
      <x:c r="B978" s="8" t="s">
        <x:v>2802</x:v>
      </x:c>
      <x:c r="C978" s="8"/>
      <x:c r="D978" s="8" t="s">
        <x:v>2827</x:v>
      </x:c>
      <x:c r="E978" s="8" t="s">
        <x:v>2828</x:v>
      </x:c>
      <x:c r="F978" s="8" t="s">
        <x:v>1617</x:v>
      </x:c>
      <x:c r="G978" s="8" t="s">
        <x:v>109</x:v>
      </x:c>
      <x:c r="H978" s="8" t="s">
        <x:v>2803</x:v>
      </x:c>
      <x:c r="I978" s="8" t="s">
        <x:v>2804</x:v>
      </x:c>
      <x:c r="J978" s="8" t="s">
        <x:v>112</x:v>
      </x:c>
      <x:c r="K978" s="8" t="s">
        <x:v>2805</x:v>
      </x:c>
      <x:c r="L978" s="8" t="s">
        <x:v>2805</x:v>
      </x:c>
      <x:c r="M978" s="8"/>
      <x:c r="N978" s="8"/>
      <x:c r="O978" s="8" t="s">
        <x:v>1622</x:v>
      </x:c>
      <x:c r="P978" s="8" t="s">
        <x:v>115</x:v>
      </x:c>
      <x:c r="Q978" s="8" t="s">
        <x:v>45</x:v>
      </x:c>
      <x:c r="R978" s="8" t="s">
        <x:v>1623</x:v>
      </x:c>
      <x:c r="S978" s="8" t="s">
        <x:v>1560</x:v>
      </x:c>
      <x:c r="T978" s="8" t="s">
        <x:v>27</x:v>
      </x:c>
      <x:c r="U978" s="8" t="s">
        <x:v>883</x:v>
      </x:c>
      <x:c r="V978" s="8" t="s">
        <x:v>2764</x:v>
      </x:c>
    </x:row>
    <x:row r="979" ht="36" hidden="0" customHeight="1">
      <x:c r="A979" s="8" t="s">
        <x:v>2829</x:v>
      </x:c>
      <x:c r="B979" s="8" t="s">
        <x:v>2830</x:v>
      </x:c>
      <x:c r="C979" s="8"/>
      <x:c r="D979" s="8" t="s">
        <x:v>1755</x:v>
      </x:c>
      <x:c r="E979" s="8" t="s">
        <x:v>2831</x:v>
      </x:c>
      <x:c r="F979" s="8" t="s">
        <x:v>1617</x:v>
      </x:c>
      <x:c r="G979" s="8" t="s">
        <x:v>109</x:v>
      </x:c>
      <x:c r="H979" s="8" t="s">
        <x:v>2832</x:v>
      </x:c>
      <x:c r="I979" s="8" t="s">
        <x:v>2833</x:v>
      </x:c>
      <x:c r="J979" s="8" t="s">
        <x:v>112</x:v>
      </x:c>
      <x:c r="K979" s="8" t="s">
        <x:v>2834</x:v>
      </x:c>
      <x:c r="L979" s="8" t="s">
        <x:v>2834</x:v>
      </x:c>
      <x:c r="M979" s="8"/>
      <x:c r="N979" s="8"/>
      <x:c r="O979" s="8" t="s">
        <x:v>1622</x:v>
      </x:c>
      <x:c r="P979" s="8" t="s">
        <x:v>115</x:v>
      </x:c>
      <x:c r="Q979" s="8" t="s">
        <x:v>45</x:v>
      </x:c>
      <x:c r="R979" s="8" t="s">
        <x:v>1623</x:v>
      </x:c>
      <x:c r="S979" s="8"/>
      <x:c r="T979" s="8" t="s">
        <x:v>27</x:v>
      </x:c>
      <x:c r="U979" s="8" t="s">
        <x:v>883</x:v>
      </x:c>
      <x:c r="V979" s="8" t="s">
        <x:v>2764</x:v>
      </x:c>
    </x:row>
    <x:row r="980" ht="36" hidden="0" customHeight="1">
      <x:c r="A980" s="8" t="s">
        <x:v>2835</x:v>
      </x:c>
      <x:c r="B980" s="8" t="s">
        <x:v>2830</x:v>
      </x:c>
      <x:c r="C980" s="8"/>
      <x:c r="D980" s="8" t="s">
        <x:v>2158</x:v>
      </x:c>
      <x:c r="E980" s="8" t="s">
        <x:v>2159</x:v>
      </x:c>
      <x:c r="F980" s="8" t="s">
        <x:v>1617</x:v>
      </x:c>
      <x:c r="G980" s="8" t="s">
        <x:v>109</x:v>
      </x:c>
      <x:c r="H980" s="8" t="s">
        <x:v>2832</x:v>
      </x:c>
      <x:c r="I980" s="8" t="s">
        <x:v>2833</x:v>
      </x:c>
      <x:c r="J980" s="8" t="s">
        <x:v>112</x:v>
      </x:c>
      <x:c r="K980" s="8" t="s">
        <x:v>2834</x:v>
      </x:c>
      <x:c r="L980" s="8" t="s">
        <x:v>2834</x:v>
      </x:c>
      <x:c r="M980" s="8"/>
      <x:c r="N980" s="8"/>
      <x:c r="O980" s="8" t="s">
        <x:v>1622</x:v>
      </x:c>
      <x:c r="P980" s="8" t="s">
        <x:v>115</x:v>
      </x:c>
      <x:c r="Q980" s="8" t="s">
        <x:v>45</x:v>
      </x:c>
      <x:c r="R980" s="8" t="s">
        <x:v>1623</x:v>
      </x:c>
      <x:c r="S980" s="8"/>
      <x:c r="T980" s="8" t="s">
        <x:v>27</x:v>
      </x:c>
      <x:c r="U980" s="8" t="s">
        <x:v>883</x:v>
      </x:c>
      <x:c r="V980" s="8" t="s">
        <x:v>2764</x:v>
      </x:c>
    </x:row>
    <x:row r="981" ht="36" hidden="0" customHeight="1">
      <x:c r="A981" s="8" t="s">
        <x:v>2836</x:v>
      </x:c>
      <x:c r="B981" s="8" t="s">
        <x:v>2830</x:v>
      </x:c>
      <x:c r="C981" s="8"/>
      <x:c r="D981" s="8" t="s">
        <x:v>1842</x:v>
      </x:c>
      <x:c r="E981" s="8" t="s">
        <x:v>2837</x:v>
      </x:c>
      <x:c r="F981" s="8" t="s">
        <x:v>1617</x:v>
      </x:c>
      <x:c r="G981" s="8" t="s">
        <x:v>109</x:v>
      </x:c>
      <x:c r="H981" s="8" t="s">
        <x:v>2832</x:v>
      </x:c>
      <x:c r="I981" s="8" t="s">
        <x:v>2833</x:v>
      </x:c>
      <x:c r="J981" s="8" t="s">
        <x:v>112</x:v>
      </x:c>
      <x:c r="K981" s="8" t="s">
        <x:v>2838</x:v>
      </x:c>
      <x:c r="L981" s="8" t="s">
        <x:v>2838</x:v>
      </x:c>
      <x:c r="M981" s="8"/>
      <x:c r="N981" s="8"/>
      <x:c r="O981" s="8" t="s">
        <x:v>1622</x:v>
      </x:c>
      <x:c r="P981" s="8" t="s">
        <x:v>115</x:v>
      </x:c>
      <x:c r="Q981" s="8" t="s">
        <x:v>45</x:v>
      </x:c>
      <x:c r="R981" s="8" t="s">
        <x:v>1623</x:v>
      </x:c>
      <x:c r="S981" s="8"/>
      <x:c r="T981" s="8" t="s">
        <x:v>27</x:v>
      </x:c>
      <x:c r="U981" s="8" t="s">
        <x:v>883</x:v>
      </x:c>
      <x:c r="V981" s="8" t="s">
        <x:v>2764</x:v>
      </x:c>
    </x:row>
    <x:row r="982" ht="36" hidden="0" customHeight="1">
      <x:c r="A982" s="8" t="s">
        <x:v>2839</x:v>
      </x:c>
      <x:c r="B982" s="8" t="s">
        <x:v>2830</x:v>
      </x:c>
      <x:c r="C982" s="8"/>
      <x:c r="D982" s="8" t="s">
        <x:v>2840</x:v>
      </x:c>
      <x:c r="E982" s="8" t="n">
        <x:v>4638</x:v>
      </x:c>
      <x:c r="F982" s="8" t="s">
        <x:v>1617</x:v>
      </x:c>
      <x:c r="G982" s="8" t="s">
        <x:v>109</x:v>
      </x:c>
      <x:c r="H982" s="8" t="s">
        <x:v>2832</x:v>
      </x:c>
      <x:c r="I982" s="8" t="s">
        <x:v>2833</x:v>
      </x:c>
      <x:c r="J982" s="8" t="s">
        <x:v>112</x:v>
      </x:c>
      <x:c r="K982" s="8" t="s">
        <x:v>2838</x:v>
      </x:c>
      <x:c r="L982" s="8" t="s">
        <x:v>2838</x:v>
      </x:c>
      <x:c r="M982" s="8"/>
      <x:c r="N982" s="8"/>
      <x:c r="O982" s="8" t="s">
        <x:v>1622</x:v>
      </x:c>
      <x:c r="P982" s="8" t="s">
        <x:v>115</x:v>
      </x:c>
      <x:c r="Q982" s="8" t="s">
        <x:v>45</x:v>
      </x:c>
      <x:c r="R982" s="8" t="s">
        <x:v>1623</x:v>
      </x:c>
      <x:c r="S982" s="8" t="s">
        <x:v>905</x:v>
      </x:c>
      <x:c r="T982" s="8" t="s">
        <x:v>27</x:v>
      </x:c>
      <x:c r="U982" s="8" t="s">
        <x:v>883</x:v>
      </x:c>
      <x:c r="V982" s="8" t="s">
        <x:v>2764</x:v>
      </x:c>
    </x:row>
    <x:row r="983" ht="36" hidden="0" customHeight="1">
      <x:c r="A983" s="8" t="s">
        <x:v>2841</x:v>
      </x:c>
      <x:c r="B983" s="8" t="s">
        <x:v>2830</x:v>
      </x:c>
      <x:c r="C983" s="8"/>
      <x:c r="D983" s="8" t="s">
        <x:v>2842</x:v>
      </x:c>
      <x:c r="E983" s="8" t="s">
        <x:v>2843</x:v>
      </x:c>
      <x:c r="F983" s="8" t="s">
        <x:v>1617</x:v>
      </x:c>
      <x:c r="G983" s="8" t="s">
        <x:v>109</x:v>
      </x:c>
      <x:c r="H983" s="8" t="s">
        <x:v>2832</x:v>
      </x:c>
      <x:c r="I983" s="8" t="s">
        <x:v>2833</x:v>
      </x:c>
      <x:c r="J983" s="8" t="s">
        <x:v>112</x:v>
      </x:c>
      <x:c r="K983" s="8" t="s">
        <x:v>2838</x:v>
      </x:c>
      <x:c r="L983" s="8" t="s">
        <x:v>2838</x:v>
      </x:c>
      <x:c r="M983" s="8"/>
      <x:c r="N983" s="8"/>
      <x:c r="O983" s="8" t="s">
        <x:v>1622</x:v>
      </x:c>
      <x:c r="P983" s="8" t="s">
        <x:v>115</x:v>
      </x:c>
      <x:c r="Q983" s="8" t="s">
        <x:v>45</x:v>
      </x:c>
      <x:c r="R983" s="8" t="s">
        <x:v>1623</x:v>
      </x:c>
      <x:c r="S983" s="8" t="s">
        <x:v>2844</x:v>
      </x:c>
      <x:c r="T983" s="8" t="s">
        <x:v>27</x:v>
      </x:c>
      <x:c r="U983" s="8" t="s">
        <x:v>883</x:v>
      </x:c>
      <x:c r="V983" s="8" t="s">
        <x:v>2764</x:v>
      </x:c>
    </x:row>
    <x:row r="984" ht="36" hidden="0" customHeight="1">
      <x:c r="A984" s="8" t="s">
        <x:v>2845</x:v>
      </x:c>
      <x:c r="B984" s="8" t="s">
        <x:v>2830</x:v>
      </x:c>
      <x:c r="C984" s="8"/>
      <x:c r="D984" s="8" t="s">
        <x:v>1626</x:v>
      </x:c>
      <x:c r="E984" s="8" t="s">
        <x:v>2846</x:v>
      </x:c>
      <x:c r="F984" s="8" t="s">
        <x:v>1617</x:v>
      </x:c>
      <x:c r="G984" s="8" t="s">
        <x:v>109</x:v>
      </x:c>
      <x:c r="H984" s="8" t="s">
        <x:v>2832</x:v>
      </x:c>
      <x:c r="I984" s="8" t="s">
        <x:v>2833</x:v>
      </x:c>
      <x:c r="J984" s="8" t="s">
        <x:v>112</x:v>
      </x:c>
      <x:c r="K984" s="8" t="s">
        <x:v>2847</x:v>
      </x:c>
      <x:c r="L984" s="8" t="s">
        <x:v>2847</x:v>
      </x:c>
      <x:c r="M984" s="8"/>
      <x:c r="N984" s="8"/>
      <x:c r="O984" s="8" t="s">
        <x:v>1622</x:v>
      </x:c>
      <x:c r="P984" s="8" t="s">
        <x:v>115</x:v>
      </x:c>
      <x:c r="Q984" s="8" t="s">
        <x:v>45</x:v>
      </x:c>
      <x:c r="R984" s="8" t="s">
        <x:v>1623</x:v>
      </x:c>
      <x:c r="S984" s="8"/>
      <x:c r="T984" s="8" t="s">
        <x:v>27</x:v>
      </x:c>
      <x:c r="U984" s="8" t="s">
        <x:v>883</x:v>
      </x:c>
      <x:c r="V984" s="8" t="s">
        <x:v>2764</x:v>
      </x:c>
    </x:row>
    <x:row r="985" ht="36" hidden="0" customHeight="1">
      <x:c r="A985" s="8" t="s">
        <x:v>2848</x:v>
      </x:c>
      <x:c r="B985" s="8" t="s">
        <x:v>2830</x:v>
      </x:c>
      <x:c r="C985" s="8"/>
      <x:c r="D985" s="8" t="s">
        <x:v>2849</x:v>
      </x:c>
      <x:c r="E985" s="8" t="s">
        <x:v>2850</x:v>
      </x:c>
      <x:c r="F985" s="8" t="s">
        <x:v>1617</x:v>
      </x:c>
      <x:c r="G985" s="8" t="s">
        <x:v>109</x:v>
      </x:c>
      <x:c r="H985" s="8" t="s">
        <x:v>2832</x:v>
      </x:c>
      <x:c r="I985" s="8" t="s">
        <x:v>2833</x:v>
      </x:c>
      <x:c r="J985" s="8" t="s">
        <x:v>112</x:v>
      </x:c>
      <x:c r="K985" s="8" t="s">
        <x:v>2851</x:v>
      </x:c>
      <x:c r="L985" s="8" t="s">
        <x:v>2851</x:v>
      </x:c>
      <x:c r="M985" s="8"/>
      <x:c r="N985" s="8"/>
      <x:c r="O985" s="8" t="s">
        <x:v>1622</x:v>
      </x:c>
      <x:c r="P985" s="8" t="s">
        <x:v>115</x:v>
      </x:c>
      <x:c r="Q985" s="8" t="s">
        <x:v>45</x:v>
      </x:c>
      <x:c r="R985" s="8" t="s">
        <x:v>1623</x:v>
      </x:c>
      <x:c r="S985" s="8" t="s">
        <x:v>1879</x:v>
      </x:c>
      <x:c r="T985" s="8" t="s">
        <x:v>27</x:v>
      </x:c>
      <x:c r="U985" s="8" t="s">
        <x:v>883</x:v>
      </x:c>
      <x:c r="V985" s="8" t="s">
        <x:v>2764</x:v>
      </x:c>
    </x:row>
    <x:row r="986" ht="36" hidden="0" customHeight="1">
      <x:c r="A986" s="8" t="s">
        <x:v>2852</x:v>
      </x:c>
      <x:c r="B986" s="8" t="s">
        <x:v>2830</x:v>
      </x:c>
      <x:c r="C986" s="8"/>
      <x:c r="D986" s="8" t="s">
        <x:v>1615</x:v>
      </x:c>
      <x:c r="E986" s="8" t="s">
        <x:v>2853</x:v>
      </x:c>
      <x:c r="F986" s="8" t="s">
        <x:v>1617</x:v>
      </x:c>
      <x:c r="G986" s="8" t="s">
        <x:v>109</x:v>
      </x:c>
      <x:c r="H986" s="8" t="s">
        <x:v>2832</x:v>
      </x:c>
      <x:c r="I986" s="8" t="s">
        <x:v>2833</x:v>
      </x:c>
      <x:c r="J986" s="8" t="s">
        <x:v>112</x:v>
      </x:c>
      <x:c r="K986" s="8" t="s">
        <x:v>2851</x:v>
      </x:c>
      <x:c r="L986" s="8" t="s">
        <x:v>2851</x:v>
      </x:c>
      <x:c r="M986" s="8"/>
      <x:c r="N986" s="8"/>
      <x:c r="O986" s="8" t="s">
        <x:v>1622</x:v>
      </x:c>
      <x:c r="P986" s="8" t="s">
        <x:v>115</x:v>
      </x:c>
      <x:c r="Q986" s="8" t="s">
        <x:v>45</x:v>
      </x:c>
      <x:c r="R986" s="8" t="s">
        <x:v>1623</x:v>
      </x:c>
      <x:c r="S986" s="8"/>
      <x:c r="T986" s="8" t="s">
        <x:v>27</x:v>
      </x:c>
      <x:c r="U986" s="8" t="s">
        <x:v>883</x:v>
      </x:c>
      <x:c r="V986" s="8" t="s">
        <x:v>2764</x:v>
      </x:c>
    </x:row>
    <x:row r="987" ht="36" hidden="0" customHeight="1">
      <x:c r="A987" s="8" t="s">
        <x:v>2854</x:v>
      </x:c>
      <x:c r="B987" s="8" t="s">
        <x:v>2830</x:v>
      </x:c>
      <x:c r="C987" s="8"/>
      <x:c r="D987" s="8" t="s">
        <x:v>1945</x:v>
      </x:c>
      <x:c r="E987" s="8" t="s">
        <x:v>2855</x:v>
      </x:c>
      <x:c r="F987" s="8" t="s">
        <x:v>1617</x:v>
      </x:c>
      <x:c r="G987" s="8" t="s">
        <x:v>109</x:v>
      </x:c>
      <x:c r="H987" s="8" t="s">
        <x:v>2832</x:v>
      </x:c>
      <x:c r="I987" s="8" t="s">
        <x:v>2833</x:v>
      </x:c>
      <x:c r="J987" s="8" t="s">
        <x:v>112</x:v>
      </x:c>
      <x:c r="K987" s="8" t="s">
        <x:v>2851</x:v>
      </x:c>
      <x:c r="L987" s="8" t="s">
        <x:v>2851</x:v>
      </x:c>
      <x:c r="M987" s="8"/>
      <x:c r="N987" s="8"/>
      <x:c r="O987" s="8" t="s">
        <x:v>1622</x:v>
      </x:c>
      <x:c r="P987" s="8" t="s">
        <x:v>115</x:v>
      </x:c>
      <x:c r="Q987" s="8" t="s">
        <x:v>45</x:v>
      </x:c>
      <x:c r="R987" s="8" t="s">
        <x:v>1623</x:v>
      </x:c>
      <x:c r="S987" s="8"/>
      <x:c r="T987" s="8" t="s">
        <x:v>27</x:v>
      </x:c>
      <x:c r="U987" s="8" t="s">
        <x:v>883</x:v>
      </x:c>
      <x:c r="V987" s="8" t="s">
        <x:v>2764</x:v>
      </x:c>
    </x:row>
    <x:row r="988" ht="36" hidden="0" customHeight="1">
      <x:c r="A988" s="8" t="s">
        <x:v>2856</x:v>
      </x:c>
      <x:c r="B988" s="8" t="s">
        <x:v>2830</x:v>
      </x:c>
      <x:c r="C988" s="8"/>
      <x:c r="D988" s="8" t="s">
        <x:v>2857</x:v>
      </x:c>
      <x:c r="E988" s="8" t="n">
        <x:v>-1</x:v>
      </x:c>
      <x:c r="F988" s="8" t="s">
        <x:v>1617</x:v>
      </x:c>
      <x:c r="G988" s="8" t="s">
        <x:v>109</x:v>
      </x:c>
      <x:c r="H988" s="8" t="s">
        <x:v>2832</x:v>
      </x:c>
      <x:c r="I988" s="8" t="s">
        <x:v>2833</x:v>
      </x:c>
      <x:c r="J988" s="8" t="s">
        <x:v>112</x:v>
      </x:c>
      <x:c r="K988" s="8" t="s">
        <x:v>2851</x:v>
      </x:c>
      <x:c r="L988" s="8" t="s">
        <x:v>2851</x:v>
      </x:c>
      <x:c r="M988" s="8"/>
      <x:c r="N988" s="8"/>
      <x:c r="O988" s="8" t="s">
        <x:v>1622</x:v>
      </x:c>
      <x:c r="P988" s="8" t="s">
        <x:v>115</x:v>
      </x:c>
      <x:c r="Q988" s="8" t="s">
        <x:v>45</x:v>
      </x:c>
      <x:c r="R988" s="8" t="s">
        <x:v>1623</x:v>
      </x:c>
      <x:c r="S988" s="8" t="s">
        <x:v>2858</x:v>
      </x:c>
      <x:c r="T988" s="8" t="s">
        <x:v>27</x:v>
      </x:c>
      <x:c r="U988" s="8" t="s">
        <x:v>883</x:v>
      </x:c>
      <x:c r="V988" s="8" t="s">
        <x:v>2764</x:v>
      </x:c>
    </x:row>
    <x:row r="989" ht="36" hidden="0" customHeight="1">
      <x:c r="A989" s="8" t="s">
        <x:v>2859</x:v>
      </x:c>
      <x:c r="B989" s="8" t="s">
        <x:v>2830</x:v>
      </x:c>
      <x:c r="C989" s="8"/>
      <x:c r="D989" s="8" t="s">
        <x:v>2860</x:v>
      </x:c>
      <x:c r="E989" s="8" t="s">
        <x:v>2861</x:v>
      </x:c>
      <x:c r="F989" s="8" t="s">
        <x:v>1617</x:v>
      </x:c>
      <x:c r="G989" s="8" t="s">
        <x:v>109</x:v>
      </x:c>
      <x:c r="H989" s="8" t="s">
        <x:v>2832</x:v>
      </x:c>
      <x:c r="I989" s="8" t="s">
        <x:v>2833</x:v>
      </x:c>
      <x:c r="J989" s="8" t="s">
        <x:v>112</x:v>
      </x:c>
      <x:c r="K989" s="8" t="s">
        <x:v>2851</x:v>
      </x:c>
      <x:c r="L989" s="8" t="s">
        <x:v>2851</x:v>
      </x:c>
      <x:c r="M989" s="8"/>
      <x:c r="N989" s="8"/>
      <x:c r="O989" s="8" t="s">
        <x:v>1622</x:v>
      </x:c>
      <x:c r="P989" s="8" t="s">
        <x:v>115</x:v>
      </x:c>
      <x:c r="Q989" s="8" t="s">
        <x:v>45</x:v>
      </x:c>
      <x:c r="R989" s="8" t="s">
        <x:v>1623</x:v>
      </x:c>
      <x:c r="S989" s="8"/>
      <x:c r="T989" s="8" t="s">
        <x:v>27</x:v>
      </x:c>
      <x:c r="U989" s="8" t="s">
        <x:v>883</x:v>
      </x:c>
      <x:c r="V989" s="8" t="s">
        <x:v>2764</x:v>
      </x:c>
    </x:row>
    <x:row r="990" ht="36" hidden="0" customHeight="1">
      <x:c r="A990" s="8" t="s">
        <x:v>2862</x:v>
      </x:c>
      <x:c r="B990" s="8" t="s">
        <x:v>2830</x:v>
      </x:c>
      <x:c r="C990" s="8"/>
      <x:c r="D990" s="8" t="s">
        <x:v>164</x:v>
      </x:c>
      <x:c r="E990" s="8" t="s">
        <x:v>165</x:v>
      </x:c>
      <x:c r="F990" s="8" t="s">
        <x:v>1617</x:v>
      </x:c>
      <x:c r="G990" s="8" t="s">
        <x:v>109</x:v>
      </x:c>
      <x:c r="H990" s="8" t="s">
        <x:v>2832</x:v>
      </x:c>
      <x:c r="I990" s="8" t="s">
        <x:v>2833</x:v>
      </x:c>
      <x:c r="J990" s="8" t="s">
        <x:v>112</x:v>
      </x:c>
      <x:c r="K990" s="8" t="s">
        <x:v>2851</x:v>
      </x:c>
      <x:c r="L990" s="8" t="s">
        <x:v>2851</x:v>
      </x:c>
      <x:c r="M990" s="8"/>
      <x:c r="N990" s="8"/>
      <x:c r="O990" s="8" t="s">
        <x:v>1622</x:v>
      </x:c>
      <x:c r="P990" s="8" t="s">
        <x:v>115</x:v>
      </x:c>
      <x:c r="Q990" s="8" t="s">
        <x:v>45</x:v>
      </x:c>
      <x:c r="R990" s="8" t="s">
        <x:v>1623</x:v>
      </x:c>
      <x:c r="S990" s="8"/>
      <x:c r="T990" s="8" t="s">
        <x:v>27</x:v>
      </x:c>
      <x:c r="U990" s="8" t="s">
        <x:v>883</x:v>
      </x:c>
      <x:c r="V990" s="8" t="s">
        <x:v>2764</x:v>
      </x:c>
    </x:row>
    <x:row r="991" ht="36" hidden="0" customHeight="1">
      <x:c r="A991" s="8" t="s">
        <x:v>2863</x:v>
      </x:c>
      <x:c r="B991" s="8" t="s">
        <x:v>2830</x:v>
      </x:c>
      <x:c r="C991" s="8"/>
      <x:c r="D991" s="8" t="s">
        <x:v>318</x:v>
      </x:c>
      <x:c r="E991" s="8" t="n">
        <x:v>0.001</x:v>
      </x:c>
      <x:c r="F991" s="8" t="s">
        <x:v>1617</x:v>
      </x:c>
      <x:c r="G991" s="8" t="s">
        <x:v>109</x:v>
      </x:c>
      <x:c r="H991" s="8" t="s">
        <x:v>2832</x:v>
      </x:c>
      <x:c r="I991" s="8" t="s">
        <x:v>2833</x:v>
      </x:c>
      <x:c r="J991" s="8" t="s">
        <x:v>112</x:v>
      </x:c>
      <x:c r="K991" s="8" t="s">
        <x:v>2851</x:v>
      </x:c>
      <x:c r="L991" s="8" t="s">
        <x:v>2851</x:v>
      </x:c>
      <x:c r="M991" s="8"/>
      <x:c r="N991" s="8"/>
      <x:c r="O991" s="8" t="s">
        <x:v>1622</x:v>
      </x:c>
      <x:c r="P991" s="8" t="s">
        <x:v>115</x:v>
      </x:c>
      <x:c r="Q991" s="8" t="s">
        <x:v>45</x:v>
      </x:c>
      <x:c r="R991" s="8" t="s">
        <x:v>1623</x:v>
      </x:c>
      <x:c r="S991" s="8"/>
      <x:c r="T991" s="8" t="s">
        <x:v>27</x:v>
      </x:c>
      <x:c r="U991" s="8" t="s">
        <x:v>883</x:v>
      </x:c>
      <x:c r="V991" s="8" t="s">
        <x:v>2764</x:v>
      </x:c>
    </x:row>
    <x:row r="992" ht="36" hidden="0" customHeight="1">
      <x:c r="A992" s="8" t="s">
        <x:v>2864</x:v>
      </x:c>
      <x:c r="B992" s="8" t="s">
        <x:v>2830</x:v>
      </x:c>
      <x:c r="C992" s="8"/>
      <x:c r="D992" s="8" t="s">
        <x:v>1652</x:v>
      </x:c>
      <x:c r="E992" s="8" t="s">
        <x:v>2865</x:v>
      </x:c>
      <x:c r="F992" s="8" t="s">
        <x:v>1617</x:v>
      </x:c>
      <x:c r="G992" s="8" t="s">
        <x:v>109</x:v>
      </x:c>
      <x:c r="H992" s="8" t="s">
        <x:v>2832</x:v>
      </x:c>
      <x:c r="I992" s="8" t="s">
        <x:v>2833</x:v>
      </x:c>
      <x:c r="J992" s="8" t="s">
        <x:v>112</x:v>
      </x:c>
      <x:c r="K992" s="8" t="s">
        <x:v>2851</x:v>
      </x:c>
      <x:c r="L992" s="8" t="s">
        <x:v>2851</x:v>
      </x:c>
      <x:c r="M992" s="8"/>
      <x:c r="N992" s="8"/>
      <x:c r="O992" s="8" t="s">
        <x:v>1622</x:v>
      </x:c>
      <x:c r="P992" s="8" t="s">
        <x:v>115</x:v>
      </x:c>
      <x:c r="Q992" s="8" t="s">
        <x:v>45</x:v>
      </x:c>
      <x:c r="R992" s="8" t="s">
        <x:v>1623</x:v>
      </x:c>
      <x:c r="S992" s="8"/>
      <x:c r="T992" s="8" t="s">
        <x:v>27</x:v>
      </x:c>
      <x:c r="U992" s="8" t="s">
        <x:v>883</x:v>
      </x:c>
      <x:c r="V992" s="8" t="s">
        <x:v>2764</x:v>
      </x:c>
    </x:row>
    <x:row r="993" ht="36" hidden="0" customHeight="1">
      <x:c r="A993" s="8" t="s">
        <x:v>2866</x:v>
      </x:c>
      <x:c r="B993" s="8" t="s">
        <x:v>2830</x:v>
      </x:c>
      <x:c r="C993" s="8"/>
      <x:c r="D993" s="8" t="s">
        <x:v>167</x:v>
      </x:c>
      <x:c r="E993" s="8" t="n">
        <x:v>256</x:v>
      </x:c>
      <x:c r="F993" s="8" t="s">
        <x:v>1617</x:v>
      </x:c>
      <x:c r="G993" s="8" t="s">
        <x:v>109</x:v>
      </x:c>
      <x:c r="H993" s="8" t="s">
        <x:v>2832</x:v>
      </x:c>
      <x:c r="I993" s="8" t="s">
        <x:v>2833</x:v>
      </x:c>
      <x:c r="J993" s="8" t="s">
        <x:v>112</x:v>
      </x:c>
      <x:c r="K993" s="8" t="s">
        <x:v>2851</x:v>
      </x:c>
      <x:c r="L993" s="8" t="s">
        <x:v>2851</x:v>
      </x:c>
      <x:c r="M993" s="8"/>
      <x:c r="N993" s="8"/>
      <x:c r="O993" s="8" t="s">
        <x:v>1622</x:v>
      </x:c>
      <x:c r="P993" s="8" t="s">
        <x:v>115</x:v>
      </x:c>
      <x:c r="Q993" s="8" t="s">
        <x:v>45</x:v>
      </x:c>
      <x:c r="R993" s="8" t="s">
        <x:v>1623</x:v>
      </x:c>
      <x:c r="S993" s="8" t="s">
        <x:v>2867</x:v>
      </x:c>
      <x:c r="T993" s="8" t="s">
        <x:v>27</x:v>
      </x:c>
      <x:c r="U993" s="8" t="s">
        <x:v>883</x:v>
      </x:c>
      <x:c r="V993" s="8" t="s">
        <x:v>2764</x:v>
      </x:c>
    </x:row>
    <x:row r="994" ht="36" hidden="0" customHeight="1">
      <x:c r="A994" s="8" t="s">
        <x:v>2868</x:v>
      </x:c>
      <x:c r="B994" s="8" t="s">
        <x:v>2830</x:v>
      </x:c>
      <x:c r="C994" s="8"/>
      <x:c r="D994" s="8" t="s">
        <x:v>170</x:v>
      </x:c>
      <x:c r="E994" s="8" t="n">
        <x:v>50</x:v>
      </x:c>
      <x:c r="F994" s="8" t="s">
        <x:v>1617</x:v>
      </x:c>
      <x:c r="G994" s="8" t="s">
        <x:v>109</x:v>
      </x:c>
      <x:c r="H994" s="8" t="s">
        <x:v>2832</x:v>
      </x:c>
      <x:c r="I994" s="8" t="s">
        <x:v>2833</x:v>
      </x:c>
      <x:c r="J994" s="8" t="s">
        <x:v>112</x:v>
      </x:c>
      <x:c r="K994" s="8" t="s">
        <x:v>2851</x:v>
      </x:c>
      <x:c r="L994" s="8" t="s">
        <x:v>2851</x:v>
      </x:c>
      <x:c r="M994" s="8"/>
      <x:c r="N994" s="8"/>
      <x:c r="O994" s="8" t="s">
        <x:v>1622</x:v>
      </x:c>
      <x:c r="P994" s="8" t="s">
        <x:v>115</x:v>
      </x:c>
      <x:c r="Q994" s="8" t="s">
        <x:v>45</x:v>
      </x:c>
      <x:c r="R994" s="8" t="s">
        <x:v>1623</x:v>
      </x:c>
      <x:c r="S994" s="8" t="s">
        <x:v>990</x:v>
      </x:c>
      <x:c r="T994" s="8" t="s">
        <x:v>27</x:v>
      </x:c>
      <x:c r="U994" s="8" t="s">
        <x:v>883</x:v>
      </x:c>
      <x:c r="V994" s="8" t="s">
        <x:v>2764</x:v>
      </x:c>
    </x:row>
    <x:row r="995" ht="36" hidden="0" customHeight="1">
      <x:c r="A995" s="8" t="s">
        <x:v>2869</x:v>
      </x:c>
      <x:c r="B995" s="8" t="s">
        <x:v>2830</x:v>
      </x:c>
      <x:c r="C995" s="8"/>
      <x:c r="D995" s="8" t="s">
        <x:v>1864</x:v>
      </x:c>
      <x:c r="E995" s="8" t="s">
        <x:v>969</x:v>
      </x:c>
      <x:c r="F995" s="8" t="s">
        <x:v>1617</x:v>
      </x:c>
      <x:c r="G995" s="8" t="s">
        <x:v>109</x:v>
      </x:c>
      <x:c r="H995" s="8" t="s">
        <x:v>2832</x:v>
      </x:c>
      <x:c r="I995" s="8" t="s">
        <x:v>2833</x:v>
      </x:c>
      <x:c r="J995" s="8" t="s">
        <x:v>112</x:v>
      </x:c>
      <x:c r="K995" s="8" t="s">
        <x:v>2851</x:v>
      </x:c>
      <x:c r="L995" s="8" t="s">
        <x:v>2851</x:v>
      </x:c>
      <x:c r="M995" s="8"/>
      <x:c r="N995" s="8"/>
      <x:c r="O995" s="8" t="s">
        <x:v>1622</x:v>
      </x:c>
      <x:c r="P995" s="8" t="s">
        <x:v>115</x:v>
      </x:c>
      <x:c r="Q995" s="8" t="s">
        <x:v>45</x:v>
      </x:c>
      <x:c r="R995" s="8" t="s">
        <x:v>1623</x:v>
      </x:c>
      <x:c r="S995" s="8"/>
      <x:c r="T995" s="8" t="s">
        <x:v>27</x:v>
      </x:c>
      <x:c r="U995" s="8" t="s">
        <x:v>883</x:v>
      </x:c>
      <x:c r="V995" s="8" t="s">
        <x:v>2764</x:v>
      </x:c>
    </x:row>
    <x:row r="996" ht="36" hidden="0" customHeight="1">
      <x:c r="A996" s="8" t="s">
        <x:v>2870</x:v>
      </x:c>
      <x:c r="B996" s="8" t="s">
        <x:v>2830</x:v>
      </x:c>
      <x:c r="C996" s="8"/>
      <x:c r="D996" s="8" t="s">
        <x:v>2871</x:v>
      </x:c>
      <x:c r="E996" s="8" t="s">
        <x:v>2872</x:v>
      </x:c>
      <x:c r="F996" s="8" t="s">
        <x:v>1617</x:v>
      </x:c>
      <x:c r="G996" s="8" t="s">
        <x:v>109</x:v>
      </x:c>
      <x:c r="H996" s="8" t="s">
        <x:v>2832</x:v>
      </x:c>
      <x:c r="I996" s="8" t="s">
        <x:v>2833</x:v>
      </x:c>
      <x:c r="J996" s="8" t="s">
        <x:v>112</x:v>
      </x:c>
      <x:c r="K996" s="8" t="s">
        <x:v>2847</x:v>
      </x:c>
      <x:c r="L996" s="8" t="s">
        <x:v>2847</x:v>
      </x:c>
      <x:c r="M996" s="8"/>
      <x:c r="N996" s="8"/>
      <x:c r="O996" s="8" t="s">
        <x:v>1622</x:v>
      </x:c>
      <x:c r="P996" s="8" t="s">
        <x:v>115</x:v>
      </x:c>
      <x:c r="Q996" s="8" t="s">
        <x:v>45</x:v>
      </x:c>
      <x:c r="R996" s="8" t="s">
        <x:v>1623</x:v>
      </x:c>
      <x:c r="S996" s="8"/>
      <x:c r="T996" s="8" t="s">
        <x:v>27</x:v>
      </x:c>
      <x:c r="U996" s="8" t="s">
        <x:v>883</x:v>
      </x:c>
      <x:c r="V996" s="8" t="s">
        <x:v>2764</x:v>
      </x:c>
    </x:row>
    <x:row r="997" ht="36" hidden="0" customHeight="1">
      <x:c r="A997" s="8" t="s">
        <x:v>2873</x:v>
      </x:c>
      <x:c r="B997" s="8" t="s">
        <x:v>2874</x:v>
      </x:c>
      <x:c r="C997" s="8"/>
      <x:c r="D997" s="8" t="s">
        <x:v>2875</x:v>
      </x:c>
      <x:c r="E997" s="8" t="n">
        <x:v>11</x:v>
      </x:c>
      <x:c r="F997" s="8" t="s">
        <x:v>2876</x:v>
      </x:c>
      <x:c r="G997" s="8" t="s">
        <x:v>109</x:v>
      </x:c>
      <x:c r="H997" s="8" t="s">
        <x:v>2877</x:v>
      </x:c>
      <x:c r="I997" s="8" t="s">
        <x:v>2878</x:v>
      </x:c>
      <x:c r="J997" s="8" t="s">
        <x:v>112</x:v>
      </x:c>
      <x:c r="K997" s="8" t="s">
        <x:v>2879</x:v>
      </x:c>
      <x:c r="L997" s="8" t="s">
        <x:v>2879</x:v>
      </x:c>
      <x:c r="M997" s="8"/>
      <x:c r="N997" s="8"/>
      <x:c r="O997" s="8" t="s">
        <x:v>1622</x:v>
      </x:c>
      <x:c r="P997" s="8" t="s">
        <x:v>115</x:v>
      </x:c>
      <x:c r="Q997" s="8" t="s">
        <x:v>45</x:v>
      </x:c>
      <x:c r="R997" s="8" t="s">
        <x:v>1623</x:v>
      </x:c>
      <x:c r="S997" s="8" t="s">
        <x:v>2880</x:v>
      </x:c>
      <x:c r="T997" s="8" t="s">
        <x:v>27</x:v>
      </x:c>
      <x:c r="U997" s="8" t="s">
        <x:v>883</x:v>
      </x:c>
      <x:c r="V997" s="8" t="s">
        <x:v>2764</x:v>
      </x:c>
    </x:row>
    <x:row r="998" ht="36" hidden="0" customHeight="1">
      <x:c r="A998" s="8" t="s">
        <x:v>2881</x:v>
      </x:c>
      <x:c r="B998" s="8" t="s">
        <x:v>2874</x:v>
      </x:c>
      <x:c r="C998" s="8"/>
      <x:c r="D998" s="8" t="s">
        <x:v>2882</x:v>
      </x:c>
      <x:c r="E998" s="8" t="s">
        <x:v>2883</x:v>
      </x:c>
      <x:c r="F998" s="8" t="s">
        <x:v>2876</x:v>
      </x:c>
      <x:c r="G998" s="8" t="s">
        <x:v>109</x:v>
      </x:c>
      <x:c r="H998" s="8" t="s">
        <x:v>2877</x:v>
      </x:c>
      <x:c r="I998" s="8" t="s">
        <x:v>2878</x:v>
      </x:c>
      <x:c r="J998" s="8" t="s">
        <x:v>112</x:v>
      </x:c>
      <x:c r="K998" s="8" t="s">
        <x:v>2879</x:v>
      </x:c>
      <x:c r="L998" s="8" t="s">
        <x:v>2879</x:v>
      </x:c>
      <x:c r="M998" s="8"/>
      <x:c r="N998" s="8"/>
      <x:c r="O998" s="8" t="s">
        <x:v>1622</x:v>
      </x:c>
      <x:c r="P998" s="8" t="s">
        <x:v>115</x:v>
      </x:c>
      <x:c r="Q998" s="8" t="s">
        <x:v>45</x:v>
      </x:c>
      <x:c r="R998" s="8" t="s">
        <x:v>1623</x:v>
      </x:c>
      <x:c r="S998" s="8"/>
      <x:c r="T998" s="8" t="s">
        <x:v>27</x:v>
      </x:c>
      <x:c r="U998" s="8" t="s">
        <x:v>883</x:v>
      </x:c>
      <x:c r="V998" s="8" t="s">
        <x:v>2764</x:v>
      </x:c>
    </x:row>
    <x:row r="999" ht="36" hidden="0" customHeight="1">
      <x:c r="A999" s="8" t="s">
        <x:v>2884</x:v>
      </x:c>
      <x:c r="B999" s="8" t="s">
        <x:v>2874</x:v>
      </x:c>
      <x:c r="C999" s="8"/>
      <x:c r="D999" s="8" t="s">
        <x:v>2885</x:v>
      </x:c>
      <x:c r="E999" s="8" t="s">
        <x:v>2886</x:v>
      </x:c>
      <x:c r="F999" s="8" t="s">
        <x:v>2876</x:v>
      </x:c>
      <x:c r="G999" s="8" t="s">
        <x:v>109</x:v>
      </x:c>
      <x:c r="H999" s="8" t="s">
        <x:v>2877</x:v>
      </x:c>
      <x:c r="I999" s="8" t="s">
        <x:v>2878</x:v>
      </x:c>
      <x:c r="J999" s="8" t="s">
        <x:v>112</x:v>
      </x:c>
      <x:c r="K999" s="8" t="s">
        <x:v>2879</x:v>
      </x:c>
      <x:c r="L999" s="8" t="s">
        <x:v>2879</x:v>
      </x:c>
      <x:c r="M999" s="8"/>
      <x:c r="N999" s="8"/>
      <x:c r="O999" s="8" t="s">
        <x:v>1622</x:v>
      </x:c>
      <x:c r="P999" s="8" t="s">
        <x:v>115</x:v>
      </x:c>
      <x:c r="Q999" s="8" t="s">
        <x:v>45</x:v>
      </x:c>
      <x:c r="R999" s="8" t="s">
        <x:v>1623</x:v>
      </x:c>
      <x:c r="S999" s="8"/>
      <x:c r="T999" s="8" t="s">
        <x:v>27</x:v>
      </x:c>
      <x:c r="U999" s="8" t="s">
        <x:v>883</x:v>
      </x:c>
      <x:c r="V999" s="8" t="s">
        <x:v>2764</x:v>
      </x:c>
    </x:row>
    <x:row r="1000" ht="36" hidden="0" customHeight="1">
      <x:c r="A1000" s="8" t="s">
        <x:v>2887</x:v>
      </x:c>
      <x:c r="B1000" s="8" t="s">
        <x:v>2874</x:v>
      </x:c>
      <x:c r="C1000" s="8"/>
      <x:c r="D1000" s="8" t="s">
        <x:v>2888</x:v>
      </x:c>
      <x:c r="E1000" s="8" t="s">
        <x:v>2889</x:v>
      </x:c>
      <x:c r="F1000" s="8" t="s">
        <x:v>2876</x:v>
      </x:c>
      <x:c r="G1000" s="8" t="s">
        <x:v>109</x:v>
      </x:c>
      <x:c r="H1000" s="8" t="s">
        <x:v>2877</x:v>
      </x:c>
      <x:c r="I1000" s="8" t="s">
        <x:v>2878</x:v>
      </x:c>
      <x:c r="J1000" s="8" t="s">
        <x:v>112</x:v>
      </x:c>
      <x:c r="K1000" s="8" t="s">
        <x:v>2890</x:v>
      </x:c>
      <x:c r="L1000" s="8" t="s">
        <x:v>2890</x:v>
      </x:c>
      <x:c r="M1000" s="8"/>
      <x:c r="N1000" s="8"/>
      <x:c r="O1000" s="8" t="s">
        <x:v>1622</x:v>
      </x:c>
      <x:c r="P1000" s="8" t="s">
        <x:v>115</x:v>
      </x:c>
      <x:c r="Q1000" s="8" t="s">
        <x:v>45</x:v>
      </x:c>
      <x:c r="R1000" s="8" t="s">
        <x:v>1623</x:v>
      </x:c>
      <x:c r="S1000" s="8"/>
      <x:c r="T1000" s="8" t="s">
        <x:v>27</x:v>
      </x:c>
      <x:c r="U1000" s="8" t="s">
        <x:v>883</x:v>
      </x:c>
      <x:c r="V1000" s="8" t="s">
        <x:v>2764</x:v>
      </x:c>
    </x:row>
    <x:row r="1001" ht="36" hidden="0" customHeight="1">
      <x:c r="A1001" s="8" t="s">
        <x:v>2891</x:v>
      </x:c>
      <x:c r="B1001" s="8" t="s">
        <x:v>2874</x:v>
      </x:c>
      <x:c r="C1001" s="8"/>
      <x:c r="D1001" s="8" t="s">
        <x:v>2892</x:v>
      </x:c>
      <x:c r="E1001" s="8" t="s">
        <x:v>2893</x:v>
      </x:c>
      <x:c r="F1001" s="8" t="s">
        <x:v>2876</x:v>
      </x:c>
      <x:c r="G1001" s="8" t="s">
        <x:v>109</x:v>
      </x:c>
      <x:c r="H1001" s="8" t="s">
        <x:v>2877</x:v>
      </x:c>
      <x:c r="I1001" s="8" t="s">
        <x:v>2878</x:v>
      </x:c>
      <x:c r="J1001" s="8" t="s">
        <x:v>112</x:v>
      </x:c>
      <x:c r="K1001" s="8" t="s">
        <x:v>2890</x:v>
      </x:c>
      <x:c r="L1001" s="8" t="s">
        <x:v>2890</x:v>
      </x:c>
      <x:c r="M1001" s="8"/>
      <x:c r="N1001" s="8"/>
      <x:c r="O1001" s="8" t="s">
        <x:v>1622</x:v>
      </x:c>
      <x:c r="P1001" s="8" t="s">
        <x:v>115</x:v>
      </x:c>
      <x:c r="Q1001" s="8" t="s">
        <x:v>45</x:v>
      </x:c>
      <x:c r="R1001" s="8" t="s">
        <x:v>1623</x:v>
      </x:c>
      <x:c r="S1001" s="8"/>
      <x:c r="T1001" s="8" t="s">
        <x:v>27</x:v>
      </x:c>
      <x:c r="U1001" s="8" t="s">
        <x:v>883</x:v>
      </x:c>
      <x:c r="V1001" s="8" t="s">
        <x:v>2764</x:v>
      </x:c>
    </x:row>
    <x:row r="1002" ht="36" hidden="0" customHeight="1">
      <x:c r="A1002" s="8" t="s">
        <x:v>2894</x:v>
      </x:c>
      <x:c r="B1002" s="8" t="s">
        <x:v>2874</x:v>
      </x:c>
      <x:c r="C1002" s="8"/>
      <x:c r="D1002" s="8" t="s">
        <x:v>2895</x:v>
      </x:c>
      <x:c r="E1002" s="8" t="n">
        <x:v>5</x:v>
      </x:c>
      <x:c r="F1002" s="8" t="s">
        <x:v>2876</x:v>
      </x:c>
      <x:c r="G1002" s="8" t="s">
        <x:v>109</x:v>
      </x:c>
      <x:c r="H1002" s="8" t="s">
        <x:v>2877</x:v>
      </x:c>
      <x:c r="I1002" s="8" t="s">
        <x:v>2878</x:v>
      </x:c>
      <x:c r="J1002" s="8" t="s">
        <x:v>112</x:v>
      </x:c>
      <x:c r="K1002" s="8" t="s">
        <x:v>2896</x:v>
      </x:c>
      <x:c r="L1002" s="8" t="s">
        <x:v>2896</x:v>
      </x:c>
      <x:c r="M1002" s="8"/>
      <x:c r="N1002" s="8"/>
      <x:c r="O1002" s="8" t="s">
        <x:v>1622</x:v>
      </x:c>
      <x:c r="P1002" s="8" t="s">
        <x:v>115</x:v>
      </x:c>
      <x:c r="Q1002" s="8" t="s">
        <x:v>45</x:v>
      </x:c>
      <x:c r="R1002" s="8" t="s">
        <x:v>1623</x:v>
      </x:c>
      <x:c r="S1002" s="8" t="s">
        <x:v>2897</x:v>
      </x:c>
      <x:c r="T1002" s="8" t="s">
        <x:v>27</x:v>
      </x:c>
      <x:c r="U1002" s="8" t="s">
        <x:v>883</x:v>
      </x:c>
      <x:c r="V1002" s="8" t="s">
        <x:v>2764</x:v>
      </x:c>
    </x:row>
    <x:row r="1003" ht="36" hidden="0" customHeight="1">
      <x:c r="A1003" s="8" t="s">
        <x:v>2898</x:v>
      </x:c>
      <x:c r="B1003" s="8" t="s">
        <x:v>2874</x:v>
      </x:c>
      <x:c r="C1003" s="8"/>
      <x:c r="D1003" s="8" t="s">
        <x:v>2899</x:v>
      </x:c>
      <x:c r="E1003" s="8" t="n">
        <x:v>1</x:v>
      </x:c>
      <x:c r="F1003" s="8" t="s">
        <x:v>2876</x:v>
      </x:c>
      <x:c r="G1003" s="8" t="s">
        <x:v>109</x:v>
      </x:c>
      <x:c r="H1003" s="8" t="s">
        <x:v>2877</x:v>
      </x:c>
      <x:c r="I1003" s="8" t="s">
        <x:v>2878</x:v>
      </x:c>
      <x:c r="J1003" s="8" t="s">
        <x:v>112</x:v>
      </x:c>
      <x:c r="K1003" s="8" t="s">
        <x:v>2900</x:v>
      </x:c>
      <x:c r="L1003" s="8" t="s">
        <x:v>2900</x:v>
      </x:c>
      <x:c r="M1003" s="8"/>
      <x:c r="N1003" s="8"/>
      <x:c r="O1003" s="8" t="s">
        <x:v>1622</x:v>
      </x:c>
      <x:c r="P1003" s="8" t="s">
        <x:v>115</x:v>
      </x:c>
      <x:c r="Q1003" s="8" t="s">
        <x:v>45</x:v>
      </x:c>
      <x:c r="R1003" s="8" t="s">
        <x:v>1623</x:v>
      </x:c>
      <x:c r="S1003" s="8" t="s">
        <x:v>2901</x:v>
      </x:c>
      <x:c r="T1003" s="8" t="s">
        <x:v>27</x:v>
      </x:c>
      <x:c r="U1003" s="8" t="s">
        <x:v>883</x:v>
      </x:c>
      <x:c r="V1003" s="8" t="s">
        <x:v>2764</x:v>
      </x:c>
    </x:row>
    <x:row r="1004" ht="36" hidden="0" customHeight="1">
      <x:c r="A1004" s="8" t="s">
        <x:v>2902</x:v>
      </x:c>
      <x:c r="B1004" s="8" t="s">
        <x:v>2874</x:v>
      </x:c>
      <x:c r="C1004" s="8"/>
      <x:c r="D1004" s="8" t="s">
        <x:v>2903</x:v>
      </x:c>
      <x:c r="E1004" s="8" t="n">
        <x:v>150</x:v>
      </x:c>
      <x:c r="F1004" s="8" t="s">
        <x:v>2876</x:v>
      </x:c>
      <x:c r="G1004" s="8" t="s">
        <x:v>109</x:v>
      </x:c>
      <x:c r="H1004" s="8" t="s">
        <x:v>2877</x:v>
      </x:c>
      <x:c r="I1004" s="8" t="s">
        <x:v>2878</x:v>
      </x:c>
      <x:c r="J1004" s="8" t="s">
        <x:v>112</x:v>
      </x:c>
      <x:c r="K1004" s="8" t="s">
        <x:v>2900</x:v>
      </x:c>
      <x:c r="L1004" s="8" t="s">
        <x:v>2900</x:v>
      </x:c>
      <x:c r="M1004" s="8"/>
      <x:c r="N1004" s="8"/>
      <x:c r="O1004" s="8" t="s">
        <x:v>1622</x:v>
      </x:c>
      <x:c r="P1004" s="8" t="s">
        <x:v>115</x:v>
      </x:c>
      <x:c r="Q1004" s="8" t="s">
        <x:v>45</x:v>
      </x:c>
      <x:c r="R1004" s="8" t="s">
        <x:v>1623</x:v>
      </x:c>
      <x:c r="S1004" s="8" t="s">
        <x:v>1638</x:v>
      </x:c>
      <x:c r="T1004" s="8" t="s">
        <x:v>27</x:v>
      </x:c>
      <x:c r="U1004" s="8" t="s">
        <x:v>883</x:v>
      </x:c>
      <x:c r="V1004" s="8" t="s">
        <x:v>2764</x:v>
      </x:c>
    </x:row>
    <x:row r="1005" ht="36" hidden="0" customHeight="1">
      <x:c r="A1005" s="8" t="s">
        <x:v>2904</x:v>
      </x:c>
      <x:c r="B1005" s="8" t="s">
        <x:v>2874</x:v>
      </x:c>
      <x:c r="C1005" s="8"/>
      <x:c r="D1005" s="8" t="s">
        <x:v>2905</x:v>
      </x:c>
      <x:c r="E1005" s="8" t="n">
        <x:v>2</x:v>
      </x:c>
      <x:c r="F1005" s="8" t="s">
        <x:v>2876</x:v>
      </x:c>
      <x:c r="G1005" s="8" t="s">
        <x:v>109</x:v>
      </x:c>
      <x:c r="H1005" s="8" t="s">
        <x:v>2877</x:v>
      </x:c>
      <x:c r="I1005" s="8" t="s">
        <x:v>2878</x:v>
      </x:c>
      <x:c r="J1005" s="8" t="s">
        <x:v>112</x:v>
      </x:c>
      <x:c r="K1005" s="8" t="s">
        <x:v>2900</x:v>
      </x:c>
      <x:c r="L1005" s="8" t="s">
        <x:v>2900</x:v>
      </x:c>
      <x:c r="M1005" s="8"/>
      <x:c r="N1005" s="8"/>
      <x:c r="O1005" s="8" t="s">
        <x:v>1622</x:v>
      </x:c>
      <x:c r="P1005" s="8" t="s">
        <x:v>115</x:v>
      </x:c>
      <x:c r="Q1005" s="8" t="s">
        <x:v>45</x:v>
      </x:c>
      <x:c r="R1005" s="8" t="s">
        <x:v>1623</x:v>
      </x:c>
      <x:c r="S1005" s="8" t="s">
        <x:v>1343</x:v>
      </x:c>
      <x:c r="T1005" s="8" t="s">
        <x:v>27</x:v>
      </x:c>
      <x:c r="U1005" s="8" t="s">
        <x:v>883</x:v>
      </x:c>
      <x:c r="V1005" s="8" t="s">
        <x:v>2764</x:v>
      </x:c>
    </x:row>
    <x:row r="1006" ht="36" hidden="0" customHeight="1">
      <x:c r="A1006" s="8" t="s">
        <x:v>2906</x:v>
      </x:c>
      <x:c r="B1006" s="8" t="s">
        <x:v>2874</x:v>
      </x:c>
      <x:c r="C1006" s="8"/>
      <x:c r="D1006" s="8" t="s">
        <x:v>2907</x:v>
      </x:c>
      <x:c r="E1006" s="8" t="n">
        <x:v>0.01</x:v>
      </x:c>
      <x:c r="F1006" s="8" t="s">
        <x:v>2876</x:v>
      </x:c>
      <x:c r="G1006" s="8" t="s">
        <x:v>109</x:v>
      </x:c>
      <x:c r="H1006" s="8" t="s">
        <x:v>2877</x:v>
      </x:c>
      <x:c r="I1006" s="8" t="s">
        <x:v>2878</x:v>
      </x:c>
      <x:c r="J1006" s="8" t="s">
        <x:v>112</x:v>
      </x:c>
      <x:c r="K1006" s="8" t="s">
        <x:v>2900</x:v>
      </x:c>
      <x:c r="L1006" s="8" t="s">
        <x:v>2900</x:v>
      </x:c>
      <x:c r="M1006" s="8"/>
      <x:c r="N1006" s="8"/>
      <x:c r="O1006" s="8" t="s">
        <x:v>1622</x:v>
      </x:c>
      <x:c r="P1006" s="8" t="s">
        <x:v>115</x:v>
      </x:c>
      <x:c r="Q1006" s="8" t="s">
        <x:v>45</x:v>
      </x:c>
      <x:c r="R1006" s="8" t="s">
        <x:v>1623</x:v>
      </x:c>
      <x:c r="S1006" s="8"/>
      <x:c r="T1006" s="8" t="s">
        <x:v>27</x:v>
      </x:c>
      <x:c r="U1006" s="8" t="s">
        <x:v>883</x:v>
      </x:c>
      <x:c r="V1006" s="8" t="s">
        <x:v>2764</x:v>
      </x:c>
    </x:row>
    <x:row r="1007" ht="36" hidden="0" customHeight="1">
      <x:c r="A1007" s="8" t="s">
        <x:v>2908</x:v>
      </x:c>
      <x:c r="B1007" s="8" t="s">
        <x:v>2874</x:v>
      </x:c>
      <x:c r="C1007" s="8"/>
      <x:c r="D1007" s="8" t="s">
        <x:v>2909</x:v>
      </x:c>
      <x:c r="E1007" s="8" t="n">
        <x:v>0.1</x:v>
      </x:c>
      <x:c r="F1007" s="8" t="s">
        <x:v>2876</x:v>
      </x:c>
      <x:c r="G1007" s="8" t="s">
        <x:v>109</x:v>
      </x:c>
      <x:c r="H1007" s="8" t="s">
        <x:v>2877</x:v>
      </x:c>
      <x:c r="I1007" s="8" t="s">
        <x:v>2878</x:v>
      </x:c>
      <x:c r="J1007" s="8" t="s">
        <x:v>112</x:v>
      </x:c>
      <x:c r="K1007" s="8" t="s">
        <x:v>2900</x:v>
      </x:c>
      <x:c r="L1007" s="8" t="s">
        <x:v>2900</x:v>
      </x:c>
      <x:c r="M1007" s="8"/>
      <x:c r="N1007" s="8"/>
      <x:c r="O1007" s="8" t="s">
        <x:v>1622</x:v>
      </x:c>
      <x:c r="P1007" s="8" t="s">
        <x:v>115</x:v>
      </x:c>
      <x:c r="Q1007" s="8" t="s">
        <x:v>45</x:v>
      </x:c>
      <x:c r="R1007" s="8" t="s">
        <x:v>1623</x:v>
      </x:c>
      <x:c r="S1007" s="8" t="s">
        <x:v>1348</x:v>
      </x:c>
      <x:c r="T1007" s="8" t="s">
        <x:v>27</x:v>
      </x:c>
      <x:c r="U1007" s="8" t="s">
        <x:v>883</x:v>
      </x:c>
      <x:c r="V1007" s="8" t="s">
        <x:v>2764</x:v>
      </x:c>
    </x:row>
    <x:row r="1008" ht="36" hidden="0" customHeight="1">
      <x:c r="A1008" s="8" t="s">
        <x:v>2910</x:v>
      </x:c>
      <x:c r="B1008" s="8" t="s">
        <x:v>2874</x:v>
      </x:c>
      <x:c r="C1008" s="8"/>
      <x:c r="D1008" s="8" t="s">
        <x:v>2911</x:v>
      </x:c>
      <x:c r="E1008" s="8" t="s">
        <x:v>2912</x:v>
      </x:c>
      <x:c r="F1008" s="8" t="s">
        <x:v>2876</x:v>
      </x:c>
      <x:c r="G1008" s="8" t="s">
        <x:v>109</x:v>
      </x:c>
      <x:c r="H1008" s="8" t="s">
        <x:v>2877</x:v>
      </x:c>
      <x:c r="I1008" s="8" t="s">
        <x:v>2878</x:v>
      </x:c>
      <x:c r="J1008" s="8" t="s">
        <x:v>112</x:v>
      </x:c>
      <x:c r="K1008" s="8" t="s">
        <x:v>2913</x:v>
      </x:c>
      <x:c r="L1008" s="8" t="s">
        <x:v>2913</x:v>
      </x:c>
      <x:c r="M1008" s="8"/>
      <x:c r="N1008" s="8"/>
      <x:c r="O1008" s="8" t="s">
        <x:v>1622</x:v>
      </x:c>
      <x:c r="P1008" s="8" t="s">
        <x:v>115</x:v>
      </x:c>
      <x:c r="Q1008" s="8" t="s">
        <x:v>45</x:v>
      </x:c>
      <x:c r="R1008" s="8" t="s">
        <x:v>1623</x:v>
      </x:c>
      <x:c r="S1008" s="8"/>
      <x:c r="T1008" s="8" t="s">
        <x:v>27</x:v>
      </x:c>
      <x:c r="U1008" s="8" t="s">
        <x:v>883</x:v>
      </x:c>
      <x:c r="V1008" s="8" t="s">
        <x:v>2764</x:v>
      </x:c>
    </x:row>
    <x:row r="1009" ht="36" hidden="0" customHeight="1">
      <x:c r="A1009" s="8" t="s">
        <x:v>2914</x:v>
      </x:c>
      <x:c r="B1009" s="8" t="s">
        <x:v>2874</x:v>
      </x:c>
      <x:c r="C1009" s="8"/>
      <x:c r="D1009" s="8" t="s">
        <x:v>2291</x:v>
      </x:c>
      <x:c r="E1009" s="8" t="s">
        <x:v>2915</x:v>
      </x:c>
      <x:c r="F1009" s="8" t="s">
        <x:v>2876</x:v>
      </x:c>
      <x:c r="G1009" s="8" t="s">
        <x:v>109</x:v>
      </x:c>
      <x:c r="H1009" s="8" t="s">
        <x:v>2877</x:v>
      </x:c>
      <x:c r="I1009" s="8" t="s">
        <x:v>2878</x:v>
      </x:c>
      <x:c r="J1009" s="8" t="s">
        <x:v>112</x:v>
      </x:c>
      <x:c r="K1009" s="8" t="s">
        <x:v>2916</x:v>
      </x:c>
      <x:c r="L1009" s="8" t="s">
        <x:v>2916</x:v>
      </x:c>
      <x:c r="M1009" s="8"/>
      <x:c r="N1009" s="8"/>
      <x:c r="O1009" s="8" t="s">
        <x:v>1622</x:v>
      </x:c>
      <x:c r="P1009" s="8" t="s">
        <x:v>115</x:v>
      </x:c>
      <x:c r="Q1009" s="8" t="s">
        <x:v>45</x:v>
      </x:c>
      <x:c r="R1009" s="8" t="s">
        <x:v>1623</x:v>
      </x:c>
      <x:c r="S1009" s="8"/>
      <x:c r="T1009" s="8" t="s">
        <x:v>27</x:v>
      </x:c>
      <x:c r="U1009" s="8" t="s">
        <x:v>883</x:v>
      </x:c>
      <x:c r="V1009" s="8" t="s">
        <x:v>2764</x:v>
      </x:c>
    </x:row>
    <x:row r="1010" ht="36" hidden="0" customHeight="1">
      <x:c r="A1010" s="8" t="s">
        <x:v>2917</x:v>
      </x:c>
      <x:c r="B1010" s="8" t="s">
        <x:v>2918</x:v>
      </x:c>
      <x:c r="C1010" s="8"/>
      <x:c r="D1010" s="8" t="s">
        <x:v>2919</x:v>
      </x:c>
      <x:c r="E1010" s="8" t="n">
        <x:v>2</x:v>
      </x:c>
      <x:c r="F1010" s="8" t="s">
        <x:v>1617</x:v>
      </x:c>
      <x:c r="G1010" s="8" t="s">
        <x:v>109</x:v>
      </x:c>
      <x:c r="H1010" s="8" t="s">
        <x:v>2920</x:v>
      </x:c>
      <x:c r="I1010" s="8" t="s">
        <x:v>2921</x:v>
      </x:c>
      <x:c r="J1010" s="8" t="s">
        <x:v>112</x:v>
      </x:c>
      <x:c r="K1010" s="8" t="s">
        <x:v>2922</x:v>
      </x:c>
      <x:c r="L1010" s="8" t="s">
        <x:v>2922</x:v>
      </x:c>
      <x:c r="M1010" s="8"/>
      <x:c r="N1010" s="8"/>
      <x:c r="O1010" s="8" t="s">
        <x:v>1622</x:v>
      </x:c>
      <x:c r="P1010" s="8" t="s">
        <x:v>115</x:v>
      </x:c>
      <x:c r="Q1010" s="8" t="s">
        <x:v>45</x:v>
      </x:c>
      <x:c r="R1010" s="8" t="s">
        <x:v>1623</x:v>
      </x:c>
      <x:c r="S1010" s="8" t="s">
        <x:v>2923</x:v>
      </x:c>
      <x:c r="T1010" s="8" t="s">
        <x:v>27</x:v>
      </x:c>
      <x:c r="U1010" s="8" t="s">
        <x:v>883</x:v>
      </x:c>
      <x:c r="V1010" s="8" t="s">
        <x:v>2764</x:v>
      </x:c>
    </x:row>
    <x:row r="1011" ht="36" hidden="0" customHeight="1">
      <x:c r="A1011" s="8" t="s">
        <x:v>2924</x:v>
      </x:c>
      <x:c r="B1011" s="8" t="s">
        <x:v>2918</x:v>
      </x:c>
      <x:c r="C1011" s="8"/>
      <x:c r="D1011" s="8" t="s">
        <x:v>2925</x:v>
      </x:c>
      <x:c r="E1011" s="8" t="n">
        <x:v>35</x:v>
      </x:c>
      <x:c r="F1011" s="8" t="s">
        <x:v>1617</x:v>
      </x:c>
      <x:c r="G1011" s="8" t="s">
        <x:v>109</x:v>
      </x:c>
      <x:c r="H1011" s="8" t="s">
        <x:v>2920</x:v>
      </x:c>
      <x:c r="I1011" s="8" t="s">
        <x:v>2921</x:v>
      </x:c>
      <x:c r="J1011" s="8" t="s">
        <x:v>112</x:v>
      </x:c>
      <x:c r="K1011" s="8" t="s">
        <x:v>2922</x:v>
      </x:c>
      <x:c r="L1011" s="8" t="s">
        <x:v>2922</x:v>
      </x:c>
      <x:c r="M1011" s="8"/>
      <x:c r="N1011" s="8"/>
      <x:c r="O1011" s="8" t="s">
        <x:v>1622</x:v>
      </x:c>
      <x:c r="P1011" s="8" t="s">
        <x:v>115</x:v>
      </x:c>
      <x:c r="Q1011" s="8" t="s">
        <x:v>45</x:v>
      </x:c>
      <x:c r="R1011" s="8" t="s">
        <x:v>1623</x:v>
      </x:c>
      <x:c r="S1011" s="8" t="s">
        <x:v>1638</x:v>
      </x:c>
      <x:c r="T1011" s="8" t="s">
        <x:v>27</x:v>
      </x:c>
      <x:c r="U1011" s="8" t="s">
        <x:v>883</x:v>
      </x:c>
      <x:c r="V1011" s="8" t="s">
        <x:v>2764</x:v>
      </x:c>
    </x:row>
    <x:row r="1012" ht="36" hidden="0" customHeight="1">
      <x:c r="A1012" s="8" t="s">
        <x:v>2926</x:v>
      </x:c>
      <x:c r="B1012" s="8" t="s">
        <x:v>2918</x:v>
      </x:c>
      <x:c r="C1012" s="8"/>
      <x:c r="D1012" s="8" t="s">
        <x:v>2927</x:v>
      </x:c>
      <x:c r="E1012" s="8" t="s">
        <x:v>501</x:v>
      </x:c>
      <x:c r="F1012" s="8" t="s">
        <x:v>1617</x:v>
      </x:c>
      <x:c r="G1012" s="8" t="s">
        <x:v>109</x:v>
      </x:c>
      <x:c r="H1012" s="8" t="s">
        <x:v>2920</x:v>
      </x:c>
      <x:c r="I1012" s="8" t="s">
        <x:v>2921</x:v>
      </x:c>
      <x:c r="J1012" s="8" t="s">
        <x:v>112</x:v>
      </x:c>
      <x:c r="K1012" s="8" t="s">
        <x:v>2922</x:v>
      </x:c>
      <x:c r="L1012" s="8" t="s">
        <x:v>2922</x:v>
      </x:c>
      <x:c r="M1012" s="8"/>
      <x:c r="N1012" s="8"/>
      <x:c r="O1012" s="8" t="s">
        <x:v>1622</x:v>
      </x:c>
      <x:c r="P1012" s="8" t="s">
        <x:v>115</x:v>
      </x:c>
      <x:c r="Q1012" s="8" t="s">
        <x:v>45</x:v>
      </x:c>
      <x:c r="R1012" s="8" t="s">
        <x:v>1623</x:v>
      </x:c>
      <x:c r="S1012" s="8"/>
      <x:c r="T1012" s="8" t="s">
        <x:v>27</x:v>
      </x:c>
      <x:c r="U1012" s="8" t="s">
        <x:v>883</x:v>
      </x:c>
      <x:c r="V1012" s="8" t="s">
        <x:v>2764</x:v>
      </x:c>
    </x:row>
    <x:row r="1013" ht="36" hidden="0" customHeight="1">
      <x:c r="A1013" s="8" t="s">
        <x:v>2928</x:v>
      </x:c>
      <x:c r="B1013" s="8" t="s">
        <x:v>2918</x:v>
      </x:c>
      <x:c r="C1013" s="8"/>
      <x:c r="D1013" s="8" t="s">
        <x:v>2929</x:v>
      </x:c>
      <x:c r="E1013" s="8" t="n">
        <x:v>3</x:v>
      </x:c>
      <x:c r="F1013" s="8" t="s">
        <x:v>1617</x:v>
      </x:c>
      <x:c r="G1013" s="8" t="s">
        <x:v>109</x:v>
      </x:c>
      <x:c r="H1013" s="8" t="s">
        <x:v>2920</x:v>
      </x:c>
      <x:c r="I1013" s="8" t="s">
        <x:v>2921</x:v>
      </x:c>
      <x:c r="J1013" s="8" t="s">
        <x:v>112</x:v>
      </x:c>
      <x:c r="K1013" s="8" t="s">
        <x:v>2930</x:v>
      </x:c>
      <x:c r="L1013" s="8" t="s">
        <x:v>2930</x:v>
      </x:c>
      <x:c r="M1013" s="8"/>
      <x:c r="N1013" s="8"/>
      <x:c r="O1013" s="8" t="s">
        <x:v>1622</x:v>
      </x:c>
      <x:c r="P1013" s="8" t="s">
        <x:v>115</x:v>
      </x:c>
      <x:c r="Q1013" s="8" t="s">
        <x:v>45</x:v>
      </x:c>
      <x:c r="R1013" s="8" t="s">
        <x:v>1623</x:v>
      </x:c>
      <x:c r="S1013" s="8" t="s">
        <x:v>2923</x:v>
      </x:c>
      <x:c r="T1013" s="8" t="s">
        <x:v>27</x:v>
      </x:c>
      <x:c r="U1013" s="8" t="s">
        <x:v>883</x:v>
      </x:c>
      <x:c r="V1013" s="8" t="s">
        <x:v>2764</x:v>
      </x:c>
    </x:row>
    <x:row r="1014" ht="36" hidden="0" customHeight="1">
      <x:c r="A1014" s="8" t="s">
        <x:v>2931</x:v>
      </x:c>
      <x:c r="B1014" s="8" t="s">
        <x:v>2918</x:v>
      </x:c>
      <x:c r="C1014" s="8"/>
      <x:c r="D1014" s="8" t="s">
        <x:v>2932</x:v>
      </x:c>
      <x:c r="E1014" s="8" t="n">
        <x:v>1024</x:v>
      </x:c>
      <x:c r="F1014" s="8" t="s">
        <x:v>1617</x:v>
      </x:c>
      <x:c r="G1014" s="8" t="s">
        <x:v>109</x:v>
      </x:c>
      <x:c r="H1014" s="8" t="s">
        <x:v>2920</x:v>
      </x:c>
      <x:c r="I1014" s="8" t="s">
        <x:v>2921</x:v>
      </x:c>
      <x:c r="J1014" s="8" t="s">
        <x:v>112</x:v>
      </x:c>
      <x:c r="K1014" s="8" t="s">
        <x:v>2930</x:v>
      </x:c>
      <x:c r="L1014" s="8" t="s">
        <x:v>2930</x:v>
      </x:c>
      <x:c r="M1014" s="8"/>
      <x:c r="N1014" s="8"/>
      <x:c r="O1014" s="8" t="s">
        <x:v>1622</x:v>
      </x:c>
      <x:c r="P1014" s="8" t="s">
        <x:v>115</x:v>
      </x:c>
      <x:c r="Q1014" s="8" t="s">
        <x:v>45</x:v>
      </x:c>
      <x:c r="R1014" s="8" t="s">
        <x:v>1623</x:v>
      </x:c>
      <x:c r="S1014" s="8" t="s">
        <x:v>1638</x:v>
      </x:c>
      <x:c r="T1014" s="8" t="s">
        <x:v>27</x:v>
      </x:c>
      <x:c r="U1014" s="8" t="s">
        <x:v>883</x:v>
      </x:c>
      <x:c r="V1014" s="8" t="s">
        <x:v>2764</x:v>
      </x:c>
    </x:row>
    <x:row r="1015" ht="36" hidden="0" customHeight="1">
      <x:c r="A1015" s="8" t="s">
        <x:v>2933</x:v>
      </x:c>
      <x:c r="B1015" s="8" t="s">
        <x:v>2918</x:v>
      </x:c>
      <x:c r="C1015" s="8"/>
      <x:c r="D1015" s="8" t="s">
        <x:v>2934</x:v>
      </x:c>
      <x:c r="E1015" s="8" t="s">
        <x:v>2935</x:v>
      </x:c>
      <x:c r="F1015" s="8" t="s">
        <x:v>1617</x:v>
      </x:c>
      <x:c r="G1015" s="8" t="s">
        <x:v>109</x:v>
      </x:c>
      <x:c r="H1015" s="8" t="s">
        <x:v>2920</x:v>
      </x:c>
      <x:c r="I1015" s="8" t="s">
        <x:v>2921</x:v>
      </x:c>
      <x:c r="J1015" s="8" t="s">
        <x:v>112</x:v>
      </x:c>
      <x:c r="K1015" s="8" t="s">
        <x:v>2930</x:v>
      </x:c>
      <x:c r="L1015" s="8" t="s">
        <x:v>2930</x:v>
      </x:c>
      <x:c r="M1015" s="8"/>
      <x:c r="N1015" s="8"/>
      <x:c r="O1015" s="8" t="s">
        <x:v>1622</x:v>
      </x:c>
      <x:c r="P1015" s="8" t="s">
        <x:v>115</x:v>
      </x:c>
      <x:c r="Q1015" s="8" t="s">
        <x:v>45</x:v>
      </x:c>
      <x:c r="R1015" s="8" t="s">
        <x:v>1623</x:v>
      </x:c>
      <x:c r="S1015" s="8"/>
      <x:c r="T1015" s="8" t="s">
        <x:v>27</x:v>
      </x:c>
      <x:c r="U1015" s="8" t="s">
        <x:v>883</x:v>
      </x:c>
      <x:c r="V1015" s="8" t="s">
        <x:v>2764</x:v>
      </x:c>
    </x:row>
    <x:row r="1016" ht="36" hidden="0" customHeight="1">
      <x:c r="A1016" s="8" t="s">
        <x:v>2936</x:v>
      </x:c>
      <x:c r="B1016" s="8" t="s">
        <x:v>2918</x:v>
      </x:c>
      <x:c r="C1016" s="8"/>
      <x:c r="D1016" s="8" t="s">
        <x:v>318</x:v>
      </x:c>
      <x:c r="E1016" s="8" t="n">
        <x:v>1E-005</x:v>
      </x:c>
      <x:c r="F1016" s="8" t="s">
        <x:v>1617</x:v>
      </x:c>
      <x:c r="G1016" s="8" t="s">
        <x:v>109</x:v>
      </x:c>
      <x:c r="H1016" s="8" t="s">
        <x:v>2920</x:v>
      </x:c>
      <x:c r="I1016" s="8" t="s">
        <x:v>2921</x:v>
      </x:c>
      <x:c r="J1016" s="8" t="s">
        <x:v>112</x:v>
      </x:c>
      <x:c r="K1016" s="8" t="s">
        <x:v>2937</x:v>
      </x:c>
      <x:c r="L1016" s="8" t="s">
        <x:v>2937</x:v>
      </x:c>
      <x:c r="M1016" s="8"/>
      <x:c r="N1016" s="8"/>
      <x:c r="O1016" s="8" t="s">
        <x:v>1622</x:v>
      </x:c>
      <x:c r="P1016" s="8" t="s">
        <x:v>115</x:v>
      </x:c>
      <x:c r="Q1016" s="8" t="s">
        <x:v>45</x:v>
      </x:c>
      <x:c r="R1016" s="8" t="s">
        <x:v>1623</x:v>
      </x:c>
      <x:c r="S1016" s="8" t="s">
        <x:v>2938</x:v>
      </x:c>
      <x:c r="T1016" s="8" t="s">
        <x:v>27</x:v>
      </x:c>
      <x:c r="U1016" s="8" t="s">
        <x:v>883</x:v>
      </x:c>
      <x:c r="V1016" s="8" t="s">
        <x:v>2764</x:v>
      </x:c>
    </x:row>
    <x:row r="1017" ht="36" hidden="0" customHeight="1">
      <x:c r="A1017" s="8" t="s">
        <x:v>2939</x:v>
      </x:c>
      <x:c r="B1017" s="8" t="s">
        <x:v>2918</x:v>
      </x:c>
      <x:c r="C1017" s="8"/>
      <x:c r="D1017" s="8" t="s">
        <x:v>2199</x:v>
      </x:c>
      <x:c r="E1017" s="8" t="n">
        <x:v>0.2</x:v>
      </x:c>
      <x:c r="F1017" s="8" t="s">
        <x:v>1617</x:v>
      </x:c>
      <x:c r="G1017" s="8" t="s">
        <x:v>109</x:v>
      </x:c>
      <x:c r="H1017" s="8" t="s">
        <x:v>2920</x:v>
      </x:c>
      <x:c r="I1017" s="8" t="s">
        <x:v>2921</x:v>
      </x:c>
      <x:c r="J1017" s="8" t="s">
        <x:v>112</x:v>
      </x:c>
      <x:c r="K1017" s="8" t="s">
        <x:v>2937</x:v>
      </x:c>
      <x:c r="L1017" s="8" t="s">
        <x:v>2937</x:v>
      </x:c>
      <x:c r="M1017" s="8"/>
      <x:c r="N1017" s="8"/>
      <x:c r="O1017" s="8" t="s">
        <x:v>1622</x:v>
      </x:c>
      <x:c r="P1017" s="8" t="s">
        <x:v>115</x:v>
      </x:c>
      <x:c r="Q1017" s="8" t="s">
        <x:v>45</x:v>
      </x:c>
      <x:c r="R1017" s="8" t="s">
        <x:v>1623</x:v>
      </x:c>
      <x:c r="S1017" s="8" t="s">
        <x:v>2938</x:v>
      </x:c>
      <x:c r="T1017" s="8" t="s">
        <x:v>27</x:v>
      </x:c>
      <x:c r="U1017" s="8" t="s">
        <x:v>883</x:v>
      </x:c>
      <x:c r="V1017" s="8" t="s">
        <x:v>2764</x:v>
      </x:c>
    </x:row>
    <x:row r="1018" ht="36" hidden="0" customHeight="1">
      <x:c r="A1018" s="8" t="s">
        <x:v>2940</x:v>
      </x:c>
      <x:c r="B1018" s="8" t="s">
        <x:v>2918</x:v>
      </x:c>
      <x:c r="C1018" s="8"/>
      <x:c r="D1018" s="8" t="s">
        <x:v>237</x:v>
      </x:c>
      <x:c r="E1018" s="8" t="s">
        <x:v>2941</x:v>
      </x:c>
      <x:c r="F1018" s="8" t="s">
        <x:v>1617</x:v>
      </x:c>
      <x:c r="G1018" s="8" t="s">
        <x:v>109</x:v>
      </x:c>
      <x:c r="H1018" s="8" t="s">
        <x:v>2920</x:v>
      </x:c>
      <x:c r="I1018" s="8" t="s">
        <x:v>2921</x:v>
      </x:c>
      <x:c r="J1018" s="8" t="s">
        <x:v>112</x:v>
      </x:c>
      <x:c r="K1018" s="8" t="s">
        <x:v>2937</x:v>
      </x:c>
      <x:c r="L1018" s="8" t="s">
        <x:v>2937</x:v>
      </x:c>
      <x:c r="M1018" s="8"/>
      <x:c r="N1018" s="8"/>
      <x:c r="O1018" s="8" t="s">
        <x:v>1622</x:v>
      </x:c>
      <x:c r="P1018" s="8" t="s">
        <x:v>115</x:v>
      </x:c>
      <x:c r="Q1018" s="8" t="s">
        <x:v>45</x:v>
      </x:c>
      <x:c r="R1018" s="8" t="s">
        <x:v>1623</x:v>
      </x:c>
      <x:c r="S1018" s="8"/>
      <x:c r="T1018" s="8" t="s">
        <x:v>27</x:v>
      </x:c>
      <x:c r="U1018" s="8" t="s">
        <x:v>883</x:v>
      </x:c>
      <x:c r="V1018" s="8" t="s">
        <x:v>2764</x:v>
      </x:c>
    </x:row>
    <x:row r="1019" ht="36" hidden="0" customHeight="1">
      <x:c r="A1019" s="8" t="s">
        <x:v>2942</x:v>
      </x:c>
      <x:c r="B1019" s="8" t="s">
        <x:v>2918</x:v>
      </x:c>
      <x:c r="C1019" s="8"/>
      <x:c r="D1019" s="8" t="s">
        <x:v>2943</x:v>
      </x:c>
      <x:c r="E1019" s="8" t="s">
        <x:v>2944</x:v>
      </x:c>
      <x:c r="F1019" s="8" t="s">
        <x:v>1617</x:v>
      </x:c>
      <x:c r="G1019" s="8" t="s">
        <x:v>109</x:v>
      </x:c>
      <x:c r="H1019" s="8" t="s">
        <x:v>2920</x:v>
      </x:c>
      <x:c r="I1019" s="8" t="s">
        <x:v>2921</x:v>
      </x:c>
      <x:c r="J1019" s="8" t="s">
        <x:v>112</x:v>
      </x:c>
      <x:c r="K1019" s="8" t="s">
        <x:v>2937</x:v>
      </x:c>
      <x:c r="L1019" s="8" t="s">
        <x:v>2937</x:v>
      </x:c>
      <x:c r="M1019" s="8"/>
      <x:c r="N1019" s="8"/>
      <x:c r="O1019" s="8" t="s">
        <x:v>1622</x:v>
      </x:c>
      <x:c r="P1019" s="8" t="s">
        <x:v>115</x:v>
      </x:c>
      <x:c r="Q1019" s="8" t="s">
        <x:v>45</x:v>
      </x:c>
      <x:c r="R1019" s="8" t="s">
        <x:v>1623</x:v>
      </x:c>
      <x:c r="S1019" s="8"/>
      <x:c r="T1019" s="8" t="s">
        <x:v>27</x:v>
      </x:c>
      <x:c r="U1019" s="8" t="s">
        <x:v>883</x:v>
      </x:c>
      <x:c r="V1019" s="8" t="s">
        <x:v>2764</x:v>
      </x:c>
    </x:row>
    <x:row r="1020" ht="36" hidden="0" customHeight="1">
      <x:c r="A1020" s="8" t="s">
        <x:v>2945</x:v>
      </x:c>
      <x:c r="B1020" s="8" t="s">
        <x:v>2918</x:v>
      </x:c>
      <x:c r="C1020" s="8"/>
      <x:c r="D1020" s="8" t="s">
        <x:v>2946</x:v>
      </x:c>
      <x:c r="E1020" s="8" t="s">
        <x:v>2947</x:v>
      </x:c>
      <x:c r="F1020" s="8" t="s">
        <x:v>1617</x:v>
      </x:c>
      <x:c r="G1020" s="8" t="s">
        <x:v>109</x:v>
      </x:c>
      <x:c r="H1020" s="8" t="s">
        <x:v>2920</x:v>
      </x:c>
      <x:c r="I1020" s="8" t="s">
        <x:v>2921</x:v>
      </x:c>
      <x:c r="J1020" s="8" t="s">
        <x:v>112</x:v>
      </x:c>
      <x:c r="K1020" s="8" t="s">
        <x:v>2937</x:v>
      </x:c>
      <x:c r="L1020" s="8" t="s">
        <x:v>2937</x:v>
      </x:c>
      <x:c r="M1020" s="8"/>
      <x:c r="N1020" s="8"/>
      <x:c r="O1020" s="8" t="s">
        <x:v>1622</x:v>
      </x:c>
      <x:c r="P1020" s="8" t="s">
        <x:v>115</x:v>
      </x:c>
      <x:c r="Q1020" s="8" t="s">
        <x:v>45</x:v>
      </x:c>
      <x:c r="R1020" s="8" t="s">
        <x:v>1623</x:v>
      </x:c>
      <x:c r="S1020" s="8"/>
      <x:c r="T1020" s="8" t="s">
        <x:v>27</x:v>
      </x:c>
      <x:c r="U1020" s="8" t="s">
        <x:v>883</x:v>
      </x:c>
      <x:c r="V1020" s="8" t="s">
        <x:v>2764</x:v>
      </x:c>
    </x:row>
    <x:row r="1021" ht="36" hidden="0" customHeight="1">
      <x:c r="A1021" s="8" t="s">
        <x:v>2948</x:v>
      </x:c>
      <x:c r="B1021" s="8" t="s">
        <x:v>2918</x:v>
      </x:c>
      <x:c r="C1021" s="8"/>
      <x:c r="D1021" s="8" t="s">
        <x:v>1948</x:v>
      </x:c>
      <x:c r="E1021" s="8" t="s">
        <x:v>2949</x:v>
      </x:c>
      <x:c r="F1021" s="8" t="s">
        <x:v>1617</x:v>
      </x:c>
      <x:c r="G1021" s="8" t="s">
        <x:v>109</x:v>
      </x:c>
      <x:c r="H1021" s="8" t="s">
        <x:v>2920</x:v>
      </x:c>
      <x:c r="I1021" s="8" t="s">
        <x:v>2921</x:v>
      </x:c>
      <x:c r="J1021" s="8" t="s">
        <x:v>112</x:v>
      </x:c>
      <x:c r="K1021" s="8" t="s">
        <x:v>2937</x:v>
      </x:c>
      <x:c r="L1021" s="8" t="s">
        <x:v>2937</x:v>
      </x:c>
      <x:c r="M1021" s="8"/>
      <x:c r="N1021" s="8"/>
      <x:c r="O1021" s="8" t="s">
        <x:v>1622</x:v>
      </x:c>
      <x:c r="P1021" s="8" t="s">
        <x:v>115</x:v>
      </x:c>
      <x:c r="Q1021" s="8" t="s">
        <x:v>45</x:v>
      </x:c>
      <x:c r="R1021" s="8" t="s">
        <x:v>1623</x:v>
      </x:c>
      <x:c r="S1021" s="8"/>
      <x:c r="T1021" s="8" t="s">
        <x:v>27</x:v>
      </x:c>
      <x:c r="U1021" s="8" t="s">
        <x:v>883</x:v>
      </x:c>
      <x:c r="V1021" s="8" t="s">
        <x:v>2764</x:v>
      </x:c>
    </x:row>
    <x:row r="1022" ht="36" hidden="0" customHeight="1">
      <x:c r="A1022" s="8" t="s">
        <x:v>2950</x:v>
      </x:c>
      <x:c r="B1022" s="8" t="s">
        <x:v>2918</x:v>
      </x:c>
      <x:c r="C1022" s="8"/>
      <x:c r="D1022" s="8" t="s">
        <x:v>1731</x:v>
      </x:c>
      <x:c r="E1022" s="8" t="s">
        <x:v>2951</x:v>
      </x:c>
      <x:c r="F1022" s="8" t="s">
        <x:v>1617</x:v>
      </x:c>
      <x:c r="G1022" s="8" t="s">
        <x:v>109</x:v>
      </x:c>
      <x:c r="H1022" s="8" t="s">
        <x:v>2920</x:v>
      </x:c>
      <x:c r="I1022" s="8" t="s">
        <x:v>2921</x:v>
      </x:c>
      <x:c r="J1022" s="8" t="s">
        <x:v>112</x:v>
      </x:c>
      <x:c r="K1022" s="8" t="s">
        <x:v>2937</x:v>
      </x:c>
      <x:c r="L1022" s="8" t="s">
        <x:v>2937</x:v>
      </x:c>
      <x:c r="M1022" s="8"/>
      <x:c r="N1022" s="8"/>
      <x:c r="O1022" s="8" t="s">
        <x:v>1622</x:v>
      </x:c>
      <x:c r="P1022" s="8" t="s">
        <x:v>115</x:v>
      </x:c>
      <x:c r="Q1022" s="8" t="s">
        <x:v>45</x:v>
      </x:c>
      <x:c r="R1022" s="8" t="s">
        <x:v>1623</x:v>
      </x:c>
      <x:c r="S1022" s="8"/>
      <x:c r="T1022" s="8" t="s">
        <x:v>27</x:v>
      </x:c>
      <x:c r="U1022" s="8" t="s">
        <x:v>883</x:v>
      </x:c>
      <x:c r="V1022" s="8" t="s">
        <x:v>2764</x:v>
      </x:c>
    </x:row>
    <x:row r="1023" ht="36" hidden="0" customHeight="1">
      <x:c r="A1023" s="8" t="s">
        <x:v>2952</x:v>
      </x:c>
      <x:c r="B1023" s="8" t="s">
        <x:v>2918</x:v>
      </x:c>
      <x:c r="C1023" s="8"/>
      <x:c r="D1023" s="8" t="s">
        <x:v>2953</x:v>
      </x:c>
      <x:c r="E1023" s="8" t="s">
        <x:v>2954</x:v>
      </x:c>
      <x:c r="F1023" s="8" t="s">
        <x:v>1617</x:v>
      </x:c>
      <x:c r="G1023" s="8" t="s">
        <x:v>187</x:v>
      </x:c>
      <x:c r="H1023" s="8" t="s">
        <x:v>2920</x:v>
      </x:c>
      <x:c r="I1023" s="8" t="s">
        <x:v>2921</x:v>
      </x:c>
      <x:c r="J1023" s="8" t="s">
        <x:v>112</x:v>
      </x:c>
      <x:c r="K1023" s="8" t="s">
        <x:v>2955</x:v>
      </x:c>
      <x:c r="L1023" s="8" t="s">
        <x:v>2955</x:v>
      </x:c>
      <x:c r="M1023" s="8"/>
      <x:c r="N1023" s="8"/>
      <x:c r="O1023" s="8" t="s">
        <x:v>1622</x:v>
      </x:c>
      <x:c r="P1023" s="8" t="s">
        <x:v>115</x:v>
      </x:c>
      <x:c r="Q1023" s="8" t="s">
        <x:v>45</x:v>
      </x:c>
      <x:c r="R1023" s="8" t="s">
        <x:v>1623</x:v>
      </x:c>
      <x:c r="S1023" s="8"/>
      <x:c r="T1023" s="8" t="s">
        <x:v>27</x:v>
      </x:c>
      <x:c r="U1023" s="8" t="s">
        <x:v>883</x:v>
      </x:c>
      <x:c r="V1023" s="8" t="s">
        <x:v>2764</x:v>
      </x:c>
    </x:row>
    <x:row r="1024" ht="36" hidden="0" customHeight="1">
      <x:c r="A1024" s="8" t="s">
        <x:v>2956</x:v>
      </x:c>
      <x:c r="B1024" s="8" t="s">
        <x:v>2957</x:v>
      </x:c>
      <x:c r="C1024" s="8"/>
      <x:c r="D1024" s="8" t="s">
        <x:v>2958</x:v>
      </x:c>
      <x:c r="E1024" s="8" t="n">
        <x:v>3</x:v>
      </x:c>
      <x:c r="F1024" s="8" t="s">
        <x:v>1617</x:v>
      </x:c>
      <x:c r="G1024" s="8" t="s">
        <x:v>109</x:v>
      </x:c>
      <x:c r="H1024" s="8" t="s">
        <x:v>2959</x:v>
      </x:c>
      <x:c r="I1024" s="8" t="s">
        <x:v>2960</x:v>
      </x:c>
      <x:c r="J1024" s="8" t="s">
        <x:v>112</x:v>
      </x:c>
      <x:c r="K1024" s="8" t="s">
        <x:v>2961</x:v>
      </x:c>
      <x:c r="L1024" s="8" t="s">
        <x:v>2961</x:v>
      </x:c>
      <x:c r="M1024" s="8"/>
      <x:c r="N1024" s="8"/>
      <x:c r="O1024" s="8" t="s">
        <x:v>1622</x:v>
      </x:c>
      <x:c r="P1024" s="8" t="s">
        <x:v>115</x:v>
      </x:c>
      <x:c r="Q1024" s="8" t="s">
        <x:v>45</x:v>
      </x:c>
      <x:c r="R1024" s="8" t="s">
        <x:v>1623</x:v>
      </x:c>
      <x:c r="S1024" s="8" t="s">
        <x:v>2962</x:v>
      </x:c>
      <x:c r="T1024" s="8" t="s">
        <x:v>27</x:v>
      </x:c>
      <x:c r="U1024" s="8" t="s">
        <x:v>883</x:v>
      </x:c>
      <x:c r="V1024" s="8" t="s">
        <x:v>2764</x:v>
      </x:c>
    </x:row>
    <x:row r="1025" ht="36" hidden="0" customHeight="1">
      <x:c r="A1025" s="8" t="s">
        <x:v>2963</x:v>
      </x:c>
      <x:c r="B1025" s="8" t="s">
        <x:v>2957</x:v>
      </x:c>
      <x:c r="C1025" s="8"/>
      <x:c r="D1025" s="8" t="s">
        <x:v>2964</x:v>
      </x:c>
      <x:c r="E1025" s="8" t="s">
        <x:v>2965</x:v>
      </x:c>
      <x:c r="F1025" s="8" t="s">
        <x:v>1617</x:v>
      </x:c>
      <x:c r="G1025" s="8" t="s">
        <x:v>109</x:v>
      </x:c>
      <x:c r="H1025" s="8" t="s">
        <x:v>2959</x:v>
      </x:c>
      <x:c r="I1025" s="8" t="s">
        <x:v>2960</x:v>
      </x:c>
      <x:c r="J1025" s="8" t="s">
        <x:v>112</x:v>
      </x:c>
      <x:c r="K1025" s="8" t="s">
        <x:v>2961</x:v>
      </x:c>
      <x:c r="L1025" s="8" t="s">
        <x:v>2961</x:v>
      </x:c>
      <x:c r="M1025" s="8"/>
      <x:c r="N1025" s="8"/>
      <x:c r="O1025" s="8" t="s">
        <x:v>1622</x:v>
      </x:c>
      <x:c r="P1025" s="8" t="s">
        <x:v>115</x:v>
      </x:c>
      <x:c r="Q1025" s="8" t="s">
        <x:v>45</x:v>
      </x:c>
      <x:c r="R1025" s="8" t="s">
        <x:v>1623</x:v>
      </x:c>
      <x:c r="S1025" s="8"/>
      <x:c r="T1025" s="8" t="s">
        <x:v>27</x:v>
      </x:c>
      <x:c r="U1025" s="8" t="s">
        <x:v>883</x:v>
      </x:c>
      <x:c r="V1025" s="8" t="s">
        <x:v>2764</x:v>
      </x:c>
    </x:row>
    <x:row r="1026" ht="36" hidden="0" customHeight="1">
      <x:c r="A1026" s="8" t="s">
        <x:v>2966</x:v>
      </x:c>
      <x:c r="B1026" s="8" t="s">
        <x:v>2957</x:v>
      </x:c>
      <x:c r="C1026" s="8"/>
      <x:c r="D1026" s="8" t="s">
        <x:v>2967</x:v>
      </x:c>
      <x:c r="E1026" s="8" t="n">
        <x:v>4</x:v>
      </x:c>
      <x:c r="F1026" s="8" t="s">
        <x:v>1617</x:v>
      </x:c>
      <x:c r="G1026" s="8" t="s">
        <x:v>109</x:v>
      </x:c>
      <x:c r="H1026" s="8" t="s">
        <x:v>2959</x:v>
      </x:c>
      <x:c r="I1026" s="8" t="s">
        <x:v>2960</x:v>
      </x:c>
      <x:c r="J1026" s="8" t="s">
        <x:v>112</x:v>
      </x:c>
      <x:c r="K1026" s="8" t="s">
        <x:v>2961</x:v>
      </x:c>
      <x:c r="L1026" s="8" t="s">
        <x:v>2961</x:v>
      </x:c>
      <x:c r="M1026" s="8"/>
      <x:c r="N1026" s="8"/>
      <x:c r="O1026" s="8" t="s">
        <x:v>1622</x:v>
      </x:c>
      <x:c r="P1026" s="8" t="s">
        <x:v>115</x:v>
      </x:c>
      <x:c r="Q1026" s="8" t="s">
        <x:v>45</x:v>
      </x:c>
      <x:c r="R1026" s="8" t="s">
        <x:v>1623</x:v>
      </x:c>
      <x:c r="S1026" s="8" t="s">
        <x:v>2962</x:v>
      </x:c>
      <x:c r="T1026" s="8" t="s">
        <x:v>27</x:v>
      </x:c>
      <x:c r="U1026" s="8" t="s">
        <x:v>883</x:v>
      </x:c>
      <x:c r="V1026" s="8" t="s">
        <x:v>2764</x:v>
      </x:c>
    </x:row>
    <x:row r="1027" ht="36" hidden="0" customHeight="1">
      <x:c r="A1027" s="8" t="s">
        <x:v>2968</x:v>
      </x:c>
      <x:c r="B1027" s="8" t="s">
        <x:v>2957</x:v>
      </x:c>
      <x:c r="C1027" s="8"/>
      <x:c r="D1027" s="8" t="s">
        <x:v>2969</x:v>
      </x:c>
      <x:c r="E1027" s="8" t="n">
        <x:v>96</x:v>
      </x:c>
      <x:c r="F1027" s="8" t="s">
        <x:v>1617</x:v>
      </x:c>
      <x:c r="G1027" s="8" t="s">
        <x:v>109</x:v>
      </x:c>
      <x:c r="H1027" s="8" t="s">
        <x:v>2959</x:v>
      </x:c>
      <x:c r="I1027" s="8" t="s">
        <x:v>2960</x:v>
      </x:c>
      <x:c r="J1027" s="8" t="s">
        <x:v>112</x:v>
      </x:c>
      <x:c r="K1027" s="8" t="s">
        <x:v>2961</x:v>
      </x:c>
      <x:c r="L1027" s="8" t="s">
        <x:v>2961</x:v>
      </x:c>
      <x:c r="M1027" s="8"/>
      <x:c r="N1027" s="8"/>
      <x:c r="O1027" s="8" t="s">
        <x:v>1622</x:v>
      </x:c>
      <x:c r="P1027" s="8" t="s">
        <x:v>115</x:v>
      </x:c>
      <x:c r="Q1027" s="8" t="s">
        <x:v>45</x:v>
      </x:c>
      <x:c r="R1027" s="8" t="s">
        <x:v>1623</x:v>
      </x:c>
      <x:c r="S1027" s="8"/>
      <x:c r="T1027" s="8" t="s">
        <x:v>27</x:v>
      </x:c>
      <x:c r="U1027" s="8" t="s">
        <x:v>883</x:v>
      </x:c>
      <x:c r="V1027" s="8" t="s">
        <x:v>2764</x:v>
      </x:c>
    </x:row>
    <x:row r="1028" ht="36" hidden="0" customHeight="1">
      <x:c r="A1028" s="8" t="s">
        <x:v>2970</x:v>
      </x:c>
      <x:c r="B1028" s="8" t="s">
        <x:v>2957</x:v>
      </x:c>
      <x:c r="C1028" s="8"/>
      <x:c r="D1028" s="8" t="s">
        <x:v>1335</x:v>
      </x:c>
      <x:c r="E1028" s="8" t="n">
        <x:v>4</x:v>
      </x:c>
      <x:c r="F1028" s="8" t="s">
        <x:v>1617</x:v>
      </x:c>
      <x:c r="G1028" s="8" t="s">
        <x:v>109</x:v>
      </x:c>
      <x:c r="H1028" s="8" t="s">
        <x:v>2959</x:v>
      </x:c>
      <x:c r="I1028" s="8" t="s">
        <x:v>2960</x:v>
      </x:c>
      <x:c r="J1028" s="8" t="s">
        <x:v>112</x:v>
      </x:c>
      <x:c r="K1028" s="8" t="s">
        <x:v>2961</x:v>
      </x:c>
      <x:c r="L1028" s="8" t="s">
        <x:v>2961</x:v>
      </x:c>
      <x:c r="M1028" s="8"/>
      <x:c r="N1028" s="8"/>
      <x:c r="O1028" s="8" t="s">
        <x:v>1622</x:v>
      </x:c>
      <x:c r="P1028" s="8" t="s">
        <x:v>115</x:v>
      </x:c>
      <x:c r="Q1028" s="8" t="s">
        <x:v>45</x:v>
      </x:c>
      <x:c r="R1028" s="8" t="s">
        <x:v>1623</x:v>
      </x:c>
      <x:c r="S1028" s="8" t="s">
        <x:v>2971</x:v>
      </x:c>
      <x:c r="T1028" s="8" t="s">
        <x:v>27</x:v>
      </x:c>
      <x:c r="U1028" s="8" t="s">
        <x:v>883</x:v>
      </x:c>
      <x:c r="V1028" s="8" t="s">
        <x:v>2764</x:v>
      </x:c>
    </x:row>
    <x:row r="1029" ht="36" hidden="0" customHeight="1">
      <x:c r="A1029" s="8" t="s">
        <x:v>2972</x:v>
      </x:c>
      <x:c r="B1029" s="8" t="s">
        <x:v>2957</x:v>
      </x:c>
      <x:c r="C1029" s="8"/>
      <x:c r="D1029" s="8" t="s">
        <x:v>2973</x:v>
      </x:c>
      <x:c r="E1029" s="8" t="s">
        <x:v>2974</x:v>
      </x:c>
      <x:c r="F1029" s="8" t="s">
        <x:v>1617</x:v>
      </x:c>
      <x:c r="G1029" s="8" t="s">
        <x:v>109</x:v>
      </x:c>
      <x:c r="H1029" s="8" t="s">
        <x:v>2959</x:v>
      </x:c>
      <x:c r="I1029" s="8" t="s">
        <x:v>2960</x:v>
      </x:c>
      <x:c r="J1029" s="8" t="s">
        <x:v>112</x:v>
      </x:c>
      <x:c r="K1029" s="8" t="s">
        <x:v>2961</x:v>
      </x:c>
      <x:c r="L1029" s="8" t="s">
        <x:v>2961</x:v>
      </x:c>
      <x:c r="M1029" s="8"/>
      <x:c r="N1029" s="8"/>
      <x:c r="O1029" s="8" t="s">
        <x:v>1622</x:v>
      </x:c>
      <x:c r="P1029" s="8" t="s">
        <x:v>115</x:v>
      </x:c>
      <x:c r="Q1029" s="8" t="s">
        <x:v>45</x:v>
      </x:c>
      <x:c r="R1029" s="8" t="s">
        <x:v>1623</x:v>
      </x:c>
      <x:c r="S1029" s="8"/>
      <x:c r="T1029" s="8" t="s">
        <x:v>27</x:v>
      </x:c>
      <x:c r="U1029" s="8" t="s">
        <x:v>883</x:v>
      </x:c>
      <x:c r="V1029" s="8" t="s">
        <x:v>2764</x:v>
      </x:c>
    </x:row>
    <x:row r="1030" ht="36" hidden="0" customHeight="1">
      <x:c r="A1030" s="8" t="s">
        <x:v>2975</x:v>
      </x:c>
      <x:c r="B1030" s="8" t="s">
        <x:v>2957</x:v>
      </x:c>
      <x:c r="C1030" s="8"/>
      <x:c r="D1030" s="8" t="s">
        <x:v>164</x:v>
      </x:c>
      <x:c r="E1030" s="8" t="s">
        <x:v>1363</x:v>
      </x:c>
      <x:c r="F1030" s="8" t="s">
        <x:v>1617</x:v>
      </x:c>
      <x:c r="G1030" s="8" t="s">
        <x:v>109</x:v>
      </x:c>
      <x:c r="H1030" s="8" t="s">
        <x:v>2959</x:v>
      </x:c>
      <x:c r="I1030" s="8" t="s">
        <x:v>2960</x:v>
      </x:c>
      <x:c r="J1030" s="8" t="s">
        <x:v>112</x:v>
      </x:c>
      <x:c r="K1030" s="8" t="s">
        <x:v>2961</x:v>
      </x:c>
      <x:c r="L1030" s="8" t="s">
        <x:v>2961</x:v>
      </x:c>
      <x:c r="M1030" s="8"/>
      <x:c r="N1030" s="8"/>
      <x:c r="O1030" s="8" t="s">
        <x:v>1622</x:v>
      </x:c>
      <x:c r="P1030" s="8" t="s">
        <x:v>115</x:v>
      </x:c>
      <x:c r="Q1030" s="8" t="s">
        <x:v>45</x:v>
      </x:c>
      <x:c r="R1030" s="8" t="s">
        <x:v>1623</x:v>
      </x:c>
      <x:c r="S1030" s="8"/>
      <x:c r="T1030" s="8" t="s">
        <x:v>27</x:v>
      </x:c>
      <x:c r="U1030" s="8" t="s">
        <x:v>883</x:v>
      </x:c>
      <x:c r="V1030" s="8" t="s">
        <x:v>2764</x:v>
      </x:c>
    </x:row>
    <x:row r="1031" ht="36" hidden="0" customHeight="1">
      <x:c r="A1031" s="8" t="s">
        <x:v>2976</x:v>
      </x:c>
      <x:c r="B1031" s="8" t="s">
        <x:v>2957</x:v>
      </x:c>
      <x:c r="C1031" s="8"/>
      <x:c r="D1031" s="8" t="s">
        <x:v>318</x:v>
      </x:c>
      <x:c r="E1031" s="8" t="n">
        <x:v>0.001</x:v>
      </x:c>
      <x:c r="F1031" s="8" t="s">
        <x:v>1617</x:v>
      </x:c>
      <x:c r="G1031" s="8" t="s">
        <x:v>109</x:v>
      </x:c>
      <x:c r="H1031" s="8" t="s">
        <x:v>2959</x:v>
      </x:c>
      <x:c r="I1031" s="8" t="s">
        <x:v>2960</x:v>
      </x:c>
      <x:c r="J1031" s="8" t="s">
        <x:v>112</x:v>
      </x:c>
      <x:c r="K1031" s="8" t="s">
        <x:v>2961</x:v>
      </x:c>
      <x:c r="L1031" s="8" t="s">
        <x:v>2961</x:v>
      </x:c>
      <x:c r="M1031" s="8"/>
      <x:c r="N1031" s="8"/>
      <x:c r="O1031" s="8" t="s">
        <x:v>1622</x:v>
      </x:c>
      <x:c r="P1031" s="8" t="s">
        <x:v>115</x:v>
      </x:c>
      <x:c r="Q1031" s="8" t="s">
        <x:v>45</x:v>
      </x:c>
      <x:c r="R1031" s="8" t="s">
        <x:v>1623</x:v>
      </x:c>
      <x:c r="S1031" s="8"/>
      <x:c r="T1031" s="8" t="s">
        <x:v>27</x:v>
      </x:c>
      <x:c r="U1031" s="8" t="s">
        <x:v>883</x:v>
      </x:c>
      <x:c r="V1031" s="8" t="s">
        <x:v>2764</x:v>
      </x:c>
    </x:row>
    <x:row r="1032" ht="36" hidden="0" customHeight="1">
      <x:c r="A1032" s="8" t="s">
        <x:v>2977</x:v>
      </x:c>
      <x:c r="B1032" s="8" t="s">
        <x:v>2957</x:v>
      </x:c>
      <x:c r="C1032" s="8"/>
      <x:c r="D1032" s="8" t="s">
        <x:v>402</x:v>
      </x:c>
      <x:c r="E1032" s="8" t="n">
        <x:v>0.0001</x:v>
      </x:c>
      <x:c r="F1032" s="8" t="s">
        <x:v>1617</x:v>
      </x:c>
      <x:c r="G1032" s="8" t="s">
        <x:v>109</x:v>
      </x:c>
      <x:c r="H1032" s="8" t="s">
        <x:v>2959</x:v>
      </x:c>
      <x:c r="I1032" s="8" t="s">
        <x:v>2960</x:v>
      </x:c>
      <x:c r="J1032" s="8" t="s">
        <x:v>112</x:v>
      </x:c>
      <x:c r="K1032" s="8" t="s">
        <x:v>2961</x:v>
      </x:c>
      <x:c r="L1032" s="8" t="s">
        <x:v>2961</x:v>
      </x:c>
      <x:c r="M1032" s="8"/>
      <x:c r="N1032" s="8"/>
      <x:c r="O1032" s="8" t="s">
        <x:v>1622</x:v>
      </x:c>
      <x:c r="P1032" s="8" t="s">
        <x:v>115</x:v>
      </x:c>
      <x:c r="Q1032" s="8" t="s">
        <x:v>45</x:v>
      </x:c>
      <x:c r="R1032" s="8" t="s">
        <x:v>1623</x:v>
      </x:c>
      <x:c r="S1032" s="8"/>
      <x:c r="T1032" s="8" t="s">
        <x:v>27</x:v>
      </x:c>
      <x:c r="U1032" s="8" t="s">
        <x:v>883</x:v>
      </x:c>
      <x:c r="V1032" s="8" t="s">
        <x:v>2764</x:v>
      </x:c>
    </x:row>
    <x:row r="1033" ht="36" hidden="0" customHeight="1">
      <x:c r="A1033" s="8" t="s">
        <x:v>2978</x:v>
      </x:c>
      <x:c r="B1033" s="8" t="s">
        <x:v>2957</x:v>
      </x:c>
      <x:c r="C1033" s="8"/>
      <x:c r="D1033" s="8" t="s">
        <x:v>1652</x:v>
      </x:c>
      <x:c r="E1033" s="8" t="s">
        <x:v>831</x:v>
      </x:c>
      <x:c r="F1033" s="8" t="s">
        <x:v>1617</x:v>
      </x:c>
      <x:c r="G1033" s="8" t="s">
        <x:v>109</x:v>
      </x:c>
      <x:c r="H1033" s="8" t="s">
        <x:v>2959</x:v>
      </x:c>
      <x:c r="I1033" s="8" t="s">
        <x:v>2960</x:v>
      </x:c>
      <x:c r="J1033" s="8" t="s">
        <x:v>112</x:v>
      </x:c>
      <x:c r="K1033" s="8" t="s">
        <x:v>2961</x:v>
      </x:c>
      <x:c r="L1033" s="8" t="s">
        <x:v>2961</x:v>
      </x:c>
      <x:c r="M1033" s="8"/>
      <x:c r="N1033" s="8"/>
      <x:c r="O1033" s="8" t="s">
        <x:v>1622</x:v>
      </x:c>
      <x:c r="P1033" s="8" t="s">
        <x:v>115</x:v>
      </x:c>
      <x:c r="Q1033" s="8" t="s">
        <x:v>45</x:v>
      </x:c>
      <x:c r="R1033" s="8" t="s">
        <x:v>1623</x:v>
      </x:c>
      <x:c r="S1033" s="8"/>
      <x:c r="T1033" s="8" t="s">
        <x:v>27</x:v>
      </x:c>
      <x:c r="U1033" s="8" t="s">
        <x:v>883</x:v>
      </x:c>
      <x:c r="V1033" s="8" t="s">
        <x:v>2764</x:v>
      </x:c>
    </x:row>
    <x:row r="1034" ht="36" hidden="0" customHeight="1">
      <x:c r="A1034" s="8" t="s">
        <x:v>2979</x:v>
      </x:c>
      <x:c r="B1034" s="8" t="s">
        <x:v>2957</x:v>
      </x:c>
      <x:c r="C1034" s="8"/>
      <x:c r="D1034" s="8" t="s">
        <x:v>167</x:v>
      </x:c>
      <x:c r="E1034" s="8" t="n">
        <x:v>64</x:v>
      </x:c>
      <x:c r="F1034" s="8" t="s">
        <x:v>1617</x:v>
      </x:c>
      <x:c r="G1034" s="8" t="s">
        <x:v>109</x:v>
      </x:c>
      <x:c r="H1034" s="8" t="s">
        <x:v>2959</x:v>
      </x:c>
      <x:c r="I1034" s="8" t="s">
        <x:v>2960</x:v>
      </x:c>
      <x:c r="J1034" s="8" t="s">
        <x:v>112</x:v>
      </x:c>
      <x:c r="K1034" s="8" t="s">
        <x:v>2961</x:v>
      </x:c>
      <x:c r="L1034" s="8" t="s">
        <x:v>2961</x:v>
      </x:c>
      <x:c r="M1034" s="8"/>
      <x:c r="N1034" s="8"/>
      <x:c r="O1034" s="8" t="s">
        <x:v>1622</x:v>
      </x:c>
      <x:c r="P1034" s="8" t="s">
        <x:v>115</x:v>
      </x:c>
      <x:c r="Q1034" s="8" t="s">
        <x:v>45</x:v>
      </x:c>
      <x:c r="R1034" s="8" t="s">
        <x:v>1623</x:v>
      </x:c>
      <x:c r="S1034" s="8" t="s">
        <x:v>1954</x:v>
      </x:c>
      <x:c r="T1034" s="8" t="s">
        <x:v>27</x:v>
      </x:c>
      <x:c r="U1034" s="8" t="s">
        <x:v>883</x:v>
      </x:c>
      <x:c r="V1034" s="8" t="s">
        <x:v>2764</x:v>
      </x:c>
    </x:row>
    <x:row r="1035" ht="36" hidden="0" customHeight="1">
      <x:c r="A1035" s="8" t="s">
        <x:v>2980</x:v>
      </x:c>
      <x:c r="B1035" s="8" t="s">
        <x:v>2957</x:v>
      </x:c>
      <x:c r="C1035" s="8"/>
      <x:c r="D1035" s="8" t="s">
        <x:v>170</x:v>
      </x:c>
      <x:c r="E1035" s="8" t="n">
        <x:v>100</x:v>
      </x:c>
      <x:c r="F1035" s="8" t="s">
        <x:v>1617</x:v>
      </x:c>
      <x:c r="G1035" s="8" t="s">
        <x:v>109</x:v>
      </x:c>
      <x:c r="H1035" s="8" t="s">
        <x:v>2959</x:v>
      </x:c>
      <x:c r="I1035" s="8" t="s">
        <x:v>2960</x:v>
      </x:c>
      <x:c r="J1035" s="8" t="s">
        <x:v>112</x:v>
      </x:c>
      <x:c r="K1035" s="8" t="s">
        <x:v>2961</x:v>
      </x:c>
      <x:c r="L1035" s="8" t="s">
        <x:v>2961</x:v>
      </x:c>
      <x:c r="M1035" s="8"/>
      <x:c r="N1035" s="8"/>
      <x:c r="O1035" s="8" t="s">
        <x:v>1622</x:v>
      </x:c>
      <x:c r="P1035" s="8" t="s">
        <x:v>115</x:v>
      </x:c>
      <x:c r="Q1035" s="8" t="s">
        <x:v>45</x:v>
      </x:c>
      <x:c r="R1035" s="8" t="s">
        <x:v>1623</x:v>
      </x:c>
      <x:c r="S1035" s="8" t="s">
        <x:v>990</x:v>
      </x:c>
      <x:c r="T1035" s="8" t="s">
        <x:v>27</x:v>
      </x:c>
      <x:c r="U1035" s="8" t="s">
        <x:v>883</x:v>
      </x:c>
      <x:c r="V1035" s="8" t="s">
        <x:v>2764</x:v>
      </x:c>
    </x:row>
    <x:row r="1036" ht="36" hidden="0" customHeight="1">
      <x:c r="A1036" s="8" t="s">
        <x:v>2981</x:v>
      </x:c>
      <x:c r="B1036" s="8" t="s">
        <x:v>2957</x:v>
      </x:c>
      <x:c r="C1036" s="8"/>
      <x:c r="D1036" s="8" t="s">
        <x:v>2982</x:v>
      </x:c>
      <x:c r="E1036" s="8" t="n">
        <x:v>1</x:v>
      </x:c>
      <x:c r="F1036" s="8" t="s">
        <x:v>1617</x:v>
      </x:c>
      <x:c r="G1036" s="8" t="s">
        <x:v>109</x:v>
      </x:c>
      <x:c r="H1036" s="8" t="s">
        <x:v>2959</x:v>
      </x:c>
      <x:c r="I1036" s="8" t="s">
        <x:v>2960</x:v>
      </x:c>
      <x:c r="J1036" s="8" t="s">
        <x:v>112</x:v>
      </x:c>
      <x:c r="K1036" s="8" t="s">
        <x:v>2961</x:v>
      </x:c>
      <x:c r="L1036" s="8" t="s">
        <x:v>2961</x:v>
      </x:c>
      <x:c r="M1036" s="8"/>
      <x:c r="N1036" s="8"/>
      <x:c r="O1036" s="8" t="s">
        <x:v>1622</x:v>
      </x:c>
      <x:c r="P1036" s="8" t="s">
        <x:v>115</x:v>
      </x:c>
      <x:c r="Q1036" s="8" t="s">
        <x:v>45</x:v>
      </x:c>
      <x:c r="R1036" s="8" t="s">
        <x:v>1623</x:v>
      </x:c>
      <x:c r="S1036" s="8"/>
      <x:c r="T1036" s="8" t="s">
        <x:v>27</x:v>
      </x:c>
      <x:c r="U1036" s="8" t="s">
        <x:v>883</x:v>
      </x:c>
      <x:c r="V1036" s="8" t="s">
        <x:v>2764</x:v>
      </x:c>
    </x:row>
    <x:row r="1037" ht="36" hidden="0" customHeight="1">
      <x:c r="A1037" s="8" t="s">
        <x:v>2983</x:v>
      </x:c>
      <x:c r="B1037" s="8" t="s">
        <x:v>2957</x:v>
      </x:c>
      <x:c r="C1037" s="8"/>
      <x:c r="D1037" s="8" t="s">
        <x:v>1889</x:v>
      </x:c>
      <x:c r="E1037" s="8" t="s">
        <x:v>2984</x:v>
      </x:c>
      <x:c r="F1037" s="8" t="s">
        <x:v>1617</x:v>
      </x:c>
      <x:c r="G1037" s="8" t="s">
        <x:v>109</x:v>
      </x:c>
      <x:c r="H1037" s="8" t="s">
        <x:v>2959</x:v>
      </x:c>
      <x:c r="I1037" s="8" t="s">
        <x:v>2960</x:v>
      </x:c>
      <x:c r="J1037" s="8" t="s">
        <x:v>112</x:v>
      </x:c>
      <x:c r="K1037" s="8" t="s">
        <x:v>2961</x:v>
      </x:c>
      <x:c r="L1037" s="8" t="s">
        <x:v>2961</x:v>
      </x:c>
      <x:c r="M1037" s="8"/>
      <x:c r="N1037" s="8"/>
      <x:c r="O1037" s="8" t="s">
        <x:v>1622</x:v>
      </x:c>
      <x:c r="P1037" s="8" t="s">
        <x:v>115</x:v>
      </x:c>
      <x:c r="Q1037" s="8" t="s">
        <x:v>45</x:v>
      </x:c>
      <x:c r="R1037" s="8" t="s">
        <x:v>1623</x:v>
      </x:c>
      <x:c r="S1037" s="8"/>
      <x:c r="T1037" s="8" t="s">
        <x:v>27</x:v>
      </x:c>
      <x:c r="U1037" s="8" t="s">
        <x:v>883</x:v>
      </x:c>
      <x:c r="V1037" s="8" t="s">
        <x:v>2764</x:v>
      </x:c>
    </x:row>
    <x:row r="1038" ht="36" hidden="0" customHeight="1">
      <x:c r="A1038" s="8" t="s">
        <x:v>2985</x:v>
      </x:c>
      <x:c r="B1038" s="8" t="s">
        <x:v>2957</x:v>
      </x:c>
      <x:c r="C1038" s="8"/>
      <x:c r="D1038" s="8" t="s">
        <x:v>1864</x:v>
      </x:c>
      <x:c r="E1038" s="8" t="s">
        <x:v>2986</x:v>
      </x:c>
      <x:c r="F1038" s="8" t="s">
        <x:v>1617</x:v>
      </x:c>
      <x:c r="G1038" s="8" t="s">
        <x:v>109</x:v>
      </x:c>
      <x:c r="H1038" s="8" t="s">
        <x:v>2959</x:v>
      </x:c>
      <x:c r="I1038" s="8" t="s">
        <x:v>2960</x:v>
      </x:c>
      <x:c r="J1038" s="8" t="s">
        <x:v>112</x:v>
      </x:c>
      <x:c r="K1038" s="8" t="s">
        <x:v>2987</x:v>
      </x:c>
      <x:c r="L1038" s="8" t="s">
        <x:v>2987</x:v>
      </x:c>
      <x:c r="M1038" s="8"/>
      <x:c r="N1038" s="8"/>
      <x:c r="O1038" s="8" t="s">
        <x:v>1622</x:v>
      </x:c>
      <x:c r="P1038" s="8" t="s">
        <x:v>115</x:v>
      </x:c>
      <x:c r="Q1038" s="8" t="s">
        <x:v>45</x:v>
      </x:c>
      <x:c r="R1038" s="8" t="s">
        <x:v>1623</x:v>
      </x:c>
      <x:c r="S1038" s="8"/>
      <x:c r="T1038" s="8" t="s">
        <x:v>27</x:v>
      </x:c>
      <x:c r="U1038" s="8" t="s">
        <x:v>883</x:v>
      </x:c>
      <x:c r="V1038" s="8" t="s">
        <x:v>2764</x:v>
      </x:c>
    </x:row>
    <x:row r="1039" ht="36" hidden="0" customHeight="1">
      <x:c r="A1039" s="8" t="s">
        <x:v>2988</x:v>
      </x:c>
      <x:c r="B1039" s="8" t="s">
        <x:v>2957</x:v>
      </x:c>
      <x:c r="C1039" s="8"/>
      <x:c r="D1039" s="8" t="s">
        <x:v>2154</x:v>
      </x:c>
      <x:c r="E1039" s="8" t="s">
        <x:v>2989</x:v>
      </x:c>
      <x:c r="F1039" s="8" t="s">
        <x:v>1617</x:v>
      </x:c>
      <x:c r="G1039" s="8" t="s">
        <x:v>109</x:v>
      </x:c>
      <x:c r="H1039" s="8" t="s">
        <x:v>2959</x:v>
      </x:c>
      <x:c r="I1039" s="8" t="s">
        <x:v>2960</x:v>
      </x:c>
      <x:c r="J1039" s="8" t="s">
        <x:v>112</x:v>
      </x:c>
      <x:c r="K1039" s="8" t="s">
        <x:v>2961</x:v>
      </x:c>
      <x:c r="L1039" s="8" t="s">
        <x:v>2961</x:v>
      </x:c>
      <x:c r="M1039" s="8"/>
      <x:c r="N1039" s="8"/>
      <x:c r="O1039" s="8" t="s">
        <x:v>1622</x:v>
      </x:c>
      <x:c r="P1039" s="8" t="s">
        <x:v>115</x:v>
      </x:c>
      <x:c r="Q1039" s="8" t="s">
        <x:v>45</x:v>
      </x:c>
      <x:c r="R1039" s="8" t="s">
        <x:v>1623</x:v>
      </x:c>
      <x:c r="S1039" s="8"/>
      <x:c r="T1039" s="8" t="s">
        <x:v>27</x:v>
      </x:c>
      <x:c r="U1039" s="8" t="s">
        <x:v>883</x:v>
      </x:c>
      <x:c r="V1039" s="8" t="s">
        <x:v>2764</x:v>
      </x:c>
    </x:row>
    <x:row r="1040" ht="36" hidden="0" customHeight="1">
      <x:c r="A1040" s="8" t="s">
        <x:v>2990</x:v>
      </x:c>
      <x:c r="B1040" s="8" t="s">
        <x:v>2957</x:v>
      </x:c>
      <x:c r="C1040" s="8"/>
      <x:c r="D1040" s="8" t="s">
        <x:v>1682</x:v>
      </x:c>
      <x:c r="E1040" s="8" t="n">
        <x:v>2</x:v>
      </x:c>
      <x:c r="F1040" s="8" t="s">
        <x:v>1617</x:v>
      </x:c>
      <x:c r="G1040" s="8" t="s">
        <x:v>109</x:v>
      </x:c>
      <x:c r="H1040" s="8" t="s">
        <x:v>2959</x:v>
      </x:c>
      <x:c r="I1040" s="8" t="s">
        <x:v>2960</x:v>
      </x:c>
      <x:c r="J1040" s="8" t="s">
        <x:v>112</x:v>
      </x:c>
      <x:c r="K1040" s="8" t="s">
        <x:v>2961</x:v>
      </x:c>
      <x:c r="L1040" s="8" t="s">
        <x:v>2961</x:v>
      </x:c>
      <x:c r="M1040" s="8"/>
      <x:c r="N1040" s="8"/>
      <x:c r="O1040" s="8" t="s">
        <x:v>1622</x:v>
      </x:c>
      <x:c r="P1040" s="8" t="s">
        <x:v>115</x:v>
      </x:c>
      <x:c r="Q1040" s="8" t="s">
        <x:v>45</x:v>
      </x:c>
      <x:c r="R1040" s="8" t="s">
        <x:v>1623</x:v>
      </x:c>
      <x:c r="S1040" s="8" t="s">
        <x:v>902</x:v>
      </x:c>
      <x:c r="T1040" s="8" t="s">
        <x:v>27</x:v>
      </x:c>
      <x:c r="U1040" s="8" t="s">
        <x:v>883</x:v>
      </x:c>
      <x:c r="V1040" s="8" t="s">
        <x:v>2764</x:v>
      </x:c>
    </x:row>
    <x:row r="1041" ht="36" hidden="0" customHeight="1">
      <x:c r="A1041" s="8" t="s">
        <x:v>2991</x:v>
      </x:c>
      <x:c r="B1041" s="8" t="s">
        <x:v>2957</x:v>
      </x:c>
      <x:c r="C1041" s="8"/>
      <x:c r="D1041" s="8" t="s">
        <x:v>1755</x:v>
      </x:c>
      <x:c r="E1041" s="8" t="s">
        <x:v>2992</x:v>
      </x:c>
      <x:c r="F1041" s="8" t="s">
        <x:v>1617</x:v>
      </x:c>
      <x:c r="G1041" s="8" t="s">
        <x:v>109</x:v>
      </x:c>
      <x:c r="H1041" s="8" t="s">
        <x:v>2959</x:v>
      </x:c>
      <x:c r="I1041" s="8" t="s">
        <x:v>2960</x:v>
      </x:c>
      <x:c r="J1041" s="8" t="s">
        <x:v>112</x:v>
      </x:c>
      <x:c r="K1041" s="8" t="s">
        <x:v>2961</x:v>
      </x:c>
      <x:c r="L1041" s="8" t="s">
        <x:v>2961</x:v>
      </x:c>
      <x:c r="M1041" s="8"/>
      <x:c r="N1041" s="8"/>
      <x:c r="O1041" s="8" t="s">
        <x:v>1622</x:v>
      </x:c>
      <x:c r="P1041" s="8" t="s">
        <x:v>115</x:v>
      </x:c>
      <x:c r="Q1041" s="8" t="s">
        <x:v>45</x:v>
      </x:c>
      <x:c r="R1041" s="8" t="s">
        <x:v>1623</x:v>
      </x:c>
      <x:c r="S1041" s="8"/>
      <x:c r="T1041" s="8" t="s">
        <x:v>27</x:v>
      </x:c>
      <x:c r="U1041" s="8" t="s">
        <x:v>883</x:v>
      </x:c>
      <x:c r="V1041" s="8" t="s">
        <x:v>2764</x:v>
      </x:c>
    </x:row>
    <x:row r="1042" ht="36" hidden="0" customHeight="1">
      <x:c r="A1042" s="8" t="s">
        <x:v>2993</x:v>
      </x:c>
      <x:c r="B1042" s="8" t="s">
        <x:v>2957</x:v>
      </x:c>
      <x:c r="C1042" s="8"/>
      <x:c r="D1042" s="8" t="s">
        <x:v>2994</x:v>
      </x:c>
      <x:c r="E1042" s="8" t="s">
        <x:v>2995</x:v>
      </x:c>
      <x:c r="F1042" s="8" t="s">
        <x:v>1617</x:v>
      </x:c>
      <x:c r="G1042" s="8" t="s">
        <x:v>109</x:v>
      </x:c>
      <x:c r="H1042" s="8" t="s">
        <x:v>2959</x:v>
      </x:c>
      <x:c r="I1042" s="8" t="s">
        <x:v>2960</x:v>
      </x:c>
      <x:c r="J1042" s="8" t="s">
        <x:v>112</x:v>
      </x:c>
      <x:c r="K1042" s="8" t="s">
        <x:v>2961</x:v>
      </x:c>
      <x:c r="L1042" s="8" t="s">
        <x:v>2961</x:v>
      </x:c>
      <x:c r="M1042" s="8"/>
      <x:c r="N1042" s="8"/>
      <x:c r="O1042" s="8" t="s">
        <x:v>1622</x:v>
      </x:c>
      <x:c r="P1042" s="8" t="s">
        <x:v>115</x:v>
      </x:c>
      <x:c r="Q1042" s="8" t="s">
        <x:v>45</x:v>
      </x:c>
      <x:c r="R1042" s="8" t="s">
        <x:v>1623</x:v>
      </x:c>
      <x:c r="S1042" s="8"/>
      <x:c r="T1042" s="8" t="s">
        <x:v>27</x:v>
      </x:c>
      <x:c r="U1042" s="8" t="s">
        <x:v>883</x:v>
      </x:c>
      <x:c r="V1042" s="8" t="s">
        <x:v>2764</x:v>
      </x:c>
    </x:row>
    <x:row r="1043" ht="36" hidden="0" customHeight="1">
      <x:c r="A1043" s="8" t="s">
        <x:v>2996</x:v>
      </x:c>
      <x:c r="B1043" s="8" t="s">
        <x:v>2957</x:v>
      </x:c>
      <x:c r="C1043" s="8"/>
      <x:c r="D1043" s="8" t="s">
        <x:v>1948</x:v>
      </x:c>
      <x:c r="E1043" s="8" t="s">
        <x:v>2997</x:v>
      </x:c>
      <x:c r="F1043" s="8" t="s">
        <x:v>1617</x:v>
      </x:c>
      <x:c r="G1043" s="8" t="s">
        <x:v>109</x:v>
      </x:c>
      <x:c r="H1043" s="8" t="s">
        <x:v>2959</x:v>
      </x:c>
      <x:c r="I1043" s="8" t="s">
        <x:v>2960</x:v>
      </x:c>
      <x:c r="J1043" s="8" t="s">
        <x:v>112</x:v>
      </x:c>
      <x:c r="K1043" s="8" t="s">
        <x:v>2961</x:v>
      </x:c>
      <x:c r="L1043" s="8" t="s">
        <x:v>2961</x:v>
      </x:c>
      <x:c r="M1043" s="8"/>
      <x:c r="N1043" s="8"/>
      <x:c r="O1043" s="8" t="s">
        <x:v>1622</x:v>
      </x:c>
      <x:c r="P1043" s="8" t="s">
        <x:v>115</x:v>
      </x:c>
      <x:c r="Q1043" s="8" t="s">
        <x:v>45</x:v>
      </x:c>
      <x:c r="R1043" s="8" t="s">
        <x:v>1623</x:v>
      </x:c>
      <x:c r="S1043" s="8"/>
      <x:c r="T1043" s="8" t="s">
        <x:v>27</x:v>
      </x:c>
      <x:c r="U1043" s="8" t="s">
        <x:v>883</x:v>
      </x:c>
      <x:c r="V1043" s="8" t="s">
        <x:v>2764</x:v>
      </x:c>
    </x:row>
    <x:row r="1044" ht="36" hidden="0" customHeight="1">
      <x:c r="A1044" s="8" t="s">
        <x:v>2998</x:v>
      </x:c>
      <x:c r="B1044" s="8" t="s">
        <x:v>2999</x:v>
      </x:c>
      <x:c r="C1044" s="8"/>
      <x:c r="D1044" s="8" t="s">
        <x:v>1704</x:v>
      </x:c>
      <x:c r="E1044" s="8" t="s">
        <x:v>3000</x:v>
      </x:c>
      <x:c r="F1044" s="8" t="s">
        <x:v>1617</x:v>
      </x:c>
      <x:c r="G1044" s="8" t="s">
        <x:v>109</x:v>
      </x:c>
      <x:c r="H1044" s="8" t="s">
        <x:v>3001</x:v>
      </x:c>
      <x:c r="I1044" s="8" t="s">
        <x:v>3002</x:v>
      </x:c>
      <x:c r="J1044" s="8" t="s">
        <x:v>112</x:v>
      </x:c>
      <x:c r="K1044" s="8" t="s">
        <x:v>3003</x:v>
      </x:c>
      <x:c r="L1044" s="8" t="s">
        <x:v>3003</x:v>
      </x:c>
      <x:c r="M1044" s="8"/>
      <x:c r="N1044" s="8"/>
      <x:c r="O1044" s="8" t="s">
        <x:v>1622</x:v>
      </x:c>
      <x:c r="P1044" s="8" t="s">
        <x:v>115</x:v>
      </x:c>
      <x:c r="Q1044" s="8" t="s">
        <x:v>45</x:v>
      </x:c>
      <x:c r="R1044" s="8" t="s">
        <x:v>1623</x:v>
      </x:c>
      <x:c r="S1044" s="8"/>
      <x:c r="T1044" s="8" t="s">
        <x:v>27</x:v>
      </x:c>
      <x:c r="U1044" s="8" t="s">
        <x:v>883</x:v>
      </x:c>
      <x:c r="V1044" s="8" t="s">
        <x:v>2764</x:v>
      </x:c>
    </x:row>
    <x:row r="1045" ht="36" hidden="0" customHeight="1">
      <x:c r="A1045" s="8" t="s">
        <x:v>3004</x:v>
      </x:c>
      <x:c r="B1045" s="8" t="s">
        <x:v>2999</x:v>
      </x:c>
      <x:c r="C1045" s="8"/>
      <x:c r="D1045" s="8" t="s">
        <x:v>3005</x:v>
      </x:c>
      <x:c r="E1045" s="8" t="n">
        <x:v>12</x:v>
      </x:c>
      <x:c r="F1045" s="8" t="s">
        <x:v>1617</x:v>
      </x:c>
      <x:c r="G1045" s="8" t="s">
        <x:v>109</x:v>
      </x:c>
      <x:c r="H1045" s="8" t="s">
        <x:v>3001</x:v>
      </x:c>
      <x:c r="I1045" s="8" t="s">
        <x:v>3002</x:v>
      </x:c>
      <x:c r="J1045" s="8" t="s">
        <x:v>112</x:v>
      </x:c>
      <x:c r="K1045" s="8" t="s">
        <x:v>3003</x:v>
      </x:c>
      <x:c r="L1045" s="8" t="s">
        <x:v>3003</x:v>
      </x:c>
      <x:c r="M1045" s="8"/>
      <x:c r="N1045" s="8"/>
      <x:c r="O1045" s="8" t="s">
        <x:v>1622</x:v>
      </x:c>
      <x:c r="P1045" s="8" t="s">
        <x:v>115</x:v>
      </x:c>
      <x:c r="Q1045" s="8" t="s">
        <x:v>45</x:v>
      </x:c>
      <x:c r="R1045" s="8" t="s">
        <x:v>1623</x:v>
      </x:c>
      <x:c r="S1045" s="8" t="s">
        <x:v>3006</x:v>
      </x:c>
      <x:c r="T1045" s="8" t="s">
        <x:v>27</x:v>
      </x:c>
      <x:c r="U1045" s="8" t="s">
        <x:v>883</x:v>
      </x:c>
      <x:c r="V1045" s="8" t="s">
        <x:v>2764</x:v>
      </x:c>
    </x:row>
    <x:row r="1046" ht="36" hidden="0" customHeight="1">
      <x:c r="A1046" s="8" t="s">
        <x:v>3007</x:v>
      </x:c>
      <x:c r="B1046" s="8" t="s">
        <x:v>2999</x:v>
      </x:c>
      <x:c r="C1046" s="8"/>
      <x:c r="D1046" s="8" t="s">
        <x:v>3008</x:v>
      </x:c>
      <x:c r="E1046" s="8" t="s">
        <x:v>2400</x:v>
      </x:c>
      <x:c r="F1046" s="8" t="s">
        <x:v>1617</x:v>
      </x:c>
      <x:c r="G1046" s="8" t="s">
        <x:v>109</x:v>
      </x:c>
      <x:c r="H1046" s="8" t="s">
        <x:v>3001</x:v>
      </x:c>
      <x:c r="I1046" s="8" t="s">
        <x:v>3002</x:v>
      </x:c>
      <x:c r="J1046" s="8" t="s">
        <x:v>112</x:v>
      </x:c>
      <x:c r="K1046" s="8" t="s">
        <x:v>3003</x:v>
      </x:c>
      <x:c r="L1046" s="8" t="s">
        <x:v>3003</x:v>
      </x:c>
      <x:c r="M1046" s="8"/>
      <x:c r="N1046" s="8"/>
      <x:c r="O1046" s="8" t="s">
        <x:v>1622</x:v>
      </x:c>
      <x:c r="P1046" s="8" t="s">
        <x:v>115</x:v>
      </x:c>
      <x:c r="Q1046" s="8" t="s">
        <x:v>45</x:v>
      </x:c>
      <x:c r="R1046" s="8" t="s">
        <x:v>1623</x:v>
      </x:c>
      <x:c r="S1046" s="8" t="s">
        <x:v>1684</x:v>
      </x:c>
      <x:c r="T1046" s="8" t="s">
        <x:v>27</x:v>
      </x:c>
      <x:c r="U1046" s="8" t="s">
        <x:v>883</x:v>
      </x:c>
      <x:c r="V1046" s="8" t="s">
        <x:v>2764</x:v>
      </x:c>
    </x:row>
    <x:row r="1047" ht="36" hidden="0" customHeight="1">
      <x:c r="A1047" s="8" t="s">
        <x:v>3009</x:v>
      </x:c>
      <x:c r="B1047" s="8" t="s">
        <x:v>2999</x:v>
      </x:c>
      <x:c r="C1047" s="8"/>
      <x:c r="D1047" s="8" t="s">
        <x:v>3010</x:v>
      </x:c>
      <x:c r="E1047" s="8" t="n">
        <x:v>16</x:v>
      </x:c>
      <x:c r="F1047" s="8" t="s">
        <x:v>1617</x:v>
      </x:c>
      <x:c r="G1047" s="8" t="s">
        <x:v>109</x:v>
      </x:c>
      <x:c r="H1047" s="8" t="s">
        <x:v>3001</x:v>
      </x:c>
      <x:c r="I1047" s="8" t="s">
        <x:v>3002</x:v>
      </x:c>
      <x:c r="J1047" s="8" t="s">
        <x:v>112</x:v>
      </x:c>
      <x:c r="K1047" s="8" t="s">
        <x:v>3011</x:v>
      </x:c>
      <x:c r="L1047" s="8" t="s">
        <x:v>3011</x:v>
      </x:c>
      <x:c r="M1047" s="8"/>
      <x:c r="N1047" s="8"/>
      <x:c r="O1047" s="8" t="s">
        <x:v>1622</x:v>
      </x:c>
      <x:c r="P1047" s="8" t="s">
        <x:v>115</x:v>
      </x:c>
      <x:c r="Q1047" s="8" t="s">
        <x:v>45</x:v>
      </x:c>
      <x:c r="R1047" s="8" t="s">
        <x:v>1623</x:v>
      </x:c>
      <x:c r="S1047" s="8" t="s">
        <x:v>3012</x:v>
      </x:c>
      <x:c r="T1047" s="8" t="s">
        <x:v>27</x:v>
      </x:c>
      <x:c r="U1047" s="8" t="s">
        <x:v>883</x:v>
      </x:c>
      <x:c r="V1047" s="8" t="s">
        <x:v>2764</x:v>
      </x:c>
    </x:row>
    <x:row r="1048" ht="36" hidden="0" customHeight="1">
      <x:c r="A1048" s="8" t="s">
        <x:v>3013</x:v>
      </x:c>
      <x:c r="B1048" s="8" t="s">
        <x:v>2999</x:v>
      </x:c>
      <x:c r="C1048" s="8"/>
      <x:c r="D1048" s="8" t="s">
        <x:v>3014</x:v>
      </x:c>
      <x:c r="E1048" s="8" t="s">
        <x:v>3015</x:v>
      </x:c>
      <x:c r="F1048" s="8" t="s">
        <x:v>1617</x:v>
      </x:c>
      <x:c r="G1048" s="8" t="s">
        <x:v>109</x:v>
      </x:c>
      <x:c r="H1048" s="8" t="s">
        <x:v>3001</x:v>
      </x:c>
      <x:c r="I1048" s="8" t="s">
        <x:v>3002</x:v>
      </x:c>
      <x:c r="J1048" s="8" t="s">
        <x:v>112</x:v>
      </x:c>
      <x:c r="K1048" s="8" t="s">
        <x:v>3011</x:v>
      </x:c>
      <x:c r="L1048" s="8" t="s">
        <x:v>3011</x:v>
      </x:c>
      <x:c r="M1048" s="8"/>
      <x:c r="N1048" s="8"/>
      <x:c r="O1048" s="8" t="s">
        <x:v>1622</x:v>
      </x:c>
      <x:c r="P1048" s="8" t="s">
        <x:v>115</x:v>
      </x:c>
      <x:c r="Q1048" s="8" t="s">
        <x:v>45</x:v>
      </x:c>
      <x:c r="R1048" s="8" t="s">
        <x:v>1623</x:v>
      </x:c>
      <x:c r="S1048" s="8" t="s">
        <x:v>3016</x:v>
      </x:c>
      <x:c r="T1048" s="8" t="s">
        <x:v>27</x:v>
      </x:c>
      <x:c r="U1048" s="8" t="s">
        <x:v>883</x:v>
      </x:c>
      <x:c r="V1048" s="8" t="s">
        <x:v>2764</x:v>
      </x:c>
    </x:row>
    <x:row r="1049" ht="36" hidden="0" customHeight="1">
      <x:c r="A1049" s="8" t="s">
        <x:v>3017</x:v>
      </x:c>
      <x:c r="B1049" s="8" t="s">
        <x:v>2999</x:v>
      </x:c>
      <x:c r="C1049" s="8"/>
      <x:c r="D1049" s="8" t="s">
        <x:v>3018</x:v>
      </x:c>
      <x:c r="E1049" s="8" t="s">
        <x:v>3019</x:v>
      </x:c>
      <x:c r="F1049" s="8" t="s">
        <x:v>1617</x:v>
      </x:c>
      <x:c r="G1049" s="8" t="s">
        <x:v>109</x:v>
      </x:c>
      <x:c r="H1049" s="8" t="s">
        <x:v>3001</x:v>
      </x:c>
      <x:c r="I1049" s="8" t="s">
        <x:v>3002</x:v>
      </x:c>
      <x:c r="J1049" s="8" t="s">
        <x:v>112</x:v>
      </x:c>
      <x:c r="K1049" s="8" t="s">
        <x:v>3011</x:v>
      </x:c>
      <x:c r="L1049" s="8" t="s">
        <x:v>3011</x:v>
      </x:c>
      <x:c r="M1049" s="8"/>
      <x:c r="N1049" s="8"/>
      <x:c r="O1049" s="8" t="s">
        <x:v>1622</x:v>
      </x:c>
      <x:c r="P1049" s="8" t="s">
        <x:v>115</x:v>
      </x:c>
      <x:c r="Q1049" s="8" t="s">
        <x:v>45</x:v>
      </x:c>
      <x:c r="R1049" s="8" t="s">
        <x:v>1623</x:v>
      </x:c>
      <x:c r="S1049" s="8"/>
      <x:c r="T1049" s="8" t="s">
        <x:v>27</x:v>
      </x:c>
      <x:c r="U1049" s="8" t="s">
        <x:v>883</x:v>
      </x:c>
      <x:c r="V1049" s="8" t="s">
        <x:v>2764</x:v>
      </x:c>
    </x:row>
    <x:row r="1050" ht="36" hidden="0" customHeight="1">
      <x:c r="A1050" s="8" t="s">
        <x:v>3020</x:v>
      </x:c>
      <x:c r="B1050" s="8" t="s">
        <x:v>2999</x:v>
      </x:c>
      <x:c r="C1050" s="8"/>
      <x:c r="D1050" s="8" t="s">
        <x:v>3021</x:v>
      </x:c>
      <x:c r="E1050" s="8" t="s">
        <x:v>3022</x:v>
      </x:c>
      <x:c r="F1050" s="8" t="s">
        <x:v>1617</x:v>
      </x:c>
      <x:c r="G1050" s="8" t="s">
        <x:v>187</x:v>
      </x:c>
      <x:c r="H1050" s="8" t="s">
        <x:v>3001</x:v>
      </x:c>
      <x:c r="I1050" s="8" t="s">
        <x:v>3002</x:v>
      </x:c>
      <x:c r="J1050" s="8" t="s">
        <x:v>112</x:v>
      </x:c>
      <x:c r="K1050" s="8" t="s">
        <x:v>3023</x:v>
      </x:c>
      <x:c r="L1050" s="8" t="s">
        <x:v>3023</x:v>
      </x:c>
      <x:c r="M1050" s="8"/>
      <x:c r="N1050" s="8"/>
      <x:c r="O1050" s="8" t="s">
        <x:v>1622</x:v>
      </x:c>
      <x:c r="P1050" s="8" t="s">
        <x:v>115</x:v>
      </x:c>
      <x:c r="Q1050" s="8" t="s">
        <x:v>45</x:v>
      </x:c>
      <x:c r="R1050" s="8" t="s">
        <x:v>1623</x:v>
      </x:c>
      <x:c r="S1050" s="8"/>
      <x:c r="T1050" s="8" t="s">
        <x:v>27</x:v>
      </x:c>
      <x:c r="U1050" s="8" t="s">
        <x:v>883</x:v>
      </x:c>
      <x:c r="V1050" s="8" t="s">
        <x:v>2764</x:v>
      </x:c>
    </x:row>
    <x:row r="1051" ht="36" hidden="0" customHeight="1">
      <x:c r="A1051" s="8" t="s">
        <x:v>3024</x:v>
      </x:c>
      <x:c r="B1051" s="8" t="s">
        <x:v>2999</x:v>
      </x:c>
      <x:c r="C1051" s="8"/>
      <x:c r="D1051" s="8" t="s">
        <x:v>3025</x:v>
      </x:c>
      <x:c r="E1051" s="8" t="s">
        <x:v>3026</x:v>
      </x:c>
      <x:c r="F1051" s="8" t="s">
        <x:v>1617</x:v>
      </x:c>
      <x:c r="G1051" s="8" t="s">
        <x:v>187</x:v>
      </x:c>
      <x:c r="H1051" s="8" t="s">
        <x:v>3001</x:v>
      </x:c>
      <x:c r="I1051" s="8" t="s">
        <x:v>3002</x:v>
      </x:c>
      <x:c r="J1051" s="8" t="s">
        <x:v>112</x:v>
      </x:c>
      <x:c r="K1051" s="8" t="s">
        <x:v>3027</x:v>
      </x:c>
      <x:c r="L1051" s="8" t="s">
        <x:v>3027</x:v>
      </x:c>
      <x:c r="M1051" s="8"/>
      <x:c r="N1051" s="8"/>
      <x:c r="O1051" s="8" t="s">
        <x:v>1622</x:v>
      </x:c>
      <x:c r="P1051" s="8" t="s">
        <x:v>115</x:v>
      </x:c>
      <x:c r="Q1051" s="8" t="s">
        <x:v>45</x:v>
      </x:c>
      <x:c r="R1051" s="8" t="s">
        <x:v>1623</x:v>
      </x:c>
      <x:c r="S1051" s="8"/>
      <x:c r="T1051" s="8" t="s">
        <x:v>27</x:v>
      </x:c>
      <x:c r="U1051" s="8" t="s">
        <x:v>883</x:v>
      </x:c>
      <x:c r="V1051" s="8" t="s">
        <x:v>2764</x:v>
      </x:c>
    </x:row>
    <x:row r="1052" ht="36" hidden="0" customHeight="1">
      <x:c r="A1052" s="8" t="s">
        <x:v>3028</x:v>
      </x:c>
      <x:c r="B1052" s="8" t="s">
        <x:v>3029</x:v>
      </x:c>
      <x:c r="C1052" s="8"/>
      <x:c r="D1052" s="8" t="s">
        <x:v>3030</x:v>
      </x:c>
      <x:c r="E1052" s="8" t="n">
        <x:v>24</x:v>
      </x:c>
      <x:c r="F1052" s="8" t="s">
        <x:v>1617</x:v>
      </x:c>
      <x:c r="G1052" s="8" t="s">
        <x:v>109</x:v>
      </x:c>
      <x:c r="H1052" s="8" t="s">
        <x:v>3031</x:v>
      </x:c>
      <x:c r="I1052" s="8" t="s">
        <x:v>3032</x:v>
      </x:c>
      <x:c r="J1052" s="8" t="s">
        <x:v>112</x:v>
      </x:c>
      <x:c r="K1052" s="8" t="s">
        <x:v>3033</x:v>
      </x:c>
      <x:c r="L1052" s="8" t="s">
        <x:v>3033</x:v>
      </x:c>
      <x:c r="M1052" s="8"/>
      <x:c r="N1052" s="8"/>
      <x:c r="O1052" s="8" t="s">
        <x:v>1622</x:v>
      </x:c>
      <x:c r="P1052" s="8" t="s">
        <x:v>115</x:v>
      </x:c>
      <x:c r="Q1052" s="8" t="s">
        <x:v>45</x:v>
      </x:c>
      <x:c r="R1052" s="8" t="s">
        <x:v>1623</x:v>
      </x:c>
      <x:c r="S1052" s="8" t="s">
        <x:v>3034</x:v>
      </x:c>
      <x:c r="T1052" s="8" t="s">
        <x:v>27</x:v>
      </x:c>
      <x:c r="U1052" s="8" t="s">
        <x:v>883</x:v>
      </x:c>
      <x:c r="V1052" s="8" t="s">
        <x:v>2764</x:v>
      </x:c>
    </x:row>
    <x:row r="1053" ht="36" hidden="0" customHeight="1">
      <x:c r="A1053" s="8" t="s">
        <x:v>3035</x:v>
      </x:c>
      <x:c r="B1053" s="8" t="s">
        <x:v>3029</x:v>
      </x:c>
      <x:c r="C1053" s="8"/>
      <x:c r="D1053" s="8" t="s">
        <x:v>3036</x:v>
      </x:c>
      <x:c r="E1053" s="8" t="s">
        <x:v>3037</x:v>
      </x:c>
      <x:c r="F1053" s="8" t="s">
        <x:v>1617</x:v>
      </x:c>
      <x:c r="G1053" s="8" t="s">
        <x:v>109</x:v>
      </x:c>
      <x:c r="H1053" s="8" t="s">
        <x:v>3031</x:v>
      </x:c>
      <x:c r="I1053" s="8" t="s">
        <x:v>3032</x:v>
      </x:c>
      <x:c r="J1053" s="8" t="s">
        <x:v>112</x:v>
      </x:c>
      <x:c r="K1053" s="8" t="s">
        <x:v>3033</x:v>
      </x:c>
      <x:c r="L1053" s="8" t="s">
        <x:v>3033</x:v>
      </x:c>
      <x:c r="M1053" s="8"/>
      <x:c r="N1053" s="8"/>
      <x:c r="O1053" s="8" t="s">
        <x:v>1622</x:v>
      </x:c>
      <x:c r="P1053" s="8" t="s">
        <x:v>115</x:v>
      </x:c>
      <x:c r="Q1053" s="8" t="s">
        <x:v>45</x:v>
      </x:c>
      <x:c r="R1053" s="8" t="s">
        <x:v>1623</x:v>
      </x:c>
      <x:c r="S1053" s="8"/>
      <x:c r="T1053" s="8" t="s">
        <x:v>27</x:v>
      </x:c>
      <x:c r="U1053" s="8" t="s">
        <x:v>883</x:v>
      </x:c>
      <x:c r="V1053" s="8" t="s">
        <x:v>2764</x:v>
      </x:c>
    </x:row>
    <x:row r="1054" ht="36" hidden="0" customHeight="1">
      <x:c r="A1054" s="8" t="s">
        <x:v>3038</x:v>
      </x:c>
      <x:c r="B1054" s="8" t="s">
        <x:v>3029</x:v>
      </x:c>
      <x:c r="C1054" s="8"/>
      <x:c r="D1054" s="8" t="s">
        <x:v>3039</x:v>
      </x:c>
      <x:c r="E1054" s="8" t="n">
        <x:v>1</x:v>
      </x:c>
      <x:c r="F1054" s="8" t="s">
        <x:v>1617</x:v>
      </x:c>
      <x:c r="G1054" s="8" t="s">
        <x:v>109</x:v>
      </x:c>
      <x:c r="H1054" s="8" t="s">
        <x:v>3031</x:v>
      </x:c>
      <x:c r="I1054" s="8" t="s">
        <x:v>3032</x:v>
      </x:c>
      <x:c r="J1054" s="8" t="s">
        <x:v>112</x:v>
      </x:c>
      <x:c r="K1054" s="8" t="s">
        <x:v>3040</x:v>
      </x:c>
      <x:c r="L1054" s="8" t="s">
        <x:v>3040</x:v>
      </x:c>
      <x:c r="M1054" s="8"/>
      <x:c r="N1054" s="8"/>
      <x:c r="O1054" s="8" t="s">
        <x:v>1622</x:v>
      </x:c>
      <x:c r="P1054" s="8" t="s">
        <x:v>115</x:v>
      </x:c>
      <x:c r="Q1054" s="8" t="s">
        <x:v>45</x:v>
      </x:c>
      <x:c r="R1054" s="8" t="s">
        <x:v>1623</x:v>
      </x:c>
      <x:c r="S1054" s="8" t="s">
        <x:v>902</x:v>
      </x:c>
      <x:c r="T1054" s="8" t="s">
        <x:v>27</x:v>
      </x:c>
      <x:c r="U1054" s="8" t="s">
        <x:v>883</x:v>
      </x:c>
      <x:c r="V1054" s="8" t="s">
        <x:v>2764</x:v>
      </x:c>
    </x:row>
    <x:row r="1055" ht="36" hidden="0" customHeight="1">
      <x:c r="A1055" s="8" t="s">
        <x:v>3041</x:v>
      </x:c>
      <x:c r="B1055" s="8" t="s">
        <x:v>3029</x:v>
      </x:c>
      <x:c r="C1055" s="8"/>
      <x:c r="D1055" s="8" t="s">
        <x:v>3042</x:v>
      </x:c>
      <x:c r="E1055" s="8" t="n">
        <x:v>2</x:v>
      </x:c>
      <x:c r="F1055" s="8" t="s">
        <x:v>1617</x:v>
      </x:c>
      <x:c r="G1055" s="8" t="s">
        <x:v>109</x:v>
      </x:c>
      <x:c r="H1055" s="8" t="s">
        <x:v>3031</x:v>
      </x:c>
      <x:c r="I1055" s="8" t="s">
        <x:v>3032</x:v>
      </x:c>
      <x:c r="J1055" s="8" t="s">
        <x:v>112</x:v>
      </x:c>
      <x:c r="K1055" s="8" t="s">
        <x:v>3040</x:v>
      </x:c>
      <x:c r="L1055" s="8" t="s">
        <x:v>3040</x:v>
      </x:c>
      <x:c r="M1055" s="8"/>
      <x:c r="N1055" s="8"/>
      <x:c r="O1055" s="8" t="s">
        <x:v>1622</x:v>
      </x:c>
      <x:c r="P1055" s="8" t="s">
        <x:v>115</x:v>
      </x:c>
      <x:c r="Q1055" s="8" t="s">
        <x:v>45</x:v>
      </x:c>
      <x:c r="R1055" s="8" t="s">
        <x:v>1623</x:v>
      </x:c>
      <x:c r="S1055" s="8" t="s">
        <x:v>914</x:v>
      </x:c>
      <x:c r="T1055" s="8" t="s">
        <x:v>27</x:v>
      </x:c>
      <x:c r="U1055" s="8" t="s">
        <x:v>883</x:v>
      </x:c>
      <x:c r="V1055" s="8" t="s">
        <x:v>2764</x:v>
      </x:c>
    </x:row>
    <x:row r="1056" ht="36" hidden="0" customHeight="1">
      <x:c r="A1056" s="8" t="s">
        <x:v>3043</x:v>
      </x:c>
      <x:c r="B1056" s="8" t="s">
        <x:v>3029</x:v>
      </x:c>
      <x:c r="C1056" s="8"/>
      <x:c r="D1056" s="8" t="s">
        <x:v>2161</x:v>
      </x:c>
      <x:c r="E1056" s="8" t="s">
        <x:v>3044</x:v>
      </x:c>
      <x:c r="F1056" s="8" t="s">
        <x:v>1617</x:v>
      </x:c>
      <x:c r="G1056" s="8" t="s">
        <x:v>109</x:v>
      </x:c>
      <x:c r="H1056" s="8" t="s">
        <x:v>3031</x:v>
      </x:c>
      <x:c r="I1056" s="8" t="s">
        <x:v>3032</x:v>
      </x:c>
      <x:c r="J1056" s="8" t="s">
        <x:v>112</x:v>
      </x:c>
      <x:c r="K1056" s="8" t="s">
        <x:v>3045</x:v>
      </x:c>
      <x:c r="L1056" s="8" t="s">
        <x:v>3045</x:v>
      </x:c>
      <x:c r="M1056" s="8"/>
      <x:c r="N1056" s="8"/>
      <x:c r="O1056" s="8" t="s">
        <x:v>1622</x:v>
      </x:c>
      <x:c r="P1056" s="8" t="s">
        <x:v>115</x:v>
      </x:c>
      <x:c r="Q1056" s="8" t="s">
        <x:v>45</x:v>
      </x:c>
      <x:c r="R1056" s="8" t="s">
        <x:v>1623</x:v>
      </x:c>
      <x:c r="S1056" s="8"/>
      <x:c r="T1056" s="8" t="s">
        <x:v>27</x:v>
      </x:c>
      <x:c r="U1056" s="8" t="s">
        <x:v>883</x:v>
      </x:c>
      <x:c r="V1056" s="8" t="s">
        <x:v>2764</x:v>
      </x:c>
    </x:row>
    <x:row r="1057" ht="36" hidden="0" customHeight="1">
      <x:c r="A1057" s="8" t="s">
        <x:v>3046</x:v>
      </x:c>
      <x:c r="B1057" s="8" t="s">
        <x:v>3029</x:v>
      </x:c>
      <x:c r="C1057" s="8"/>
      <x:c r="D1057" s="8" t="s">
        <x:v>1626</x:v>
      </x:c>
      <x:c r="E1057" s="8" t="s">
        <x:v>3047</x:v>
      </x:c>
      <x:c r="F1057" s="8" t="s">
        <x:v>1617</x:v>
      </x:c>
      <x:c r="G1057" s="8" t="s">
        <x:v>109</x:v>
      </x:c>
      <x:c r="H1057" s="8" t="s">
        <x:v>3031</x:v>
      </x:c>
      <x:c r="I1057" s="8" t="s">
        <x:v>3032</x:v>
      </x:c>
      <x:c r="J1057" s="8" t="s">
        <x:v>112</x:v>
      </x:c>
      <x:c r="K1057" s="8" t="s">
        <x:v>3045</x:v>
      </x:c>
      <x:c r="L1057" s="8" t="s">
        <x:v>3045</x:v>
      </x:c>
      <x:c r="M1057" s="8"/>
      <x:c r="N1057" s="8"/>
      <x:c r="O1057" s="8" t="s">
        <x:v>1622</x:v>
      </x:c>
      <x:c r="P1057" s="8" t="s">
        <x:v>115</x:v>
      </x:c>
      <x:c r="Q1057" s="8" t="s">
        <x:v>45</x:v>
      </x:c>
      <x:c r="R1057" s="8" t="s">
        <x:v>1623</x:v>
      </x:c>
      <x:c r="S1057" s="8" t="s">
        <x:v>3048</x:v>
      </x:c>
      <x:c r="T1057" s="8" t="s">
        <x:v>27</x:v>
      </x:c>
      <x:c r="U1057" s="8" t="s">
        <x:v>883</x:v>
      </x:c>
      <x:c r="V1057" s="8" t="s">
        <x:v>2764</x:v>
      </x:c>
    </x:row>
    <x:row r="1058" ht="36" hidden="0" customHeight="1">
      <x:c r="A1058" s="8" t="s">
        <x:v>3049</x:v>
      </x:c>
      <x:c r="B1058" s="8" t="s">
        <x:v>3029</x:v>
      </x:c>
      <x:c r="C1058" s="8"/>
      <x:c r="D1058" s="8" t="s">
        <x:v>3050</x:v>
      </x:c>
      <x:c r="E1058" s="8" t="s">
        <x:v>3051</x:v>
      </x:c>
      <x:c r="F1058" s="8" t="s">
        <x:v>1617</x:v>
      </x:c>
      <x:c r="G1058" s="8" t="s">
        <x:v>109</x:v>
      </x:c>
      <x:c r="H1058" s="8" t="s">
        <x:v>3031</x:v>
      </x:c>
      <x:c r="I1058" s="8" t="s">
        <x:v>3032</x:v>
      </x:c>
      <x:c r="J1058" s="8" t="s">
        <x:v>112</x:v>
      </x:c>
      <x:c r="K1058" s="8" t="s">
        <x:v>3045</x:v>
      </x:c>
      <x:c r="L1058" s="8" t="s">
        <x:v>3045</x:v>
      </x:c>
      <x:c r="M1058" s="8"/>
      <x:c r="N1058" s="8"/>
      <x:c r="O1058" s="8" t="s">
        <x:v>1622</x:v>
      </x:c>
      <x:c r="P1058" s="8" t="s">
        <x:v>115</x:v>
      </x:c>
      <x:c r="Q1058" s="8" t="s">
        <x:v>45</x:v>
      </x:c>
      <x:c r="R1058" s="8" t="s">
        <x:v>1623</x:v>
      </x:c>
      <x:c r="S1058" s="8" t="s">
        <x:v>3048</x:v>
      </x:c>
      <x:c r="T1058" s="8" t="s">
        <x:v>27</x:v>
      </x:c>
      <x:c r="U1058" s="8" t="s">
        <x:v>883</x:v>
      </x:c>
      <x:c r="V1058" s="8" t="s">
        <x:v>2764</x:v>
      </x:c>
    </x:row>
    <x:row r="1059" ht="36" hidden="0" customHeight="1">
      <x:c r="A1059" s="8" t="s">
        <x:v>3052</x:v>
      </x:c>
      <x:c r="B1059" s="8" t="s">
        <x:v>3029</x:v>
      </x:c>
      <x:c r="C1059" s="8"/>
      <x:c r="D1059" s="8" t="s">
        <x:v>3053</x:v>
      </x:c>
      <x:c r="E1059" s="8" t="s">
        <x:v>3054</x:v>
      </x:c>
      <x:c r="F1059" s="8" t="s">
        <x:v>1617</x:v>
      </x:c>
      <x:c r="G1059" s="8" t="s">
        <x:v>109</x:v>
      </x:c>
      <x:c r="H1059" s="8" t="s">
        <x:v>3031</x:v>
      </x:c>
      <x:c r="I1059" s="8" t="s">
        <x:v>3032</x:v>
      </x:c>
      <x:c r="J1059" s="8" t="s">
        <x:v>112</x:v>
      </x:c>
      <x:c r="K1059" s="8" t="s">
        <x:v>3045</x:v>
      </x:c>
      <x:c r="L1059" s="8" t="s">
        <x:v>3045</x:v>
      </x:c>
      <x:c r="M1059" s="8"/>
      <x:c r="N1059" s="8"/>
      <x:c r="O1059" s="8" t="s">
        <x:v>1622</x:v>
      </x:c>
      <x:c r="P1059" s="8" t="s">
        <x:v>115</x:v>
      </x:c>
      <x:c r="Q1059" s="8" t="s">
        <x:v>45</x:v>
      </x:c>
      <x:c r="R1059" s="8" t="s">
        <x:v>1623</x:v>
      </x:c>
      <x:c r="S1059" s="8"/>
      <x:c r="T1059" s="8" t="s">
        <x:v>27</x:v>
      </x:c>
      <x:c r="U1059" s="8" t="s">
        <x:v>883</x:v>
      </x:c>
      <x:c r="V1059" s="8" t="s">
        <x:v>2764</x:v>
      </x:c>
    </x:row>
    <x:row r="1060" ht="36" hidden="0" customHeight="1">
      <x:c r="A1060" s="8" t="s">
        <x:v>3055</x:v>
      </x:c>
      <x:c r="B1060" s="8" t="s">
        <x:v>3029</x:v>
      </x:c>
      <x:c r="C1060" s="8"/>
      <x:c r="D1060" s="8" t="s">
        <x:v>1615</x:v>
      </x:c>
      <x:c r="E1060" s="8" t="s">
        <x:v>3056</x:v>
      </x:c>
      <x:c r="F1060" s="8" t="s">
        <x:v>1617</x:v>
      </x:c>
      <x:c r="G1060" s="8" t="s">
        <x:v>109</x:v>
      </x:c>
      <x:c r="H1060" s="8" t="s">
        <x:v>3031</x:v>
      </x:c>
      <x:c r="I1060" s="8" t="s">
        <x:v>3032</x:v>
      </x:c>
      <x:c r="J1060" s="8" t="s">
        <x:v>112</x:v>
      </x:c>
      <x:c r="K1060" s="8" t="s">
        <x:v>3057</x:v>
      </x:c>
      <x:c r="L1060" s="8" t="s">
        <x:v>3057</x:v>
      </x:c>
      <x:c r="M1060" s="8"/>
      <x:c r="N1060" s="8"/>
      <x:c r="O1060" s="8" t="s">
        <x:v>1622</x:v>
      </x:c>
      <x:c r="P1060" s="8" t="s">
        <x:v>115</x:v>
      </x:c>
      <x:c r="Q1060" s="8" t="s">
        <x:v>45</x:v>
      </x:c>
      <x:c r="R1060" s="8" t="s">
        <x:v>1623</x:v>
      </x:c>
      <x:c r="S1060" s="8"/>
      <x:c r="T1060" s="8" t="s">
        <x:v>27</x:v>
      </x:c>
      <x:c r="U1060" s="8" t="s">
        <x:v>883</x:v>
      </x:c>
      <x:c r="V1060" s="8" t="s">
        <x:v>2764</x:v>
      </x:c>
    </x:row>
    <x:row r="1061" ht="36" hidden="0" customHeight="1">
      <x:c r="A1061" s="8" t="s">
        <x:v>3058</x:v>
      </x:c>
      <x:c r="B1061" s="8" t="s">
        <x:v>3029</x:v>
      </x:c>
      <x:c r="C1061" s="8"/>
      <x:c r="D1061" s="8" t="s">
        <x:v>3059</x:v>
      </x:c>
      <x:c r="E1061" s="8" t="n">
        <x:v>25</x:v>
      </x:c>
      <x:c r="F1061" s="8" t="s">
        <x:v>1617</x:v>
      </x:c>
      <x:c r="G1061" s="8" t="s">
        <x:v>109</x:v>
      </x:c>
      <x:c r="H1061" s="8" t="s">
        <x:v>3031</x:v>
      </x:c>
      <x:c r="I1061" s="8" t="s">
        <x:v>3032</x:v>
      </x:c>
      <x:c r="J1061" s="8" t="s">
        <x:v>112</x:v>
      </x:c>
      <x:c r="K1061" s="8" t="s">
        <x:v>469</x:v>
      </x:c>
      <x:c r="L1061" s="8" t="s">
        <x:v>469</x:v>
      </x:c>
      <x:c r="M1061" s="8"/>
      <x:c r="N1061" s="8"/>
      <x:c r="O1061" s="8" t="s">
        <x:v>1622</x:v>
      </x:c>
      <x:c r="P1061" s="8" t="s">
        <x:v>115</x:v>
      </x:c>
      <x:c r="Q1061" s="8" t="s">
        <x:v>45</x:v>
      </x:c>
      <x:c r="R1061" s="8" t="s">
        <x:v>1623</x:v>
      </x:c>
      <x:c r="S1061" s="8" t="s">
        <x:v>3060</x:v>
      </x:c>
      <x:c r="T1061" s="8" t="s">
        <x:v>27</x:v>
      </x:c>
      <x:c r="U1061" s="8" t="s">
        <x:v>883</x:v>
      </x:c>
      <x:c r="V1061" s="8" t="s">
        <x:v>2764</x:v>
      </x:c>
    </x:row>
    <x:row r="1062" ht="36" hidden="0" customHeight="1">
      <x:c r="A1062" s="8" t="s">
        <x:v>3061</x:v>
      </x:c>
      <x:c r="B1062" s="8" t="s">
        <x:v>3029</x:v>
      </x:c>
      <x:c r="C1062" s="8"/>
      <x:c r="D1062" s="8" t="s">
        <x:v>3062</x:v>
      </x:c>
      <x:c r="E1062" s="8" t="n">
        <x:v>8</x:v>
      </x:c>
      <x:c r="F1062" s="8" t="s">
        <x:v>1617</x:v>
      </x:c>
      <x:c r="G1062" s="8" t="s">
        <x:v>109</x:v>
      </x:c>
      <x:c r="H1062" s="8" t="s">
        <x:v>3031</x:v>
      </x:c>
      <x:c r="I1062" s="8" t="s">
        <x:v>3032</x:v>
      </x:c>
      <x:c r="J1062" s="8" t="s">
        <x:v>112</x:v>
      </x:c>
      <x:c r="K1062" s="8" t="s">
        <x:v>469</x:v>
      </x:c>
      <x:c r="L1062" s="8" t="s">
        <x:v>469</x:v>
      </x:c>
      <x:c r="M1062" s="8"/>
      <x:c r="N1062" s="8"/>
      <x:c r="O1062" s="8" t="s">
        <x:v>1622</x:v>
      </x:c>
      <x:c r="P1062" s="8" t="s">
        <x:v>115</x:v>
      </x:c>
      <x:c r="Q1062" s="8" t="s">
        <x:v>45</x:v>
      </x:c>
      <x:c r="R1062" s="8" t="s">
        <x:v>1623</x:v>
      </x:c>
      <x:c r="S1062" s="8"/>
      <x:c r="T1062" s="8" t="s">
        <x:v>27</x:v>
      </x:c>
      <x:c r="U1062" s="8" t="s">
        <x:v>883</x:v>
      </x:c>
      <x:c r="V1062" s="8" t="s">
        <x:v>2764</x:v>
      </x:c>
    </x:row>
    <x:row r="1063" ht="36" hidden="0" customHeight="1">
      <x:c r="A1063" s="8" t="s">
        <x:v>3063</x:v>
      </x:c>
      <x:c r="B1063" s="8" t="s">
        <x:v>3064</x:v>
      </x:c>
      <x:c r="C1063" s="8"/>
      <x:c r="D1063" s="8" t="s">
        <x:v>3065</x:v>
      </x:c>
      <x:c r="E1063" s="8" t="n">
        <x:v>234</x:v>
      </x:c>
      <x:c r="F1063" s="8" t="s">
        <x:v>1617</x:v>
      </x:c>
      <x:c r="G1063" s="8" t="s">
        <x:v>109</x:v>
      </x:c>
      <x:c r="H1063" s="8" t="s">
        <x:v>3066</x:v>
      </x:c>
      <x:c r="I1063" s="8" t="s">
        <x:v>3067</x:v>
      </x:c>
      <x:c r="J1063" s="8" t="s">
        <x:v>112</x:v>
      </x:c>
      <x:c r="K1063" s="8" t="s">
        <x:v>3068</x:v>
      </x:c>
      <x:c r="L1063" s="8" t="s">
        <x:v>3068</x:v>
      </x:c>
      <x:c r="M1063" s="8"/>
      <x:c r="N1063" s="8"/>
      <x:c r="O1063" s="8" t="s">
        <x:v>1622</x:v>
      </x:c>
      <x:c r="P1063" s="8" t="s">
        <x:v>115</x:v>
      </x:c>
      <x:c r="Q1063" s="8" t="s">
        <x:v>45</x:v>
      </x:c>
      <x:c r="R1063" s="8" t="s">
        <x:v>1623</x:v>
      </x:c>
      <x:c r="S1063" s="8" t="s">
        <x:v>3069</x:v>
      </x:c>
      <x:c r="T1063" s="8" t="s">
        <x:v>27</x:v>
      </x:c>
      <x:c r="U1063" s="8" t="s">
        <x:v>883</x:v>
      </x:c>
      <x:c r="V1063" s="8" t="s">
        <x:v>2764</x:v>
      </x:c>
    </x:row>
    <x:row r="1064" ht="36" hidden="0" customHeight="1">
      <x:c r="A1064" s="8" t="s">
        <x:v>3070</x:v>
      </x:c>
      <x:c r="B1064" s="8" t="s">
        <x:v>3064</x:v>
      </x:c>
      <x:c r="C1064" s="8"/>
      <x:c r="D1064" s="8" t="s">
        <x:v>3071</x:v>
      </x:c>
      <x:c r="E1064" s="8" t="n">
        <x:v>115</x:v>
      </x:c>
      <x:c r="F1064" s="8" t="s">
        <x:v>1617</x:v>
      </x:c>
      <x:c r="G1064" s="8" t="s">
        <x:v>109</x:v>
      </x:c>
      <x:c r="H1064" s="8" t="s">
        <x:v>3066</x:v>
      </x:c>
      <x:c r="I1064" s="8" t="s">
        <x:v>3067</x:v>
      </x:c>
      <x:c r="J1064" s="8" t="s">
        <x:v>112</x:v>
      </x:c>
      <x:c r="K1064" s="8" t="s">
        <x:v>3068</x:v>
      </x:c>
      <x:c r="L1064" s="8" t="s">
        <x:v>3068</x:v>
      </x:c>
      <x:c r="M1064" s="8"/>
      <x:c r="N1064" s="8"/>
      <x:c r="O1064" s="8" t="s">
        <x:v>1622</x:v>
      </x:c>
      <x:c r="P1064" s="8" t="s">
        <x:v>115</x:v>
      </x:c>
      <x:c r="Q1064" s="8" t="s">
        <x:v>45</x:v>
      </x:c>
      <x:c r="R1064" s="8" t="s">
        <x:v>1623</x:v>
      </x:c>
      <x:c r="S1064" s="8" t="s">
        <x:v>3072</x:v>
      </x:c>
      <x:c r="T1064" s="8" t="s">
        <x:v>27</x:v>
      </x:c>
      <x:c r="U1064" s="8" t="s">
        <x:v>883</x:v>
      </x:c>
      <x:c r="V1064" s="8" t="s">
        <x:v>2764</x:v>
      </x:c>
    </x:row>
    <x:row r="1065" ht="36" hidden="0" customHeight="1">
      <x:c r="A1065" s="8" t="s">
        <x:v>3073</x:v>
      </x:c>
      <x:c r="B1065" s="8" t="s">
        <x:v>3064</x:v>
      </x:c>
      <x:c r="C1065" s="8"/>
      <x:c r="D1065" s="8" t="s">
        <x:v>3074</x:v>
      </x:c>
      <x:c r="E1065" s="8" t="n">
        <x:v>14</x:v>
      </x:c>
      <x:c r="F1065" s="8" t="s">
        <x:v>1617</x:v>
      </x:c>
      <x:c r="G1065" s="8" t="s">
        <x:v>109</x:v>
      </x:c>
      <x:c r="H1065" s="8" t="s">
        <x:v>3066</x:v>
      </x:c>
      <x:c r="I1065" s="8" t="s">
        <x:v>3067</x:v>
      </x:c>
      <x:c r="J1065" s="8" t="s">
        <x:v>112</x:v>
      </x:c>
      <x:c r="K1065" s="8" t="s">
        <x:v>3068</x:v>
      </x:c>
      <x:c r="L1065" s="8" t="s">
        <x:v>3068</x:v>
      </x:c>
      <x:c r="M1065" s="8"/>
      <x:c r="N1065" s="8"/>
      <x:c r="O1065" s="8" t="s">
        <x:v>1622</x:v>
      </x:c>
      <x:c r="P1065" s="8" t="s">
        <x:v>115</x:v>
      </x:c>
      <x:c r="Q1065" s="8" t="s">
        <x:v>45</x:v>
      </x:c>
      <x:c r="R1065" s="8" t="s">
        <x:v>1623</x:v>
      </x:c>
      <x:c r="S1065" s="8" t="s">
        <x:v>3075</x:v>
      </x:c>
      <x:c r="T1065" s="8" t="s">
        <x:v>27</x:v>
      </x:c>
      <x:c r="U1065" s="8" t="s">
        <x:v>883</x:v>
      </x:c>
      <x:c r="V1065" s="8" t="s">
        <x:v>2764</x:v>
      </x:c>
    </x:row>
    <x:row r="1066" ht="36" hidden="0" customHeight="1">
      <x:c r="A1066" s="8" t="s">
        <x:v>3076</x:v>
      </x:c>
      <x:c r="B1066" s="8" t="s">
        <x:v>3064</x:v>
      </x:c>
      <x:c r="C1066" s="8"/>
      <x:c r="D1066" s="8" t="s">
        <x:v>3077</x:v>
      </x:c>
      <x:c r="E1066" s="8" t="n">
        <x:v>40</x:v>
      </x:c>
      <x:c r="F1066" s="8" t="s">
        <x:v>1617</x:v>
      </x:c>
      <x:c r="G1066" s="8" t="s">
        <x:v>109</x:v>
      </x:c>
      <x:c r="H1066" s="8" t="s">
        <x:v>3066</x:v>
      </x:c>
      <x:c r="I1066" s="8" t="s">
        <x:v>3067</x:v>
      </x:c>
      <x:c r="J1066" s="8" t="s">
        <x:v>112</x:v>
      </x:c>
      <x:c r="K1066" s="8" t="s">
        <x:v>3078</x:v>
      </x:c>
      <x:c r="L1066" s="8" t="s">
        <x:v>3078</x:v>
      </x:c>
      <x:c r="M1066" s="8"/>
      <x:c r="N1066" s="8"/>
      <x:c r="O1066" s="8" t="s">
        <x:v>1622</x:v>
      </x:c>
      <x:c r="P1066" s="8" t="s">
        <x:v>115</x:v>
      </x:c>
      <x:c r="Q1066" s="8" t="s">
        <x:v>45</x:v>
      </x:c>
      <x:c r="R1066" s="8" t="s">
        <x:v>1623</x:v>
      </x:c>
      <x:c r="S1066" s="8" t="s">
        <x:v>905</x:v>
      </x:c>
      <x:c r="T1066" s="8" t="s">
        <x:v>27</x:v>
      </x:c>
      <x:c r="U1066" s="8" t="s">
        <x:v>883</x:v>
      </x:c>
      <x:c r="V1066" s="8" t="s">
        <x:v>2764</x:v>
      </x:c>
    </x:row>
    <x:row r="1067" ht="36" hidden="0" customHeight="1">
      <x:c r="A1067" s="8" t="s">
        <x:v>3079</x:v>
      </x:c>
      <x:c r="B1067" s="8" t="s">
        <x:v>3064</x:v>
      </x:c>
      <x:c r="C1067" s="8"/>
      <x:c r="D1067" s="8" t="s">
        <x:v>3080</x:v>
      </x:c>
      <x:c r="E1067" s="8" t="s">
        <x:v>3081</x:v>
      </x:c>
      <x:c r="F1067" s="8" t="s">
        <x:v>1617</x:v>
      </x:c>
      <x:c r="G1067" s="8" t="s">
        <x:v>109</x:v>
      </x:c>
      <x:c r="H1067" s="8" t="s">
        <x:v>3066</x:v>
      </x:c>
      <x:c r="I1067" s="8" t="s">
        <x:v>3067</x:v>
      </x:c>
      <x:c r="J1067" s="8" t="s">
        <x:v>112</x:v>
      </x:c>
      <x:c r="K1067" s="8" t="s">
        <x:v>3068</x:v>
      </x:c>
      <x:c r="L1067" s="8" t="s">
        <x:v>3068</x:v>
      </x:c>
      <x:c r="M1067" s="8"/>
      <x:c r="N1067" s="8"/>
      <x:c r="O1067" s="8" t="s">
        <x:v>1622</x:v>
      </x:c>
      <x:c r="P1067" s="8" t="s">
        <x:v>115</x:v>
      </x:c>
      <x:c r="Q1067" s="8" t="s">
        <x:v>45</x:v>
      </x:c>
      <x:c r="R1067" s="8" t="s">
        <x:v>1623</x:v>
      </x:c>
      <x:c r="S1067" s="8"/>
      <x:c r="T1067" s="8" t="s">
        <x:v>27</x:v>
      </x:c>
      <x:c r="U1067" s="8" t="s">
        <x:v>883</x:v>
      </x:c>
      <x:c r="V1067" s="8" t="s">
        <x:v>2764</x:v>
      </x:c>
    </x:row>
    <x:row r="1068" ht="36" hidden="0" customHeight="1">
      <x:c r="A1068" s="8" t="s">
        <x:v>3082</x:v>
      </x:c>
      <x:c r="B1068" s="8" t="s">
        <x:v>3064</x:v>
      </x:c>
      <x:c r="C1068" s="8"/>
      <x:c r="D1068" s="8" t="s">
        <x:v>3083</x:v>
      </x:c>
      <x:c r="E1068" s="8" t="s">
        <x:v>3084</x:v>
      </x:c>
      <x:c r="F1068" s="8" t="s">
        <x:v>1617</x:v>
      </x:c>
      <x:c r="G1068" s="8" t="s">
        <x:v>109</x:v>
      </x:c>
      <x:c r="H1068" s="8" t="s">
        <x:v>3066</x:v>
      </x:c>
      <x:c r="I1068" s="8" t="s">
        <x:v>3067</x:v>
      </x:c>
      <x:c r="J1068" s="8" t="s">
        <x:v>112</x:v>
      </x:c>
      <x:c r="K1068" s="8" t="s">
        <x:v>3068</x:v>
      </x:c>
      <x:c r="L1068" s="8" t="s">
        <x:v>3068</x:v>
      </x:c>
      <x:c r="M1068" s="8"/>
      <x:c r="N1068" s="8"/>
      <x:c r="O1068" s="8" t="s">
        <x:v>1622</x:v>
      </x:c>
      <x:c r="P1068" s="8" t="s">
        <x:v>115</x:v>
      </x:c>
      <x:c r="Q1068" s="8" t="s">
        <x:v>45</x:v>
      </x:c>
      <x:c r="R1068" s="8" t="s">
        <x:v>1623</x:v>
      </x:c>
      <x:c r="S1068" s="8"/>
      <x:c r="T1068" s="8" t="s">
        <x:v>27</x:v>
      </x:c>
      <x:c r="U1068" s="8" t="s">
        <x:v>883</x:v>
      </x:c>
      <x:c r="V1068" s="8" t="s">
        <x:v>2764</x:v>
      </x:c>
    </x:row>
    <x:row r="1069" ht="36" hidden="0" customHeight="1">
      <x:c r="A1069" s="8" t="s">
        <x:v>3085</x:v>
      </x:c>
      <x:c r="B1069" s="8" t="s">
        <x:v>3064</x:v>
      </x:c>
      <x:c r="C1069" s="8"/>
      <x:c r="D1069" s="8" t="s">
        <x:v>1615</x:v>
      </x:c>
      <x:c r="E1069" s="8" t="s">
        <x:v>3086</x:v>
      </x:c>
      <x:c r="F1069" s="8" t="s">
        <x:v>1617</x:v>
      </x:c>
      <x:c r="G1069" s="8" t="s">
        <x:v>109</x:v>
      </x:c>
      <x:c r="H1069" s="8" t="s">
        <x:v>3066</x:v>
      </x:c>
      <x:c r="I1069" s="8" t="s">
        <x:v>3067</x:v>
      </x:c>
      <x:c r="J1069" s="8" t="s">
        <x:v>112</x:v>
      </x:c>
      <x:c r="K1069" s="8" t="s">
        <x:v>3087</x:v>
      </x:c>
      <x:c r="L1069" s="8" t="s">
        <x:v>3087</x:v>
      </x:c>
      <x:c r="M1069" s="8"/>
      <x:c r="N1069" s="8"/>
      <x:c r="O1069" s="8" t="s">
        <x:v>1622</x:v>
      </x:c>
      <x:c r="P1069" s="8" t="s">
        <x:v>115</x:v>
      </x:c>
      <x:c r="Q1069" s="8" t="s">
        <x:v>45</x:v>
      </x:c>
      <x:c r="R1069" s="8" t="s">
        <x:v>1623</x:v>
      </x:c>
      <x:c r="S1069" s="8"/>
      <x:c r="T1069" s="8" t="s">
        <x:v>27</x:v>
      </x:c>
      <x:c r="U1069" s="8" t="s">
        <x:v>883</x:v>
      </x:c>
      <x:c r="V1069" s="8" t="s">
        <x:v>2764</x:v>
      </x:c>
    </x:row>
    <x:row r="1070" ht="36" hidden="0" customHeight="1">
      <x:c r="A1070" s="8" t="s">
        <x:v>3088</x:v>
      </x:c>
      <x:c r="B1070" s="8" t="s">
        <x:v>3064</x:v>
      </x:c>
      <x:c r="C1070" s="8"/>
      <x:c r="D1070" s="8" t="s">
        <x:v>3089</x:v>
      </x:c>
      <x:c r="E1070" s="8" t="n">
        <x:v>1</x:v>
      </x:c>
      <x:c r="F1070" s="8" t="s">
        <x:v>1617</x:v>
      </x:c>
      <x:c r="G1070" s="8" t="s">
        <x:v>109</x:v>
      </x:c>
      <x:c r="H1070" s="8" t="s">
        <x:v>3066</x:v>
      </x:c>
      <x:c r="I1070" s="8" t="s">
        <x:v>3067</x:v>
      </x:c>
      <x:c r="J1070" s="8" t="s">
        <x:v>112</x:v>
      </x:c>
      <x:c r="K1070" s="8" t="s">
        <x:v>3090</x:v>
      </x:c>
      <x:c r="L1070" s="8" t="s">
        <x:v>3090</x:v>
      </x:c>
      <x:c r="M1070" s="8"/>
      <x:c r="N1070" s="8"/>
      <x:c r="O1070" s="8" t="s">
        <x:v>1622</x:v>
      </x:c>
      <x:c r="P1070" s="8" t="s">
        <x:v>115</x:v>
      </x:c>
      <x:c r="Q1070" s="8" t="s">
        <x:v>45</x:v>
      </x:c>
      <x:c r="R1070" s="8" t="s">
        <x:v>1623</x:v>
      </x:c>
      <x:c r="S1070" s="8"/>
      <x:c r="T1070" s="8" t="s">
        <x:v>27</x:v>
      </x:c>
      <x:c r="U1070" s="8" t="s">
        <x:v>883</x:v>
      </x:c>
      <x:c r="V1070" s="8" t="s">
        <x:v>2764</x:v>
      </x:c>
    </x:row>
    <x:row r="1071" ht="36" hidden="0" customHeight="1">
      <x:c r="A1071" s="8" t="s">
        <x:v>3091</x:v>
      </x:c>
      <x:c r="B1071" s="8" t="s">
        <x:v>3064</x:v>
      </x:c>
      <x:c r="C1071" s="8"/>
      <x:c r="D1071" s="8" t="s">
        <x:v>3092</x:v>
      </x:c>
      <x:c r="E1071" s="8" t="s">
        <x:v>3093</x:v>
      </x:c>
      <x:c r="F1071" s="8" t="s">
        <x:v>1617</x:v>
      </x:c>
      <x:c r="G1071" s="8" t="s">
        <x:v>109</x:v>
      </x:c>
      <x:c r="H1071" s="8" t="s">
        <x:v>3066</x:v>
      </x:c>
      <x:c r="I1071" s="8" t="s">
        <x:v>3067</x:v>
      </x:c>
      <x:c r="J1071" s="8" t="s">
        <x:v>112</x:v>
      </x:c>
      <x:c r="K1071" s="8" t="s">
        <x:v>3090</x:v>
      </x:c>
      <x:c r="L1071" s="8" t="s">
        <x:v>3090</x:v>
      </x:c>
      <x:c r="M1071" s="8"/>
      <x:c r="N1071" s="8"/>
      <x:c r="O1071" s="8" t="s">
        <x:v>1622</x:v>
      </x:c>
      <x:c r="P1071" s="8" t="s">
        <x:v>115</x:v>
      </x:c>
      <x:c r="Q1071" s="8" t="s">
        <x:v>45</x:v>
      </x:c>
      <x:c r="R1071" s="8" t="s">
        <x:v>1623</x:v>
      </x:c>
      <x:c r="S1071" s="8"/>
      <x:c r="T1071" s="8" t="s">
        <x:v>27</x:v>
      </x:c>
      <x:c r="U1071" s="8" t="s">
        <x:v>883</x:v>
      </x:c>
      <x:c r="V1071" s="8" t="s">
        <x:v>2764</x:v>
      </x:c>
    </x:row>
    <x:row r="1072" ht="36" hidden="0" customHeight="1">
      <x:c r="A1072" s="8" t="s">
        <x:v>3094</x:v>
      </x:c>
      <x:c r="B1072" s="8" t="s">
        <x:v>3064</x:v>
      </x:c>
      <x:c r="C1072" s="8"/>
      <x:c r="D1072" s="8" t="s">
        <x:v>3095</x:v>
      </x:c>
      <x:c r="E1072" s="8" t="s">
        <x:v>3096</x:v>
      </x:c>
      <x:c r="F1072" s="8" t="s">
        <x:v>1617</x:v>
      </x:c>
      <x:c r="G1072" s="8" t="s">
        <x:v>109</x:v>
      </x:c>
      <x:c r="H1072" s="8" t="s">
        <x:v>3066</x:v>
      </x:c>
      <x:c r="I1072" s="8" t="s">
        <x:v>3067</x:v>
      </x:c>
      <x:c r="J1072" s="8" t="s">
        <x:v>112</x:v>
      </x:c>
      <x:c r="K1072" s="8" t="s">
        <x:v>3097</x:v>
      </x:c>
      <x:c r="L1072" s="8" t="s">
        <x:v>3097</x:v>
      </x:c>
      <x:c r="M1072" s="8"/>
      <x:c r="N1072" s="8"/>
      <x:c r="O1072" s="8" t="s">
        <x:v>1622</x:v>
      </x:c>
      <x:c r="P1072" s="8" t="s">
        <x:v>115</x:v>
      </x:c>
      <x:c r="Q1072" s="8" t="s">
        <x:v>45</x:v>
      </x:c>
      <x:c r="R1072" s="8" t="s">
        <x:v>1623</x:v>
      </x:c>
      <x:c r="S1072" s="8"/>
      <x:c r="T1072" s="8" t="s">
        <x:v>27</x:v>
      </x:c>
      <x:c r="U1072" s="8" t="s">
        <x:v>883</x:v>
      </x:c>
      <x:c r="V1072" s="8" t="s">
        <x:v>2764</x:v>
      </x:c>
    </x:row>
    <x:row r="1073" ht="36" hidden="0" customHeight="1">
      <x:c r="A1073" s="8" t="s">
        <x:v>3098</x:v>
      </x:c>
      <x:c r="B1073" s="8" t="s">
        <x:v>3064</x:v>
      </x:c>
      <x:c r="C1073" s="8"/>
      <x:c r="D1073" s="8" t="s">
        <x:v>2129</x:v>
      </x:c>
      <x:c r="E1073" s="8" t="s">
        <x:v>3099</x:v>
      </x:c>
      <x:c r="F1073" s="8" t="s">
        <x:v>1617</x:v>
      </x:c>
      <x:c r="G1073" s="8" t="s">
        <x:v>109</x:v>
      </x:c>
      <x:c r="H1073" s="8" t="s">
        <x:v>3066</x:v>
      </x:c>
      <x:c r="I1073" s="8" t="s">
        <x:v>3067</x:v>
      </x:c>
      <x:c r="J1073" s="8" t="s">
        <x:v>112</x:v>
      </x:c>
      <x:c r="K1073" s="8" t="s">
        <x:v>3100</x:v>
      </x:c>
      <x:c r="L1073" s="8" t="s">
        <x:v>3100</x:v>
      </x:c>
      <x:c r="M1073" s="8"/>
      <x:c r="N1073" s="8"/>
      <x:c r="O1073" s="8" t="s">
        <x:v>1622</x:v>
      </x:c>
      <x:c r="P1073" s="8" t="s">
        <x:v>115</x:v>
      </x:c>
      <x:c r="Q1073" s="8" t="s">
        <x:v>45</x:v>
      </x:c>
      <x:c r="R1073" s="8" t="s">
        <x:v>1623</x:v>
      </x:c>
      <x:c r="S1073" s="8"/>
      <x:c r="T1073" s="8" t="s">
        <x:v>27</x:v>
      </x:c>
      <x:c r="U1073" s="8" t="s">
        <x:v>883</x:v>
      </x:c>
      <x:c r="V1073" s="8" t="s">
        <x:v>2764</x:v>
      </x:c>
    </x:row>
    <x:row r="1074" ht="36" hidden="0" customHeight="1">
      <x:c r="A1074" s="8" t="s">
        <x:v>3101</x:v>
      </x:c>
      <x:c r="B1074" s="8" t="s">
        <x:v>3064</x:v>
      </x:c>
      <x:c r="C1074" s="8"/>
      <x:c r="D1074" s="8" t="s">
        <x:v>3102</x:v>
      </x:c>
      <x:c r="E1074" s="8" t="s">
        <x:v>3103</x:v>
      </x:c>
      <x:c r="F1074" s="8" t="s">
        <x:v>1617</x:v>
      </x:c>
      <x:c r="G1074" s="8" t="s">
        <x:v>109</x:v>
      </x:c>
      <x:c r="H1074" s="8" t="s">
        <x:v>3066</x:v>
      </x:c>
      <x:c r="I1074" s="8" t="s">
        <x:v>3067</x:v>
      </x:c>
      <x:c r="J1074" s="8" t="s">
        <x:v>112</x:v>
      </x:c>
      <x:c r="K1074" s="8" t="s">
        <x:v>3104</x:v>
      </x:c>
      <x:c r="L1074" s="8" t="s">
        <x:v>3104</x:v>
      </x:c>
      <x:c r="M1074" s="8"/>
      <x:c r="N1074" s="8"/>
      <x:c r="O1074" s="8" t="s">
        <x:v>1622</x:v>
      </x:c>
      <x:c r="P1074" s="8" t="s">
        <x:v>115</x:v>
      </x:c>
      <x:c r="Q1074" s="8" t="s">
        <x:v>45</x:v>
      </x:c>
      <x:c r="R1074" s="8" t="s">
        <x:v>1623</x:v>
      </x:c>
      <x:c r="S1074" s="8"/>
      <x:c r="T1074" s="8" t="s">
        <x:v>27</x:v>
      </x:c>
      <x:c r="U1074" s="8" t="s">
        <x:v>883</x:v>
      </x:c>
      <x:c r="V1074" s="8" t="s">
        <x:v>2764</x:v>
      </x:c>
    </x:row>
    <x:row r="1075" ht="36" hidden="0" customHeight="1">
      <x:c r="A1075" s="8" t="s">
        <x:v>3105</x:v>
      </x:c>
      <x:c r="B1075" s="8" t="s">
        <x:v>3106</x:v>
      </x:c>
      <x:c r="C1075" s="8"/>
      <x:c r="D1075" s="8" t="s">
        <x:v>3107</x:v>
      </x:c>
      <x:c r="E1075" s="8" t="n">
        <x:v>0.75</x:v>
      </x:c>
      <x:c r="F1075" s="8" t="s">
        <x:v>1617</x:v>
      </x:c>
      <x:c r="G1075" s="8" t="s">
        <x:v>109</x:v>
      </x:c>
      <x:c r="H1075" s="8" t="s">
        <x:v>3108</x:v>
      </x:c>
      <x:c r="I1075" s="8" t="s">
        <x:v>3109</x:v>
      </x:c>
      <x:c r="J1075" s="8" t="s">
        <x:v>112</x:v>
      </x:c>
      <x:c r="K1075" s="8" t="s">
        <x:v>3110</x:v>
      </x:c>
      <x:c r="L1075" s="8" t="s">
        <x:v>3110</x:v>
      </x:c>
      <x:c r="M1075" s="8"/>
      <x:c r="N1075" s="8"/>
      <x:c r="O1075" s="8" t="s">
        <x:v>1622</x:v>
      </x:c>
      <x:c r="P1075" s="8" t="s">
        <x:v>115</x:v>
      </x:c>
      <x:c r="Q1075" s="8" t="s">
        <x:v>45</x:v>
      </x:c>
      <x:c r="R1075" s="8" t="s">
        <x:v>1623</x:v>
      </x:c>
      <x:c r="S1075" s="8"/>
      <x:c r="T1075" s="8" t="s">
        <x:v>27</x:v>
      </x:c>
      <x:c r="U1075" s="8" t="s">
        <x:v>883</x:v>
      </x:c>
      <x:c r="V1075" s="8" t="s">
        <x:v>2764</x:v>
      </x:c>
    </x:row>
    <x:row r="1076" ht="36" hidden="0" customHeight="1">
      <x:c r="A1076" s="8" t="s">
        <x:v>3111</x:v>
      </x:c>
      <x:c r="B1076" s="8" t="s">
        <x:v>3106</x:v>
      </x:c>
      <x:c r="C1076" s="8"/>
      <x:c r="D1076" s="8" t="s">
        <x:v>3112</x:v>
      </x:c>
      <x:c r="E1076" s="8" t="s">
        <x:v>3113</x:v>
      </x:c>
      <x:c r="F1076" s="8" t="s">
        <x:v>1617</x:v>
      </x:c>
      <x:c r="G1076" s="8" t="s">
        <x:v>109</x:v>
      </x:c>
      <x:c r="H1076" s="8" t="s">
        <x:v>3108</x:v>
      </x:c>
      <x:c r="I1076" s="8" t="s">
        <x:v>3109</x:v>
      </x:c>
      <x:c r="J1076" s="8" t="s">
        <x:v>112</x:v>
      </x:c>
      <x:c r="K1076" s="8" t="s">
        <x:v>469</x:v>
      </x:c>
      <x:c r="L1076" s="8" t="s">
        <x:v>469</x:v>
      </x:c>
      <x:c r="M1076" s="8"/>
      <x:c r="N1076" s="8"/>
      <x:c r="O1076" s="8" t="s">
        <x:v>1622</x:v>
      </x:c>
      <x:c r="P1076" s="8" t="s">
        <x:v>115</x:v>
      </x:c>
      <x:c r="Q1076" s="8" t="s">
        <x:v>45</x:v>
      </x:c>
      <x:c r="R1076" s="8" t="s">
        <x:v>1623</x:v>
      </x:c>
      <x:c r="S1076" s="8"/>
      <x:c r="T1076" s="8" t="s">
        <x:v>27</x:v>
      </x:c>
      <x:c r="U1076" s="8" t="s">
        <x:v>883</x:v>
      </x:c>
      <x:c r="V1076" s="8" t="s">
        <x:v>2764</x:v>
      </x:c>
    </x:row>
    <x:row r="1077" ht="36" hidden="0" customHeight="1">
      <x:c r="A1077" s="8" t="s">
        <x:v>3114</x:v>
      </x:c>
      <x:c r="B1077" s="8" t="s">
        <x:v>3106</x:v>
      </x:c>
      <x:c r="C1077" s="8"/>
      <x:c r="D1077" s="8" t="s">
        <x:v>3115</x:v>
      </x:c>
      <x:c r="E1077" s="8" t="n">
        <x:v>32</x:v>
      </x:c>
      <x:c r="F1077" s="8" t="s">
        <x:v>1617</x:v>
      </x:c>
      <x:c r="G1077" s="8" t="s">
        <x:v>109</x:v>
      </x:c>
      <x:c r="H1077" s="8" t="s">
        <x:v>3108</x:v>
      </x:c>
      <x:c r="I1077" s="8" t="s">
        <x:v>3109</x:v>
      </x:c>
      <x:c r="J1077" s="8" t="s">
        <x:v>112</x:v>
      </x:c>
      <x:c r="K1077" s="8" t="s">
        <x:v>469</x:v>
      </x:c>
      <x:c r="L1077" s="8" t="s">
        <x:v>469</x:v>
      </x:c>
      <x:c r="M1077" s="8"/>
      <x:c r="N1077" s="8"/>
      <x:c r="O1077" s="8" t="s">
        <x:v>1622</x:v>
      </x:c>
      <x:c r="P1077" s="8" t="s">
        <x:v>115</x:v>
      </x:c>
      <x:c r="Q1077" s="8" t="s">
        <x:v>45</x:v>
      </x:c>
      <x:c r="R1077" s="8" t="s">
        <x:v>1623</x:v>
      </x:c>
      <x:c r="S1077" s="8" t="s">
        <x:v>3116</x:v>
      </x:c>
      <x:c r="T1077" s="8" t="s">
        <x:v>27</x:v>
      </x:c>
      <x:c r="U1077" s="8" t="s">
        <x:v>883</x:v>
      </x:c>
      <x:c r="V1077" s="8" t="s">
        <x:v>2764</x:v>
      </x:c>
    </x:row>
    <x:row r="1078" ht="36" hidden="0" customHeight="1">
      <x:c r="A1078" s="8" t="s">
        <x:v>3117</x:v>
      </x:c>
      <x:c r="B1078" s="8" t="s">
        <x:v>3106</x:v>
      </x:c>
      <x:c r="C1078" s="8"/>
      <x:c r="D1078" s="8" t="s">
        <x:v>2177</x:v>
      </x:c>
      <x:c r="E1078" s="8" t="s">
        <x:v>3118</x:v>
      </x:c>
      <x:c r="F1078" s="8" t="s">
        <x:v>1617</x:v>
      </x:c>
      <x:c r="G1078" s="8" t="s">
        <x:v>109</x:v>
      </x:c>
      <x:c r="H1078" s="8" t="s">
        <x:v>3108</x:v>
      </x:c>
      <x:c r="I1078" s="8" t="s">
        <x:v>3109</x:v>
      </x:c>
      <x:c r="J1078" s="8" t="s">
        <x:v>112</x:v>
      </x:c>
      <x:c r="K1078" s="8" t="s">
        <x:v>3110</x:v>
      </x:c>
      <x:c r="L1078" s="8" t="s">
        <x:v>3110</x:v>
      </x:c>
      <x:c r="M1078" s="8"/>
      <x:c r="N1078" s="8"/>
      <x:c r="O1078" s="8" t="s">
        <x:v>1622</x:v>
      </x:c>
      <x:c r="P1078" s="8" t="s">
        <x:v>115</x:v>
      </x:c>
      <x:c r="Q1078" s="8" t="s">
        <x:v>45</x:v>
      </x:c>
      <x:c r="R1078" s="8" t="s">
        <x:v>1623</x:v>
      </x:c>
      <x:c r="S1078" s="8"/>
      <x:c r="T1078" s="8" t="s">
        <x:v>27</x:v>
      </x:c>
      <x:c r="U1078" s="8" t="s">
        <x:v>883</x:v>
      </x:c>
      <x:c r="V1078" s="8" t="s">
        <x:v>2764</x:v>
      </x:c>
    </x:row>
    <x:row r="1079" ht="36" hidden="0" customHeight="1">
      <x:c r="A1079" s="8" t="s">
        <x:v>3119</x:v>
      </x:c>
      <x:c r="B1079" s="8" t="s">
        <x:v>3106</x:v>
      </x:c>
      <x:c r="C1079" s="8"/>
      <x:c r="D1079" s="8" t="s">
        <x:v>3120</x:v>
      </x:c>
      <x:c r="E1079" s="8" t="s">
        <x:v>3121</x:v>
      </x:c>
      <x:c r="F1079" s="8" t="s">
        <x:v>1617</x:v>
      </x:c>
      <x:c r="G1079" s="8" t="s">
        <x:v>109</x:v>
      </x:c>
      <x:c r="H1079" s="8" t="s">
        <x:v>3108</x:v>
      </x:c>
      <x:c r="I1079" s="8" t="s">
        <x:v>3109</x:v>
      </x:c>
      <x:c r="J1079" s="8" t="s">
        <x:v>112</x:v>
      </x:c>
      <x:c r="K1079" s="8" t="s">
        <x:v>3110</x:v>
      </x:c>
      <x:c r="L1079" s="8" t="s">
        <x:v>3110</x:v>
      </x:c>
      <x:c r="M1079" s="8"/>
      <x:c r="N1079" s="8"/>
      <x:c r="O1079" s="8" t="s">
        <x:v>1622</x:v>
      </x:c>
      <x:c r="P1079" s="8" t="s">
        <x:v>115</x:v>
      </x:c>
      <x:c r="Q1079" s="8" t="s">
        <x:v>45</x:v>
      </x:c>
      <x:c r="R1079" s="8" t="s">
        <x:v>1623</x:v>
      </x:c>
      <x:c r="S1079" s="8"/>
      <x:c r="T1079" s="8" t="s">
        <x:v>27</x:v>
      </x:c>
      <x:c r="U1079" s="8" t="s">
        <x:v>883</x:v>
      </x:c>
      <x:c r="V1079" s="8" t="s">
        <x:v>2764</x:v>
      </x:c>
    </x:row>
    <x:row r="1080" ht="36" hidden="0" customHeight="1">
      <x:c r="A1080" s="8" t="s">
        <x:v>3122</x:v>
      </x:c>
      <x:c r="B1080" s="8" t="s">
        <x:v>3106</x:v>
      </x:c>
      <x:c r="C1080" s="8"/>
      <x:c r="D1080" s="8" t="s">
        <x:v>3123</x:v>
      </x:c>
      <x:c r="E1080" s="8" t="n">
        <x:v>94.4</x:v>
      </x:c>
      <x:c r="F1080" s="8" t="s">
        <x:v>1617</x:v>
      </x:c>
      <x:c r="G1080" s="8" t="s">
        <x:v>109</x:v>
      </x:c>
      <x:c r="H1080" s="8" t="s">
        <x:v>3108</x:v>
      </x:c>
      <x:c r="I1080" s="8" t="s">
        <x:v>3109</x:v>
      </x:c>
      <x:c r="J1080" s="8" t="s">
        <x:v>112</x:v>
      </x:c>
      <x:c r="K1080" s="8" t="s">
        <x:v>3124</x:v>
      </x:c>
      <x:c r="L1080" s="8" t="s">
        <x:v>3124</x:v>
      </x:c>
      <x:c r="M1080" s="8"/>
      <x:c r="N1080" s="8"/>
      <x:c r="O1080" s="8" t="s">
        <x:v>1622</x:v>
      </x:c>
      <x:c r="P1080" s="8" t="s">
        <x:v>115</x:v>
      </x:c>
      <x:c r="Q1080" s="8" t="s">
        <x:v>45</x:v>
      </x:c>
      <x:c r="R1080" s="8" t="s">
        <x:v>1623</x:v>
      </x:c>
      <x:c r="S1080" s="8" t="s">
        <x:v>2382</x:v>
      </x:c>
      <x:c r="T1080" s="8" t="s">
        <x:v>27</x:v>
      </x:c>
      <x:c r="U1080" s="8" t="s">
        <x:v>883</x:v>
      </x:c>
      <x:c r="V1080" s="8" t="s">
        <x:v>2764</x:v>
      </x:c>
    </x:row>
    <x:row r="1081" ht="36" hidden="0" customHeight="1">
      <x:c r="A1081" s="8" t="s">
        <x:v>3125</x:v>
      </x:c>
      <x:c r="B1081" s="8" t="s">
        <x:v>3106</x:v>
      </x:c>
      <x:c r="C1081" s="8"/>
      <x:c r="D1081" s="8" t="s">
        <x:v>3126</x:v>
      </x:c>
      <x:c r="E1081" s="8" t="n">
        <x:v>93.65</x:v>
      </x:c>
      <x:c r="F1081" s="8" t="s">
        <x:v>1617</x:v>
      </x:c>
      <x:c r="G1081" s="8" t="s">
        <x:v>109</x:v>
      </x:c>
      <x:c r="H1081" s="8" t="s">
        <x:v>3108</x:v>
      </x:c>
      <x:c r="I1081" s="8" t="s">
        <x:v>3109</x:v>
      </x:c>
      <x:c r="J1081" s="8" t="s">
        <x:v>112</x:v>
      </x:c>
      <x:c r="K1081" s="8" t="s">
        <x:v>3124</x:v>
      </x:c>
      <x:c r="L1081" s="8" t="s">
        <x:v>3124</x:v>
      </x:c>
      <x:c r="M1081" s="8"/>
      <x:c r="N1081" s="8"/>
      <x:c r="O1081" s="8" t="s">
        <x:v>1622</x:v>
      </x:c>
      <x:c r="P1081" s="8" t="s">
        <x:v>115</x:v>
      </x:c>
      <x:c r="Q1081" s="8" t="s">
        <x:v>45</x:v>
      </x:c>
      <x:c r="R1081" s="8" t="s">
        <x:v>1623</x:v>
      </x:c>
      <x:c r="S1081" s="8" t="s">
        <x:v>2382</x:v>
      </x:c>
      <x:c r="T1081" s="8" t="s">
        <x:v>27</x:v>
      </x:c>
      <x:c r="U1081" s="8" t="s">
        <x:v>883</x:v>
      </x:c>
      <x:c r="V1081" s="8" t="s">
        <x:v>2764</x:v>
      </x:c>
    </x:row>
    <x:row r="1082" ht="36" hidden="0" customHeight="1">
      <x:c r="A1082" s="8" t="s">
        <x:v>3127</x:v>
      </x:c>
      <x:c r="B1082" s="8" t="s">
        <x:v>3106</x:v>
      </x:c>
      <x:c r="C1082" s="8"/>
      <x:c r="D1082" s="8" t="s">
        <x:v>3128</x:v>
      </x:c>
      <x:c r="E1082" s="8" t="s">
        <x:v>3129</x:v>
      </x:c>
      <x:c r="F1082" s="8" t="s">
        <x:v>1617</x:v>
      </x:c>
      <x:c r="G1082" s="8" t="s">
        <x:v>109</x:v>
      </x:c>
      <x:c r="H1082" s="8" t="s">
        <x:v>3108</x:v>
      </x:c>
      <x:c r="I1082" s="8" t="s">
        <x:v>3109</x:v>
      </x:c>
      <x:c r="J1082" s="8" t="s">
        <x:v>112</x:v>
      </x:c>
      <x:c r="K1082" s="8" t="s">
        <x:v>3130</x:v>
      </x:c>
      <x:c r="L1082" s="8" t="s">
        <x:v>3130</x:v>
      </x:c>
      <x:c r="M1082" s="8"/>
      <x:c r="N1082" s="8"/>
      <x:c r="O1082" s="8" t="s">
        <x:v>1622</x:v>
      </x:c>
      <x:c r="P1082" s="8" t="s">
        <x:v>115</x:v>
      </x:c>
      <x:c r="Q1082" s="8" t="s">
        <x:v>45</x:v>
      </x:c>
      <x:c r="R1082" s="8" t="s">
        <x:v>1623</x:v>
      </x:c>
      <x:c r="S1082" s="8"/>
      <x:c r="T1082" s="8" t="s">
        <x:v>27</x:v>
      </x:c>
      <x:c r="U1082" s="8" t="s">
        <x:v>883</x:v>
      </x:c>
      <x:c r="V1082" s="8" t="s">
        <x:v>2764</x:v>
      </x:c>
    </x:row>
    <x:row r="1083" ht="36" hidden="0" customHeight="1">
      <x:c r="A1083" s="8" t="s">
        <x:v>3131</x:v>
      </x:c>
      <x:c r="B1083" s="8" t="s">
        <x:v>3106</x:v>
      </x:c>
      <x:c r="C1083" s="8"/>
      <x:c r="D1083" s="8" t="s">
        <x:v>3132</x:v>
      </x:c>
      <x:c r="E1083" s="8" t="s">
        <x:v>3133</x:v>
      </x:c>
      <x:c r="F1083" s="8" t="s">
        <x:v>1617</x:v>
      </x:c>
      <x:c r="G1083" s="8" t="s">
        <x:v>187</x:v>
      </x:c>
      <x:c r="H1083" s="8" t="s">
        <x:v>3108</x:v>
      </x:c>
      <x:c r="I1083" s="8" t="s">
        <x:v>3109</x:v>
      </x:c>
      <x:c r="J1083" s="8" t="s">
        <x:v>112</x:v>
      </x:c>
      <x:c r="K1083" s="8" t="s">
        <x:v>3134</x:v>
      </x:c>
      <x:c r="L1083" s="8" t="s">
        <x:v>3134</x:v>
      </x:c>
      <x:c r="M1083" s="8"/>
      <x:c r="N1083" s="8"/>
      <x:c r="O1083" s="8" t="s">
        <x:v>1622</x:v>
      </x:c>
      <x:c r="P1083" s="8" t="s">
        <x:v>115</x:v>
      </x:c>
      <x:c r="Q1083" s="8" t="s">
        <x:v>45</x:v>
      </x:c>
      <x:c r="R1083" s="8" t="s">
        <x:v>1623</x:v>
      </x:c>
      <x:c r="S1083" s="8"/>
      <x:c r="T1083" s="8" t="s">
        <x:v>27</x:v>
      </x:c>
      <x:c r="U1083" s="8" t="s">
        <x:v>883</x:v>
      </x:c>
      <x:c r="V1083" s="8" t="s">
        <x:v>2764</x:v>
      </x:c>
    </x:row>
    <x:row r="1084" ht="36" hidden="0" customHeight="1">
      <x:c r="A1084" s="8" t="s">
        <x:v>3135</x:v>
      </x:c>
      <x:c r="B1084" s="8" t="s">
        <x:v>3106</x:v>
      </x:c>
      <x:c r="C1084" s="8"/>
      <x:c r="D1084" s="8" t="s">
        <x:v>3136</x:v>
      </x:c>
      <x:c r="E1084" s="8" t="s">
        <x:v>3137</x:v>
      </x:c>
      <x:c r="F1084" s="8" t="s">
        <x:v>1617</x:v>
      </x:c>
      <x:c r="G1084" s="8" t="s">
        <x:v>109</x:v>
      </x:c>
      <x:c r="H1084" s="8" t="s">
        <x:v>3108</x:v>
      </x:c>
      <x:c r="I1084" s="8" t="s">
        <x:v>3109</x:v>
      </x:c>
      <x:c r="J1084" s="8" t="s">
        <x:v>112</x:v>
      </x:c>
      <x:c r="K1084" s="8" t="s">
        <x:v>3134</x:v>
      </x:c>
      <x:c r="L1084" s="8" t="s">
        <x:v>3134</x:v>
      </x:c>
      <x:c r="M1084" s="8"/>
      <x:c r="N1084" s="8"/>
      <x:c r="O1084" s="8" t="s">
        <x:v>1622</x:v>
      </x:c>
      <x:c r="P1084" s="8" t="s">
        <x:v>115</x:v>
      </x:c>
      <x:c r="Q1084" s="8" t="s">
        <x:v>45</x:v>
      </x:c>
      <x:c r="R1084" s="8" t="s">
        <x:v>1623</x:v>
      </x:c>
      <x:c r="S1084" s="8"/>
      <x:c r="T1084" s="8" t="s">
        <x:v>27</x:v>
      </x:c>
      <x:c r="U1084" s="8" t="s">
        <x:v>883</x:v>
      </x:c>
      <x:c r="V1084" s="8" t="s">
        <x:v>2764</x:v>
      </x:c>
    </x:row>
    <x:row r="1085" ht="36" hidden="0" customHeight="1">
      <x:c r="A1085" s="8" t="s">
        <x:v>3138</x:v>
      </x:c>
      <x:c r="B1085" s="8" t="s">
        <x:v>3106</x:v>
      </x:c>
      <x:c r="C1085" s="8"/>
      <x:c r="D1085" s="8" t="s">
        <x:v>3139</x:v>
      </x:c>
      <x:c r="E1085" s="8" t="s">
        <x:v>3140</x:v>
      </x:c>
      <x:c r="F1085" s="8" t="s">
        <x:v>1617</x:v>
      </x:c>
      <x:c r="G1085" s="8" t="s">
        <x:v>109</x:v>
      </x:c>
      <x:c r="H1085" s="8" t="s">
        <x:v>3108</x:v>
      </x:c>
      <x:c r="I1085" s="8" t="s">
        <x:v>3109</x:v>
      </x:c>
      <x:c r="J1085" s="8" t="s">
        <x:v>112</x:v>
      </x:c>
      <x:c r="K1085" s="8" t="s">
        <x:v>3134</x:v>
      </x:c>
      <x:c r="L1085" s="8" t="s">
        <x:v>3134</x:v>
      </x:c>
      <x:c r="M1085" s="8"/>
      <x:c r="N1085" s="8"/>
      <x:c r="O1085" s="8" t="s">
        <x:v>1622</x:v>
      </x:c>
      <x:c r="P1085" s="8" t="s">
        <x:v>115</x:v>
      </x:c>
      <x:c r="Q1085" s="8" t="s">
        <x:v>45</x:v>
      </x:c>
      <x:c r="R1085" s="8" t="s">
        <x:v>1623</x:v>
      </x:c>
      <x:c r="S1085" s="8"/>
      <x:c r="T1085" s="8" t="s">
        <x:v>27</x:v>
      </x:c>
      <x:c r="U1085" s="8" t="s">
        <x:v>883</x:v>
      </x:c>
      <x:c r="V1085" s="8" t="s">
        <x:v>2764</x:v>
      </x:c>
    </x:row>
    <x:row r="1086" ht="36" hidden="0" customHeight="1">
      <x:c r="A1086" s="8" t="s">
        <x:v>3141</x:v>
      </x:c>
      <x:c r="B1086" s="8" t="s">
        <x:v>3142</x:v>
      </x:c>
      <x:c r="C1086" s="8"/>
      <x:c r="D1086" s="8" t="s">
        <x:v>3143</x:v>
      </x:c>
      <x:c r="E1086" s="8" t="s">
        <x:v>3144</x:v>
      </x:c>
      <x:c r="F1086" s="8" t="s">
        <x:v>1617</x:v>
      </x:c>
      <x:c r="G1086" s="8" t="s">
        <x:v>109</x:v>
      </x:c>
      <x:c r="H1086" s="8" t="s">
        <x:v>3145</x:v>
      </x:c>
      <x:c r="I1086" s="8" t="s">
        <x:v>3146</x:v>
      </x:c>
      <x:c r="J1086" s="8" t="s">
        <x:v>112</x:v>
      </x:c>
      <x:c r="K1086" s="8" t="s">
        <x:v>3147</x:v>
      </x:c>
      <x:c r="L1086" s="8" t="s">
        <x:v>3147</x:v>
      </x:c>
      <x:c r="M1086" s="8"/>
      <x:c r="N1086" s="8"/>
      <x:c r="O1086" s="8" t="s">
        <x:v>1622</x:v>
      </x:c>
      <x:c r="P1086" s="8" t="s">
        <x:v>115</x:v>
      </x:c>
      <x:c r="Q1086" s="8" t="s">
        <x:v>45</x:v>
      </x:c>
      <x:c r="R1086" s="8" t="s">
        <x:v>1623</x:v>
      </x:c>
      <x:c r="S1086" s="8"/>
      <x:c r="T1086" s="8" t="s">
        <x:v>27</x:v>
      </x:c>
      <x:c r="U1086" s="8" t="s">
        <x:v>883</x:v>
      </x:c>
      <x:c r="V1086" s="8" t="s">
        <x:v>2764</x:v>
      </x:c>
    </x:row>
    <x:row r="1087" ht="36" hidden="0" customHeight="1">
      <x:c r="A1087" s="8" t="s">
        <x:v>3148</x:v>
      </x:c>
      <x:c r="B1087" s="8" t="s">
        <x:v>3142</x:v>
      </x:c>
      <x:c r="C1087" s="8"/>
      <x:c r="D1087" s="8" t="s">
        <x:v>1884</x:v>
      </x:c>
      <x:c r="E1087" s="8" t="s">
        <x:v>3149</x:v>
      </x:c>
      <x:c r="F1087" s="8" t="s">
        <x:v>1617</x:v>
      </x:c>
      <x:c r="G1087" s="8" t="s">
        <x:v>109</x:v>
      </x:c>
      <x:c r="H1087" s="8" t="s">
        <x:v>3145</x:v>
      </x:c>
      <x:c r="I1087" s="8" t="s">
        <x:v>3146</x:v>
      </x:c>
      <x:c r="J1087" s="8" t="s">
        <x:v>112</x:v>
      </x:c>
      <x:c r="K1087" s="8" t="s">
        <x:v>3147</x:v>
      </x:c>
      <x:c r="L1087" s="8" t="s">
        <x:v>3147</x:v>
      </x:c>
      <x:c r="M1087" s="8"/>
      <x:c r="N1087" s="8"/>
      <x:c r="O1087" s="8" t="s">
        <x:v>1622</x:v>
      </x:c>
      <x:c r="P1087" s="8" t="s">
        <x:v>115</x:v>
      </x:c>
      <x:c r="Q1087" s="8" t="s">
        <x:v>45</x:v>
      </x:c>
      <x:c r="R1087" s="8" t="s">
        <x:v>1623</x:v>
      </x:c>
      <x:c r="S1087" s="8"/>
      <x:c r="T1087" s="8" t="s">
        <x:v>27</x:v>
      </x:c>
      <x:c r="U1087" s="8" t="s">
        <x:v>883</x:v>
      </x:c>
      <x:c r="V1087" s="8" t="s">
        <x:v>2764</x:v>
      </x:c>
    </x:row>
    <x:row r="1088" ht="36" hidden="0" customHeight="1">
      <x:c r="A1088" s="8" t="s">
        <x:v>3150</x:v>
      </x:c>
      <x:c r="B1088" s="8" t="s">
        <x:v>3142</x:v>
      </x:c>
      <x:c r="C1088" s="8"/>
      <x:c r="D1088" s="8" t="s">
        <x:v>3151</x:v>
      </x:c>
      <x:c r="E1088" s="8" t="s">
        <x:v>3152</x:v>
      </x:c>
      <x:c r="F1088" s="8" t="s">
        <x:v>1617</x:v>
      </x:c>
      <x:c r="G1088" s="8" t="s">
        <x:v>109</x:v>
      </x:c>
      <x:c r="H1088" s="8" t="s">
        <x:v>3145</x:v>
      </x:c>
      <x:c r="I1088" s="8" t="s">
        <x:v>3146</x:v>
      </x:c>
      <x:c r="J1088" s="8" t="s">
        <x:v>112</x:v>
      </x:c>
      <x:c r="K1088" s="8" t="s">
        <x:v>3153</x:v>
      </x:c>
      <x:c r="L1088" s="8" t="s">
        <x:v>3153</x:v>
      </x:c>
      <x:c r="M1088" s="8"/>
      <x:c r="N1088" s="8"/>
      <x:c r="O1088" s="8" t="s">
        <x:v>1622</x:v>
      </x:c>
      <x:c r="P1088" s="8" t="s">
        <x:v>115</x:v>
      </x:c>
      <x:c r="Q1088" s="8" t="s">
        <x:v>45</x:v>
      </x:c>
      <x:c r="R1088" s="8" t="s">
        <x:v>1623</x:v>
      </x:c>
      <x:c r="S1088" s="8"/>
      <x:c r="T1088" s="8" t="s">
        <x:v>27</x:v>
      </x:c>
      <x:c r="U1088" s="8" t="s">
        <x:v>883</x:v>
      </x:c>
      <x:c r="V1088" s="8" t="s">
        <x:v>2764</x:v>
      </x:c>
    </x:row>
    <x:row r="1089" ht="36" hidden="0" customHeight="1">
      <x:c r="A1089" s="8" t="s">
        <x:v>3154</x:v>
      </x:c>
      <x:c r="B1089" s="8" t="s">
        <x:v>3142</x:v>
      </x:c>
      <x:c r="C1089" s="8"/>
      <x:c r="D1089" s="8" t="s">
        <x:v>1615</x:v>
      </x:c>
      <x:c r="E1089" s="8" t="s">
        <x:v>3155</x:v>
      </x:c>
      <x:c r="F1089" s="8" t="s">
        <x:v>1617</x:v>
      </x:c>
      <x:c r="G1089" s="8" t="s">
        <x:v>109</x:v>
      </x:c>
      <x:c r="H1089" s="8" t="s">
        <x:v>3145</x:v>
      </x:c>
      <x:c r="I1089" s="8" t="s">
        <x:v>3146</x:v>
      </x:c>
      <x:c r="J1089" s="8" t="s">
        <x:v>112</x:v>
      </x:c>
      <x:c r="K1089" s="8" t="s">
        <x:v>3156</x:v>
      </x:c>
      <x:c r="L1089" s="8" t="s">
        <x:v>3156</x:v>
      </x:c>
      <x:c r="M1089" s="8"/>
      <x:c r="N1089" s="8"/>
      <x:c r="O1089" s="8" t="s">
        <x:v>1622</x:v>
      </x:c>
      <x:c r="P1089" s="8" t="s">
        <x:v>115</x:v>
      </x:c>
      <x:c r="Q1089" s="8" t="s">
        <x:v>45</x:v>
      </x:c>
      <x:c r="R1089" s="8" t="s">
        <x:v>1623</x:v>
      </x:c>
      <x:c r="S1089" s="8"/>
      <x:c r="T1089" s="8" t="s">
        <x:v>27</x:v>
      </x:c>
      <x:c r="U1089" s="8" t="s">
        <x:v>883</x:v>
      </x:c>
      <x:c r="V1089" s="8" t="s">
        <x:v>2764</x:v>
      </x:c>
    </x:row>
    <x:row r="1090" ht="36" hidden="0" customHeight="1">
      <x:c r="A1090" s="8" t="s">
        <x:v>3157</x:v>
      </x:c>
      <x:c r="B1090" s="8" t="s">
        <x:v>3142</x:v>
      </x:c>
      <x:c r="C1090" s="8"/>
      <x:c r="D1090" s="8" t="s">
        <x:v>2161</x:v>
      </x:c>
      <x:c r="E1090" s="8" t="s">
        <x:v>3158</x:v>
      </x:c>
      <x:c r="F1090" s="8" t="s">
        <x:v>1617</x:v>
      </x:c>
      <x:c r="G1090" s="8" t="s">
        <x:v>109</x:v>
      </x:c>
      <x:c r="H1090" s="8" t="s">
        <x:v>3145</x:v>
      </x:c>
      <x:c r="I1090" s="8" t="s">
        <x:v>3146</x:v>
      </x:c>
      <x:c r="J1090" s="8" t="s">
        <x:v>112</x:v>
      </x:c>
      <x:c r="K1090" s="8" t="s">
        <x:v>3156</x:v>
      </x:c>
      <x:c r="L1090" s="8" t="s">
        <x:v>3156</x:v>
      </x:c>
      <x:c r="M1090" s="8"/>
      <x:c r="N1090" s="8"/>
      <x:c r="O1090" s="8" t="s">
        <x:v>1622</x:v>
      </x:c>
      <x:c r="P1090" s="8" t="s">
        <x:v>115</x:v>
      </x:c>
      <x:c r="Q1090" s="8" t="s">
        <x:v>45</x:v>
      </x:c>
      <x:c r="R1090" s="8" t="s">
        <x:v>1623</x:v>
      </x:c>
      <x:c r="S1090" s="8"/>
      <x:c r="T1090" s="8" t="s">
        <x:v>27</x:v>
      </x:c>
      <x:c r="U1090" s="8" t="s">
        <x:v>883</x:v>
      </x:c>
      <x:c r="V1090" s="8" t="s">
        <x:v>2764</x:v>
      </x:c>
    </x:row>
    <x:row r="1091" ht="36" hidden="0" customHeight="1">
      <x:c r="A1091" s="8" t="s">
        <x:v>3159</x:v>
      </x:c>
      <x:c r="B1091" s="8" t="s">
        <x:v>3142</x:v>
      </x:c>
      <x:c r="C1091" s="8"/>
      <x:c r="D1091" s="8" t="s">
        <x:v>1682</x:v>
      </x:c>
      <x:c r="E1091" s="8" t="s">
        <x:v>3160</x:v>
      </x:c>
      <x:c r="F1091" s="8" t="s">
        <x:v>1617</x:v>
      </x:c>
      <x:c r="G1091" s="8" t="s">
        <x:v>109</x:v>
      </x:c>
      <x:c r="H1091" s="8" t="s">
        <x:v>3145</x:v>
      </x:c>
      <x:c r="I1091" s="8" t="s">
        <x:v>3146</x:v>
      </x:c>
      <x:c r="J1091" s="8" t="s">
        <x:v>112</x:v>
      </x:c>
      <x:c r="K1091" s="8" t="s">
        <x:v>3156</x:v>
      </x:c>
      <x:c r="L1091" s="8" t="s">
        <x:v>3156</x:v>
      </x:c>
      <x:c r="M1091" s="8"/>
      <x:c r="N1091" s="8"/>
      <x:c r="O1091" s="8" t="s">
        <x:v>1622</x:v>
      </x:c>
      <x:c r="P1091" s="8" t="s">
        <x:v>115</x:v>
      </x:c>
      <x:c r="Q1091" s="8" t="s">
        <x:v>45</x:v>
      </x:c>
      <x:c r="R1091" s="8" t="s">
        <x:v>1623</x:v>
      </x:c>
      <x:c r="S1091" s="8" t="s">
        <x:v>1684</x:v>
      </x:c>
      <x:c r="T1091" s="8" t="s">
        <x:v>27</x:v>
      </x:c>
      <x:c r="U1091" s="8" t="s">
        <x:v>883</x:v>
      </x:c>
      <x:c r="V1091" s="8" t="s">
        <x:v>2764</x:v>
      </x:c>
    </x:row>
    <x:row r="1092" ht="36" hidden="0" customHeight="1">
      <x:c r="A1092" s="8" t="s">
        <x:v>3161</x:v>
      </x:c>
      <x:c r="B1092" s="8" t="s">
        <x:v>3142</x:v>
      </x:c>
      <x:c r="C1092" s="8"/>
      <x:c r="D1092" s="8" t="s">
        <x:v>2588</x:v>
      </x:c>
      <x:c r="E1092" s="8" t="n">
        <x:v>1</x:v>
      </x:c>
      <x:c r="F1092" s="8" t="s">
        <x:v>1617</x:v>
      </x:c>
      <x:c r="G1092" s="8" t="s">
        <x:v>109</x:v>
      </x:c>
      <x:c r="H1092" s="8" t="s">
        <x:v>3145</x:v>
      </x:c>
      <x:c r="I1092" s="8" t="s">
        <x:v>3146</x:v>
      </x:c>
      <x:c r="J1092" s="8" t="s">
        <x:v>112</x:v>
      </x:c>
      <x:c r="K1092" s="8" t="s">
        <x:v>3156</x:v>
      </x:c>
      <x:c r="L1092" s="8" t="s">
        <x:v>3156</x:v>
      </x:c>
      <x:c r="M1092" s="8"/>
      <x:c r="N1092" s="8"/>
      <x:c r="O1092" s="8" t="s">
        <x:v>1622</x:v>
      </x:c>
      <x:c r="P1092" s="8" t="s">
        <x:v>115</x:v>
      </x:c>
      <x:c r="Q1092" s="8" t="s">
        <x:v>45</x:v>
      </x:c>
      <x:c r="R1092" s="8" t="s">
        <x:v>1623</x:v>
      </x:c>
      <x:c r="S1092" s="8" t="s">
        <x:v>1670</x:v>
      </x:c>
      <x:c r="T1092" s="8" t="s">
        <x:v>27</x:v>
      </x:c>
      <x:c r="U1092" s="8" t="s">
        <x:v>883</x:v>
      </x:c>
      <x:c r="V1092" s="8" t="s">
        <x:v>2764</x:v>
      </x:c>
    </x:row>
    <x:row r="1093" ht="36" hidden="0" customHeight="1">
      <x:c r="A1093" s="8" t="s">
        <x:v>3162</x:v>
      </x:c>
      <x:c r="B1093" s="8" t="s">
        <x:v>3163</x:v>
      </x:c>
      <x:c r="C1093" s="8"/>
      <x:c r="D1093" s="8" t="s">
        <x:v>2345</x:v>
      </x:c>
      <x:c r="E1093" s="8" t="n">
        <x:v>4000</x:v>
      </x:c>
      <x:c r="F1093" s="8" t="s">
        <x:v>1617</x:v>
      </x:c>
      <x:c r="G1093" s="8" t="s">
        <x:v>109</x:v>
      </x:c>
      <x:c r="H1093" s="8" t="s">
        <x:v>3164</x:v>
      </x:c>
      <x:c r="I1093" s="8" t="s">
        <x:v>3165</x:v>
      </x:c>
      <x:c r="J1093" s="8" t="s">
        <x:v>112</x:v>
      </x:c>
      <x:c r="K1093" s="8" t="s">
        <x:v>3166</x:v>
      </x:c>
      <x:c r="L1093" s="8" t="s">
        <x:v>3166</x:v>
      </x:c>
      <x:c r="M1093" s="8"/>
      <x:c r="N1093" s="8"/>
      <x:c r="O1093" s="8" t="s">
        <x:v>1622</x:v>
      </x:c>
      <x:c r="P1093" s="8" t="s">
        <x:v>115</x:v>
      </x:c>
      <x:c r="Q1093" s="8" t="s">
        <x:v>45</x:v>
      </x:c>
      <x:c r="R1093" s="8" t="s">
        <x:v>1623</x:v>
      </x:c>
      <x:c r="S1093" s="8" t="s">
        <x:v>3167</x:v>
      </x:c>
      <x:c r="T1093" s="8" t="s">
        <x:v>27</x:v>
      </x:c>
      <x:c r="U1093" s="8" t="s">
        <x:v>883</x:v>
      </x:c>
      <x:c r="V1093" s="8" t="s">
        <x:v>2764</x:v>
      </x:c>
    </x:row>
    <x:row r="1094" ht="36" hidden="0" customHeight="1">
      <x:c r="A1094" s="8" t="s">
        <x:v>3168</x:v>
      </x:c>
      <x:c r="B1094" s="8" t="s">
        <x:v>3163</x:v>
      </x:c>
      <x:c r="C1094" s="8"/>
      <x:c r="D1094" s="8" t="s">
        <x:v>2531</x:v>
      </x:c>
      <x:c r="E1094" s="8" t="n">
        <x:v>1000</x:v>
      </x:c>
      <x:c r="F1094" s="8" t="s">
        <x:v>1617</x:v>
      </x:c>
      <x:c r="G1094" s="8" t="s">
        <x:v>109</x:v>
      </x:c>
      <x:c r="H1094" s="8" t="s">
        <x:v>3164</x:v>
      </x:c>
      <x:c r="I1094" s="8" t="s">
        <x:v>3165</x:v>
      </x:c>
      <x:c r="J1094" s="8" t="s">
        <x:v>112</x:v>
      </x:c>
      <x:c r="K1094" s="8" t="s">
        <x:v>3166</x:v>
      </x:c>
      <x:c r="L1094" s="8" t="s">
        <x:v>3166</x:v>
      </x:c>
      <x:c r="M1094" s="8"/>
      <x:c r="N1094" s="8"/>
      <x:c r="O1094" s="8" t="s">
        <x:v>1622</x:v>
      </x:c>
      <x:c r="P1094" s="8" t="s">
        <x:v>115</x:v>
      </x:c>
      <x:c r="Q1094" s="8" t="s">
        <x:v>45</x:v>
      </x:c>
      <x:c r="R1094" s="8" t="s">
        <x:v>1623</x:v>
      </x:c>
      <x:c r="S1094" s="8" t="s">
        <x:v>3167</x:v>
      </x:c>
      <x:c r="T1094" s="8" t="s">
        <x:v>27</x:v>
      </x:c>
      <x:c r="U1094" s="8" t="s">
        <x:v>883</x:v>
      </x:c>
      <x:c r="V1094" s="8" t="s">
        <x:v>2764</x:v>
      </x:c>
    </x:row>
    <x:row r="1095" ht="36" hidden="0" customHeight="1">
      <x:c r="A1095" s="8" t="s">
        <x:v>3169</x:v>
      </x:c>
      <x:c r="B1095" s="8" t="s">
        <x:v>3163</x:v>
      </x:c>
      <x:c r="C1095" s="8"/>
      <x:c r="D1095" s="8" t="s">
        <x:v>3170</x:v>
      </x:c>
      <x:c r="E1095" s="8" t="n">
        <x:v>100</x:v>
      </x:c>
      <x:c r="F1095" s="8" t="s">
        <x:v>1617</x:v>
      </x:c>
      <x:c r="G1095" s="8" t="s">
        <x:v>109</x:v>
      </x:c>
      <x:c r="H1095" s="8" t="s">
        <x:v>3164</x:v>
      </x:c>
      <x:c r="I1095" s="8" t="s">
        <x:v>3165</x:v>
      </x:c>
      <x:c r="J1095" s="8" t="s">
        <x:v>112</x:v>
      </x:c>
      <x:c r="K1095" s="8" t="s">
        <x:v>3171</x:v>
      </x:c>
      <x:c r="L1095" s="8" t="s">
        <x:v>3171</x:v>
      </x:c>
      <x:c r="M1095" s="8"/>
      <x:c r="N1095" s="8"/>
      <x:c r="O1095" s="8" t="s">
        <x:v>1622</x:v>
      </x:c>
      <x:c r="P1095" s="8" t="s">
        <x:v>115</x:v>
      </x:c>
      <x:c r="Q1095" s="8" t="s">
        <x:v>45</x:v>
      </x:c>
      <x:c r="R1095" s="8" t="s">
        <x:v>1623</x:v>
      </x:c>
      <x:c r="S1095" s="8" t="s">
        <x:v>3172</x:v>
      </x:c>
      <x:c r="T1095" s="8" t="s">
        <x:v>27</x:v>
      </x:c>
      <x:c r="U1095" s="8" t="s">
        <x:v>883</x:v>
      </x:c>
      <x:c r="V1095" s="8" t="s">
        <x:v>2764</x:v>
      </x:c>
    </x:row>
    <x:row r="1096" ht="36" hidden="0" customHeight="1">
      <x:c r="A1096" s="8" t="s">
        <x:v>3173</x:v>
      </x:c>
      <x:c r="B1096" s="8" t="s">
        <x:v>3163</x:v>
      </x:c>
      <x:c r="C1096" s="8"/>
      <x:c r="D1096" s="8" t="s">
        <x:v>3174</x:v>
      </x:c>
      <x:c r="E1096" s="8" t="n">
        <x:v>42</x:v>
      </x:c>
      <x:c r="F1096" s="8" t="s">
        <x:v>1617</x:v>
      </x:c>
      <x:c r="G1096" s="8" t="s">
        <x:v>109</x:v>
      </x:c>
      <x:c r="H1096" s="8" t="s">
        <x:v>3164</x:v>
      </x:c>
      <x:c r="I1096" s="8" t="s">
        <x:v>3165</x:v>
      </x:c>
      <x:c r="J1096" s="8" t="s">
        <x:v>112</x:v>
      </x:c>
      <x:c r="K1096" s="8" t="s">
        <x:v>3171</x:v>
      </x:c>
      <x:c r="L1096" s="8" t="s">
        <x:v>3171</x:v>
      </x:c>
      <x:c r="M1096" s="8"/>
      <x:c r="N1096" s="8"/>
      <x:c r="O1096" s="8" t="s">
        <x:v>1622</x:v>
      </x:c>
      <x:c r="P1096" s="8" t="s">
        <x:v>115</x:v>
      </x:c>
      <x:c r="Q1096" s="8" t="s">
        <x:v>45</x:v>
      </x:c>
      <x:c r="R1096" s="8" t="s">
        <x:v>1623</x:v>
      </x:c>
      <x:c r="S1096" s="8"/>
      <x:c r="T1096" s="8" t="s">
        <x:v>27</x:v>
      </x:c>
      <x:c r="U1096" s="8" t="s">
        <x:v>883</x:v>
      </x:c>
      <x:c r="V1096" s="8" t="s">
        <x:v>2764</x:v>
      </x:c>
    </x:row>
    <x:row r="1097" ht="36" hidden="0" customHeight="1">
      <x:c r="A1097" s="8" t="s">
        <x:v>3175</x:v>
      </x:c>
      <x:c r="B1097" s="8" t="s">
        <x:v>3163</x:v>
      </x:c>
      <x:c r="C1097" s="8"/>
      <x:c r="D1097" s="8" t="s">
        <x:v>3176</x:v>
      </x:c>
      <x:c r="E1097" s="8" t="n">
        <x:v>10</x:v>
      </x:c>
      <x:c r="F1097" s="8" t="s">
        <x:v>1617</x:v>
      </x:c>
      <x:c r="G1097" s="8" t="s">
        <x:v>109</x:v>
      </x:c>
      <x:c r="H1097" s="8" t="s">
        <x:v>3164</x:v>
      </x:c>
      <x:c r="I1097" s="8" t="s">
        <x:v>3165</x:v>
      </x:c>
      <x:c r="J1097" s="8" t="s">
        <x:v>112</x:v>
      </x:c>
      <x:c r="K1097" s="8" t="s">
        <x:v>3171</x:v>
      </x:c>
      <x:c r="L1097" s="8" t="s">
        <x:v>3171</x:v>
      </x:c>
      <x:c r="M1097" s="8"/>
      <x:c r="N1097" s="8"/>
      <x:c r="O1097" s="8" t="s">
        <x:v>1622</x:v>
      </x:c>
      <x:c r="P1097" s="8" t="s">
        <x:v>115</x:v>
      </x:c>
      <x:c r="Q1097" s="8" t="s">
        <x:v>45</x:v>
      </x:c>
      <x:c r="R1097" s="8" t="s">
        <x:v>1623</x:v>
      </x:c>
      <x:c r="S1097" s="8"/>
      <x:c r="T1097" s="8" t="s">
        <x:v>27</x:v>
      </x:c>
      <x:c r="U1097" s="8" t="s">
        <x:v>883</x:v>
      </x:c>
      <x:c r="V1097" s="8" t="s">
        <x:v>2764</x:v>
      </x:c>
    </x:row>
    <x:row r="1098" ht="36" hidden="0" customHeight="1">
      <x:c r="A1098" s="8" t="s">
        <x:v>3177</x:v>
      </x:c>
      <x:c r="B1098" s="8" t="s">
        <x:v>3163</x:v>
      </x:c>
      <x:c r="C1098" s="8"/>
      <x:c r="D1098" s="8" t="s">
        <x:v>3178</x:v>
      </x:c>
      <x:c r="E1098" s="8" t="n">
        <x:v>5</x:v>
      </x:c>
      <x:c r="F1098" s="8" t="s">
        <x:v>1617</x:v>
      </x:c>
      <x:c r="G1098" s="8" t="s">
        <x:v>109</x:v>
      </x:c>
      <x:c r="H1098" s="8" t="s">
        <x:v>3164</x:v>
      </x:c>
      <x:c r="I1098" s="8" t="s">
        <x:v>3165</x:v>
      </x:c>
      <x:c r="J1098" s="8" t="s">
        <x:v>112</x:v>
      </x:c>
      <x:c r="K1098" s="8" t="s">
        <x:v>3171</x:v>
      </x:c>
      <x:c r="L1098" s="8" t="s">
        <x:v>3171</x:v>
      </x:c>
      <x:c r="M1098" s="8"/>
      <x:c r="N1098" s="8"/>
      <x:c r="O1098" s="8" t="s">
        <x:v>1622</x:v>
      </x:c>
      <x:c r="P1098" s="8" t="s">
        <x:v>115</x:v>
      </x:c>
      <x:c r="Q1098" s="8" t="s">
        <x:v>45</x:v>
      </x:c>
      <x:c r="R1098" s="8" t="s">
        <x:v>1623</x:v>
      </x:c>
      <x:c r="S1098" s="8"/>
      <x:c r="T1098" s="8" t="s">
        <x:v>27</x:v>
      </x:c>
      <x:c r="U1098" s="8" t="s">
        <x:v>883</x:v>
      </x:c>
      <x:c r="V1098" s="8" t="s">
        <x:v>2764</x:v>
      </x:c>
    </x:row>
    <x:row r="1099" ht="36" hidden="0" customHeight="1">
      <x:c r="A1099" s="8" t="s">
        <x:v>3179</x:v>
      </x:c>
      <x:c r="B1099" s="8" t="s">
        <x:v>3163</x:v>
      </x:c>
      <x:c r="C1099" s="8"/>
      <x:c r="D1099" s="8" t="s">
        <x:v>417</x:v>
      </x:c>
      <x:c r="E1099" s="8" t="s">
        <x:v>3180</x:v>
      </x:c>
      <x:c r="F1099" s="8" t="s">
        <x:v>1617</x:v>
      </x:c>
      <x:c r="G1099" s="8" t="s">
        <x:v>109</x:v>
      </x:c>
      <x:c r="H1099" s="8" t="s">
        <x:v>3164</x:v>
      </x:c>
      <x:c r="I1099" s="8" t="s">
        <x:v>3165</x:v>
      </x:c>
      <x:c r="J1099" s="8" t="s">
        <x:v>112</x:v>
      </x:c>
      <x:c r="K1099" s="8" t="s">
        <x:v>3171</x:v>
      </x:c>
      <x:c r="L1099" s="8" t="s">
        <x:v>3171</x:v>
      </x:c>
      <x:c r="M1099" s="8"/>
      <x:c r="N1099" s="8"/>
      <x:c r="O1099" s="8" t="s">
        <x:v>1622</x:v>
      </x:c>
      <x:c r="P1099" s="8" t="s">
        <x:v>115</x:v>
      </x:c>
      <x:c r="Q1099" s="8" t="s">
        <x:v>45</x:v>
      </x:c>
      <x:c r="R1099" s="8" t="s">
        <x:v>1623</x:v>
      </x:c>
      <x:c r="S1099" s="8"/>
      <x:c r="T1099" s="8" t="s">
        <x:v>27</x:v>
      </x:c>
      <x:c r="U1099" s="8" t="s">
        <x:v>883</x:v>
      </x:c>
      <x:c r="V1099" s="8" t="s">
        <x:v>2764</x:v>
      </x:c>
    </x:row>
    <x:row r="1100" ht="36" hidden="0" customHeight="1">
      <x:c r="A1100" s="8" t="s">
        <x:v>3181</x:v>
      </x:c>
      <x:c r="B1100" s="8" t="s">
        <x:v>3163</x:v>
      </x:c>
      <x:c r="C1100" s="8"/>
      <x:c r="D1100" s="8" t="s">
        <x:v>2161</x:v>
      </x:c>
      <x:c r="E1100" s="8" t="s">
        <x:v>3182</x:v>
      </x:c>
      <x:c r="F1100" s="8" t="s">
        <x:v>1617</x:v>
      </x:c>
      <x:c r="G1100" s="8" t="s">
        <x:v>109</x:v>
      </x:c>
      <x:c r="H1100" s="8" t="s">
        <x:v>3164</x:v>
      </x:c>
      <x:c r="I1100" s="8" t="s">
        <x:v>3165</x:v>
      </x:c>
      <x:c r="J1100" s="8" t="s">
        <x:v>112</x:v>
      </x:c>
      <x:c r="K1100" s="8" t="s">
        <x:v>3183</x:v>
      </x:c>
      <x:c r="L1100" s="8" t="s">
        <x:v>3183</x:v>
      </x:c>
      <x:c r="M1100" s="8"/>
      <x:c r="N1100" s="8"/>
      <x:c r="O1100" s="8" t="s">
        <x:v>1622</x:v>
      </x:c>
      <x:c r="P1100" s="8" t="s">
        <x:v>115</x:v>
      </x:c>
      <x:c r="Q1100" s="8" t="s">
        <x:v>45</x:v>
      </x:c>
      <x:c r="R1100" s="8" t="s">
        <x:v>1623</x:v>
      </x:c>
      <x:c r="S1100" s="8"/>
      <x:c r="T1100" s="8" t="s">
        <x:v>27</x:v>
      </x:c>
      <x:c r="U1100" s="8" t="s">
        <x:v>883</x:v>
      </x:c>
      <x:c r="V1100" s="8" t="s">
        <x:v>2764</x:v>
      </x:c>
    </x:row>
    <x:row r="1101" ht="36" hidden="0" customHeight="1">
      <x:c r="A1101" s="8" t="s">
        <x:v>3184</x:v>
      </x:c>
      <x:c r="B1101" s="8" t="s">
        <x:v>3163</x:v>
      </x:c>
      <x:c r="C1101" s="8"/>
      <x:c r="D1101" s="8" t="s">
        <x:v>3185</x:v>
      </x:c>
      <x:c r="E1101" s="8" t="s">
        <x:v>3186</x:v>
      </x:c>
      <x:c r="F1101" s="8" t="s">
        <x:v>1617</x:v>
      </x:c>
      <x:c r="G1101" s="8" t="s">
        <x:v>109</x:v>
      </x:c>
      <x:c r="H1101" s="8" t="s">
        <x:v>3164</x:v>
      </x:c>
      <x:c r="I1101" s="8" t="s">
        <x:v>3165</x:v>
      </x:c>
      <x:c r="J1101" s="8" t="s">
        <x:v>112</x:v>
      </x:c>
      <x:c r="K1101" s="8" t="s">
        <x:v>3187</x:v>
      </x:c>
      <x:c r="L1101" s="8" t="s">
        <x:v>3187</x:v>
      </x:c>
      <x:c r="M1101" s="8"/>
      <x:c r="N1101" s="8"/>
      <x:c r="O1101" s="8" t="s">
        <x:v>1622</x:v>
      </x:c>
      <x:c r="P1101" s="8" t="s">
        <x:v>115</x:v>
      </x:c>
      <x:c r="Q1101" s="8" t="s">
        <x:v>45</x:v>
      </x:c>
      <x:c r="R1101" s="8" t="s">
        <x:v>1623</x:v>
      </x:c>
      <x:c r="S1101" s="8"/>
      <x:c r="T1101" s="8" t="s">
        <x:v>27</x:v>
      </x:c>
      <x:c r="U1101" s="8" t="s">
        <x:v>883</x:v>
      </x:c>
      <x:c r="V1101" s="8" t="s">
        <x:v>2764</x:v>
      </x:c>
    </x:row>
    <x:row r="1102" ht="36" hidden="0" customHeight="1">
      <x:c r="A1102" s="8" t="s">
        <x:v>3188</x:v>
      </x:c>
      <x:c r="B1102" s="8" t="s">
        <x:v>3163</x:v>
      </x:c>
      <x:c r="C1102" s="8"/>
      <x:c r="D1102" s="8" t="s">
        <x:v>2177</x:v>
      </x:c>
      <x:c r="E1102" s="8" t="s">
        <x:v>3189</x:v>
      </x:c>
      <x:c r="F1102" s="8" t="s">
        <x:v>1617</x:v>
      </x:c>
      <x:c r="G1102" s="8" t="s">
        <x:v>109</x:v>
      </x:c>
      <x:c r="H1102" s="8" t="s">
        <x:v>3164</x:v>
      </x:c>
      <x:c r="I1102" s="8" t="s">
        <x:v>3165</x:v>
      </x:c>
      <x:c r="J1102" s="8" t="s">
        <x:v>112</x:v>
      </x:c>
      <x:c r="K1102" s="8" t="s">
        <x:v>340</x:v>
      </x:c>
      <x:c r="L1102" s="8" t="s">
        <x:v>340</x:v>
      </x:c>
      <x:c r="M1102" s="8"/>
      <x:c r="N1102" s="8"/>
      <x:c r="O1102" s="8" t="s">
        <x:v>1622</x:v>
      </x:c>
      <x:c r="P1102" s="8" t="s">
        <x:v>115</x:v>
      </x:c>
      <x:c r="Q1102" s="8" t="s">
        <x:v>45</x:v>
      </x:c>
      <x:c r="R1102" s="8" t="s">
        <x:v>1623</x:v>
      </x:c>
      <x:c r="S1102" s="8"/>
      <x:c r="T1102" s="8" t="s">
        <x:v>27</x:v>
      </x:c>
      <x:c r="U1102" s="8" t="s">
        <x:v>883</x:v>
      </x:c>
      <x:c r="V1102" s="8" t="s">
        <x:v>2764</x:v>
      </x:c>
    </x:row>
    <x:row r="1103" ht="36" hidden="0" customHeight="1">
      <x:c r="A1103" s="8" t="s">
        <x:v>3190</x:v>
      </x:c>
      <x:c r="B1103" s="8" t="s">
        <x:v>3191</x:v>
      </x:c>
      <x:c r="C1103" s="8"/>
      <x:c r="D1103" s="8" t="s">
        <x:v>1898</x:v>
      </x:c>
      <x:c r="E1103" s="8" t="s">
        <x:v>3192</x:v>
      </x:c>
      <x:c r="F1103" s="8" t="s">
        <x:v>1617</x:v>
      </x:c>
      <x:c r="G1103" s="8" t="s">
        <x:v>109</x:v>
      </x:c>
      <x:c r="H1103" s="8" t="s">
        <x:v>3193</x:v>
      </x:c>
      <x:c r="I1103" s="8" t="s">
        <x:v>3194</x:v>
      </x:c>
      <x:c r="J1103" s="8" t="s">
        <x:v>3195</x:v>
      </x:c>
      <x:c r="K1103" s="8" t="s">
        <x:v>3196</x:v>
      </x:c>
      <x:c r="L1103" s="8" t="s">
        <x:v>3196</x:v>
      </x:c>
      <x:c r="M1103" s="8"/>
      <x:c r="N1103" s="8"/>
      <x:c r="O1103" s="8" t="s">
        <x:v>1622</x:v>
      </x:c>
      <x:c r="P1103" s="8" t="s">
        <x:v>115</x:v>
      </x:c>
      <x:c r="Q1103" s="8" t="s">
        <x:v>45</x:v>
      </x:c>
      <x:c r="R1103" s="8" t="s">
        <x:v>3197</x:v>
      </x:c>
      <x:c r="S1103" s="8"/>
      <x:c r="T1103" s="8" t="s">
        <x:v>27</x:v>
      </x:c>
      <x:c r="U1103" s="8" t="s">
        <x:v>883</x:v>
      </x:c>
      <x:c r="V1103" s="8" t="s">
        <x:v>2764</x:v>
      </x:c>
    </x:row>
    <x:row r="1104" ht="36" hidden="0" customHeight="1">
      <x:c r="A1104" s="8" t="s">
        <x:v>3198</x:v>
      </x:c>
      <x:c r="B1104" s="8" t="s">
        <x:v>3191</x:v>
      </x:c>
      <x:c r="C1104" s="8"/>
      <x:c r="D1104" s="8" t="s">
        <x:v>1689</x:v>
      </x:c>
      <x:c r="E1104" s="8" t="s">
        <x:v>3199</x:v>
      </x:c>
      <x:c r="F1104" s="8" t="s">
        <x:v>1617</x:v>
      </x:c>
      <x:c r="G1104" s="8" t="s">
        <x:v>109</x:v>
      </x:c>
      <x:c r="H1104" s="8" t="s">
        <x:v>3193</x:v>
      </x:c>
      <x:c r="I1104" s="8" t="s">
        <x:v>3194</x:v>
      </x:c>
      <x:c r="J1104" s="8" t="s">
        <x:v>3195</x:v>
      </x:c>
      <x:c r="K1104" s="8" t="s">
        <x:v>3196</x:v>
      </x:c>
      <x:c r="L1104" s="8" t="s">
        <x:v>3196</x:v>
      </x:c>
      <x:c r="M1104" s="8"/>
      <x:c r="N1104" s="8"/>
      <x:c r="O1104" s="8" t="s">
        <x:v>1622</x:v>
      </x:c>
      <x:c r="P1104" s="8" t="s">
        <x:v>115</x:v>
      </x:c>
      <x:c r="Q1104" s="8" t="s">
        <x:v>45</x:v>
      </x:c>
      <x:c r="R1104" s="8" t="s">
        <x:v>3197</x:v>
      </x:c>
      <x:c r="S1104" s="8"/>
      <x:c r="T1104" s="8" t="s">
        <x:v>27</x:v>
      </x:c>
      <x:c r="U1104" s="8" t="s">
        <x:v>883</x:v>
      </x:c>
      <x:c r="V1104" s="8" t="s">
        <x:v>2764</x:v>
      </x:c>
    </x:row>
    <x:row r="1105" ht="36" hidden="0" customHeight="1">
      <x:c r="A1105" s="8" t="s">
        <x:v>3200</x:v>
      </x:c>
      <x:c r="B1105" s="8" t="s">
        <x:v>3191</x:v>
      </x:c>
      <x:c r="C1105" s="8"/>
      <x:c r="D1105" s="8" t="s">
        <x:v>2291</x:v>
      </x:c>
      <x:c r="E1105" s="8" t="s">
        <x:v>3201</x:v>
      </x:c>
      <x:c r="F1105" s="8" t="s">
        <x:v>1617</x:v>
      </x:c>
      <x:c r="G1105" s="8" t="s">
        <x:v>109</x:v>
      </x:c>
      <x:c r="H1105" s="8" t="s">
        <x:v>3193</x:v>
      </x:c>
      <x:c r="I1105" s="8" t="s">
        <x:v>3194</x:v>
      </x:c>
      <x:c r="J1105" s="8" t="s">
        <x:v>3195</x:v>
      </x:c>
      <x:c r="K1105" s="8" t="s">
        <x:v>3196</x:v>
      </x:c>
      <x:c r="L1105" s="8" t="s">
        <x:v>3196</x:v>
      </x:c>
      <x:c r="M1105" s="8"/>
      <x:c r="N1105" s="8"/>
      <x:c r="O1105" s="8" t="s">
        <x:v>1622</x:v>
      </x:c>
      <x:c r="P1105" s="8" t="s">
        <x:v>115</x:v>
      </x:c>
      <x:c r="Q1105" s="8" t="s">
        <x:v>45</x:v>
      </x:c>
      <x:c r="R1105" s="8" t="s">
        <x:v>3197</x:v>
      </x:c>
      <x:c r="S1105" s="8"/>
      <x:c r="T1105" s="8" t="s">
        <x:v>27</x:v>
      </x:c>
      <x:c r="U1105" s="8" t="s">
        <x:v>883</x:v>
      </x:c>
      <x:c r="V1105" s="8" t="s">
        <x:v>2764</x:v>
      </x:c>
    </x:row>
    <x:row r="1106" ht="36" hidden="0" customHeight="1">
      <x:c r="A1106" s="8" t="s">
        <x:v>3202</x:v>
      </x:c>
      <x:c r="B1106" s="8" t="s">
        <x:v>3191</x:v>
      </x:c>
      <x:c r="C1106" s="8"/>
      <x:c r="D1106" s="8" t="s">
        <x:v>3203</x:v>
      </x:c>
      <x:c r="E1106" s="8" t="s">
        <x:v>3204</x:v>
      </x:c>
      <x:c r="F1106" s="8" t="s">
        <x:v>1617</x:v>
      </x:c>
      <x:c r="G1106" s="8" t="s">
        <x:v>109</x:v>
      </x:c>
      <x:c r="H1106" s="8" t="s">
        <x:v>3193</x:v>
      </x:c>
      <x:c r="I1106" s="8" t="s">
        <x:v>3194</x:v>
      </x:c>
      <x:c r="J1106" s="8" t="s">
        <x:v>3195</x:v>
      </x:c>
      <x:c r="K1106" s="8" t="s">
        <x:v>3205</x:v>
      </x:c>
      <x:c r="L1106" s="8" t="s">
        <x:v>3205</x:v>
      </x:c>
      <x:c r="M1106" s="8"/>
      <x:c r="N1106" s="8"/>
      <x:c r="O1106" s="8" t="s">
        <x:v>1622</x:v>
      </x:c>
      <x:c r="P1106" s="8" t="s">
        <x:v>115</x:v>
      </x:c>
      <x:c r="Q1106" s="8" t="s">
        <x:v>45</x:v>
      </x:c>
      <x:c r="R1106" s="8" t="s">
        <x:v>3197</x:v>
      </x:c>
      <x:c r="S1106" s="8"/>
      <x:c r="T1106" s="8" t="s">
        <x:v>27</x:v>
      </x:c>
      <x:c r="U1106" s="8" t="s">
        <x:v>883</x:v>
      </x:c>
      <x:c r="V1106" s="8" t="s">
        <x:v>2764</x:v>
      </x:c>
    </x:row>
    <x:row r="1107" ht="48" hidden="0" customHeight="1">
      <x:c r="A1107" s="8" t="s">
        <x:v>3206</x:v>
      </x:c>
      <x:c r="B1107" s="8" t="s">
        <x:v>3207</x:v>
      </x:c>
      <x:c r="C1107" s="8"/>
      <x:c r="D1107" s="8" t="s">
        <x:v>3208</x:v>
      </x:c>
      <x:c r="E1107" s="8" t="s">
        <x:v>3209</x:v>
      </x:c>
      <x:c r="F1107" s="8" t="s">
        <x:v>3210</x:v>
      </x:c>
      <x:c r="G1107" s="8" t="s">
        <x:v>109</x:v>
      </x:c>
      <x:c r="H1107" s="8" t="s">
        <x:v>3211</x:v>
      </x:c>
      <x:c r="I1107" s="8" t="s">
        <x:v>3212</x:v>
      </x:c>
      <x:c r="J1107" s="8" t="s">
        <x:v>112</x:v>
      </x:c>
      <x:c r="K1107" s="8" t="s">
        <x:v>3213</x:v>
      </x:c>
      <x:c r="L1107" s="8" t="s">
        <x:v>3213</x:v>
      </x:c>
      <x:c r="M1107" s="8"/>
      <x:c r="N1107" s="8"/>
      <x:c r="O1107" s="8" t="s">
        <x:v>1622</x:v>
      </x:c>
      <x:c r="P1107" s="8" t="s">
        <x:v>115</x:v>
      </x:c>
      <x:c r="Q1107" s="8" t="s">
        <x:v>45</x:v>
      </x:c>
      <x:c r="R1107" s="8" t="s">
        <x:v>1623</x:v>
      </x:c>
      <x:c r="S1107" s="8"/>
      <x:c r="T1107" s="8" t="s">
        <x:v>27</x:v>
      </x:c>
      <x:c r="U1107" s="8" t="s">
        <x:v>883</x:v>
      </x:c>
      <x:c r="V1107" s="8" t="s">
        <x:v>2764</x:v>
      </x:c>
    </x:row>
    <x:row r="1108" ht="48" hidden="0" customHeight="1">
      <x:c r="A1108" s="8" t="s">
        <x:v>3214</x:v>
      </x:c>
      <x:c r="B1108" s="8" t="s">
        <x:v>3207</x:v>
      </x:c>
      <x:c r="C1108" s="8"/>
      <x:c r="D1108" s="8" t="s">
        <x:v>3215</x:v>
      </x:c>
      <x:c r="E1108" s="8" t="s">
        <x:v>3216</x:v>
      </x:c>
      <x:c r="F1108" s="8" t="s">
        <x:v>3210</x:v>
      </x:c>
      <x:c r="G1108" s="8" t="s">
        <x:v>109</x:v>
      </x:c>
      <x:c r="H1108" s="8" t="s">
        <x:v>3211</x:v>
      </x:c>
      <x:c r="I1108" s="8" t="s">
        <x:v>3212</x:v>
      </x:c>
      <x:c r="J1108" s="8" t="s">
        <x:v>112</x:v>
      </x:c>
      <x:c r="K1108" s="8" t="s">
        <x:v>3213</x:v>
      </x:c>
      <x:c r="L1108" s="8" t="s">
        <x:v>3213</x:v>
      </x:c>
      <x:c r="M1108" s="8"/>
      <x:c r="N1108" s="8"/>
      <x:c r="O1108" s="8" t="s">
        <x:v>1622</x:v>
      </x:c>
      <x:c r="P1108" s="8" t="s">
        <x:v>115</x:v>
      </x:c>
      <x:c r="Q1108" s="8" t="s">
        <x:v>45</x:v>
      </x:c>
      <x:c r="R1108" s="8" t="s">
        <x:v>1623</x:v>
      </x:c>
      <x:c r="S1108" s="8"/>
      <x:c r="T1108" s="8" t="s">
        <x:v>27</x:v>
      </x:c>
      <x:c r="U1108" s="8" t="s">
        <x:v>883</x:v>
      </x:c>
      <x:c r="V1108" s="8" t="s">
        <x:v>2764</x:v>
      </x:c>
    </x:row>
    <x:row r="1109" ht="48" hidden="0" customHeight="1">
      <x:c r="A1109" s="8" t="s">
        <x:v>3217</x:v>
      </x:c>
      <x:c r="B1109" s="8" t="s">
        <x:v>3207</x:v>
      </x:c>
      <x:c r="C1109" s="8"/>
      <x:c r="D1109" s="8" t="s">
        <x:v>3218</x:v>
      </x:c>
      <x:c r="E1109" s="8" t="s">
        <x:v>3219</x:v>
      </x:c>
      <x:c r="F1109" s="8" t="s">
        <x:v>3210</x:v>
      </x:c>
      <x:c r="G1109" s="8" t="s">
        <x:v>109</x:v>
      </x:c>
      <x:c r="H1109" s="8" t="s">
        <x:v>3211</x:v>
      </x:c>
      <x:c r="I1109" s="8" t="s">
        <x:v>3212</x:v>
      </x:c>
      <x:c r="J1109" s="8" t="s">
        <x:v>112</x:v>
      </x:c>
      <x:c r="K1109" s="8" t="s">
        <x:v>3220</x:v>
      </x:c>
      <x:c r="L1109" s="8" t="s">
        <x:v>3220</x:v>
      </x:c>
      <x:c r="M1109" s="8"/>
      <x:c r="N1109" s="8"/>
      <x:c r="O1109" s="8" t="s">
        <x:v>1622</x:v>
      </x:c>
      <x:c r="P1109" s="8" t="s">
        <x:v>115</x:v>
      </x:c>
      <x:c r="Q1109" s="8" t="s">
        <x:v>45</x:v>
      </x:c>
      <x:c r="R1109" s="8" t="s">
        <x:v>1623</x:v>
      </x:c>
      <x:c r="S1109" s="8"/>
      <x:c r="T1109" s="8" t="s">
        <x:v>27</x:v>
      </x:c>
      <x:c r="U1109" s="8" t="s">
        <x:v>883</x:v>
      </x:c>
      <x:c r="V1109" s="8" t="s">
        <x:v>2764</x:v>
      </x:c>
    </x:row>
    <x:row r="1110" ht="48" hidden="0" customHeight="1">
      <x:c r="A1110" s="8" t="s">
        <x:v>3221</x:v>
      </x:c>
      <x:c r="B1110" s="8" t="s">
        <x:v>3207</x:v>
      </x:c>
      <x:c r="C1110" s="8"/>
      <x:c r="D1110" s="8" t="s">
        <x:v>3222</x:v>
      </x:c>
      <x:c r="E1110" s="8" t="s">
        <x:v>3223</x:v>
      </x:c>
      <x:c r="F1110" s="8" t="s">
        <x:v>3210</x:v>
      </x:c>
      <x:c r="G1110" s="8" t="s">
        <x:v>109</x:v>
      </x:c>
      <x:c r="H1110" s="8" t="s">
        <x:v>3211</x:v>
      </x:c>
      <x:c r="I1110" s="8" t="s">
        <x:v>3212</x:v>
      </x:c>
      <x:c r="J1110" s="8" t="s">
        <x:v>112</x:v>
      </x:c>
      <x:c r="K1110" s="8" t="s">
        <x:v>3224</x:v>
      </x:c>
      <x:c r="L1110" s="8" t="s">
        <x:v>3224</x:v>
      </x:c>
      <x:c r="M1110" s="8"/>
      <x:c r="N1110" s="8"/>
      <x:c r="O1110" s="8" t="s">
        <x:v>1622</x:v>
      </x:c>
      <x:c r="P1110" s="8" t="s">
        <x:v>115</x:v>
      </x:c>
      <x:c r="Q1110" s="8" t="s">
        <x:v>45</x:v>
      </x:c>
      <x:c r="R1110" s="8" t="s">
        <x:v>1623</x:v>
      </x:c>
      <x:c r="S1110" s="8"/>
      <x:c r="T1110" s="8" t="s">
        <x:v>27</x:v>
      </x:c>
      <x:c r="U1110" s="8" t="s">
        <x:v>883</x:v>
      </x:c>
      <x:c r="V1110" s="8" t="s">
        <x:v>2764</x:v>
      </x:c>
    </x:row>
    <x:row r="1111" ht="48" hidden="0" customHeight="1">
      <x:c r="A1111" s="8" t="s">
        <x:v>3225</x:v>
      </x:c>
      <x:c r="B1111" s="8" t="s">
        <x:v>3207</x:v>
      </x:c>
      <x:c r="C1111" s="8"/>
      <x:c r="D1111" s="8" t="s">
        <x:v>3226</x:v>
      </x:c>
      <x:c r="E1111" s="8" t="s">
        <x:v>3227</x:v>
      </x:c>
      <x:c r="F1111" s="8" t="s">
        <x:v>3210</x:v>
      </x:c>
      <x:c r="G1111" s="8" t="s">
        <x:v>109</x:v>
      </x:c>
      <x:c r="H1111" s="8" t="s">
        <x:v>3211</x:v>
      </x:c>
      <x:c r="I1111" s="8" t="s">
        <x:v>3212</x:v>
      </x:c>
      <x:c r="J1111" s="8" t="s">
        <x:v>112</x:v>
      </x:c>
      <x:c r="K1111" s="8" t="s">
        <x:v>3224</x:v>
      </x:c>
      <x:c r="L1111" s="8" t="s">
        <x:v>3224</x:v>
      </x:c>
      <x:c r="M1111" s="8"/>
      <x:c r="N1111" s="8"/>
      <x:c r="O1111" s="8" t="s">
        <x:v>1622</x:v>
      </x:c>
      <x:c r="P1111" s="8" t="s">
        <x:v>115</x:v>
      </x:c>
      <x:c r="Q1111" s="8" t="s">
        <x:v>45</x:v>
      </x:c>
      <x:c r="R1111" s="8" t="s">
        <x:v>1623</x:v>
      </x:c>
      <x:c r="S1111" s="8"/>
      <x:c r="T1111" s="8" t="s">
        <x:v>27</x:v>
      </x:c>
      <x:c r="U1111" s="8" t="s">
        <x:v>883</x:v>
      </x:c>
      <x:c r="V1111" s="8" t="s">
        <x:v>2764</x:v>
      </x:c>
    </x:row>
    <x:row r="1112" ht="48" hidden="0" customHeight="1">
      <x:c r="A1112" s="8" t="s">
        <x:v>3228</x:v>
      </x:c>
      <x:c r="B1112" s="8" t="s">
        <x:v>3207</x:v>
      </x:c>
      <x:c r="C1112" s="8"/>
      <x:c r="D1112" s="8" t="s">
        <x:v>3229</x:v>
      </x:c>
      <x:c r="E1112" s="8" t="s">
        <x:v>3230</x:v>
      </x:c>
      <x:c r="F1112" s="8" t="s">
        <x:v>3210</x:v>
      </x:c>
      <x:c r="G1112" s="8" t="s">
        <x:v>109</x:v>
      </x:c>
      <x:c r="H1112" s="8" t="s">
        <x:v>3211</x:v>
      </x:c>
      <x:c r="I1112" s="8" t="s">
        <x:v>3212</x:v>
      </x:c>
      <x:c r="J1112" s="8" t="s">
        <x:v>112</x:v>
      </x:c>
      <x:c r="K1112" s="8" t="s">
        <x:v>3224</x:v>
      </x:c>
      <x:c r="L1112" s="8" t="s">
        <x:v>3224</x:v>
      </x:c>
      <x:c r="M1112" s="8"/>
      <x:c r="N1112" s="8"/>
      <x:c r="O1112" s="8" t="s">
        <x:v>1622</x:v>
      </x:c>
      <x:c r="P1112" s="8" t="s">
        <x:v>115</x:v>
      </x:c>
      <x:c r="Q1112" s="8" t="s">
        <x:v>45</x:v>
      </x:c>
      <x:c r="R1112" s="8" t="s">
        <x:v>1623</x:v>
      </x:c>
      <x:c r="S1112" s="8" t="s">
        <x:v>1545</x:v>
      </x:c>
      <x:c r="T1112" s="8" t="s">
        <x:v>27</x:v>
      </x:c>
      <x:c r="U1112" s="8" t="s">
        <x:v>883</x:v>
      </x:c>
      <x:c r="V1112" s="8" t="s">
        <x:v>2764</x:v>
      </x:c>
    </x:row>
    <x:row r="1113" ht="48" hidden="0" customHeight="1">
      <x:c r="A1113" s="8" t="s">
        <x:v>3231</x:v>
      </x:c>
      <x:c r="B1113" s="8" t="s">
        <x:v>3207</x:v>
      </x:c>
      <x:c r="C1113" s="8"/>
      <x:c r="D1113" s="8" t="s">
        <x:v>3232</x:v>
      </x:c>
      <x:c r="E1113" s="8" t="s">
        <x:v>3233</x:v>
      </x:c>
      <x:c r="F1113" s="8" t="s">
        <x:v>3210</x:v>
      </x:c>
      <x:c r="G1113" s="8" t="s">
        <x:v>109</x:v>
      </x:c>
      <x:c r="H1113" s="8" t="s">
        <x:v>3211</x:v>
      </x:c>
      <x:c r="I1113" s="8" t="s">
        <x:v>3212</x:v>
      </x:c>
      <x:c r="J1113" s="8" t="s">
        <x:v>112</x:v>
      </x:c>
      <x:c r="K1113" s="8" t="s">
        <x:v>3224</x:v>
      </x:c>
      <x:c r="L1113" s="8" t="s">
        <x:v>3224</x:v>
      </x:c>
      <x:c r="M1113" s="8"/>
      <x:c r="N1113" s="8"/>
      <x:c r="O1113" s="8" t="s">
        <x:v>1622</x:v>
      </x:c>
      <x:c r="P1113" s="8" t="s">
        <x:v>115</x:v>
      </x:c>
      <x:c r="Q1113" s="8" t="s">
        <x:v>45</x:v>
      </x:c>
      <x:c r="R1113" s="8" t="s">
        <x:v>1623</x:v>
      </x:c>
      <x:c r="S1113" s="8"/>
      <x:c r="T1113" s="8" t="s">
        <x:v>27</x:v>
      </x:c>
      <x:c r="U1113" s="8" t="s">
        <x:v>883</x:v>
      </x:c>
      <x:c r="V1113" s="8" t="s">
        <x:v>2764</x:v>
      </x:c>
    </x:row>
    <x:row r="1114" ht="48" hidden="0" customHeight="1">
      <x:c r="A1114" s="8" t="s">
        <x:v>3234</x:v>
      </x:c>
      <x:c r="B1114" s="8" t="s">
        <x:v>3207</x:v>
      </x:c>
      <x:c r="C1114" s="8"/>
      <x:c r="D1114" s="8" t="s">
        <x:v>3235</x:v>
      </x:c>
      <x:c r="E1114" s="8" t="s">
        <x:v>3236</x:v>
      </x:c>
      <x:c r="F1114" s="8" t="s">
        <x:v>3210</x:v>
      </x:c>
      <x:c r="G1114" s="8" t="s">
        <x:v>109</x:v>
      </x:c>
      <x:c r="H1114" s="8" t="s">
        <x:v>3211</x:v>
      </x:c>
      <x:c r="I1114" s="8" t="s">
        <x:v>3212</x:v>
      </x:c>
      <x:c r="J1114" s="8" t="s">
        <x:v>112</x:v>
      </x:c>
      <x:c r="K1114" s="8" t="s">
        <x:v>3237</x:v>
      </x:c>
      <x:c r="L1114" s="8" t="s">
        <x:v>3237</x:v>
      </x:c>
      <x:c r="M1114" s="8"/>
      <x:c r="N1114" s="8"/>
      <x:c r="O1114" s="8" t="s">
        <x:v>1622</x:v>
      </x:c>
      <x:c r="P1114" s="8" t="s">
        <x:v>115</x:v>
      </x:c>
      <x:c r="Q1114" s="8" t="s">
        <x:v>45</x:v>
      </x:c>
      <x:c r="R1114" s="8" t="s">
        <x:v>1623</x:v>
      </x:c>
      <x:c r="S1114" s="8"/>
      <x:c r="T1114" s="8" t="s">
        <x:v>27</x:v>
      </x:c>
      <x:c r="U1114" s="8" t="s">
        <x:v>883</x:v>
      </x:c>
      <x:c r="V1114" s="8" t="s">
        <x:v>2764</x:v>
      </x:c>
    </x:row>
    <x:row r="1115" ht="48" hidden="0" customHeight="1">
      <x:c r="A1115" s="8" t="s">
        <x:v>3238</x:v>
      </x:c>
      <x:c r="B1115" s="8" t="s">
        <x:v>3207</x:v>
      </x:c>
      <x:c r="C1115" s="8"/>
      <x:c r="D1115" s="8" t="s">
        <x:v>3239</x:v>
      </x:c>
      <x:c r="E1115" s="8" t="s">
        <x:v>3240</x:v>
      </x:c>
      <x:c r="F1115" s="8" t="s">
        <x:v>3210</x:v>
      </x:c>
      <x:c r="G1115" s="8" t="s">
        <x:v>109</x:v>
      </x:c>
      <x:c r="H1115" s="8" t="s">
        <x:v>3211</x:v>
      </x:c>
      <x:c r="I1115" s="8" t="s">
        <x:v>3212</x:v>
      </x:c>
      <x:c r="J1115" s="8" t="s">
        <x:v>112</x:v>
      </x:c>
      <x:c r="K1115" s="8" t="s">
        <x:v>3241</x:v>
      </x:c>
      <x:c r="L1115" s="8" t="s">
        <x:v>3241</x:v>
      </x:c>
      <x:c r="M1115" s="8"/>
      <x:c r="N1115" s="8"/>
      <x:c r="O1115" s="8" t="s">
        <x:v>1622</x:v>
      </x:c>
      <x:c r="P1115" s="8" t="s">
        <x:v>115</x:v>
      </x:c>
      <x:c r="Q1115" s="8" t="s">
        <x:v>45</x:v>
      </x:c>
      <x:c r="R1115" s="8" t="s">
        <x:v>1623</x:v>
      </x:c>
      <x:c r="S1115" s="8"/>
      <x:c r="T1115" s="8" t="s">
        <x:v>27</x:v>
      </x:c>
      <x:c r="U1115" s="8" t="s">
        <x:v>883</x:v>
      </x:c>
      <x:c r="V1115" s="8" t="s">
        <x:v>2764</x:v>
      </x:c>
    </x:row>
    <x:row r="1116" ht="48" hidden="0" customHeight="1">
      <x:c r="A1116" s="8" t="s">
        <x:v>3242</x:v>
      </x:c>
      <x:c r="B1116" s="8" t="s">
        <x:v>3207</x:v>
      </x:c>
      <x:c r="C1116" s="8"/>
      <x:c r="D1116" s="8" t="s">
        <x:v>3243</x:v>
      </x:c>
      <x:c r="E1116" s="8" t="s">
        <x:v>3244</x:v>
      </x:c>
      <x:c r="F1116" s="8" t="s">
        <x:v>3210</x:v>
      </x:c>
      <x:c r="G1116" s="8" t="s">
        <x:v>187</x:v>
      </x:c>
      <x:c r="H1116" s="8" t="s">
        <x:v>3211</x:v>
      </x:c>
      <x:c r="I1116" s="8" t="s">
        <x:v>3212</x:v>
      </x:c>
      <x:c r="J1116" s="8" t="s">
        <x:v>112</x:v>
      </x:c>
      <x:c r="K1116" s="8" t="s">
        <x:v>3245</x:v>
      </x:c>
      <x:c r="L1116" s="8" t="s">
        <x:v>3245</x:v>
      </x:c>
      <x:c r="M1116" s="8"/>
      <x:c r="N1116" s="8"/>
      <x:c r="O1116" s="8" t="s">
        <x:v>1622</x:v>
      </x:c>
      <x:c r="P1116" s="8" t="s">
        <x:v>115</x:v>
      </x:c>
      <x:c r="Q1116" s="8" t="s">
        <x:v>45</x:v>
      </x:c>
      <x:c r="R1116" s="8" t="s">
        <x:v>1623</x:v>
      </x:c>
      <x:c r="S1116" s="8"/>
      <x:c r="T1116" s="8" t="s">
        <x:v>27</x:v>
      </x:c>
      <x:c r="U1116" s="8" t="s">
        <x:v>883</x:v>
      </x:c>
      <x:c r="V1116" s="8" t="s">
        <x:v>2764</x:v>
      </x:c>
    </x:row>
    <x:row r="1117" ht="36" hidden="0" customHeight="1">
      <x:c r="A1117" s="8" t="s">
        <x:v>3246</x:v>
      </x:c>
      <x:c r="B1117" s="8" t="s">
        <x:v>3247</x:v>
      </x:c>
      <x:c r="C1117" s="8"/>
      <x:c r="D1117" s="8" t="s">
        <x:v>3248</x:v>
      </x:c>
      <x:c r="E1117" s="8" t="s">
        <x:v>3249</x:v>
      </x:c>
      <x:c r="F1117" s="8" t="s">
        <x:v>1617</x:v>
      </x:c>
      <x:c r="G1117" s="8" t="s">
        <x:v>109</x:v>
      </x:c>
      <x:c r="H1117" s="8" t="s">
        <x:v>3250</x:v>
      </x:c>
      <x:c r="I1117" s="8" t="s">
        <x:v>3251</x:v>
      </x:c>
      <x:c r="J1117" s="8" t="s">
        <x:v>112</x:v>
      </x:c>
      <x:c r="K1117" s="8" t="s">
        <x:v>3252</x:v>
      </x:c>
      <x:c r="L1117" s="8" t="s">
        <x:v>3252</x:v>
      </x:c>
      <x:c r="M1117" s="8"/>
      <x:c r="N1117" s="8"/>
      <x:c r="O1117" s="8" t="s">
        <x:v>1622</x:v>
      </x:c>
      <x:c r="P1117" s="8" t="s">
        <x:v>115</x:v>
      </x:c>
      <x:c r="Q1117" s="8" t="s">
        <x:v>45</x:v>
      </x:c>
      <x:c r="R1117" s="8" t="s">
        <x:v>1623</x:v>
      </x:c>
      <x:c r="S1117" s="8"/>
      <x:c r="T1117" s="8" t="s">
        <x:v>27</x:v>
      </x:c>
      <x:c r="U1117" s="8" t="s">
        <x:v>883</x:v>
      </x:c>
      <x:c r="V1117" s="8" t="s">
        <x:v>2764</x:v>
      </x:c>
    </x:row>
    <x:row r="1118" ht="36" hidden="0" customHeight="1">
      <x:c r="A1118" s="8" t="s">
        <x:v>3253</x:v>
      </x:c>
      <x:c r="B1118" s="8" t="s">
        <x:v>3247</x:v>
      </x:c>
      <x:c r="C1118" s="8"/>
      <x:c r="D1118" s="8" t="s">
        <x:v>2161</x:v>
      </x:c>
      <x:c r="E1118" s="8" t="s">
        <x:v>3254</x:v>
      </x:c>
      <x:c r="F1118" s="8" t="s">
        <x:v>1617</x:v>
      </x:c>
      <x:c r="G1118" s="8" t="s">
        <x:v>109</x:v>
      </x:c>
      <x:c r="H1118" s="8" t="s">
        <x:v>3250</x:v>
      </x:c>
      <x:c r="I1118" s="8" t="s">
        <x:v>3251</x:v>
      </x:c>
      <x:c r="J1118" s="8" t="s">
        <x:v>112</x:v>
      </x:c>
      <x:c r="K1118" s="8" t="s">
        <x:v>3255</x:v>
      </x:c>
      <x:c r="L1118" s="8" t="s">
        <x:v>3255</x:v>
      </x:c>
      <x:c r="M1118" s="8"/>
      <x:c r="N1118" s="8"/>
      <x:c r="O1118" s="8" t="s">
        <x:v>1622</x:v>
      </x:c>
      <x:c r="P1118" s="8" t="s">
        <x:v>115</x:v>
      </x:c>
      <x:c r="Q1118" s="8" t="s">
        <x:v>45</x:v>
      </x:c>
      <x:c r="R1118" s="8" t="s">
        <x:v>1623</x:v>
      </x:c>
      <x:c r="S1118" s="8"/>
      <x:c r="T1118" s="8" t="s">
        <x:v>27</x:v>
      </x:c>
      <x:c r="U1118" s="8" t="s">
        <x:v>883</x:v>
      </x:c>
      <x:c r="V1118" s="8" t="s">
        <x:v>2764</x:v>
      </x:c>
    </x:row>
    <x:row r="1119" ht="36" hidden="0" customHeight="1">
      <x:c r="A1119" s="8" t="s">
        <x:v>3256</x:v>
      </x:c>
      <x:c r="B1119" s="8" t="s">
        <x:v>3247</x:v>
      </x:c>
      <x:c r="C1119" s="8"/>
      <x:c r="D1119" s="8" t="s">
        <x:v>3257</x:v>
      </x:c>
      <x:c r="E1119" s="8" t="s">
        <x:v>3258</x:v>
      </x:c>
      <x:c r="F1119" s="8" t="s">
        <x:v>1617</x:v>
      </x:c>
      <x:c r="G1119" s="8" t="s">
        <x:v>109</x:v>
      </x:c>
      <x:c r="H1119" s="8" t="s">
        <x:v>3250</x:v>
      </x:c>
      <x:c r="I1119" s="8" t="s">
        <x:v>3251</x:v>
      </x:c>
      <x:c r="J1119" s="8" t="s">
        <x:v>112</x:v>
      </x:c>
      <x:c r="K1119" s="8" t="s">
        <x:v>3259</x:v>
      </x:c>
      <x:c r="L1119" s="8" t="s">
        <x:v>3259</x:v>
      </x:c>
      <x:c r="M1119" s="8"/>
      <x:c r="N1119" s="8"/>
      <x:c r="O1119" s="8" t="s">
        <x:v>1622</x:v>
      </x:c>
      <x:c r="P1119" s="8" t="s">
        <x:v>115</x:v>
      </x:c>
      <x:c r="Q1119" s="8" t="s">
        <x:v>45</x:v>
      </x:c>
      <x:c r="R1119" s="8" t="s">
        <x:v>1623</x:v>
      </x:c>
      <x:c r="S1119" s="8"/>
      <x:c r="T1119" s="8" t="s">
        <x:v>27</x:v>
      </x:c>
      <x:c r="U1119" s="8" t="s">
        <x:v>883</x:v>
      </x:c>
      <x:c r="V1119" s="8" t="s">
        <x:v>2764</x:v>
      </x:c>
    </x:row>
    <x:row r="1120" ht="36" hidden="0" customHeight="1">
      <x:c r="A1120" s="8" t="s">
        <x:v>3260</x:v>
      </x:c>
      <x:c r="B1120" s="8" t="s">
        <x:v>3247</x:v>
      </x:c>
      <x:c r="C1120" s="8"/>
      <x:c r="D1120" s="8" t="s">
        <x:v>3261</x:v>
      </x:c>
      <x:c r="E1120" s="8" t="s">
        <x:v>3262</x:v>
      </x:c>
      <x:c r="F1120" s="8" t="s">
        <x:v>1617</x:v>
      </x:c>
      <x:c r="G1120" s="8" t="s">
        <x:v>109</x:v>
      </x:c>
      <x:c r="H1120" s="8" t="s">
        <x:v>3250</x:v>
      </x:c>
      <x:c r="I1120" s="8" t="s">
        <x:v>3251</x:v>
      </x:c>
      <x:c r="J1120" s="8" t="s">
        <x:v>112</x:v>
      </x:c>
      <x:c r="K1120" s="8" t="s">
        <x:v>3263</x:v>
      </x:c>
      <x:c r="L1120" s="8" t="s">
        <x:v>3263</x:v>
      </x:c>
      <x:c r="M1120" s="8"/>
      <x:c r="N1120" s="8"/>
      <x:c r="O1120" s="8" t="s">
        <x:v>1622</x:v>
      </x:c>
      <x:c r="P1120" s="8" t="s">
        <x:v>115</x:v>
      </x:c>
      <x:c r="Q1120" s="8" t="s">
        <x:v>45</x:v>
      </x:c>
      <x:c r="R1120" s="8" t="s">
        <x:v>1623</x:v>
      </x:c>
      <x:c r="S1120" s="8"/>
      <x:c r="T1120" s="8" t="s">
        <x:v>27</x:v>
      </x:c>
      <x:c r="U1120" s="8" t="s">
        <x:v>883</x:v>
      </x:c>
      <x:c r="V1120" s="8" t="s">
        <x:v>2764</x:v>
      </x:c>
    </x:row>
    <x:row r="1121" ht="36" hidden="0" customHeight="1">
      <x:c r="A1121" s="8" t="s">
        <x:v>3264</x:v>
      </x:c>
      <x:c r="B1121" s="8" t="s">
        <x:v>3247</x:v>
      </x:c>
      <x:c r="C1121" s="8"/>
      <x:c r="D1121" s="8" t="s">
        <x:v>3265</x:v>
      </x:c>
      <x:c r="E1121" s="8" t="s">
        <x:v>3266</x:v>
      </x:c>
      <x:c r="F1121" s="8" t="s">
        <x:v>1617</x:v>
      </x:c>
      <x:c r="G1121" s="8" t="s">
        <x:v>109</x:v>
      </x:c>
      <x:c r="H1121" s="8" t="s">
        <x:v>3250</x:v>
      </x:c>
      <x:c r="I1121" s="8" t="s">
        <x:v>3251</x:v>
      </x:c>
      <x:c r="J1121" s="8" t="s">
        <x:v>112</x:v>
      </x:c>
      <x:c r="K1121" s="8" t="s">
        <x:v>3267</x:v>
      </x:c>
      <x:c r="L1121" s="8" t="s">
        <x:v>3267</x:v>
      </x:c>
      <x:c r="M1121" s="8"/>
      <x:c r="N1121" s="8"/>
      <x:c r="O1121" s="8" t="s">
        <x:v>1622</x:v>
      </x:c>
      <x:c r="P1121" s="8" t="s">
        <x:v>115</x:v>
      </x:c>
      <x:c r="Q1121" s="8" t="s">
        <x:v>45</x:v>
      </x:c>
      <x:c r="R1121" s="8" t="s">
        <x:v>1623</x:v>
      </x:c>
      <x:c r="S1121" s="8"/>
      <x:c r="T1121" s="8" t="s">
        <x:v>27</x:v>
      </x:c>
      <x:c r="U1121" s="8" t="s">
        <x:v>883</x:v>
      </x:c>
      <x:c r="V1121" s="8" t="s">
        <x:v>2764</x:v>
      </x:c>
    </x:row>
    <x:row r="1122" ht="36" hidden="0" customHeight="1">
      <x:c r="A1122" s="8" t="s">
        <x:v>3268</x:v>
      </x:c>
      <x:c r="B1122" s="8" t="s">
        <x:v>3247</x:v>
      </x:c>
      <x:c r="C1122" s="8"/>
      <x:c r="D1122" s="8" t="s">
        <x:v>2588</x:v>
      </x:c>
      <x:c r="E1122" s="8" t="s">
        <x:v>3269</x:v>
      </x:c>
      <x:c r="F1122" s="8" t="s">
        <x:v>1617</x:v>
      </x:c>
      <x:c r="G1122" s="8" t="s">
        <x:v>109</x:v>
      </x:c>
      <x:c r="H1122" s="8" t="s">
        <x:v>3250</x:v>
      </x:c>
      <x:c r="I1122" s="8" t="s">
        <x:v>3251</x:v>
      </x:c>
      <x:c r="J1122" s="8" t="s">
        <x:v>112</x:v>
      </x:c>
      <x:c r="K1122" s="8" t="s">
        <x:v>3270</x:v>
      </x:c>
      <x:c r="L1122" s="8" t="s">
        <x:v>3270</x:v>
      </x:c>
      <x:c r="M1122" s="8"/>
      <x:c r="N1122" s="8"/>
      <x:c r="O1122" s="8" t="s">
        <x:v>1622</x:v>
      </x:c>
      <x:c r="P1122" s="8" t="s">
        <x:v>115</x:v>
      </x:c>
      <x:c r="Q1122" s="8" t="s">
        <x:v>45</x:v>
      </x:c>
      <x:c r="R1122" s="8" t="s">
        <x:v>1623</x:v>
      </x:c>
      <x:c r="S1122" s="8"/>
      <x:c r="T1122" s="8" t="s">
        <x:v>27</x:v>
      </x:c>
      <x:c r="U1122" s="8" t="s">
        <x:v>883</x:v>
      </x:c>
      <x:c r="V1122" s="8" t="s">
        <x:v>2764</x:v>
      </x:c>
    </x:row>
    <x:row r="1123" ht="36" hidden="0" customHeight="1">
      <x:c r="A1123" s="8" t="s">
        <x:v>3271</x:v>
      </x:c>
      <x:c r="B1123" s="8" t="s">
        <x:v>3247</x:v>
      </x:c>
      <x:c r="C1123" s="8"/>
      <x:c r="D1123" s="8" t="s">
        <x:v>3272</x:v>
      </x:c>
      <x:c r="E1123" s="8" t="s">
        <x:v>3273</x:v>
      </x:c>
      <x:c r="F1123" s="8" t="s">
        <x:v>1617</x:v>
      </x:c>
      <x:c r="G1123" s="8" t="s">
        <x:v>109</x:v>
      </x:c>
      <x:c r="H1123" s="8" t="s">
        <x:v>3250</x:v>
      </x:c>
      <x:c r="I1123" s="8" t="s">
        <x:v>3251</x:v>
      </x:c>
      <x:c r="J1123" s="8" t="s">
        <x:v>112</x:v>
      </x:c>
      <x:c r="K1123" s="8" t="s">
        <x:v>3274</x:v>
      </x:c>
      <x:c r="L1123" s="8" t="s">
        <x:v>3274</x:v>
      </x:c>
      <x:c r="M1123" s="8"/>
      <x:c r="N1123" s="8"/>
      <x:c r="O1123" s="8" t="s">
        <x:v>1622</x:v>
      </x:c>
      <x:c r="P1123" s="8" t="s">
        <x:v>115</x:v>
      </x:c>
      <x:c r="Q1123" s="8" t="s">
        <x:v>45</x:v>
      </x:c>
      <x:c r="R1123" s="8" t="s">
        <x:v>1623</x:v>
      </x:c>
      <x:c r="S1123" s="8"/>
      <x:c r="T1123" s="8" t="s">
        <x:v>27</x:v>
      </x:c>
      <x:c r="U1123" s="8" t="s">
        <x:v>883</x:v>
      </x:c>
      <x:c r="V1123" s="8" t="s">
        <x:v>2764</x:v>
      </x:c>
    </x:row>
    <x:row r="1124" ht="36" hidden="0" customHeight="1">
      <x:c r="A1124" s="8" t="s">
        <x:v>3275</x:v>
      </x:c>
      <x:c r="B1124" s="8" t="s">
        <x:v>3247</x:v>
      </x:c>
      <x:c r="C1124" s="8"/>
      <x:c r="D1124" s="8" t="s">
        <x:v>3276</x:v>
      </x:c>
      <x:c r="E1124" s="8" t="s">
        <x:v>3277</x:v>
      </x:c>
      <x:c r="F1124" s="8" t="s">
        <x:v>1617</x:v>
      </x:c>
      <x:c r="G1124" s="8" t="s">
        <x:v>109</x:v>
      </x:c>
      <x:c r="H1124" s="8" t="s">
        <x:v>3250</x:v>
      </x:c>
      <x:c r="I1124" s="8" t="s">
        <x:v>3251</x:v>
      </x:c>
      <x:c r="J1124" s="8" t="s">
        <x:v>112</x:v>
      </x:c>
      <x:c r="K1124" s="8" t="s">
        <x:v>3278</x:v>
      </x:c>
      <x:c r="L1124" s="8" t="s">
        <x:v>3278</x:v>
      </x:c>
      <x:c r="M1124" s="8"/>
      <x:c r="N1124" s="8"/>
      <x:c r="O1124" s="8" t="s">
        <x:v>1622</x:v>
      </x:c>
      <x:c r="P1124" s="8" t="s">
        <x:v>115</x:v>
      </x:c>
      <x:c r="Q1124" s="8" t="s">
        <x:v>45</x:v>
      </x:c>
      <x:c r="R1124" s="8" t="s">
        <x:v>1623</x:v>
      </x:c>
      <x:c r="S1124" s="8"/>
      <x:c r="T1124" s="8" t="s">
        <x:v>27</x:v>
      </x:c>
      <x:c r="U1124" s="8" t="s">
        <x:v>883</x:v>
      </x:c>
      <x:c r="V1124" s="8" t="s">
        <x:v>2764</x:v>
      </x:c>
    </x:row>
    <x:row r="1125" ht="36" hidden="0" customHeight="1">
      <x:c r="A1125" s="8" t="s">
        <x:v>3279</x:v>
      </x:c>
      <x:c r="B1125" s="8" t="s">
        <x:v>3247</x:v>
      </x:c>
      <x:c r="C1125" s="8"/>
      <x:c r="D1125" s="8" t="s">
        <x:v>3280</x:v>
      </x:c>
      <x:c r="E1125" s="8" t="s">
        <x:v>3281</x:v>
      </x:c>
      <x:c r="F1125" s="8" t="s">
        <x:v>1617</x:v>
      </x:c>
      <x:c r="G1125" s="8" t="s">
        <x:v>109</x:v>
      </x:c>
      <x:c r="H1125" s="8" t="s">
        <x:v>3250</x:v>
      </x:c>
      <x:c r="I1125" s="8" t="s">
        <x:v>3251</x:v>
      </x:c>
      <x:c r="J1125" s="8" t="s">
        <x:v>112</x:v>
      </x:c>
      <x:c r="K1125" s="8" t="s">
        <x:v>3282</x:v>
      </x:c>
      <x:c r="L1125" s="8" t="s">
        <x:v>3282</x:v>
      </x:c>
      <x:c r="M1125" s="8"/>
      <x:c r="N1125" s="8"/>
      <x:c r="O1125" s="8" t="s">
        <x:v>1622</x:v>
      </x:c>
      <x:c r="P1125" s="8" t="s">
        <x:v>115</x:v>
      </x:c>
      <x:c r="Q1125" s="8" t="s">
        <x:v>45</x:v>
      </x:c>
      <x:c r="R1125" s="8" t="s">
        <x:v>1623</x:v>
      </x:c>
      <x:c r="S1125" s="8"/>
      <x:c r="T1125" s="8" t="s">
        <x:v>27</x:v>
      </x:c>
      <x:c r="U1125" s="8" t="s">
        <x:v>883</x:v>
      </x:c>
      <x:c r="V1125" s="8" t="s">
        <x:v>2764</x:v>
      </x:c>
    </x:row>
    <x:row r="1126" ht="36" hidden="0" customHeight="1">
      <x:c r="A1126" s="8" t="s">
        <x:v>3283</x:v>
      </x:c>
      <x:c r="B1126" s="8" t="s">
        <x:v>3247</x:v>
      </x:c>
      <x:c r="C1126" s="8"/>
      <x:c r="D1126" s="8" t="s">
        <x:v>3284</x:v>
      </x:c>
      <x:c r="E1126" s="8" t="s">
        <x:v>3285</x:v>
      </x:c>
      <x:c r="F1126" s="8" t="s">
        <x:v>1617</x:v>
      </x:c>
      <x:c r="G1126" s="8" t="s">
        <x:v>109</x:v>
      </x:c>
      <x:c r="H1126" s="8" t="s">
        <x:v>3250</x:v>
      </x:c>
      <x:c r="I1126" s="8" t="s">
        <x:v>3251</x:v>
      </x:c>
      <x:c r="J1126" s="8" t="s">
        <x:v>112</x:v>
      </x:c>
      <x:c r="K1126" s="8" t="s">
        <x:v>3286</x:v>
      </x:c>
      <x:c r="L1126" s="8" t="s">
        <x:v>3286</x:v>
      </x:c>
      <x:c r="M1126" s="8"/>
      <x:c r="N1126" s="8"/>
      <x:c r="O1126" s="8" t="s">
        <x:v>1622</x:v>
      </x:c>
      <x:c r="P1126" s="8" t="s">
        <x:v>115</x:v>
      </x:c>
      <x:c r="Q1126" s="8" t="s">
        <x:v>45</x:v>
      </x:c>
      <x:c r="R1126" s="8" t="s">
        <x:v>1623</x:v>
      </x:c>
      <x:c r="S1126" s="8"/>
      <x:c r="T1126" s="8" t="s">
        <x:v>27</x:v>
      </x:c>
      <x:c r="U1126" s="8" t="s">
        <x:v>883</x:v>
      </x:c>
      <x:c r="V1126" s="8" t="s">
        <x:v>2764</x:v>
      </x:c>
    </x:row>
    <x:row r="1127" ht="36" hidden="0" customHeight="1">
      <x:c r="A1127" s="8" t="s">
        <x:v>3287</x:v>
      </x:c>
      <x:c r="B1127" s="8" t="s">
        <x:v>3247</x:v>
      </x:c>
      <x:c r="C1127" s="8"/>
      <x:c r="D1127" s="8" t="s">
        <x:v>3288</x:v>
      </x:c>
      <x:c r="E1127" s="8" t="s">
        <x:v>3289</x:v>
      </x:c>
      <x:c r="F1127" s="8" t="s">
        <x:v>1617</x:v>
      </x:c>
      <x:c r="G1127" s="8" t="s">
        <x:v>109</x:v>
      </x:c>
      <x:c r="H1127" s="8" t="s">
        <x:v>3250</x:v>
      </x:c>
      <x:c r="I1127" s="8" t="s">
        <x:v>3251</x:v>
      </x:c>
      <x:c r="J1127" s="8" t="s">
        <x:v>112</x:v>
      </x:c>
      <x:c r="K1127" s="8" t="s">
        <x:v>3290</x:v>
      </x:c>
      <x:c r="L1127" s="8" t="s">
        <x:v>3290</x:v>
      </x:c>
      <x:c r="M1127" s="8"/>
      <x:c r="N1127" s="8"/>
      <x:c r="O1127" s="8" t="s">
        <x:v>1622</x:v>
      </x:c>
      <x:c r="P1127" s="8" t="s">
        <x:v>115</x:v>
      </x:c>
      <x:c r="Q1127" s="8" t="s">
        <x:v>45</x:v>
      </x:c>
      <x:c r="R1127" s="8" t="s">
        <x:v>1623</x:v>
      </x:c>
      <x:c r="S1127" s="8"/>
      <x:c r="T1127" s="8" t="s">
        <x:v>27</x:v>
      </x:c>
      <x:c r="U1127" s="8" t="s">
        <x:v>883</x:v>
      </x:c>
      <x:c r="V1127" s="8" t="s">
        <x:v>2764</x:v>
      </x:c>
    </x:row>
    <x:row r="1128" ht="36" hidden="0" customHeight="1">
      <x:c r="A1128" s="8" t="s">
        <x:v>3291</x:v>
      </x:c>
      <x:c r="B1128" s="8" t="s">
        <x:v>3247</x:v>
      </x:c>
      <x:c r="C1128" s="8"/>
      <x:c r="D1128" s="8" t="s">
        <x:v>3292</x:v>
      </x:c>
      <x:c r="E1128" s="8" t="s">
        <x:v>3293</x:v>
      </x:c>
      <x:c r="F1128" s="8" t="s">
        <x:v>1617</x:v>
      </x:c>
      <x:c r="G1128" s="8" t="s">
        <x:v>187</x:v>
      </x:c>
      <x:c r="H1128" s="8" t="s">
        <x:v>3250</x:v>
      </x:c>
      <x:c r="I1128" s="8" t="s">
        <x:v>3251</x:v>
      </x:c>
      <x:c r="J1128" s="8" t="s">
        <x:v>112</x:v>
      </x:c>
      <x:c r="K1128" s="8" t="s">
        <x:v>3294</x:v>
      </x:c>
      <x:c r="L1128" s="8" t="s">
        <x:v>3294</x:v>
      </x:c>
      <x:c r="M1128" s="8"/>
      <x:c r="N1128" s="8"/>
      <x:c r="O1128" s="8" t="s">
        <x:v>1622</x:v>
      </x:c>
      <x:c r="P1128" s="8" t="s">
        <x:v>115</x:v>
      </x:c>
      <x:c r="Q1128" s="8" t="s">
        <x:v>45</x:v>
      </x:c>
      <x:c r="R1128" s="8" t="s">
        <x:v>1623</x:v>
      </x:c>
      <x:c r="S1128" s="8"/>
      <x:c r="T1128" s="8" t="s">
        <x:v>27</x:v>
      </x:c>
      <x:c r="U1128" s="8" t="s">
        <x:v>883</x:v>
      </x:c>
      <x:c r="V1128" s="8" t="s">
        <x:v>2764</x:v>
      </x:c>
    </x:row>
    <x:row r="1129" ht="36" hidden="0" customHeight="1">
      <x:c r="A1129" s="8" t="s">
        <x:v>3295</x:v>
      </x:c>
      <x:c r="B1129" s="8" t="s">
        <x:v>3296</x:v>
      </x:c>
      <x:c r="C1129" s="8"/>
      <x:c r="D1129" s="8" t="s">
        <x:v>3248</x:v>
      </x:c>
      <x:c r="E1129" s="8" t="s">
        <x:v>3297</x:v>
      </x:c>
      <x:c r="F1129" s="8" t="s">
        <x:v>1617</x:v>
      </x:c>
      <x:c r="G1129" s="8" t="s">
        <x:v>109</x:v>
      </x:c>
      <x:c r="H1129" s="8" t="s">
        <x:v>3298</x:v>
      </x:c>
      <x:c r="I1129" s="8" t="s">
        <x:v>3299</x:v>
      </x:c>
      <x:c r="J1129" s="8" t="s">
        <x:v>112</x:v>
      </x:c>
      <x:c r="K1129" s="8" t="s">
        <x:v>3300</x:v>
      </x:c>
      <x:c r="L1129" s="8" t="s">
        <x:v>3300</x:v>
      </x:c>
      <x:c r="M1129" s="8"/>
      <x:c r="N1129" s="8"/>
      <x:c r="O1129" s="8" t="s">
        <x:v>1622</x:v>
      </x:c>
      <x:c r="P1129" s="8" t="s">
        <x:v>115</x:v>
      </x:c>
      <x:c r="Q1129" s="8" t="s">
        <x:v>45</x:v>
      </x:c>
      <x:c r="R1129" s="8" t="s">
        <x:v>1623</x:v>
      </x:c>
      <x:c r="S1129" s="8"/>
      <x:c r="T1129" s="8" t="s">
        <x:v>27</x:v>
      </x:c>
      <x:c r="U1129" s="8" t="s">
        <x:v>883</x:v>
      </x:c>
      <x:c r="V1129" s="8" t="s">
        <x:v>2764</x:v>
      </x:c>
    </x:row>
    <x:row r="1130" ht="36" hidden="0" customHeight="1">
      <x:c r="A1130" s="8" t="s">
        <x:v>3301</x:v>
      </x:c>
      <x:c r="B1130" s="8" t="s">
        <x:v>3296</x:v>
      </x:c>
      <x:c r="C1130" s="8"/>
      <x:c r="D1130" s="8" t="s">
        <x:v>1682</x:v>
      </x:c>
      <x:c r="E1130" s="8" t="n">
        <x:v>9</x:v>
      </x:c>
      <x:c r="F1130" s="8" t="s">
        <x:v>1617</x:v>
      </x:c>
      <x:c r="G1130" s="8" t="s">
        <x:v>109</x:v>
      </x:c>
      <x:c r="H1130" s="8" t="s">
        <x:v>3298</x:v>
      </x:c>
      <x:c r="I1130" s="8" t="s">
        <x:v>3299</x:v>
      </x:c>
      <x:c r="J1130" s="8" t="s">
        <x:v>112</x:v>
      </x:c>
      <x:c r="K1130" s="8" t="s">
        <x:v>3300</x:v>
      </x:c>
      <x:c r="L1130" s="8" t="s">
        <x:v>3300</x:v>
      </x:c>
      <x:c r="M1130" s="8"/>
      <x:c r="N1130" s="8"/>
      <x:c r="O1130" s="8" t="s">
        <x:v>1622</x:v>
      </x:c>
      <x:c r="P1130" s="8" t="s">
        <x:v>115</x:v>
      </x:c>
      <x:c r="Q1130" s="8" t="s">
        <x:v>45</x:v>
      </x:c>
      <x:c r="R1130" s="8" t="s">
        <x:v>1623</x:v>
      </x:c>
      <x:c r="S1130" s="8" t="s">
        <x:v>902</x:v>
      </x:c>
      <x:c r="T1130" s="8" t="s">
        <x:v>27</x:v>
      </x:c>
      <x:c r="U1130" s="8" t="s">
        <x:v>883</x:v>
      </x:c>
      <x:c r="V1130" s="8" t="s">
        <x:v>2764</x:v>
      </x:c>
    </x:row>
    <x:row r="1131" ht="36" hidden="0" customHeight="1">
      <x:c r="A1131" s="8" t="s">
        <x:v>3302</x:v>
      </x:c>
      <x:c r="B1131" s="8" t="s">
        <x:v>3296</x:v>
      </x:c>
      <x:c r="C1131" s="8"/>
      <x:c r="D1131" s="8" t="s">
        <x:v>2588</x:v>
      </x:c>
      <x:c r="E1131" s="8" t="s">
        <x:v>3303</x:v>
      </x:c>
      <x:c r="F1131" s="8" t="s">
        <x:v>1617</x:v>
      </x:c>
      <x:c r="G1131" s="8" t="s">
        <x:v>109</x:v>
      </x:c>
      <x:c r="H1131" s="8" t="s">
        <x:v>3298</x:v>
      </x:c>
      <x:c r="I1131" s="8" t="s">
        <x:v>3299</x:v>
      </x:c>
      <x:c r="J1131" s="8" t="s">
        <x:v>112</x:v>
      </x:c>
      <x:c r="K1131" s="8" t="s">
        <x:v>3300</x:v>
      </x:c>
      <x:c r="L1131" s="8" t="s">
        <x:v>3300</x:v>
      </x:c>
      <x:c r="M1131" s="8"/>
      <x:c r="N1131" s="8"/>
      <x:c r="O1131" s="8" t="s">
        <x:v>1622</x:v>
      </x:c>
      <x:c r="P1131" s="8" t="s">
        <x:v>115</x:v>
      </x:c>
      <x:c r="Q1131" s="8" t="s">
        <x:v>45</x:v>
      </x:c>
      <x:c r="R1131" s="8" t="s">
        <x:v>1623</x:v>
      </x:c>
      <x:c r="S1131" s="8"/>
      <x:c r="T1131" s="8" t="s">
        <x:v>27</x:v>
      </x:c>
      <x:c r="U1131" s="8" t="s">
        <x:v>883</x:v>
      </x:c>
      <x:c r="V1131" s="8" t="s">
        <x:v>2764</x:v>
      </x:c>
    </x:row>
    <x:row r="1132" ht="36" hidden="0" customHeight="1">
      <x:c r="A1132" s="8" t="s">
        <x:v>3304</x:v>
      </x:c>
      <x:c r="B1132" s="8" t="s">
        <x:v>3296</x:v>
      </x:c>
      <x:c r="C1132" s="8"/>
      <x:c r="D1132" s="8" t="s">
        <x:v>3305</x:v>
      </x:c>
      <x:c r="E1132" s="8" t="n">
        <x:v>14824</x:v>
      </x:c>
      <x:c r="F1132" s="8" t="s">
        <x:v>1617</x:v>
      </x:c>
      <x:c r="G1132" s="8" t="s">
        <x:v>109</x:v>
      </x:c>
      <x:c r="H1132" s="8" t="s">
        <x:v>3298</x:v>
      </x:c>
      <x:c r="I1132" s="8" t="s">
        <x:v>3299</x:v>
      </x:c>
      <x:c r="J1132" s="8" t="s">
        <x:v>112</x:v>
      </x:c>
      <x:c r="K1132" s="8" t="s">
        <x:v>3306</x:v>
      </x:c>
      <x:c r="L1132" s="8" t="s">
        <x:v>3306</x:v>
      </x:c>
      <x:c r="M1132" s="8"/>
      <x:c r="N1132" s="8"/>
      <x:c r="O1132" s="8" t="s">
        <x:v>1622</x:v>
      </x:c>
      <x:c r="P1132" s="8" t="s">
        <x:v>115</x:v>
      </x:c>
      <x:c r="Q1132" s="8" t="s">
        <x:v>45</x:v>
      </x:c>
      <x:c r="R1132" s="8" t="s">
        <x:v>1623</x:v>
      </x:c>
      <x:c r="S1132" s="8" t="s">
        <x:v>1954</x:v>
      </x:c>
      <x:c r="T1132" s="8" t="s">
        <x:v>27</x:v>
      </x:c>
      <x:c r="U1132" s="8" t="s">
        <x:v>883</x:v>
      </x:c>
      <x:c r="V1132" s="8" t="s">
        <x:v>2764</x:v>
      </x:c>
    </x:row>
    <x:row r="1133" ht="36" hidden="0" customHeight="1">
      <x:c r="A1133" s="8" t="s">
        <x:v>3307</x:v>
      </x:c>
      <x:c r="B1133" s="8" t="s">
        <x:v>3296</x:v>
      </x:c>
      <x:c r="C1133" s="8"/>
      <x:c r="D1133" s="8" t="s">
        <x:v>3308</x:v>
      </x:c>
      <x:c r="E1133" s="8" t="s">
        <x:v>3309</x:v>
      </x:c>
      <x:c r="F1133" s="8" t="s">
        <x:v>1617</x:v>
      </x:c>
      <x:c r="G1133" s="8" t="s">
        <x:v>109</x:v>
      </x:c>
      <x:c r="H1133" s="8" t="s">
        <x:v>3298</x:v>
      </x:c>
      <x:c r="I1133" s="8" t="s">
        <x:v>3299</x:v>
      </x:c>
      <x:c r="J1133" s="8" t="s">
        <x:v>112</x:v>
      </x:c>
      <x:c r="K1133" s="8" t="s">
        <x:v>3310</x:v>
      </x:c>
      <x:c r="L1133" s="8" t="s">
        <x:v>3310</x:v>
      </x:c>
      <x:c r="M1133" s="8"/>
      <x:c r="N1133" s="8"/>
      <x:c r="O1133" s="8" t="s">
        <x:v>1622</x:v>
      </x:c>
      <x:c r="P1133" s="8" t="s">
        <x:v>115</x:v>
      </x:c>
      <x:c r="Q1133" s="8" t="s">
        <x:v>45</x:v>
      </x:c>
      <x:c r="R1133" s="8" t="s">
        <x:v>1623</x:v>
      </x:c>
      <x:c r="S1133" s="8"/>
      <x:c r="T1133" s="8" t="s">
        <x:v>27</x:v>
      </x:c>
      <x:c r="U1133" s="8" t="s">
        <x:v>883</x:v>
      </x:c>
      <x:c r="V1133" s="8" t="s">
        <x:v>2764</x:v>
      </x:c>
    </x:row>
    <x:row r="1134" ht="36" hidden="0" customHeight="1">
      <x:c r="A1134" s="8" t="s">
        <x:v>3311</x:v>
      </x:c>
      <x:c r="B1134" s="8" t="s">
        <x:v>3296</x:v>
      </x:c>
      <x:c r="C1134" s="8"/>
      <x:c r="D1134" s="8" t="s">
        <x:v>3312</x:v>
      </x:c>
      <x:c r="E1134" s="8" t="s">
        <x:v>3313</x:v>
      </x:c>
      <x:c r="F1134" s="8" t="s">
        <x:v>1617</x:v>
      </x:c>
      <x:c r="G1134" s="8" t="s">
        <x:v>109</x:v>
      </x:c>
      <x:c r="H1134" s="8" t="s">
        <x:v>3298</x:v>
      </x:c>
      <x:c r="I1134" s="8" t="s">
        <x:v>3299</x:v>
      </x:c>
      <x:c r="J1134" s="8" t="s">
        <x:v>112</x:v>
      </x:c>
      <x:c r="K1134" s="8" t="s">
        <x:v>3314</x:v>
      </x:c>
      <x:c r="L1134" s="8" t="s">
        <x:v>3314</x:v>
      </x:c>
      <x:c r="M1134" s="8"/>
      <x:c r="N1134" s="8"/>
      <x:c r="O1134" s="8" t="s">
        <x:v>1622</x:v>
      </x:c>
      <x:c r="P1134" s="8" t="s">
        <x:v>115</x:v>
      </x:c>
      <x:c r="Q1134" s="8" t="s">
        <x:v>45</x:v>
      </x:c>
      <x:c r="R1134" s="8" t="s">
        <x:v>1623</x:v>
      </x:c>
      <x:c r="S1134" s="8"/>
      <x:c r="T1134" s="8" t="s">
        <x:v>27</x:v>
      </x:c>
      <x:c r="U1134" s="8" t="s">
        <x:v>883</x:v>
      </x:c>
      <x:c r="V1134" s="8" t="s">
        <x:v>2764</x:v>
      </x:c>
    </x:row>
    <x:row r="1135" ht="36" hidden="0" customHeight="1">
      <x:c r="A1135" s="8" t="s">
        <x:v>3315</x:v>
      </x:c>
      <x:c r="B1135" s="8" t="s">
        <x:v>3296</x:v>
      </x:c>
      <x:c r="C1135" s="8"/>
      <x:c r="D1135" s="8" t="s">
        <x:v>3316</x:v>
      </x:c>
      <x:c r="E1135" s="8" t="s">
        <x:v>3317</x:v>
      </x:c>
      <x:c r="F1135" s="8" t="s">
        <x:v>1617</x:v>
      </x:c>
      <x:c r="G1135" s="8" t="s">
        <x:v>109</x:v>
      </x:c>
      <x:c r="H1135" s="8" t="s">
        <x:v>3298</x:v>
      </x:c>
      <x:c r="I1135" s="8" t="s">
        <x:v>3299</x:v>
      </x:c>
      <x:c r="J1135" s="8" t="s">
        <x:v>112</x:v>
      </x:c>
      <x:c r="K1135" s="8" t="s">
        <x:v>3318</x:v>
      </x:c>
      <x:c r="L1135" s="8" t="s">
        <x:v>3318</x:v>
      </x:c>
      <x:c r="M1135" s="8"/>
      <x:c r="N1135" s="8"/>
      <x:c r="O1135" s="8" t="s">
        <x:v>1622</x:v>
      </x:c>
      <x:c r="P1135" s="8" t="s">
        <x:v>115</x:v>
      </x:c>
      <x:c r="Q1135" s="8" t="s">
        <x:v>45</x:v>
      </x:c>
      <x:c r="R1135" s="8" t="s">
        <x:v>1623</x:v>
      </x:c>
      <x:c r="S1135" s="8"/>
      <x:c r="T1135" s="8" t="s">
        <x:v>27</x:v>
      </x:c>
      <x:c r="U1135" s="8" t="s">
        <x:v>883</x:v>
      </x:c>
      <x:c r="V1135" s="8" t="s">
        <x:v>2764</x:v>
      </x:c>
    </x:row>
    <x:row r="1136" ht="36" hidden="0" customHeight="1">
      <x:c r="A1136" s="8" t="s">
        <x:v>3319</x:v>
      </x:c>
      <x:c r="B1136" s="8" t="s">
        <x:v>3296</x:v>
      </x:c>
      <x:c r="C1136" s="8"/>
      <x:c r="D1136" s="8" t="s">
        <x:v>3320</x:v>
      </x:c>
      <x:c r="E1136" s="8" t="s">
        <x:v>3321</x:v>
      </x:c>
      <x:c r="F1136" s="8" t="s">
        <x:v>1617</x:v>
      </x:c>
      <x:c r="G1136" s="8" t="s">
        <x:v>187</x:v>
      </x:c>
      <x:c r="H1136" s="8" t="s">
        <x:v>3298</x:v>
      </x:c>
      <x:c r="I1136" s="8" t="s">
        <x:v>3299</x:v>
      </x:c>
      <x:c r="J1136" s="8" t="s">
        <x:v>112</x:v>
      </x:c>
      <x:c r="K1136" s="8" t="s">
        <x:v>3322</x:v>
      </x:c>
      <x:c r="L1136" s="8" t="s">
        <x:v>3322</x:v>
      </x:c>
      <x:c r="M1136" s="8"/>
      <x:c r="N1136" s="8"/>
      <x:c r="O1136" s="8" t="s">
        <x:v>1622</x:v>
      </x:c>
      <x:c r="P1136" s="8" t="s">
        <x:v>115</x:v>
      </x:c>
      <x:c r="Q1136" s="8" t="s">
        <x:v>45</x:v>
      </x:c>
      <x:c r="R1136" s="8" t="s">
        <x:v>1623</x:v>
      </x:c>
      <x:c r="S1136" s="8"/>
      <x:c r="T1136" s="8" t="s">
        <x:v>27</x:v>
      </x:c>
      <x:c r="U1136" s="8" t="s">
        <x:v>883</x:v>
      </x:c>
      <x:c r="V1136" s="8" t="s">
        <x:v>2764</x:v>
      </x:c>
    </x:row>
    <x:row r="1137" ht="36" hidden="0" customHeight="1">
      <x:c r="A1137" s="8" t="s">
        <x:v>3323</x:v>
      </x:c>
      <x:c r="B1137" s="8" t="s">
        <x:v>3296</x:v>
      </x:c>
      <x:c r="C1137" s="8"/>
      <x:c r="D1137" s="8" t="s">
        <x:v>3324</x:v>
      </x:c>
      <x:c r="E1137" s="8" t="s">
        <x:v>3325</x:v>
      </x:c>
      <x:c r="F1137" s="8" t="s">
        <x:v>1617</x:v>
      </x:c>
      <x:c r="G1137" s="8" t="s">
        <x:v>187</x:v>
      </x:c>
      <x:c r="H1137" s="8" t="s">
        <x:v>3298</x:v>
      </x:c>
      <x:c r="I1137" s="8" t="s">
        <x:v>3299</x:v>
      </x:c>
      <x:c r="J1137" s="8" t="s">
        <x:v>112</x:v>
      </x:c>
      <x:c r="K1137" s="8" t="s">
        <x:v>3326</x:v>
      </x:c>
      <x:c r="L1137" s="8" t="s">
        <x:v>3326</x:v>
      </x:c>
      <x:c r="M1137" s="8"/>
      <x:c r="N1137" s="8"/>
      <x:c r="O1137" s="8" t="s">
        <x:v>1622</x:v>
      </x:c>
      <x:c r="P1137" s="8" t="s">
        <x:v>115</x:v>
      </x:c>
      <x:c r="Q1137" s="8" t="s">
        <x:v>45</x:v>
      </x:c>
      <x:c r="R1137" s="8" t="s">
        <x:v>1623</x:v>
      </x:c>
      <x:c r="S1137" s="8"/>
      <x:c r="T1137" s="8" t="s">
        <x:v>27</x:v>
      </x:c>
      <x:c r="U1137" s="8" t="s">
        <x:v>883</x:v>
      </x:c>
      <x:c r="V1137" s="8" t="s">
        <x:v>2764</x:v>
      </x:c>
    </x:row>
    <x:row r="1138" ht="36" hidden="0" customHeight="1">
      <x:c r="A1138" s="8" t="s">
        <x:v>3327</x:v>
      </x:c>
      <x:c r="B1138" s="8" t="s">
        <x:v>3296</x:v>
      </x:c>
      <x:c r="C1138" s="8"/>
      <x:c r="D1138" s="8" t="s">
        <x:v>3239</x:v>
      </x:c>
      <x:c r="E1138" s="8" t="s">
        <x:v>3328</x:v>
      </x:c>
      <x:c r="F1138" s="8" t="s">
        <x:v>1617</x:v>
      </x:c>
      <x:c r="G1138" s="8" t="s">
        <x:v>109</x:v>
      </x:c>
      <x:c r="H1138" s="8" t="s">
        <x:v>3298</x:v>
      </x:c>
      <x:c r="I1138" s="8" t="s">
        <x:v>3299</x:v>
      </x:c>
      <x:c r="J1138" s="8" t="s">
        <x:v>112</x:v>
      </x:c>
      <x:c r="K1138" s="8" t="s">
        <x:v>3329</x:v>
      </x:c>
      <x:c r="L1138" s="8" t="s">
        <x:v>3329</x:v>
      </x:c>
      <x:c r="M1138" s="8"/>
      <x:c r="N1138" s="8"/>
      <x:c r="O1138" s="8" t="s">
        <x:v>1622</x:v>
      </x:c>
      <x:c r="P1138" s="8" t="s">
        <x:v>115</x:v>
      </x:c>
      <x:c r="Q1138" s="8" t="s">
        <x:v>45</x:v>
      </x:c>
      <x:c r="R1138" s="8" t="s">
        <x:v>1623</x:v>
      </x:c>
      <x:c r="S1138" s="8"/>
      <x:c r="T1138" s="8" t="s">
        <x:v>27</x:v>
      </x:c>
      <x:c r="U1138" s="8" t="s">
        <x:v>883</x:v>
      </x:c>
      <x:c r="V1138" s="8" t="s">
        <x:v>2764</x:v>
      </x:c>
    </x:row>
    <x:row r="1139" ht="36" hidden="0" customHeight="1">
      <x:c r="A1139" s="8" t="s">
        <x:v>3330</x:v>
      </x:c>
      <x:c r="B1139" s="8" t="s">
        <x:v>3296</x:v>
      </x:c>
      <x:c r="C1139" s="8"/>
      <x:c r="D1139" s="8" t="s">
        <x:v>3331</x:v>
      </x:c>
      <x:c r="E1139" s="8" t="s">
        <x:v>3332</x:v>
      </x:c>
      <x:c r="F1139" s="8" t="s">
        <x:v>1617</x:v>
      </x:c>
      <x:c r="G1139" s="8" t="s">
        <x:v>109</x:v>
      </x:c>
      <x:c r="H1139" s="8" t="s">
        <x:v>3298</x:v>
      </x:c>
      <x:c r="I1139" s="8" t="s">
        <x:v>3299</x:v>
      </x:c>
      <x:c r="J1139" s="8" t="s">
        <x:v>112</x:v>
      </x:c>
      <x:c r="K1139" s="8" t="s">
        <x:v>3333</x:v>
      </x:c>
      <x:c r="L1139" s="8" t="s">
        <x:v>3333</x:v>
      </x:c>
      <x:c r="M1139" s="8"/>
      <x:c r="N1139" s="8"/>
      <x:c r="O1139" s="8" t="s">
        <x:v>1622</x:v>
      </x:c>
      <x:c r="P1139" s="8" t="s">
        <x:v>115</x:v>
      </x:c>
      <x:c r="Q1139" s="8" t="s">
        <x:v>45</x:v>
      </x:c>
      <x:c r="R1139" s="8" t="s">
        <x:v>1623</x:v>
      </x:c>
      <x:c r="S1139" s="8"/>
      <x:c r="T1139" s="8" t="s">
        <x:v>27</x:v>
      </x:c>
      <x:c r="U1139" s="8" t="s">
        <x:v>883</x:v>
      </x:c>
      <x:c r="V1139" s="8" t="s">
        <x:v>2764</x:v>
      </x:c>
    </x:row>
    <x:row r="1140" ht="36" hidden="0" customHeight="1">
      <x:c r="A1140" s="8" t="s">
        <x:v>3334</x:v>
      </x:c>
      <x:c r="B1140" s="8" t="s">
        <x:v>3296</x:v>
      </x:c>
      <x:c r="C1140" s="8"/>
      <x:c r="D1140" s="8" t="s">
        <x:v>3335</x:v>
      </x:c>
      <x:c r="E1140" s="8" t="s">
        <x:v>3336</x:v>
      </x:c>
      <x:c r="F1140" s="8" t="s">
        <x:v>1617</x:v>
      </x:c>
      <x:c r="G1140" s="8" t="s">
        <x:v>109</x:v>
      </x:c>
      <x:c r="H1140" s="8" t="s">
        <x:v>3298</x:v>
      </x:c>
      <x:c r="I1140" s="8" t="s">
        <x:v>3299</x:v>
      </x:c>
      <x:c r="J1140" s="8" t="s">
        <x:v>112</x:v>
      </x:c>
      <x:c r="K1140" s="8" t="s">
        <x:v>3337</x:v>
      </x:c>
      <x:c r="L1140" s="8" t="s">
        <x:v>3337</x:v>
      </x:c>
      <x:c r="M1140" s="8"/>
      <x:c r="N1140" s="8"/>
      <x:c r="O1140" s="8" t="s">
        <x:v>1622</x:v>
      </x:c>
      <x:c r="P1140" s="8" t="s">
        <x:v>115</x:v>
      </x:c>
      <x:c r="Q1140" s="8" t="s">
        <x:v>45</x:v>
      </x:c>
      <x:c r="R1140" s="8" t="s">
        <x:v>1623</x:v>
      </x:c>
      <x:c r="S1140" s="8"/>
      <x:c r="T1140" s="8" t="s">
        <x:v>27</x:v>
      </x:c>
      <x:c r="U1140" s="8" t="s">
        <x:v>883</x:v>
      </x:c>
      <x:c r="V1140" s="8" t="s">
        <x:v>2764</x:v>
      </x:c>
    </x:row>
    <x:row r="1141" ht="36" hidden="0" customHeight="1">
      <x:c r="A1141" s="8" t="s">
        <x:v>3338</x:v>
      </x:c>
      <x:c r="B1141" s="8" t="s">
        <x:v>3339</x:v>
      </x:c>
      <x:c r="C1141" s="8"/>
      <x:c r="D1141" s="8" t="s">
        <x:v>1842</x:v>
      </x:c>
      <x:c r="E1141" s="8" t="s">
        <x:v>3340</x:v>
      </x:c>
      <x:c r="F1141" s="8" t="s">
        <x:v>3341</x:v>
      </x:c>
      <x:c r="G1141" s="8" t="s">
        <x:v>109</x:v>
      </x:c>
      <x:c r="H1141" s="8" t="s">
        <x:v>3342</x:v>
      </x:c>
      <x:c r="I1141" s="8" t="s">
        <x:v>3343</x:v>
      </x:c>
      <x:c r="J1141" s="8" t="s">
        <x:v>112</x:v>
      </x:c>
      <x:c r="K1141" s="8" t="s">
        <x:v>3344</x:v>
      </x:c>
      <x:c r="L1141" s="8" t="s">
        <x:v>3344</x:v>
      </x:c>
      <x:c r="M1141" s="8"/>
      <x:c r="N1141" s="8"/>
      <x:c r="O1141" s="8" t="s">
        <x:v>1622</x:v>
      </x:c>
      <x:c r="P1141" s="8" t="s">
        <x:v>115</x:v>
      </x:c>
      <x:c r="Q1141" s="8" t="s">
        <x:v>45</x:v>
      </x:c>
      <x:c r="R1141" s="8" t="s">
        <x:v>1623</x:v>
      </x:c>
      <x:c r="S1141" s="8"/>
      <x:c r="T1141" s="8" t="s">
        <x:v>27</x:v>
      </x:c>
      <x:c r="U1141" s="8" t="s">
        <x:v>883</x:v>
      </x:c>
      <x:c r="V1141" s="8" t="s">
        <x:v>2764</x:v>
      </x:c>
    </x:row>
    <x:row r="1142" ht="36" hidden="0" customHeight="1">
      <x:c r="A1142" s="8" t="s">
        <x:v>3345</x:v>
      </x:c>
      <x:c r="B1142" s="8" t="s">
        <x:v>3339</x:v>
      </x:c>
      <x:c r="C1142" s="8"/>
      <x:c r="D1142" s="8" t="s">
        <x:v>3346</x:v>
      </x:c>
      <x:c r="E1142" s="8" t="n">
        <x:v>86</x:v>
      </x:c>
      <x:c r="F1142" s="8" t="s">
        <x:v>3341</x:v>
      </x:c>
      <x:c r="G1142" s="8" t="s">
        <x:v>109</x:v>
      </x:c>
      <x:c r="H1142" s="8" t="s">
        <x:v>3342</x:v>
      </x:c>
      <x:c r="I1142" s="8" t="s">
        <x:v>3343</x:v>
      </x:c>
      <x:c r="J1142" s="8" t="s">
        <x:v>112</x:v>
      </x:c>
      <x:c r="K1142" s="8" t="s">
        <x:v>3347</x:v>
      </x:c>
      <x:c r="L1142" s="8" t="s">
        <x:v>3347</x:v>
      </x:c>
      <x:c r="M1142" s="8"/>
      <x:c r="N1142" s="8"/>
      <x:c r="O1142" s="8" t="s">
        <x:v>1622</x:v>
      </x:c>
      <x:c r="P1142" s="8" t="s">
        <x:v>115</x:v>
      </x:c>
      <x:c r="Q1142" s="8" t="s">
        <x:v>45</x:v>
      </x:c>
      <x:c r="R1142" s="8" t="s">
        <x:v>1623</x:v>
      </x:c>
      <x:c r="S1142" s="8" t="s">
        <x:v>3348</x:v>
      </x:c>
      <x:c r="T1142" s="8" t="s">
        <x:v>27</x:v>
      </x:c>
      <x:c r="U1142" s="8" t="s">
        <x:v>883</x:v>
      </x:c>
      <x:c r="V1142" s="8" t="s">
        <x:v>2764</x:v>
      </x:c>
    </x:row>
    <x:row r="1143" ht="36" hidden="0" customHeight="1">
      <x:c r="A1143" s="8" t="s">
        <x:v>3349</x:v>
      </x:c>
      <x:c r="B1143" s="8" t="s">
        <x:v>3339</x:v>
      </x:c>
      <x:c r="C1143" s="8"/>
      <x:c r="D1143" s="8" t="s">
        <x:v>233</x:v>
      </x:c>
      <x:c r="E1143" s="8" t="s">
        <x:v>3350</x:v>
      </x:c>
      <x:c r="F1143" s="8" t="s">
        <x:v>3341</x:v>
      </x:c>
      <x:c r="G1143" s="8" t="s">
        <x:v>109</x:v>
      </x:c>
      <x:c r="H1143" s="8" t="s">
        <x:v>3342</x:v>
      </x:c>
      <x:c r="I1143" s="8" t="s">
        <x:v>3343</x:v>
      </x:c>
      <x:c r="J1143" s="8" t="s">
        <x:v>112</x:v>
      </x:c>
      <x:c r="K1143" s="8" t="s">
        <x:v>3351</x:v>
      </x:c>
      <x:c r="L1143" s="8" t="s">
        <x:v>3351</x:v>
      </x:c>
      <x:c r="M1143" s="8"/>
      <x:c r="N1143" s="8"/>
      <x:c r="O1143" s="8" t="s">
        <x:v>1622</x:v>
      </x:c>
      <x:c r="P1143" s="8" t="s">
        <x:v>115</x:v>
      </x:c>
      <x:c r="Q1143" s="8" t="s">
        <x:v>45</x:v>
      </x:c>
      <x:c r="R1143" s="8" t="s">
        <x:v>1623</x:v>
      </x:c>
      <x:c r="S1143" s="8"/>
      <x:c r="T1143" s="8" t="s">
        <x:v>27</x:v>
      </x:c>
      <x:c r="U1143" s="8" t="s">
        <x:v>883</x:v>
      </x:c>
      <x:c r="V1143" s="8" t="s">
        <x:v>2764</x:v>
      </x:c>
    </x:row>
    <x:row r="1144" ht="36" hidden="0" customHeight="1">
      <x:c r="A1144" s="8" t="s">
        <x:v>3352</x:v>
      </x:c>
      <x:c r="B1144" s="8" t="s">
        <x:v>3339</x:v>
      </x:c>
      <x:c r="C1144" s="8"/>
      <x:c r="D1144" s="8" t="s">
        <x:v>3353</x:v>
      </x:c>
      <x:c r="E1144" s="8" t="s">
        <x:v>3354</x:v>
      </x:c>
      <x:c r="F1144" s="8" t="s">
        <x:v>3341</x:v>
      </x:c>
      <x:c r="G1144" s="8" t="s">
        <x:v>109</x:v>
      </x:c>
      <x:c r="H1144" s="8" t="s">
        <x:v>3342</x:v>
      </x:c>
      <x:c r="I1144" s="8" t="s">
        <x:v>3343</x:v>
      </x:c>
      <x:c r="J1144" s="8" t="s">
        <x:v>112</x:v>
      </x:c>
      <x:c r="K1144" s="8" t="s">
        <x:v>3351</x:v>
      </x:c>
      <x:c r="L1144" s="8" t="s">
        <x:v>3351</x:v>
      </x:c>
      <x:c r="M1144" s="8"/>
      <x:c r="N1144" s="8"/>
      <x:c r="O1144" s="8" t="s">
        <x:v>1622</x:v>
      </x:c>
      <x:c r="P1144" s="8" t="s">
        <x:v>115</x:v>
      </x:c>
      <x:c r="Q1144" s="8" t="s">
        <x:v>45</x:v>
      </x:c>
      <x:c r="R1144" s="8" t="s">
        <x:v>1623</x:v>
      </x:c>
      <x:c r="S1144" s="8"/>
      <x:c r="T1144" s="8" t="s">
        <x:v>27</x:v>
      </x:c>
      <x:c r="U1144" s="8" t="s">
        <x:v>883</x:v>
      </x:c>
      <x:c r="V1144" s="8" t="s">
        <x:v>2764</x:v>
      </x:c>
    </x:row>
    <x:row r="1145" ht="36" hidden="0" customHeight="1">
      <x:c r="A1145" s="8" t="s">
        <x:v>3355</x:v>
      </x:c>
      <x:c r="B1145" s="8" t="s">
        <x:v>3339</x:v>
      </x:c>
      <x:c r="C1145" s="8"/>
      <x:c r="D1145" s="8" t="s">
        <x:v>3356</x:v>
      </x:c>
      <x:c r="E1145" s="8" t="s">
        <x:v>3357</x:v>
      </x:c>
      <x:c r="F1145" s="8" t="s">
        <x:v>3341</x:v>
      </x:c>
      <x:c r="G1145" s="8" t="s">
        <x:v>109</x:v>
      </x:c>
      <x:c r="H1145" s="8" t="s">
        <x:v>3342</x:v>
      </x:c>
      <x:c r="I1145" s="8" t="s">
        <x:v>3343</x:v>
      </x:c>
      <x:c r="J1145" s="8" t="s">
        <x:v>112</x:v>
      </x:c>
      <x:c r="K1145" s="8" t="s">
        <x:v>3358</x:v>
      </x:c>
      <x:c r="L1145" s="8" t="s">
        <x:v>3358</x:v>
      </x:c>
      <x:c r="M1145" s="8"/>
      <x:c r="N1145" s="8"/>
      <x:c r="O1145" s="8" t="s">
        <x:v>1622</x:v>
      </x:c>
      <x:c r="P1145" s="8" t="s">
        <x:v>115</x:v>
      </x:c>
      <x:c r="Q1145" s="8" t="s">
        <x:v>45</x:v>
      </x:c>
      <x:c r="R1145" s="8" t="s">
        <x:v>1623</x:v>
      </x:c>
      <x:c r="S1145" s="8"/>
      <x:c r="T1145" s="8" t="s">
        <x:v>27</x:v>
      </x:c>
      <x:c r="U1145" s="8" t="s">
        <x:v>883</x:v>
      </x:c>
      <x:c r="V1145" s="8" t="s">
        <x:v>2764</x:v>
      </x:c>
    </x:row>
    <x:row r="1146" ht="36" hidden="0" customHeight="1">
      <x:c r="A1146" s="8" t="s">
        <x:v>3359</x:v>
      </x:c>
      <x:c r="B1146" s="8" t="s">
        <x:v>3339</x:v>
      </x:c>
      <x:c r="C1146" s="8"/>
      <x:c r="D1146" s="8" t="s">
        <x:v>3360</x:v>
      </x:c>
      <x:c r="E1146" s="8" t="n">
        <x:v>30</x:v>
      </x:c>
      <x:c r="F1146" s="8" t="s">
        <x:v>3341</x:v>
      </x:c>
      <x:c r="G1146" s="8" t="s">
        <x:v>109</x:v>
      </x:c>
      <x:c r="H1146" s="8" t="s">
        <x:v>3342</x:v>
      </x:c>
      <x:c r="I1146" s="8" t="s">
        <x:v>3343</x:v>
      </x:c>
      <x:c r="J1146" s="8" t="s">
        <x:v>112</x:v>
      </x:c>
      <x:c r="K1146" s="8" t="s">
        <x:v>3361</x:v>
      </x:c>
      <x:c r="L1146" s="8" t="s">
        <x:v>3361</x:v>
      </x:c>
      <x:c r="M1146" s="8"/>
      <x:c r="N1146" s="8"/>
      <x:c r="O1146" s="8" t="s">
        <x:v>1622</x:v>
      </x:c>
      <x:c r="P1146" s="8" t="s">
        <x:v>115</x:v>
      </x:c>
      <x:c r="Q1146" s="8" t="s">
        <x:v>45</x:v>
      </x:c>
      <x:c r="R1146" s="8" t="s">
        <x:v>1623</x:v>
      </x:c>
      <x:c r="S1146" s="8" t="s">
        <x:v>3362</x:v>
      </x:c>
      <x:c r="T1146" s="8" t="s">
        <x:v>27</x:v>
      </x:c>
      <x:c r="U1146" s="8" t="s">
        <x:v>883</x:v>
      </x:c>
      <x:c r="V1146" s="8" t="s">
        <x:v>2764</x:v>
      </x:c>
    </x:row>
    <x:row r="1147" ht="36" hidden="0" customHeight="1">
      <x:c r="A1147" s="8" t="s">
        <x:v>3363</x:v>
      </x:c>
      <x:c r="B1147" s="8" t="s">
        <x:v>3339</x:v>
      </x:c>
      <x:c r="C1147" s="8"/>
      <x:c r="D1147" s="8" t="s">
        <x:v>3364</x:v>
      </x:c>
      <x:c r="E1147" s="8" t="s">
        <x:v>3365</x:v>
      </x:c>
      <x:c r="F1147" s="8" t="s">
        <x:v>3341</x:v>
      </x:c>
      <x:c r="G1147" s="8" t="s">
        <x:v>109</x:v>
      </x:c>
      <x:c r="H1147" s="8" t="s">
        <x:v>3342</x:v>
      </x:c>
      <x:c r="I1147" s="8" t="s">
        <x:v>3343</x:v>
      </x:c>
      <x:c r="J1147" s="8" t="s">
        <x:v>112</x:v>
      </x:c>
      <x:c r="K1147" s="8" t="s">
        <x:v>3366</x:v>
      </x:c>
      <x:c r="L1147" s="8" t="s">
        <x:v>3366</x:v>
      </x:c>
      <x:c r="M1147" s="8"/>
      <x:c r="N1147" s="8"/>
      <x:c r="O1147" s="8" t="s">
        <x:v>1622</x:v>
      </x:c>
      <x:c r="P1147" s="8" t="s">
        <x:v>115</x:v>
      </x:c>
      <x:c r="Q1147" s="8" t="s">
        <x:v>45</x:v>
      </x:c>
      <x:c r="R1147" s="8" t="s">
        <x:v>1623</x:v>
      </x:c>
      <x:c r="S1147" s="8"/>
      <x:c r="T1147" s="8" t="s">
        <x:v>27</x:v>
      </x:c>
      <x:c r="U1147" s="8" t="s">
        <x:v>883</x:v>
      </x:c>
      <x:c r="V1147" s="8" t="s">
        <x:v>2764</x:v>
      </x:c>
    </x:row>
    <x:row r="1148" ht="36" hidden="0" customHeight="1">
      <x:c r="A1148" s="8" t="s">
        <x:v>3367</x:v>
      </x:c>
      <x:c r="B1148" s="8" t="s">
        <x:v>3339</x:v>
      </x:c>
      <x:c r="C1148" s="8"/>
      <x:c r="D1148" s="8" t="s">
        <x:v>3368</x:v>
      </x:c>
      <x:c r="E1148" s="8" t="s">
        <x:v>3369</x:v>
      </x:c>
      <x:c r="F1148" s="8" t="s">
        <x:v>3341</x:v>
      </x:c>
      <x:c r="G1148" s="8" t="s">
        <x:v>109</x:v>
      </x:c>
      <x:c r="H1148" s="8" t="s">
        <x:v>3342</x:v>
      </x:c>
      <x:c r="I1148" s="8" t="s">
        <x:v>3343</x:v>
      </x:c>
      <x:c r="J1148" s="8" t="s">
        <x:v>112</x:v>
      </x:c>
      <x:c r="K1148" s="8" t="s">
        <x:v>3366</x:v>
      </x:c>
      <x:c r="L1148" s="8" t="s">
        <x:v>3366</x:v>
      </x:c>
      <x:c r="M1148" s="8"/>
      <x:c r="N1148" s="8"/>
      <x:c r="O1148" s="8" t="s">
        <x:v>1622</x:v>
      </x:c>
      <x:c r="P1148" s="8" t="s">
        <x:v>115</x:v>
      </x:c>
      <x:c r="Q1148" s="8" t="s">
        <x:v>45</x:v>
      </x:c>
      <x:c r="R1148" s="8" t="s">
        <x:v>1623</x:v>
      </x:c>
      <x:c r="S1148" s="8"/>
      <x:c r="T1148" s="8" t="s">
        <x:v>27</x:v>
      </x:c>
      <x:c r="U1148" s="8" t="s">
        <x:v>883</x:v>
      </x:c>
      <x:c r="V1148" s="8" t="s">
        <x:v>2764</x:v>
      </x:c>
    </x:row>
    <x:row r="1149" ht="36" hidden="0" customHeight="1">
      <x:c r="A1149" s="8" t="s">
        <x:v>3370</x:v>
      </x:c>
      <x:c r="B1149" s="8" t="s">
        <x:v>3339</x:v>
      </x:c>
      <x:c r="C1149" s="8"/>
      <x:c r="D1149" s="8" t="s">
        <x:v>3371</x:v>
      </x:c>
      <x:c r="E1149" s="8" t="s">
        <x:v>3372</x:v>
      </x:c>
      <x:c r="F1149" s="8" t="s">
        <x:v>3341</x:v>
      </x:c>
      <x:c r="G1149" s="8" t="s">
        <x:v>187</x:v>
      </x:c>
      <x:c r="H1149" s="8" t="s">
        <x:v>3342</x:v>
      </x:c>
      <x:c r="I1149" s="8" t="s">
        <x:v>3343</x:v>
      </x:c>
      <x:c r="J1149" s="8" t="s">
        <x:v>112</x:v>
      </x:c>
      <x:c r="K1149" s="8" t="s">
        <x:v>3373</x:v>
      </x:c>
      <x:c r="L1149" s="8" t="s">
        <x:v>3373</x:v>
      </x:c>
      <x:c r="M1149" s="8"/>
      <x:c r="N1149" s="8"/>
      <x:c r="O1149" s="8" t="s">
        <x:v>1622</x:v>
      </x:c>
      <x:c r="P1149" s="8" t="s">
        <x:v>115</x:v>
      </x:c>
      <x:c r="Q1149" s="8" t="s">
        <x:v>45</x:v>
      </x:c>
      <x:c r="R1149" s="8" t="s">
        <x:v>1623</x:v>
      </x:c>
      <x:c r="S1149" s="8"/>
      <x:c r="T1149" s="8" t="s">
        <x:v>27</x:v>
      </x:c>
      <x:c r="U1149" s="8" t="s">
        <x:v>883</x:v>
      </x:c>
      <x:c r="V1149" s="8" t="s">
        <x:v>2764</x:v>
      </x:c>
    </x:row>
    <x:row r="1150" ht="36" hidden="0" customHeight="1">
      <x:c r="A1150" s="8" t="s">
        <x:v>3374</x:v>
      </x:c>
      <x:c r="B1150" s="8" t="s">
        <x:v>3375</x:v>
      </x:c>
      <x:c r="C1150" s="8"/>
      <x:c r="D1150" s="8" t="s">
        <x:v>2154</x:v>
      </x:c>
      <x:c r="E1150" s="8" t="s">
        <x:v>3376</x:v>
      </x:c>
      <x:c r="F1150" s="8" t="s">
        <x:v>1617</x:v>
      </x:c>
      <x:c r="G1150" s="8" t="s">
        <x:v>109</x:v>
      </x:c>
      <x:c r="H1150" s="8" t="s">
        <x:v>3377</x:v>
      </x:c>
      <x:c r="I1150" s="8" t="s">
        <x:v>3378</x:v>
      </x:c>
      <x:c r="J1150" s="8" t="s">
        <x:v>112</x:v>
      </x:c>
      <x:c r="K1150" s="8" t="s">
        <x:v>2208</x:v>
      </x:c>
      <x:c r="L1150" s="8" t="s">
        <x:v>2208</x:v>
      </x:c>
      <x:c r="M1150" s="8"/>
      <x:c r="N1150" s="8"/>
      <x:c r="O1150" s="8" t="s">
        <x:v>1622</x:v>
      </x:c>
      <x:c r="P1150" s="8" t="s">
        <x:v>115</x:v>
      </x:c>
      <x:c r="Q1150" s="8" t="s">
        <x:v>45</x:v>
      </x:c>
      <x:c r="R1150" s="8" t="s">
        <x:v>1623</x:v>
      </x:c>
      <x:c r="S1150" s="8"/>
      <x:c r="T1150" s="8" t="s">
        <x:v>27</x:v>
      </x:c>
      <x:c r="U1150" s="8" t="s">
        <x:v>883</x:v>
      </x:c>
      <x:c r="V1150" s="8" t="s">
        <x:v>2764</x:v>
      </x:c>
    </x:row>
    <x:row r="1151" ht="36" hidden="0" customHeight="1">
      <x:c r="A1151" s="8" t="s">
        <x:v>3379</x:v>
      </x:c>
      <x:c r="B1151" s="8" t="s">
        <x:v>3375</x:v>
      </x:c>
      <x:c r="C1151" s="8"/>
      <x:c r="D1151" s="8" t="s">
        <x:v>1682</x:v>
      </x:c>
      <x:c r="E1151" s="8" t="s">
        <x:v>3380</x:v>
      </x:c>
      <x:c r="F1151" s="8" t="s">
        <x:v>1617</x:v>
      </x:c>
      <x:c r="G1151" s="8" t="s">
        <x:v>109</x:v>
      </x:c>
      <x:c r="H1151" s="8" t="s">
        <x:v>3377</x:v>
      </x:c>
      <x:c r="I1151" s="8" t="s">
        <x:v>3378</x:v>
      </x:c>
      <x:c r="J1151" s="8" t="s">
        <x:v>112</x:v>
      </x:c>
      <x:c r="K1151" s="8" t="s">
        <x:v>2208</x:v>
      </x:c>
      <x:c r="L1151" s="8" t="s">
        <x:v>2208</x:v>
      </x:c>
      <x:c r="M1151" s="8"/>
      <x:c r="N1151" s="8"/>
      <x:c r="O1151" s="8" t="s">
        <x:v>1622</x:v>
      </x:c>
      <x:c r="P1151" s="8" t="s">
        <x:v>115</x:v>
      </x:c>
      <x:c r="Q1151" s="8" t="s">
        <x:v>45</x:v>
      </x:c>
      <x:c r="R1151" s="8" t="s">
        <x:v>1623</x:v>
      </x:c>
      <x:c r="S1151" s="8"/>
      <x:c r="T1151" s="8" t="s">
        <x:v>27</x:v>
      </x:c>
      <x:c r="U1151" s="8" t="s">
        <x:v>883</x:v>
      </x:c>
      <x:c r="V1151" s="8" t="s">
        <x:v>2764</x:v>
      </x:c>
    </x:row>
    <x:row r="1152" ht="36" hidden="0" customHeight="1">
      <x:c r="A1152" s="8" t="s">
        <x:v>3381</x:v>
      </x:c>
      <x:c r="B1152" s="8" t="s">
        <x:v>3375</x:v>
      </x:c>
      <x:c r="C1152" s="8"/>
      <x:c r="D1152" s="8" t="s">
        <x:v>2588</x:v>
      </x:c>
      <x:c r="E1152" s="8" t="s">
        <x:v>3382</x:v>
      </x:c>
      <x:c r="F1152" s="8" t="s">
        <x:v>1617</x:v>
      </x:c>
      <x:c r="G1152" s="8" t="s">
        <x:v>109</x:v>
      </x:c>
      <x:c r="H1152" s="8" t="s">
        <x:v>3377</x:v>
      </x:c>
      <x:c r="I1152" s="8" t="s">
        <x:v>3378</x:v>
      </x:c>
      <x:c r="J1152" s="8" t="s">
        <x:v>112</x:v>
      </x:c>
      <x:c r="K1152" s="8" t="s">
        <x:v>2208</x:v>
      </x:c>
      <x:c r="L1152" s="8" t="s">
        <x:v>2208</x:v>
      </x:c>
      <x:c r="M1152" s="8"/>
      <x:c r="N1152" s="8"/>
      <x:c r="O1152" s="8" t="s">
        <x:v>1622</x:v>
      </x:c>
      <x:c r="P1152" s="8" t="s">
        <x:v>115</x:v>
      </x:c>
      <x:c r="Q1152" s="8" t="s">
        <x:v>45</x:v>
      </x:c>
      <x:c r="R1152" s="8" t="s">
        <x:v>1623</x:v>
      </x:c>
      <x:c r="S1152" s="8"/>
      <x:c r="T1152" s="8" t="s">
        <x:v>27</x:v>
      </x:c>
      <x:c r="U1152" s="8" t="s">
        <x:v>883</x:v>
      </x:c>
      <x:c r="V1152" s="8" t="s">
        <x:v>2764</x:v>
      </x:c>
    </x:row>
    <x:row r="1153" ht="36" hidden="0" customHeight="1">
      <x:c r="A1153" s="8" t="s">
        <x:v>3383</x:v>
      </x:c>
      <x:c r="B1153" s="8" t="s">
        <x:v>3375</x:v>
      </x:c>
      <x:c r="C1153" s="8"/>
      <x:c r="D1153" s="8" t="s">
        <x:v>3384</x:v>
      </x:c>
      <x:c r="E1153" s="8" t="s">
        <x:v>3385</x:v>
      </x:c>
      <x:c r="F1153" s="8" t="s">
        <x:v>1617</x:v>
      </x:c>
      <x:c r="G1153" s="8" t="s">
        <x:v>109</x:v>
      </x:c>
      <x:c r="H1153" s="8" t="s">
        <x:v>3377</x:v>
      </x:c>
      <x:c r="I1153" s="8" t="s">
        <x:v>3378</x:v>
      </x:c>
      <x:c r="J1153" s="8" t="s">
        <x:v>112</x:v>
      </x:c>
      <x:c r="K1153" s="8" t="s">
        <x:v>3386</x:v>
      </x:c>
      <x:c r="L1153" s="8" t="s">
        <x:v>3386</x:v>
      </x:c>
      <x:c r="M1153" s="8"/>
      <x:c r="N1153" s="8"/>
      <x:c r="O1153" s="8" t="s">
        <x:v>1622</x:v>
      </x:c>
      <x:c r="P1153" s="8" t="s">
        <x:v>115</x:v>
      </x:c>
      <x:c r="Q1153" s="8" t="s">
        <x:v>45</x:v>
      </x:c>
      <x:c r="R1153" s="8" t="s">
        <x:v>1623</x:v>
      </x:c>
      <x:c r="S1153" s="8"/>
      <x:c r="T1153" s="8" t="s">
        <x:v>27</x:v>
      </x:c>
      <x:c r="U1153" s="8" t="s">
        <x:v>883</x:v>
      </x:c>
      <x:c r="V1153" s="8" t="s">
        <x:v>2764</x:v>
      </x:c>
    </x:row>
    <x:row r="1154" ht="36" hidden="0" customHeight="1">
      <x:c r="A1154" s="8" t="s">
        <x:v>3387</x:v>
      </x:c>
      <x:c r="B1154" s="8" t="s">
        <x:v>3375</x:v>
      </x:c>
      <x:c r="C1154" s="8"/>
      <x:c r="D1154" s="8" t="s">
        <x:v>3388</x:v>
      </x:c>
      <x:c r="E1154" s="8" t="s">
        <x:v>3389</x:v>
      </x:c>
      <x:c r="F1154" s="8" t="s">
        <x:v>1617</x:v>
      </x:c>
      <x:c r="G1154" s="8" t="s">
        <x:v>109</x:v>
      </x:c>
      <x:c r="H1154" s="8" t="s">
        <x:v>3377</x:v>
      </x:c>
      <x:c r="I1154" s="8" t="s">
        <x:v>3378</x:v>
      </x:c>
      <x:c r="J1154" s="8" t="s">
        <x:v>112</x:v>
      </x:c>
      <x:c r="K1154" s="8" t="s">
        <x:v>3386</x:v>
      </x:c>
      <x:c r="L1154" s="8" t="s">
        <x:v>3386</x:v>
      </x:c>
      <x:c r="M1154" s="8"/>
      <x:c r="N1154" s="8"/>
      <x:c r="O1154" s="8" t="s">
        <x:v>1622</x:v>
      </x:c>
      <x:c r="P1154" s="8" t="s">
        <x:v>115</x:v>
      </x:c>
      <x:c r="Q1154" s="8" t="s">
        <x:v>45</x:v>
      </x:c>
      <x:c r="R1154" s="8" t="s">
        <x:v>1623</x:v>
      </x:c>
      <x:c r="S1154" s="8"/>
      <x:c r="T1154" s="8" t="s">
        <x:v>27</x:v>
      </x:c>
      <x:c r="U1154" s="8" t="s">
        <x:v>883</x:v>
      </x:c>
      <x:c r="V1154" s="8" t="s">
        <x:v>2764</x:v>
      </x:c>
    </x:row>
    <x:row r="1155" ht="36" hidden="0" customHeight="1">
      <x:c r="A1155" s="8" t="s">
        <x:v>3390</x:v>
      </x:c>
      <x:c r="B1155" s="8" t="s">
        <x:v>3375</x:v>
      </x:c>
      <x:c r="C1155" s="8"/>
      <x:c r="D1155" s="8" t="s">
        <x:v>3391</x:v>
      </x:c>
      <x:c r="E1155" s="8" t="n">
        <x:v>5</x:v>
      </x:c>
      <x:c r="F1155" s="8" t="s">
        <x:v>1617</x:v>
      </x:c>
      <x:c r="G1155" s="8" t="s">
        <x:v>109</x:v>
      </x:c>
      <x:c r="H1155" s="8" t="s">
        <x:v>3377</x:v>
      </x:c>
      <x:c r="I1155" s="8" t="s">
        <x:v>3378</x:v>
      </x:c>
      <x:c r="J1155" s="8" t="s">
        <x:v>112</x:v>
      </x:c>
      <x:c r="K1155" s="8" t="s">
        <x:v>3392</x:v>
      </x:c>
      <x:c r="L1155" s="8" t="s">
        <x:v>3392</x:v>
      </x:c>
      <x:c r="M1155" s="8"/>
      <x:c r="N1155" s="8"/>
      <x:c r="O1155" s="8" t="s">
        <x:v>1622</x:v>
      </x:c>
      <x:c r="P1155" s="8" t="s">
        <x:v>115</x:v>
      </x:c>
      <x:c r="Q1155" s="8" t="s">
        <x:v>45</x:v>
      </x:c>
      <x:c r="R1155" s="8" t="s">
        <x:v>1623</x:v>
      </x:c>
      <x:c r="S1155" s="8"/>
      <x:c r="T1155" s="8" t="s">
        <x:v>27</x:v>
      </x:c>
      <x:c r="U1155" s="8" t="s">
        <x:v>883</x:v>
      </x:c>
      <x:c r="V1155" s="8" t="s">
        <x:v>2764</x:v>
      </x:c>
    </x:row>
    <x:row r="1156" ht="36" hidden="0" customHeight="1">
      <x:c r="A1156" s="8" t="s">
        <x:v>3393</x:v>
      </x:c>
      <x:c r="B1156" s="8" t="s">
        <x:v>3375</x:v>
      </x:c>
      <x:c r="C1156" s="8"/>
      <x:c r="D1156" s="8" t="s">
        <x:v>3394</x:v>
      </x:c>
      <x:c r="E1156" s="8" t="n">
        <x:v>4</x:v>
      </x:c>
      <x:c r="F1156" s="8" t="s">
        <x:v>1617</x:v>
      </x:c>
      <x:c r="G1156" s="8" t="s">
        <x:v>109</x:v>
      </x:c>
      <x:c r="H1156" s="8" t="s">
        <x:v>3377</x:v>
      </x:c>
      <x:c r="I1156" s="8" t="s">
        <x:v>3378</x:v>
      </x:c>
      <x:c r="J1156" s="8" t="s">
        <x:v>112</x:v>
      </x:c>
      <x:c r="K1156" s="8" t="s">
        <x:v>3392</x:v>
      </x:c>
      <x:c r="L1156" s="8" t="s">
        <x:v>3392</x:v>
      </x:c>
      <x:c r="M1156" s="8"/>
      <x:c r="N1156" s="8"/>
      <x:c r="O1156" s="8" t="s">
        <x:v>1622</x:v>
      </x:c>
      <x:c r="P1156" s="8" t="s">
        <x:v>115</x:v>
      </x:c>
      <x:c r="Q1156" s="8" t="s">
        <x:v>45</x:v>
      </x:c>
      <x:c r="R1156" s="8" t="s">
        <x:v>1623</x:v>
      </x:c>
      <x:c r="S1156" s="8"/>
      <x:c r="T1156" s="8" t="s">
        <x:v>27</x:v>
      </x:c>
      <x:c r="U1156" s="8" t="s">
        <x:v>883</x:v>
      </x:c>
      <x:c r="V1156" s="8" t="s">
        <x:v>2764</x:v>
      </x:c>
    </x:row>
    <x:row r="1157" ht="36" hidden="0" customHeight="1">
      <x:c r="A1157" s="8" t="s">
        <x:v>3395</x:v>
      </x:c>
      <x:c r="B1157" s="8" t="s">
        <x:v>3375</x:v>
      </x:c>
      <x:c r="C1157" s="8"/>
      <x:c r="D1157" s="8" t="s">
        <x:v>3396</x:v>
      </x:c>
      <x:c r="E1157" s="8" t="n">
        <x:v>0.2</x:v>
      </x:c>
      <x:c r="F1157" s="8" t="s">
        <x:v>1617</x:v>
      </x:c>
      <x:c r="G1157" s="8" t="s">
        <x:v>109</x:v>
      </x:c>
      <x:c r="H1157" s="8" t="s">
        <x:v>3377</x:v>
      </x:c>
      <x:c r="I1157" s="8" t="s">
        <x:v>3378</x:v>
      </x:c>
      <x:c r="J1157" s="8" t="s">
        <x:v>112</x:v>
      </x:c>
      <x:c r="K1157" s="8" t="s">
        <x:v>3392</x:v>
      </x:c>
      <x:c r="L1157" s="8" t="s">
        <x:v>3392</x:v>
      </x:c>
      <x:c r="M1157" s="8"/>
      <x:c r="N1157" s="8"/>
      <x:c r="O1157" s="8" t="s">
        <x:v>1622</x:v>
      </x:c>
      <x:c r="P1157" s="8" t="s">
        <x:v>115</x:v>
      </x:c>
      <x:c r="Q1157" s="8" t="s">
        <x:v>45</x:v>
      </x:c>
      <x:c r="R1157" s="8" t="s">
        <x:v>1623</x:v>
      </x:c>
      <x:c r="S1157" s="8"/>
      <x:c r="T1157" s="8" t="s">
        <x:v>27</x:v>
      </x:c>
      <x:c r="U1157" s="8" t="s">
        <x:v>883</x:v>
      </x:c>
      <x:c r="V1157" s="8" t="s">
        <x:v>2764</x:v>
      </x:c>
    </x:row>
    <x:row r="1158" ht="36" hidden="0" customHeight="1">
      <x:c r="A1158" s="8" t="s">
        <x:v>3397</x:v>
      </x:c>
      <x:c r="B1158" s="8" t="s">
        <x:v>3375</x:v>
      </x:c>
      <x:c r="C1158" s="8"/>
      <x:c r="D1158" s="8" t="s">
        <x:v>3398</x:v>
      </x:c>
      <x:c r="E1158" s="8" t="n">
        <x:v>1</x:v>
      </x:c>
      <x:c r="F1158" s="8" t="s">
        <x:v>1617</x:v>
      </x:c>
      <x:c r="G1158" s="8" t="s">
        <x:v>109</x:v>
      </x:c>
      <x:c r="H1158" s="8" t="s">
        <x:v>3377</x:v>
      </x:c>
      <x:c r="I1158" s="8" t="s">
        <x:v>3378</x:v>
      </x:c>
      <x:c r="J1158" s="8" t="s">
        <x:v>112</x:v>
      </x:c>
      <x:c r="K1158" s="8" t="s">
        <x:v>3392</x:v>
      </x:c>
      <x:c r="L1158" s="8" t="s">
        <x:v>3392</x:v>
      </x:c>
      <x:c r="M1158" s="8"/>
      <x:c r="N1158" s="8"/>
      <x:c r="O1158" s="8" t="s">
        <x:v>1622</x:v>
      </x:c>
      <x:c r="P1158" s="8" t="s">
        <x:v>115</x:v>
      </x:c>
      <x:c r="Q1158" s="8" t="s">
        <x:v>45</x:v>
      </x:c>
      <x:c r="R1158" s="8" t="s">
        <x:v>1623</x:v>
      </x:c>
      <x:c r="S1158" s="8"/>
      <x:c r="T1158" s="8" t="s">
        <x:v>27</x:v>
      </x:c>
      <x:c r="U1158" s="8" t="s">
        <x:v>883</x:v>
      </x:c>
      <x:c r="V1158" s="8" t="s">
        <x:v>2764</x:v>
      </x:c>
    </x:row>
    <x:row r="1159" ht="36" hidden="0" customHeight="1">
      <x:c r="A1159" s="8" t="s">
        <x:v>3399</x:v>
      </x:c>
      <x:c r="B1159" s="8" t="s">
        <x:v>3375</x:v>
      </x:c>
      <x:c r="C1159" s="8"/>
      <x:c r="D1159" s="8" t="s">
        <x:v>3400</x:v>
      </x:c>
      <x:c r="E1159" s="8" t="s">
        <x:v>3401</x:v>
      </x:c>
      <x:c r="F1159" s="8" t="s">
        <x:v>1617</x:v>
      </x:c>
      <x:c r="G1159" s="8" t="s">
        <x:v>109</x:v>
      </x:c>
      <x:c r="H1159" s="8" t="s">
        <x:v>3377</x:v>
      </x:c>
      <x:c r="I1159" s="8" t="s">
        <x:v>3378</x:v>
      </x:c>
      <x:c r="J1159" s="8" t="s">
        <x:v>112</x:v>
      </x:c>
      <x:c r="K1159" s="8" t="s">
        <x:v>3392</x:v>
      </x:c>
      <x:c r="L1159" s="8" t="s">
        <x:v>3392</x:v>
      </x:c>
      <x:c r="M1159" s="8"/>
      <x:c r="N1159" s="8"/>
      <x:c r="O1159" s="8" t="s">
        <x:v>1622</x:v>
      </x:c>
      <x:c r="P1159" s="8" t="s">
        <x:v>115</x:v>
      </x:c>
      <x:c r="Q1159" s="8" t="s">
        <x:v>45</x:v>
      </x:c>
      <x:c r="R1159" s="8" t="s">
        <x:v>1623</x:v>
      </x:c>
      <x:c r="S1159" s="8"/>
      <x:c r="T1159" s="8" t="s">
        <x:v>27</x:v>
      </x:c>
      <x:c r="U1159" s="8" t="s">
        <x:v>883</x:v>
      </x:c>
      <x:c r="V1159" s="8" t="s">
        <x:v>2764</x:v>
      </x:c>
    </x:row>
    <x:row r="1160" ht="36" hidden="0" customHeight="1">
      <x:c r="A1160" s="8" t="s">
        <x:v>3402</x:v>
      </x:c>
      <x:c r="B1160" s="8" t="s">
        <x:v>3375</x:v>
      </x:c>
      <x:c r="C1160" s="8"/>
      <x:c r="D1160" s="8" t="s">
        <x:v>3403</x:v>
      </x:c>
      <x:c r="E1160" s="8" t="n">
        <x:v>0.0001</x:v>
      </x:c>
      <x:c r="F1160" s="8" t="s">
        <x:v>1617</x:v>
      </x:c>
      <x:c r="G1160" s="8" t="s">
        <x:v>109</x:v>
      </x:c>
      <x:c r="H1160" s="8" t="s">
        <x:v>3377</x:v>
      </x:c>
      <x:c r="I1160" s="8" t="s">
        <x:v>3378</x:v>
      </x:c>
      <x:c r="J1160" s="8" t="s">
        <x:v>112</x:v>
      </x:c>
      <x:c r="K1160" s="8" t="s">
        <x:v>3392</x:v>
      </x:c>
      <x:c r="L1160" s="8" t="s">
        <x:v>3392</x:v>
      </x:c>
      <x:c r="M1160" s="8"/>
      <x:c r="N1160" s="8"/>
      <x:c r="O1160" s="8" t="s">
        <x:v>1622</x:v>
      </x:c>
      <x:c r="P1160" s="8" t="s">
        <x:v>115</x:v>
      </x:c>
      <x:c r="Q1160" s="8" t="s">
        <x:v>45</x:v>
      </x:c>
      <x:c r="R1160" s="8" t="s">
        <x:v>1623</x:v>
      </x:c>
      <x:c r="S1160" s="8"/>
      <x:c r="T1160" s="8" t="s">
        <x:v>27</x:v>
      </x:c>
      <x:c r="U1160" s="8" t="s">
        <x:v>883</x:v>
      </x:c>
      <x:c r="V1160" s="8" t="s">
        <x:v>2764</x:v>
      </x:c>
    </x:row>
    <x:row r="1161" ht="36" hidden="0" customHeight="1">
      <x:c r="A1161" s="8" t="s">
        <x:v>3404</x:v>
      </x:c>
      <x:c r="B1161" s="8" t="s">
        <x:v>3375</x:v>
      </x:c>
      <x:c r="C1161" s="8"/>
      <x:c r="D1161" s="8" t="s">
        <x:v>3405</x:v>
      </x:c>
      <x:c r="E1161" s="8" t="n">
        <x:v>70</x:v>
      </x:c>
      <x:c r="F1161" s="8" t="s">
        <x:v>1617</x:v>
      </x:c>
      <x:c r="G1161" s="8" t="s">
        <x:v>109</x:v>
      </x:c>
      <x:c r="H1161" s="8" t="s">
        <x:v>3377</x:v>
      </x:c>
      <x:c r="I1161" s="8" t="s">
        <x:v>3378</x:v>
      </x:c>
      <x:c r="J1161" s="8" t="s">
        <x:v>112</x:v>
      </x:c>
      <x:c r="K1161" s="8" t="s">
        <x:v>3392</x:v>
      </x:c>
      <x:c r="L1161" s="8" t="s">
        <x:v>3392</x:v>
      </x:c>
      <x:c r="M1161" s="8"/>
      <x:c r="N1161" s="8"/>
      <x:c r="O1161" s="8" t="s">
        <x:v>1622</x:v>
      </x:c>
      <x:c r="P1161" s="8" t="s">
        <x:v>115</x:v>
      </x:c>
      <x:c r="Q1161" s="8" t="s">
        <x:v>45</x:v>
      </x:c>
      <x:c r="R1161" s="8" t="s">
        <x:v>1623</x:v>
      </x:c>
      <x:c r="S1161" s="8"/>
      <x:c r="T1161" s="8" t="s">
        <x:v>27</x:v>
      </x:c>
      <x:c r="U1161" s="8" t="s">
        <x:v>883</x:v>
      </x:c>
      <x:c r="V1161" s="8" t="s">
        <x:v>2764</x:v>
      </x:c>
    </x:row>
    <x:row r="1162" ht="36" hidden="0" customHeight="1">
      <x:c r="A1162" s="8" t="s">
        <x:v>3406</x:v>
      </x:c>
      <x:c r="B1162" s="8" t="s">
        <x:v>3375</x:v>
      </x:c>
      <x:c r="C1162" s="8"/>
      <x:c r="D1162" s="8" t="s">
        <x:v>3407</x:v>
      </x:c>
      <x:c r="E1162" s="8" t="n">
        <x:v>500</x:v>
      </x:c>
      <x:c r="F1162" s="8" t="s">
        <x:v>1617</x:v>
      </x:c>
      <x:c r="G1162" s="8" t="s">
        <x:v>109</x:v>
      </x:c>
      <x:c r="H1162" s="8" t="s">
        <x:v>3377</x:v>
      </x:c>
      <x:c r="I1162" s="8" t="s">
        <x:v>3378</x:v>
      </x:c>
      <x:c r="J1162" s="8" t="s">
        <x:v>112</x:v>
      </x:c>
      <x:c r="K1162" s="8" t="s">
        <x:v>3408</x:v>
      </x:c>
      <x:c r="L1162" s="8" t="s">
        <x:v>3408</x:v>
      </x:c>
      <x:c r="M1162" s="8"/>
      <x:c r="N1162" s="8"/>
      <x:c r="O1162" s="8" t="s">
        <x:v>1622</x:v>
      </x:c>
      <x:c r="P1162" s="8" t="s">
        <x:v>115</x:v>
      </x:c>
      <x:c r="Q1162" s="8" t="s">
        <x:v>45</x:v>
      </x:c>
      <x:c r="R1162" s="8" t="s">
        <x:v>1623</x:v>
      </x:c>
      <x:c r="S1162" s="8"/>
      <x:c r="T1162" s="8" t="s">
        <x:v>27</x:v>
      </x:c>
      <x:c r="U1162" s="8" t="s">
        <x:v>883</x:v>
      </x:c>
      <x:c r="V1162" s="8" t="s">
        <x:v>2764</x:v>
      </x:c>
    </x:row>
    <x:row r="1163" ht="36" hidden="0" customHeight="1">
      <x:c r="A1163" s="8" t="s">
        <x:v>3409</x:v>
      </x:c>
      <x:c r="B1163" s="8" t="s">
        <x:v>3375</x:v>
      </x:c>
      <x:c r="C1163" s="8"/>
      <x:c r="D1163" s="8" t="s">
        <x:v>3410</x:v>
      </x:c>
      <x:c r="E1163" s="8" t="n">
        <x:v>1</x:v>
      </x:c>
      <x:c r="F1163" s="8" t="s">
        <x:v>1617</x:v>
      </x:c>
      <x:c r="G1163" s="8" t="s">
        <x:v>109</x:v>
      </x:c>
      <x:c r="H1163" s="8" t="s">
        <x:v>3377</x:v>
      </x:c>
      <x:c r="I1163" s="8" t="s">
        <x:v>3378</x:v>
      </x:c>
      <x:c r="J1163" s="8" t="s">
        <x:v>112</x:v>
      </x:c>
      <x:c r="K1163" s="8" t="s">
        <x:v>3408</x:v>
      </x:c>
      <x:c r="L1163" s="8" t="s">
        <x:v>3408</x:v>
      </x:c>
      <x:c r="M1163" s="8"/>
      <x:c r="N1163" s="8"/>
      <x:c r="O1163" s="8" t="s">
        <x:v>1622</x:v>
      </x:c>
      <x:c r="P1163" s="8" t="s">
        <x:v>115</x:v>
      </x:c>
      <x:c r="Q1163" s="8" t="s">
        <x:v>45</x:v>
      </x:c>
      <x:c r="R1163" s="8" t="s">
        <x:v>1623</x:v>
      </x:c>
      <x:c r="S1163" s="8"/>
      <x:c r="T1163" s="8" t="s">
        <x:v>27</x:v>
      </x:c>
      <x:c r="U1163" s="8" t="s">
        <x:v>883</x:v>
      </x:c>
      <x:c r="V1163" s="8" t="s">
        <x:v>2764</x:v>
      </x:c>
    </x:row>
    <x:row r="1164" ht="36" hidden="0" customHeight="1">
      <x:c r="A1164" s="8" t="s">
        <x:v>3411</x:v>
      </x:c>
      <x:c r="B1164" s="8" t="s">
        <x:v>3375</x:v>
      </x:c>
      <x:c r="C1164" s="8"/>
      <x:c r="D1164" s="8" t="s">
        <x:v>2161</x:v>
      </x:c>
      <x:c r="E1164" s="8" t="s">
        <x:v>3412</x:v>
      </x:c>
      <x:c r="F1164" s="8" t="s">
        <x:v>1617</x:v>
      </x:c>
      <x:c r="G1164" s="8" t="s">
        <x:v>109</x:v>
      </x:c>
      <x:c r="H1164" s="8" t="s">
        <x:v>3377</x:v>
      </x:c>
      <x:c r="I1164" s="8" t="s">
        <x:v>3378</x:v>
      </x:c>
      <x:c r="J1164" s="8" t="s">
        <x:v>112</x:v>
      </x:c>
      <x:c r="K1164" s="8" t="s">
        <x:v>3413</x:v>
      </x:c>
      <x:c r="L1164" s="8" t="s">
        <x:v>3413</x:v>
      </x:c>
      <x:c r="M1164" s="8"/>
      <x:c r="N1164" s="8"/>
      <x:c r="O1164" s="8" t="s">
        <x:v>1622</x:v>
      </x:c>
      <x:c r="P1164" s="8" t="s">
        <x:v>115</x:v>
      </x:c>
      <x:c r="Q1164" s="8" t="s">
        <x:v>45</x:v>
      </x:c>
      <x:c r="R1164" s="8" t="s">
        <x:v>1623</x:v>
      </x:c>
      <x:c r="S1164" s="8"/>
      <x:c r="T1164" s="8" t="s">
        <x:v>27</x:v>
      </x:c>
      <x:c r="U1164" s="8" t="s">
        <x:v>883</x:v>
      </x:c>
      <x:c r="V1164" s="8" t="s">
        <x:v>2764</x:v>
      </x:c>
    </x:row>
    <x:row r="1165" ht="36" hidden="0" customHeight="1">
      <x:c r="A1165" s="8" t="s">
        <x:v>3414</x:v>
      </x:c>
      <x:c r="B1165" s="8" t="s">
        <x:v>3375</x:v>
      </x:c>
      <x:c r="C1165" s="8"/>
      <x:c r="D1165" s="8" t="s">
        <x:v>2911</x:v>
      </x:c>
      <x:c r="E1165" s="8" t="s">
        <x:v>3415</x:v>
      </x:c>
      <x:c r="F1165" s="8" t="s">
        <x:v>1617</x:v>
      </x:c>
      <x:c r="G1165" s="8" t="s">
        <x:v>109</x:v>
      </x:c>
      <x:c r="H1165" s="8" t="s">
        <x:v>3377</x:v>
      </x:c>
      <x:c r="I1165" s="8" t="s">
        <x:v>3378</x:v>
      </x:c>
      <x:c r="J1165" s="8" t="s">
        <x:v>112</x:v>
      </x:c>
      <x:c r="K1165" s="8" t="s">
        <x:v>3413</x:v>
      </x:c>
      <x:c r="L1165" s="8" t="s">
        <x:v>3413</x:v>
      </x:c>
      <x:c r="M1165" s="8"/>
      <x:c r="N1165" s="8"/>
      <x:c r="O1165" s="8" t="s">
        <x:v>1622</x:v>
      </x:c>
      <x:c r="P1165" s="8" t="s">
        <x:v>115</x:v>
      </x:c>
      <x:c r="Q1165" s="8" t="s">
        <x:v>45</x:v>
      </x:c>
      <x:c r="R1165" s="8" t="s">
        <x:v>1623</x:v>
      </x:c>
      <x:c r="S1165" s="8"/>
      <x:c r="T1165" s="8" t="s">
        <x:v>27</x:v>
      </x:c>
      <x:c r="U1165" s="8" t="s">
        <x:v>883</x:v>
      </x:c>
      <x:c r="V1165" s="8" t="s">
        <x:v>2764</x:v>
      </x:c>
    </x:row>
    <x:row r="1166" ht="36" hidden="0" customHeight="1">
      <x:c r="A1166" s="8" t="s">
        <x:v>3416</x:v>
      </x:c>
      <x:c r="B1166" s="8" t="s">
        <x:v>3375</x:v>
      </x:c>
      <x:c r="C1166" s="8"/>
      <x:c r="D1166" s="8" t="s">
        <x:v>1945</x:v>
      </x:c>
      <x:c r="E1166" s="8" t="s">
        <x:v>3417</x:v>
      </x:c>
      <x:c r="F1166" s="8" t="s">
        <x:v>1617</x:v>
      </x:c>
      <x:c r="G1166" s="8" t="s">
        <x:v>109</x:v>
      </x:c>
      <x:c r="H1166" s="8" t="s">
        <x:v>3377</x:v>
      </x:c>
      <x:c r="I1166" s="8" t="s">
        <x:v>3378</x:v>
      </x:c>
      <x:c r="J1166" s="8" t="s">
        <x:v>112</x:v>
      </x:c>
      <x:c r="K1166" s="8" t="s">
        <x:v>3413</x:v>
      </x:c>
      <x:c r="L1166" s="8" t="s">
        <x:v>3413</x:v>
      </x:c>
      <x:c r="M1166" s="8"/>
      <x:c r="N1166" s="8"/>
      <x:c r="O1166" s="8" t="s">
        <x:v>1622</x:v>
      </x:c>
      <x:c r="P1166" s="8" t="s">
        <x:v>115</x:v>
      </x:c>
      <x:c r="Q1166" s="8" t="s">
        <x:v>45</x:v>
      </x:c>
      <x:c r="R1166" s="8" t="s">
        <x:v>1623</x:v>
      </x:c>
      <x:c r="S1166" s="8"/>
      <x:c r="T1166" s="8" t="s">
        <x:v>27</x:v>
      </x:c>
      <x:c r="U1166" s="8" t="s">
        <x:v>883</x:v>
      </x:c>
      <x:c r="V1166" s="8" t="s">
        <x:v>2764</x:v>
      </x:c>
    </x:row>
    <x:row r="1167" ht="36" hidden="0" customHeight="1">
      <x:c r="A1167" s="8" t="s">
        <x:v>3418</x:v>
      </x:c>
      <x:c r="B1167" s="8" t="s">
        <x:v>3375</x:v>
      </x:c>
      <x:c r="C1167" s="8"/>
      <x:c r="D1167" s="8" t="s">
        <x:v>3419</x:v>
      </x:c>
      <x:c r="E1167" s="8" t="s">
        <x:v>3420</x:v>
      </x:c>
      <x:c r="F1167" s="8" t="s">
        <x:v>1617</x:v>
      </x:c>
      <x:c r="G1167" s="8" t="s">
        <x:v>109</x:v>
      </x:c>
      <x:c r="H1167" s="8" t="s">
        <x:v>3377</x:v>
      </x:c>
      <x:c r="I1167" s="8" t="s">
        <x:v>3378</x:v>
      </x:c>
      <x:c r="J1167" s="8" t="s">
        <x:v>112</x:v>
      </x:c>
      <x:c r="K1167" s="8" t="s">
        <x:v>3421</x:v>
      </x:c>
      <x:c r="L1167" s="8" t="s">
        <x:v>3421</x:v>
      </x:c>
      <x:c r="M1167" s="8"/>
      <x:c r="N1167" s="8"/>
      <x:c r="O1167" s="8" t="s">
        <x:v>1622</x:v>
      </x:c>
      <x:c r="P1167" s="8" t="s">
        <x:v>115</x:v>
      </x:c>
      <x:c r="Q1167" s="8" t="s">
        <x:v>45</x:v>
      </x:c>
      <x:c r="R1167" s="8" t="s">
        <x:v>1623</x:v>
      </x:c>
      <x:c r="S1167" s="8"/>
      <x:c r="T1167" s="8" t="s">
        <x:v>27</x:v>
      </x:c>
      <x:c r="U1167" s="8" t="s">
        <x:v>883</x:v>
      </x:c>
      <x:c r="V1167" s="8" t="s">
        <x:v>2764</x:v>
      </x:c>
    </x:row>
    <x:row r="1168" ht="36" hidden="0" customHeight="1">
      <x:c r="A1168" s="8" t="s">
        <x:v>3422</x:v>
      </x:c>
      <x:c r="B1168" s="8" t="s">
        <x:v>3375</x:v>
      </x:c>
      <x:c r="C1168" s="8"/>
      <x:c r="D1168" s="8" t="s">
        <x:v>3423</x:v>
      </x:c>
      <x:c r="E1168" s="8" t="s">
        <x:v>3424</x:v>
      </x:c>
      <x:c r="F1168" s="8" t="s">
        <x:v>1617</x:v>
      </x:c>
      <x:c r="G1168" s="8" t="s">
        <x:v>109</x:v>
      </x:c>
      <x:c r="H1168" s="8" t="s">
        <x:v>3377</x:v>
      </x:c>
      <x:c r="I1168" s="8" t="s">
        <x:v>3378</x:v>
      </x:c>
      <x:c r="J1168" s="8" t="s">
        <x:v>112</x:v>
      </x:c>
      <x:c r="K1168" s="8" t="s">
        <x:v>3421</x:v>
      </x:c>
      <x:c r="L1168" s="8" t="s">
        <x:v>3421</x:v>
      </x:c>
      <x:c r="M1168" s="8"/>
      <x:c r="N1168" s="8"/>
      <x:c r="O1168" s="8" t="s">
        <x:v>1622</x:v>
      </x:c>
      <x:c r="P1168" s="8" t="s">
        <x:v>115</x:v>
      </x:c>
      <x:c r="Q1168" s="8" t="s">
        <x:v>45</x:v>
      </x:c>
      <x:c r="R1168" s="8" t="s">
        <x:v>1623</x:v>
      </x:c>
      <x:c r="S1168" s="8"/>
      <x:c r="T1168" s="8" t="s">
        <x:v>27</x:v>
      </x:c>
      <x:c r="U1168" s="8" t="s">
        <x:v>883</x:v>
      </x:c>
      <x:c r="V1168" s="8" t="s">
        <x:v>2764</x:v>
      </x:c>
    </x:row>
    <x:row r="1169" ht="36" hidden="0" customHeight="1">
      <x:c r="A1169" s="8" t="s">
        <x:v>3425</x:v>
      </x:c>
      <x:c r="B1169" s="8" t="s">
        <x:v>3426</x:v>
      </x:c>
      <x:c r="C1169" s="8"/>
      <x:c r="D1169" s="8" t="s">
        <x:v>3427</x:v>
      </x:c>
      <x:c r="E1169" s="8" t="s">
        <x:v>3428</x:v>
      </x:c>
      <x:c r="F1169" s="8" t="s">
        <x:v>1706</x:v>
      </x:c>
      <x:c r="G1169" s="8" t="s">
        <x:v>187</x:v>
      </x:c>
      <x:c r="H1169" s="8" t="s">
        <x:v>3429</x:v>
      </x:c>
      <x:c r="I1169" s="8" t="s">
        <x:v>3430</x:v>
      </x:c>
      <x:c r="J1169" s="8" t="s">
        <x:v>112</x:v>
      </x:c>
      <x:c r="K1169" s="8" t="s">
        <x:v>3431</x:v>
      </x:c>
      <x:c r="L1169" s="8" t="s">
        <x:v>3431</x:v>
      </x:c>
      <x:c r="M1169" s="8"/>
      <x:c r="N1169" s="8"/>
      <x:c r="O1169" s="8" t="s">
        <x:v>1622</x:v>
      </x:c>
      <x:c r="P1169" s="8" t="s">
        <x:v>115</x:v>
      </x:c>
      <x:c r="Q1169" s="8" t="s">
        <x:v>45</x:v>
      </x:c>
      <x:c r="R1169" s="8" t="s">
        <x:v>1623</x:v>
      </x:c>
      <x:c r="S1169" s="8"/>
      <x:c r="T1169" s="8" t="s">
        <x:v>27</x:v>
      </x:c>
      <x:c r="U1169" s="8" t="s">
        <x:v>883</x:v>
      </x:c>
      <x:c r="V1169" s="8" t="s">
        <x:v>2764</x:v>
      </x:c>
    </x:row>
    <x:row r="1170" ht="36" hidden="0" customHeight="1">
      <x:c r="A1170" s="8" t="s">
        <x:v>3432</x:v>
      </x:c>
      <x:c r="B1170" s="8" t="s">
        <x:v>3426</x:v>
      </x:c>
      <x:c r="C1170" s="8"/>
      <x:c r="D1170" s="8" t="s">
        <x:v>3433</x:v>
      </x:c>
      <x:c r="E1170" s="8" t="s">
        <x:v>3434</x:v>
      </x:c>
      <x:c r="F1170" s="8" t="s">
        <x:v>1706</x:v>
      </x:c>
      <x:c r="G1170" s="8" t="s">
        <x:v>187</x:v>
      </x:c>
      <x:c r="H1170" s="8" t="s">
        <x:v>3429</x:v>
      </x:c>
      <x:c r="I1170" s="8" t="s">
        <x:v>3430</x:v>
      </x:c>
      <x:c r="J1170" s="8" t="s">
        <x:v>112</x:v>
      </x:c>
      <x:c r="K1170" s="8" t="s">
        <x:v>3431</x:v>
      </x:c>
      <x:c r="L1170" s="8" t="s">
        <x:v>3431</x:v>
      </x:c>
      <x:c r="M1170" s="8"/>
      <x:c r="N1170" s="8"/>
      <x:c r="O1170" s="8" t="s">
        <x:v>1622</x:v>
      </x:c>
      <x:c r="P1170" s="8" t="s">
        <x:v>115</x:v>
      </x:c>
      <x:c r="Q1170" s="8" t="s">
        <x:v>45</x:v>
      </x:c>
      <x:c r="R1170" s="8" t="s">
        <x:v>1623</x:v>
      </x:c>
      <x:c r="S1170" s="8"/>
      <x:c r="T1170" s="8" t="s">
        <x:v>27</x:v>
      </x:c>
      <x:c r="U1170" s="8" t="s">
        <x:v>883</x:v>
      </x:c>
      <x:c r="V1170" s="8" t="s">
        <x:v>2764</x:v>
      </x:c>
    </x:row>
    <x:row r="1171" ht="36" hidden="0" customHeight="1">
      <x:c r="A1171" s="8" t="s">
        <x:v>3435</x:v>
      </x:c>
      <x:c r="B1171" s="8" t="s">
        <x:v>3426</x:v>
      </x:c>
      <x:c r="C1171" s="8"/>
      <x:c r="D1171" s="8" t="s">
        <x:v>3436</x:v>
      </x:c>
      <x:c r="E1171" s="8" t="s">
        <x:v>3437</x:v>
      </x:c>
      <x:c r="F1171" s="8" t="s">
        <x:v>1706</x:v>
      </x:c>
      <x:c r="G1171" s="8" t="s">
        <x:v>187</x:v>
      </x:c>
      <x:c r="H1171" s="8" t="s">
        <x:v>3429</x:v>
      </x:c>
      <x:c r="I1171" s="8" t="s">
        <x:v>3430</x:v>
      </x:c>
      <x:c r="J1171" s="8" t="s">
        <x:v>112</x:v>
      </x:c>
      <x:c r="K1171" s="8" t="s">
        <x:v>3438</x:v>
      </x:c>
      <x:c r="L1171" s="8" t="s">
        <x:v>3438</x:v>
      </x:c>
      <x:c r="M1171" s="8"/>
      <x:c r="N1171" s="8"/>
      <x:c r="O1171" s="8" t="s">
        <x:v>1622</x:v>
      </x:c>
      <x:c r="P1171" s="8" t="s">
        <x:v>115</x:v>
      </x:c>
      <x:c r="Q1171" s="8" t="s">
        <x:v>45</x:v>
      </x:c>
      <x:c r="R1171" s="8" t="s">
        <x:v>1623</x:v>
      </x:c>
      <x:c r="S1171" s="8"/>
      <x:c r="T1171" s="8" t="s">
        <x:v>27</x:v>
      </x:c>
      <x:c r="U1171" s="8" t="s">
        <x:v>883</x:v>
      </x:c>
      <x:c r="V1171" s="8" t="s">
        <x:v>2764</x:v>
      </x:c>
    </x:row>
    <x:row r="1172" ht="36" hidden="0" customHeight="1">
      <x:c r="A1172" s="8" t="s">
        <x:v>3439</x:v>
      </x:c>
      <x:c r="B1172" s="8" t="s">
        <x:v>3426</x:v>
      </x:c>
      <x:c r="C1172" s="8"/>
      <x:c r="D1172" s="8" t="s">
        <x:v>2451</x:v>
      </x:c>
      <x:c r="E1172" s="8" t="s">
        <x:v>3440</x:v>
      </x:c>
      <x:c r="F1172" s="8" t="s">
        <x:v>1706</x:v>
      </x:c>
      <x:c r="G1172" s="8" t="s">
        <x:v>187</x:v>
      </x:c>
      <x:c r="H1172" s="8" t="s">
        <x:v>3429</x:v>
      </x:c>
      <x:c r="I1172" s="8" t="s">
        <x:v>3430</x:v>
      </x:c>
      <x:c r="J1172" s="8" t="s">
        <x:v>112</x:v>
      </x:c>
      <x:c r="K1172" s="8" t="s">
        <x:v>3441</x:v>
      </x:c>
      <x:c r="L1172" s="8" t="s">
        <x:v>3441</x:v>
      </x:c>
      <x:c r="M1172" s="8"/>
      <x:c r="N1172" s="8"/>
      <x:c r="O1172" s="8" t="s">
        <x:v>1622</x:v>
      </x:c>
      <x:c r="P1172" s="8" t="s">
        <x:v>115</x:v>
      </x:c>
      <x:c r="Q1172" s="8" t="s">
        <x:v>45</x:v>
      </x:c>
      <x:c r="R1172" s="8" t="s">
        <x:v>1623</x:v>
      </x:c>
      <x:c r="S1172" s="8"/>
      <x:c r="T1172" s="8" t="s">
        <x:v>27</x:v>
      </x:c>
      <x:c r="U1172" s="8" t="s">
        <x:v>883</x:v>
      </x:c>
      <x:c r="V1172" s="8" t="s">
        <x:v>2764</x:v>
      </x:c>
    </x:row>
    <x:row r="1173" ht="36" hidden="0" customHeight="1">
      <x:c r="A1173" s="8" t="s">
        <x:v>3442</x:v>
      </x:c>
      <x:c r="B1173" s="8" t="s">
        <x:v>3443</x:v>
      </x:c>
      <x:c r="C1173" s="8"/>
      <x:c r="D1173" s="8" t="s">
        <x:v>3444</x:v>
      </x:c>
      <x:c r="E1173" s="8" t="s">
        <x:v>3445</x:v>
      </x:c>
      <x:c r="F1173" s="8" t="s">
        <x:v>1706</x:v>
      </x:c>
      <x:c r="G1173" s="8" t="s">
        <x:v>109</x:v>
      </x:c>
      <x:c r="H1173" s="8" t="s">
        <x:v>3446</x:v>
      </x:c>
      <x:c r="I1173" s="8" t="s">
        <x:v>3447</x:v>
      </x:c>
      <x:c r="J1173" s="8" t="s">
        <x:v>112</x:v>
      </x:c>
      <x:c r="K1173" s="8" t="s">
        <x:v>3448</x:v>
      </x:c>
      <x:c r="L1173" s="8" t="s">
        <x:v>3448</x:v>
      </x:c>
      <x:c r="M1173" s="8"/>
      <x:c r="N1173" s="8"/>
      <x:c r="O1173" s="8" t="s">
        <x:v>1622</x:v>
      </x:c>
      <x:c r="P1173" s="8" t="s">
        <x:v>115</x:v>
      </x:c>
      <x:c r="Q1173" s="8" t="s">
        <x:v>45</x:v>
      </x:c>
      <x:c r="R1173" s="8" t="s">
        <x:v>1623</x:v>
      </x:c>
      <x:c r="S1173" s="8"/>
      <x:c r="T1173" s="8" t="s">
        <x:v>27</x:v>
      </x:c>
      <x:c r="U1173" s="8" t="s">
        <x:v>883</x:v>
      </x:c>
      <x:c r="V1173" s="8" t="s">
        <x:v>2764</x:v>
      </x:c>
    </x:row>
    <x:row r="1174" ht="36" hidden="0" customHeight="1">
      <x:c r="A1174" s="8" t="s">
        <x:v>3449</x:v>
      </x:c>
      <x:c r="B1174" s="8" t="s">
        <x:v>3443</x:v>
      </x:c>
      <x:c r="C1174" s="8"/>
      <x:c r="D1174" s="8" t="s">
        <x:v>3450</x:v>
      </x:c>
      <x:c r="E1174" s="8" t="s">
        <x:v>3451</x:v>
      </x:c>
      <x:c r="F1174" s="8" t="s">
        <x:v>1706</x:v>
      </x:c>
      <x:c r="G1174" s="8" t="s">
        <x:v>187</x:v>
      </x:c>
      <x:c r="H1174" s="8" t="s">
        <x:v>3446</x:v>
      </x:c>
      <x:c r="I1174" s="8" t="s">
        <x:v>3447</x:v>
      </x:c>
      <x:c r="J1174" s="8" t="s">
        <x:v>112</x:v>
      </x:c>
      <x:c r="K1174" s="8" t="s">
        <x:v>3448</x:v>
      </x:c>
      <x:c r="L1174" s="8" t="s">
        <x:v>3448</x:v>
      </x:c>
      <x:c r="M1174" s="8"/>
      <x:c r="N1174" s="8"/>
      <x:c r="O1174" s="8" t="s">
        <x:v>1622</x:v>
      </x:c>
      <x:c r="P1174" s="8" t="s">
        <x:v>115</x:v>
      </x:c>
      <x:c r="Q1174" s="8" t="s">
        <x:v>45</x:v>
      </x:c>
      <x:c r="R1174" s="8" t="s">
        <x:v>1623</x:v>
      </x:c>
      <x:c r="S1174" s="8"/>
      <x:c r="T1174" s="8" t="s">
        <x:v>27</x:v>
      </x:c>
      <x:c r="U1174" s="8" t="s">
        <x:v>883</x:v>
      </x:c>
      <x:c r="V1174" s="8" t="s">
        <x:v>2764</x:v>
      </x:c>
    </x:row>
    <x:row r="1175" ht="36" hidden="0" customHeight="1">
      <x:c r="A1175" s="8" t="s">
        <x:v>3452</x:v>
      </x:c>
      <x:c r="B1175" s="8" t="s">
        <x:v>3443</x:v>
      </x:c>
      <x:c r="C1175" s="8"/>
      <x:c r="D1175" s="8" t="s">
        <x:v>2431</x:v>
      </x:c>
      <x:c r="E1175" s="8" t="s">
        <x:v>3453</x:v>
      </x:c>
      <x:c r="F1175" s="8" t="s">
        <x:v>1706</x:v>
      </x:c>
      <x:c r="G1175" s="8" t="s">
        <x:v>187</x:v>
      </x:c>
      <x:c r="H1175" s="8" t="s">
        <x:v>3446</x:v>
      </x:c>
      <x:c r="I1175" s="8" t="s">
        <x:v>3447</x:v>
      </x:c>
      <x:c r="J1175" s="8" t="s">
        <x:v>112</x:v>
      </x:c>
      <x:c r="K1175" s="8" t="s">
        <x:v>3454</x:v>
      </x:c>
      <x:c r="L1175" s="8" t="s">
        <x:v>3454</x:v>
      </x:c>
      <x:c r="M1175" s="8"/>
      <x:c r="N1175" s="8"/>
      <x:c r="O1175" s="8" t="s">
        <x:v>1622</x:v>
      </x:c>
      <x:c r="P1175" s="8" t="s">
        <x:v>115</x:v>
      </x:c>
      <x:c r="Q1175" s="8" t="s">
        <x:v>45</x:v>
      </x:c>
      <x:c r="R1175" s="8" t="s">
        <x:v>1623</x:v>
      </x:c>
      <x:c r="S1175" s="8"/>
      <x:c r="T1175" s="8" t="s">
        <x:v>27</x:v>
      </x:c>
      <x:c r="U1175" s="8" t="s">
        <x:v>883</x:v>
      </x:c>
      <x:c r="V1175" s="8" t="s">
        <x:v>2764</x:v>
      </x:c>
    </x:row>
    <x:row r="1176" ht="36" hidden="0" customHeight="1">
      <x:c r="A1176" s="8" t="s">
        <x:v>3455</x:v>
      </x:c>
      <x:c r="B1176" s="8" t="s">
        <x:v>3443</x:v>
      </x:c>
      <x:c r="C1176" s="8"/>
      <x:c r="D1176" s="8" t="s">
        <x:v>3456</x:v>
      </x:c>
      <x:c r="E1176" s="8" t="s">
        <x:v>3457</x:v>
      </x:c>
      <x:c r="F1176" s="8" t="s">
        <x:v>1706</x:v>
      </x:c>
      <x:c r="G1176" s="8" t="s">
        <x:v>187</x:v>
      </x:c>
      <x:c r="H1176" s="8" t="s">
        <x:v>3446</x:v>
      </x:c>
      <x:c r="I1176" s="8" t="s">
        <x:v>3447</x:v>
      </x:c>
      <x:c r="J1176" s="8" t="s">
        <x:v>112</x:v>
      </x:c>
      <x:c r="K1176" s="8" t="s">
        <x:v>3454</x:v>
      </x:c>
      <x:c r="L1176" s="8" t="s">
        <x:v>3454</x:v>
      </x:c>
      <x:c r="M1176" s="8"/>
      <x:c r="N1176" s="8"/>
      <x:c r="O1176" s="8" t="s">
        <x:v>1622</x:v>
      </x:c>
      <x:c r="P1176" s="8" t="s">
        <x:v>115</x:v>
      </x:c>
      <x:c r="Q1176" s="8" t="s">
        <x:v>45</x:v>
      </x:c>
      <x:c r="R1176" s="8" t="s">
        <x:v>1623</x:v>
      </x:c>
      <x:c r="S1176" s="8"/>
      <x:c r="T1176" s="8" t="s">
        <x:v>27</x:v>
      </x:c>
      <x:c r="U1176" s="8" t="s">
        <x:v>883</x:v>
      </x:c>
      <x:c r="V1176" s="8" t="s">
        <x:v>2764</x:v>
      </x:c>
    </x:row>
    <x:row r="1177" ht="36" hidden="0" customHeight="1">
      <x:c r="A1177" s="8" t="s">
        <x:v>3458</x:v>
      </x:c>
      <x:c r="B1177" s="8" t="s">
        <x:v>3443</x:v>
      </x:c>
      <x:c r="C1177" s="8"/>
      <x:c r="D1177" s="8" t="s">
        <x:v>3459</x:v>
      </x:c>
      <x:c r="E1177" s="8" t="s">
        <x:v>3460</x:v>
      </x:c>
      <x:c r="F1177" s="8" t="s">
        <x:v>1706</x:v>
      </x:c>
      <x:c r="G1177" s="8" t="s">
        <x:v>109</x:v>
      </x:c>
      <x:c r="H1177" s="8" t="s">
        <x:v>3446</x:v>
      </x:c>
      <x:c r="I1177" s="8" t="s">
        <x:v>3447</x:v>
      </x:c>
      <x:c r="J1177" s="8" t="s">
        <x:v>112</x:v>
      </x:c>
      <x:c r="K1177" s="8" t="s">
        <x:v>3454</x:v>
      </x:c>
      <x:c r="L1177" s="8" t="s">
        <x:v>3454</x:v>
      </x:c>
      <x:c r="M1177" s="8"/>
      <x:c r="N1177" s="8"/>
      <x:c r="O1177" s="8" t="s">
        <x:v>1622</x:v>
      </x:c>
      <x:c r="P1177" s="8" t="s">
        <x:v>115</x:v>
      </x:c>
      <x:c r="Q1177" s="8" t="s">
        <x:v>45</x:v>
      </x:c>
      <x:c r="R1177" s="8" t="s">
        <x:v>1623</x:v>
      </x:c>
      <x:c r="S1177" s="8"/>
      <x:c r="T1177" s="8" t="s">
        <x:v>27</x:v>
      </x:c>
      <x:c r="U1177" s="8" t="s">
        <x:v>883</x:v>
      </x:c>
      <x:c r="V1177" s="8" t="s">
        <x:v>2764</x:v>
      </x:c>
    </x:row>
    <x:row r="1178" ht="36" hidden="0" customHeight="1">
      <x:c r="A1178" s="8" t="s">
        <x:v>3461</x:v>
      </x:c>
      <x:c r="B1178" s="8" t="s">
        <x:v>3443</x:v>
      </x:c>
      <x:c r="C1178" s="8"/>
      <x:c r="D1178" s="8" t="s">
        <x:v>3462</x:v>
      </x:c>
      <x:c r="E1178" s="8" t="s">
        <x:v>3463</x:v>
      </x:c>
      <x:c r="F1178" s="8" t="s">
        <x:v>1706</x:v>
      </x:c>
      <x:c r="G1178" s="8" t="s">
        <x:v>187</x:v>
      </x:c>
      <x:c r="H1178" s="8" t="s">
        <x:v>3446</x:v>
      </x:c>
      <x:c r="I1178" s="8" t="s">
        <x:v>3447</x:v>
      </x:c>
      <x:c r="J1178" s="8" t="s">
        <x:v>112</x:v>
      </x:c>
      <x:c r="K1178" s="8" t="s">
        <x:v>3464</x:v>
      </x:c>
      <x:c r="L1178" s="8" t="s">
        <x:v>3464</x:v>
      </x:c>
      <x:c r="M1178" s="8"/>
      <x:c r="N1178" s="8"/>
      <x:c r="O1178" s="8" t="s">
        <x:v>1622</x:v>
      </x:c>
      <x:c r="P1178" s="8" t="s">
        <x:v>115</x:v>
      </x:c>
      <x:c r="Q1178" s="8" t="s">
        <x:v>45</x:v>
      </x:c>
      <x:c r="R1178" s="8" t="s">
        <x:v>1623</x:v>
      </x:c>
      <x:c r="S1178" s="8"/>
      <x:c r="T1178" s="8" t="s">
        <x:v>27</x:v>
      </x:c>
      <x:c r="U1178" s="8" t="s">
        <x:v>883</x:v>
      </x:c>
      <x:c r="V1178" s="8" t="s">
        <x:v>2764</x:v>
      </x:c>
    </x:row>
    <x:row r="1179" ht="48" hidden="0" customHeight="1">
      <x:c r="A1179" s="8" t="s">
        <x:v>3465</x:v>
      </x:c>
      <x:c r="B1179" s="8" t="s">
        <x:v>3466</x:v>
      </x:c>
      <x:c r="C1179" s="8"/>
      <x:c r="D1179" s="8" t="s">
        <x:v>2123</x:v>
      </x:c>
      <x:c r="E1179" s="8" t="s">
        <x:v>3467</x:v>
      </x:c>
      <x:c r="F1179" s="8" t="s">
        <x:v>3468</x:v>
      </x:c>
      <x:c r="G1179" s="8" t="s">
        <x:v>109</x:v>
      </x:c>
      <x:c r="H1179" s="8" t="s">
        <x:v>3469</x:v>
      </x:c>
      <x:c r="I1179" s="8" t="s">
        <x:v>3470</x:v>
      </x:c>
      <x:c r="J1179" s="8" t="s">
        <x:v>3471</x:v>
      </x:c>
      <x:c r="K1179" s="8" t="s">
        <x:v>3472</x:v>
      </x:c>
      <x:c r="L1179" s="8" t="s">
        <x:v>3472</x:v>
      </x:c>
      <x:c r="M1179" s="8"/>
      <x:c r="N1179" s="8" t="s">
        <x:v>406</x:v>
      </x:c>
      <x:c r="O1179" s="8" t="s">
        <x:v>1622</x:v>
      </x:c>
      <x:c r="P1179" s="8" t="s">
        <x:v>115</x:v>
      </x:c>
      <x:c r="Q1179" s="8" t="s">
        <x:v>45</x:v>
      </x:c>
      <x:c r="R1179" s="8" t="s">
        <x:v>3473</x:v>
      </x:c>
      <x:c r="S1179" s="8"/>
      <x:c r="T1179" s="8" t="s">
        <x:v>27</x:v>
      </x:c>
      <x:c r="U1179" s="8" t="s">
        <x:v>3474</x:v>
      </x:c>
      <x:c r="V1179" s="8" t="s">
        <x:v>3475</x:v>
      </x:c>
    </x:row>
    <x:row r="1180" ht="48" hidden="0" customHeight="1">
      <x:c r="A1180" s="8" t="s">
        <x:v>3476</x:v>
      </x:c>
      <x:c r="B1180" s="8" t="s">
        <x:v>3466</x:v>
      </x:c>
      <x:c r="C1180" s="8"/>
      <x:c r="D1180" s="8" t="s">
        <x:v>3477</x:v>
      </x:c>
      <x:c r="E1180" s="8" t="s">
        <x:v>3478</x:v>
      </x:c>
      <x:c r="F1180" s="8" t="s">
        <x:v>3468</x:v>
      </x:c>
      <x:c r="G1180" s="8" t="s">
        <x:v>109</x:v>
      </x:c>
      <x:c r="H1180" s="8" t="s">
        <x:v>3469</x:v>
      </x:c>
      <x:c r="I1180" s="8" t="s">
        <x:v>3470</x:v>
      </x:c>
      <x:c r="J1180" s="8" t="s">
        <x:v>3471</x:v>
      </x:c>
      <x:c r="K1180" s="8" t="s">
        <x:v>3472</x:v>
      </x:c>
      <x:c r="L1180" s="8" t="s">
        <x:v>3472</x:v>
      </x:c>
      <x:c r="M1180" s="8"/>
      <x:c r="N1180" s="8" t="s">
        <x:v>406</x:v>
      </x:c>
      <x:c r="O1180" s="8" t="s">
        <x:v>1622</x:v>
      </x:c>
      <x:c r="P1180" s="8" t="s">
        <x:v>115</x:v>
      </x:c>
      <x:c r="Q1180" s="8" t="s">
        <x:v>45</x:v>
      </x:c>
      <x:c r="R1180" s="8" t="s">
        <x:v>3473</x:v>
      </x:c>
      <x:c r="S1180" s="8"/>
      <x:c r="T1180" s="8" t="s">
        <x:v>27</x:v>
      </x:c>
      <x:c r="U1180" s="8" t="s">
        <x:v>3474</x:v>
      </x:c>
      <x:c r="V1180" s="8" t="s">
        <x:v>3475</x:v>
      </x:c>
    </x:row>
    <x:row r="1181" ht="48" hidden="0" customHeight="1">
      <x:c r="A1181" s="8" t="s">
        <x:v>3479</x:v>
      </x:c>
      <x:c r="B1181" s="8" t="s">
        <x:v>3466</x:v>
      </x:c>
      <x:c r="C1181" s="8"/>
      <x:c r="D1181" s="8" t="s">
        <x:v>2588</x:v>
      </x:c>
      <x:c r="E1181" s="8" t="s">
        <x:v>3303</x:v>
      </x:c>
      <x:c r="F1181" s="8" t="s">
        <x:v>3468</x:v>
      </x:c>
      <x:c r="G1181" s="8" t="s">
        <x:v>109</x:v>
      </x:c>
      <x:c r="H1181" s="8" t="s">
        <x:v>3469</x:v>
      </x:c>
      <x:c r="I1181" s="8" t="s">
        <x:v>3470</x:v>
      </x:c>
      <x:c r="J1181" s="8" t="s">
        <x:v>3471</x:v>
      </x:c>
      <x:c r="K1181" s="8" t="s">
        <x:v>3472</x:v>
      </x:c>
      <x:c r="L1181" s="8" t="s">
        <x:v>3472</x:v>
      </x:c>
      <x:c r="M1181" s="8"/>
      <x:c r="N1181" s="8" t="s">
        <x:v>406</x:v>
      </x:c>
      <x:c r="O1181" s="8" t="s">
        <x:v>1622</x:v>
      </x:c>
      <x:c r="P1181" s="8" t="s">
        <x:v>115</x:v>
      </x:c>
      <x:c r="Q1181" s="8" t="s">
        <x:v>45</x:v>
      </x:c>
      <x:c r="R1181" s="8" t="s">
        <x:v>3473</x:v>
      </x:c>
      <x:c r="S1181" s="8"/>
      <x:c r="T1181" s="8" t="s">
        <x:v>27</x:v>
      </x:c>
      <x:c r="U1181" s="8" t="s">
        <x:v>3474</x:v>
      </x:c>
      <x:c r="V1181" s="8" t="s">
        <x:v>3475</x:v>
      </x:c>
    </x:row>
    <x:row r="1182" ht="48" hidden="0" customHeight="1">
      <x:c r="A1182" s="8" t="s">
        <x:v>3480</x:v>
      </x:c>
      <x:c r="B1182" s="8" t="s">
        <x:v>3466</x:v>
      </x:c>
      <x:c r="C1182" s="8"/>
      <x:c r="D1182" s="8" t="s">
        <x:v>3481</x:v>
      </x:c>
      <x:c r="E1182" s="8" t="s">
        <x:v>3482</x:v>
      </x:c>
      <x:c r="F1182" s="8" t="s">
        <x:v>3468</x:v>
      </x:c>
      <x:c r="G1182" s="8" t="s">
        <x:v>109</x:v>
      </x:c>
      <x:c r="H1182" s="8" t="s">
        <x:v>3469</x:v>
      </x:c>
      <x:c r="I1182" s="8" t="s">
        <x:v>3470</x:v>
      </x:c>
      <x:c r="J1182" s="8" t="s">
        <x:v>3471</x:v>
      </x:c>
      <x:c r="K1182" s="8" t="s">
        <x:v>3472</x:v>
      </x:c>
      <x:c r="L1182" s="8" t="s">
        <x:v>3472</x:v>
      </x:c>
      <x:c r="M1182" s="8"/>
      <x:c r="N1182" s="8" t="s">
        <x:v>406</x:v>
      </x:c>
      <x:c r="O1182" s="8" t="s">
        <x:v>1622</x:v>
      </x:c>
      <x:c r="P1182" s="8" t="s">
        <x:v>115</x:v>
      </x:c>
      <x:c r="Q1182" s="8" t="s">
        <x:v>45</x:v>
      </x:c>
      <x:c r="R1182" s="8" t="s">
        <x:v>3473</x:v>
      </x:c>
      <x:c r="S1182" s="8"/>
      <x:c r="T1182" s="8" t="s">
        <x:v>27</x:v>
      </x:c>
      <x:c r="U1182" s="8" t="s">
        <x:v>3474</x:v>
      </x:c>
      <x:c r="V1182" s="8" t="s">
        <x:v>3475</x:v>
      </x:c>
    </x:row>
    <x:row r="1183" ht="48" hidden="0" customHeight="1">
      <x:c r="A1183" s="8" t="s">
        <x:v>3483</x:v>
      </x:c>
      <x:c r="B1183" s="8" t="s">
        <x:v>3466</x:v>
      </x:c>
      <x:c r="C1183" s="8"/>
      <x:c r="D1183" s="8" t="s">
        <x:v>3484</x:v>
      </x:c>
      <x:c r="E1183" s="8" t="s">
        <x:v>3485</x:v>
      </x:c>
      <x:c r="F1183" s="8" t="s">
        <x:v>3468</x:v>
      </x:c>
      <x:c r="G1183" s="8" t="s">
        <x:v>109</x:v>
      </x:c>
      <x:c r="H1183" s="8" t="s">
        <x:v>3469</x:v>
      </x:c>
      <x:c r="I1183" s="8" t="s">
        <x:v>3470</x:v>
      </x:c>
      <x:c r="J1183" s="8" t="s">
        <x:v>3471</x:v>
      </x:c>
      <x:c r="K1183" s="8" t="s">
        <x:v>3472</x:v>
      </x:c>
      <x:c r="L1183" s="8" t="s">
        <x:v>3472</x:v>
      </x:c>
      <x:c r="M1183" s="8"/>
      <x:c r="N1183" s="8" t="s">
        <x:v>406</x:v>
      </x:c>
      <x:c r="O1183" s="8" t="s">
        <x:v>1622</x:v>
      </x:c>
      <x:c r="P1183" s="8" t="s">
        <x:v>115</x:v>
      </x:c>
      <x:c r="Q1183" s="8" t="s">
        <x:v>45</x:v>
      </x:c>
      <x:c r="R1183" s="8" t="s">
        <x:v>3473</x:v>
      </x:c>
      <x:c r="S1183" s="8"/>
      <x:c r="T1183" s="8" t="s">
        <x:v>27</x:v>
      </x:c>
      <x:c r="U1183" s="8" t="s">
        <x:v>3474</x:v>
      </x:c>
      <x:c r="V1183" s="8" t="s">
        <x:v>3475</x:v>
      </x:c>
    </x:row>
    <x:row r="1184" ht="48" hidden="0" customHeight="1">
      <x:c r="A1184" s="8" t="s">
        <x:v>3486</x:v>
      </x:c>
      <x:c r="B1184" s="8" t="s">
        <x:v>3466</x:v>
      </x:c>
      <x:c r="C1184" s="8"/>
      <x:c r="D1184" s="8" t="s">
        <x:v>3487</x:v>
      </x:c>
      <x:c r="E1184" s="8" t="s">
        <x:v>3488</x:v>
      </x:c>
      <x:c r="F1184" s="8" t="s">
        <x:v>3468</x:v>
      </x:c>
      <x:c r="G1184" s="8" t="s">
        <x:v>109</x:v>
      </x:c>
      <x:c r="H1184" s="8" t="s">
        <x:v>3469</x:v>
      </x:c>
      <x:c r="I1184" s="8" t="s">
        <x:v>3470</x:v>
      </x:c>
      <x:c r="J1184" s="8" t="s">
        <x:v>3471</x:v>
      </x:c>
      <x:c r="K1184" s="8" t="s">
        <x:v>3489</x:v>
      </x:c>
      <x:c r="L1184" s="8" t="s">
        <x:v>3489</x:v>
      </x:c>
      <x:c r="M1184" s="8"/>
      <x:c r="N1184" s="8" t="s">
        <x:v>406</x:v>
      </x:c>
      <x:c r="O1184" s="8" t="s">
        <x:v>1622</x:v>
      </x:c>
      <x:c r="P1184" s="8" t="s">
        <x:v>115</x:v>
      </x:c>
      <x:c r="Q1184" s="8" t="s">
        <x:v>45</x:v>
      </x:c>
      <x:c r="R1184" s="8" t="s">
        <x:v>3473</x:v>
      </x:c>
      <x:c r="S1184" s="8"/>
      <x:c r="T1184" s="8" t="s">
        <x:v>27</x:v>
      </x:c>
      <x:c r="U1184" s="8" t="s">
        <x:v>3474</x:v>
      </x:c>
      <x:c r="V1184" s="8" t="s">
        <x:v>3475</x:v>
      </x:c>
    </x:row>
    <x:row r="1185" ht="48" hidden="0" customHeight="1">
      <x:c r="A1185" s="8" t="s">
        <x:v>3490</x:v>
      </x:c>
      <x:c r="B1185" s="8" t="s">
        <x:v>3466</x:v>
      </x:c>
      <x:c r="C1185" s="8"/>
      <x:c r="D1185" s="8" t="s">
        <x:v>3491</x:v>
      </x:c>
      <x:c r="E1185" s="8" t="n">
        <x:v>3</x:v>
      </x:c>
      <x:c r="F1185" s="8" t="s">
        <x:v>3468</x:v>
      </x:c>
      <x:c r="G1185" s="8" t="s">
        <x:v>109</x:v>
      </x:c>
      <x:c r="H1185" s="8" t="s">
        <x:v>3469</x:v>
      </x:c>
      <x:c r="I1185" s="8" t="s">
        <x:v>3470</x:v>
      </x:c>
      <x:c r="J1185" s="8" t="s">
        <x:v>3471</x:v>
      </x:c>
      <x:c r="K1185" s="8" t="s">
        <x:v>3489</x:v>
      </x:c>
      <x:c r="L1185" s="8" t="s">
        <x:v>3489</x:v>
      </x:c>
      <x:c r="M1185" s="8"/>
      <x:c r="N1185" s="8" t="s">
        <x:v>406</x:v>
      </x:c>
      <x:c r="O1185" s="8" t="s">
        <x:v>1622</x:v>
      </x:c>
      <x:c r="P1185" s="8" t="s">
        <x:v>115</x:v>
      </x:c>
      <x:c r="Q1185" s="8" t="s">
        <x:v>45</x:v>
      </x:c>
      <x:c r="R1185" s="8" t="s">
        <x:v>3473</x:v>
      </x:c>
      <x:c r="S1185" s="8" t="s">
        <x:v>1545</x:v>
      </x:c>
      <x:c r="T1185" s="8" t="s">
        <x:v>27</x:v>
      </x:c>
      <x:c r="U1185" s="8" t="s">
        <x:v>3474</x:v>
      </x:c>
      <x:c r="V1185" s="8" t="s">
        <x:v>3475</x:v>
      </x:c>
    </x:row>
    <x:row r="1186" ht="48" hidden="0" customHeight="1">
      <x:c r="A1186" s="8" t="s">
        <x:v>3492</x:v>
      </x:c>
      <x:c r="B1186" s="8" t="s">
        <x:v>3466</x:v>
      </x:c>
      <x:c r="C1186" s="8"/>
      <x:c r="D1186" s="8" t="s">
        <x:v>2161</x:v>
      </x:c>
      <x:c r="E1186" s="8" t="s">
        <x:v>3493</x:v>
      </x:c>
      <x:c r="F1186" s="8" t="s">
        <x:v>3468</x:v>
      </x:c>
      <x:c r="G1186" s="8" t="s">
        <x:v>109</x:v>
      </x:c>
      <x:c r="H1186" s="8" t="s">
        <x:v>3469</x:v>
      </x:c>
      <x:c r="I1186" s="8" t="s">
        <x:v>3470</x:v>
      </x:c>
      <x:c r="J1186" s="8" t="s">
        <x:v>3471</x:v>
      </x:c>
      <x:c r="K1186" s="8" t="s">
        <x:v>3489</x:v>
      </x:c>
      <x:c r="L1186" s="8" t="s">
        <x:v>3489</x:v>
      </x:c>
      <x:c r="M1186" s="8"/>
      <x:c r="N1186" s="8" t="s">
        <x:v>406</x:v>
      </x:c>
      <x:c r="O1186" s="8" t="s">
        <x:v>1622</x:v>
      </x:c>
      <x:c r="P1186" s="8" t="s">
        <x:v>115</x:v>
      </x:c>
      <x:c r="Q1186" s="8" t="s">
        <x:v>45</x:v>
      </x:c>
      <x:c r="R1186" s="8" t="s">
        <x:v>3473</x:v>
      </x:c>
      <x:c r="S1186" s="8"/>
      <x:c r="T1186" s="8" t="s">
        <x:v>27</x:v>
      </x:c>
      <x:c r="U1186" s="8" t="s">
        <x:v>3474</x:v>
      </x:c>
      <x:c r="V1186" s="8" t="s">
        <x:v>3475</x:v>
      </x:c>
    </x:row>
    <x:row r="1187" ht="48" hidden="0" customHeight="1">
      <x:c r="A1187" s="8" t="s">
        <x:v>3494</x:v>
      </x:c>
      <x:c r="B1187" s="8" t="s">
        <x:v>3466</x:v>
      </x:c>
      <x:c r="C1187" s="8"/>
      <x:c r="D1187" s="8" t="s">
        <x:v>3495</x:v>
      </x:c>
      <x:c r="E1187" s="8" t="s">
        <x:v>3496</x:v>
      </x:c>
      <x:c r="F1187" s="8" t="s">
        <x:v>3468</x:v>
      </x:c>
      <x:c r="G1187" s="8" t="s">
        <x:v>109</x:v>
      </x:c>
      <x:c r="H1187" s="8" t="s">
        <x:v>3469</x:v>
      </x:c>
      <x:c r="I1187" s="8" t="s">
        <x:v>3470</x:v>
      </x:c>
      <x:c r="J1187" s="8" t="s">
        <x:v>3471</x:v>
      </x:c>
      <x:c r="K1187" s="8" t="s">
        <x:v>3489</x:v>
      </x:c>
      <x:c r="L1187" s="8" t="s">
        <x:v>3489</x:v>
      </x:c>
      <x:c r="M1187" s="8"/>
      <x:c r="N1187" s="8" t="s">
        <x:v>406</x:v>
      </x:c>
      <x:c r="O1187" s="8" t="s">
        <x:v>1622</x:v>
      </x:c>
      <x:c r="P1187" s="8" t="s">
        <x:v>115</x:v>
      </x:c>
      <x:c r="Q1187" s="8" t="s">
        <x:v>45</x:v>
      </x:c>
      <x:c r="R1187" s="8" t="s">
        <x:v>3473</x:v>
      </x:c>
      <x:c r="S1187" s="8"/>
      <x:c r="T1187" s="8" t="s">
        <x:v>27</x:v>
      </x:c>
      <x:c r="U1187" s="8" t="s">
        <x:v>3474</x:v>
      </x:c>
      <x:c r="V1187" s="8" t="s">
        <x:v>3475</x:v>
      </x:c>
    </x:row>
    <x:row r="1188" ht="48" hidden="0" customHeight="1">
      <x:c r="A1188" s="8" t="s">
        <x:v>3497</x:v>
      </x:c>
      <x:c r="B1188" s="8" t="s">
        <x:v>3466</x:v>
      </x:c>
      <x:c r="C1188" s="8"/>
      <x:c r="D1188" s="8" t="s">
        <x:v>3391</x:v>
      </x:c>
      <x:c r="E1188" s="8" t="n">
        <x:v>3</x:v>
      </x:c>
      <x:c r="F1188" s="8" t="s">
        <x:v>3468</x:v>
      </x:c>
      <x:c r="G1188" s="8" t="s">
        <x:v>109</x:v>
      </x:c>
      <x:c r="H1188" s="8" t="s">
        <x:v>3469</x:v>
      </x:c>
      <x:c r="I1188" s="8" t="s">
        <x:v>3470</x:v>
      </x:c>
      <x:c r="J1188" s="8" t="s">
        <x:v>3471</x:v>
      </x:c>
      <x:c r="K1188" s="8" t="s">
        <x:v>3489</x:v>
      </x:c>
      <x:c r="L1188" s="8" t="s">
        <x:v>3489</x:v>
      </x:c>
      <x:c r="M1188" s="8"/>
      <x:c r="N1188" s="8" t="s">
        <x:v>406</x:v>
      </x:c>
      <x:c r="O1188" s="8" t="s">
        <x:v>1622</x:v>
      </x:c>
      <x:c r="P1188" s="8" t="s">
        <x:v>115</x:v>
      </x:c>
      <x:c r="Q1188" s="8" t="s">
        <x:v>45</x:v>
      </x:c>
      <x:c r="R1188" s="8" t="s">
        <x:v>3473</x:v>
      </x:c>
      <x:c r="S1188" s="8"/>
      <x:c r="T1188" s="8" t="s">
        <x:v>27</x:v>
      </x:c>
      <x:c r="U1188" s="8" t="s">
        <x:v>3474</x:v>
      </x:c>
      <x:c r="V1188" s="8" t="s">
        <x:v>3475</x:v>
      </x:c>
    </x:row>
    <x:row r="1189" ht="48" hidden="0" customHeight="1">
      <x:c r="A1189" s="8" t="s">
        <x:v>3498</x:v>
      </x:c>
      <x:c r="B1189" s="8" t="s">
        <x:v>3466</x:v>
      </x:c>
      <x:c r="C1189" s="8"/>
      <x:c r="D1189" s="8" t="s">
        <x:v>3394</x:v>
      </x:c>
      <x:c r="E1189" s="8" t="n">
        <x:v>2</x:v>
      </x:c>
      <x:c r="F1189" s="8" t="s">
        <x:v>3468</x:v>
      </x:c>
      <x:c r="G1189" s="8" t="s">
        <x:v>109</x:v>
      </x:c>
      <x:c r="H1189" s="8" t="s">
        <x:v>3469</x:v>
      </x:c>
      <x:c r="I1189" s="8" t="s">
        <x:v>3470</x:v>
      </x:c>
      <x:c r="J1189" s="8" t="s">
        <x:v>3471</x:v>
      </x:c>
      <x:c r="K1189" s="8" t="s">
        <x:v>3489</x:v>
      </x:c>
      <x:c r="L1189" s="8" t="s">
        <x:v>3489</x:v>
      </x:c>
      <x:c r="M1189" s="8"/>
      <x:c r="N1189" s="8" t="s">
        <x:v>406</x:v>
      </x:c>
      <x:c r="O1189" s="8" t="s">
        <x:v>1622</x:v>
      </x:c>
      <x:c r="P1189" s="8" t="s">
        <x:v>115</x:v>
      </x:c>
      <x:c r="Q1189" s="8" t="s">
        <x:v>45</x:v>
      </x:c>
      <x:c r="R1189" s="8" t="s">
        <x:v>3473</x:v>
      </x:c>
      <x:c r="S1189" s="8"/>
      <x:c r="T1189" s="8" t="s">
        <x:v>27</x:v>
      </x:c>
      <x:c r="U1189" s="8" t="s">
        <x:v>3474</x:v>
      </x:c>
      <x:c r="V1189" s="8" t="s">
        <x:v>3475</x:v>
      </x:c>
    </x:row>
    <x:row r="1190" ht="48" hidden="0" customHeight="1">
      <x:c r="A1190" s="8" t="s">
        <x:v>3499</x:v>
      </x:c>
      <x:c r="B1190" s="8" t="s">
        <x:v>3466</x:v>
      </x:c>
      <x:c r="C1190" s="8"/>
      <x:c r="D1190" s="8" t="s">
        <x:v>3500</x:v>
      </x:c>
      <x:c r="E1190" s="8" t="s">
        <x:v>3501</x:v>
      </x:c>
      <x:c r="F1190" s="8" t="s">
        <x:v>3468</x:v>
      </x:c>
      <x:c r="G1190" s="8" t="s">
        <x:v>109</x:v>
      </x:c>
      <x:c r="H1190" s="8" t="s">
        <x:v>3469</x:v>
      </x:c>
      <x:c r="I1190" s="8" t="s">
        <x:v>3470</x:v>
      </x:c>
      <x:c r="J1190" s="8" t="s">
        <x:v>3471</x:v>
      </x:c>
      <x:c r="K1190" s="8" t="s">
        <x:v>3489</x:v>
      </x:c>
      <x:c r="L1190" s="8" t="s">
        <x:v>3489</x:v>
      </x:c>
      <x:c r="M1190" s="8"/>
      <x:c r="N1190" s="8" t="s">
        <x:v>406</x:v>
      </x:c>
      <x:c r="O1190" s="8" t="s">
        <x:v>1622</x:v>
      </x:c>
      <x:c r="P1190" s="8" t="s">
        <x:v>115</x:v>
      </x:c>
      <x:c r="Q1190" s="8" t="s">
        <x:v>45</x:v>
      </x:c>
      <x:c r="R1190" s="8" t="s">
        <x:v>3473</x:v>
      </x:c>
      <x:c r="S1190" s="8"/>
      <x:c r="T1190" s="8" t="s">
        <x:v>27</x:v>
      </x:c>
      <x:c r="U1190" s="8" t="s">
        <x:v>3474</x:v>
      </x:c>
      <x:c r="V1190" s="8" t="s">
        <x:v>3475</x:v>
      </x:c>
    </x:row>
    <x:row r="1191" ht="48" hidden="0" customHeight="1">
      <x:c r="A1191" s="8" t="s">
        <x:v>3502</x:v>
      </x:c>
      <x:c r="B1191" s="8" t="s">
        <x:v>3466</x:v>
      </x:c>
      <x:c r="C1191" s="8"/>
      <x:c r="D1191" s="8" t="s">
        <x:v>3503</x:v>
      </x:c>
      <x:c r="E1191" s="8" t="s">
        <x:v>3504</x:v>
      </x:c>
      <x:c r="F1191" s="8" t="s">
        <x:v>3468</x:v>
      </x:c>
      <x:c r="G1191" s="8" t="s">
        <x:v>109</x:v>
      </x:c>
      <x:c r="H1191" s="8" t="s">
        <x:v>3469</x:v>
      </x:c>
      <x:c r="I1191" s="8" t="s">
        <x:v>3470</x:v>
      </x:c>
      <x:c r="J1191" s="8" t="s">
        <x:v>3471</x:v>
      </x:c>
      <x:c r="K1191" s="8" t="s">
        <x:v>3489</x:v>
      </x:c>
      <x:c r="L1191" s="8" t="s">
        <x:v>3489</x:v>
      </x:c>
      <x:c r="M1191" s="8"/>
      <x:c r="N1191" s="8" t="s">
        <x:v>406</x:v>
      </x:c>
      <x:c r="O1191" s="8" t="s">
        <x:v>1622</x:v>
      </x:c>
      <x:c r="P1191" s="8" t="s">
        <x:v>115</x:v>
      </x:c>
      <x:c r="Q1191" s="8" t="s">
        <x:v>45</x:v>
      </x:c>
      <x:c r="R1191" s="8" t="s">
        <x:v>3473</x:v>
      </x:c>
      <x:c r="S1191" s="8"/>
      <x:c r="T1191" s="8" t="s">
        <x:v>27</x:v>
      </x:c>
      <x:c r="U1191" s="8" t="s">
        <x:v>3474</x:v>
      </x:c>
      <x:c r="V1191" s="8" t="s">
        <x:v>3475</x:v>
      </x:c>
    </x:row>
    <x:row r="1192" ht="48" hidden="0" customHeight="1">
      <x:c r="A1192" s="8" t="s">
        <x:v>3505</x:v>
      </x:c>
      <x:c r="B1192" s="8" t="s">
        <x:v>3466</x:v>
      </x:c>
      <x:c r="C1192" s="8"/>
      <x:c r="D1192" s="8" t="s">
        <x:v>3506</x:v>
      </x:c>
      <x:c r="E1192" s="8" t="s">
        <x:v>3507</x:v>
      </x:c>
      <x:c r="F1192" s="8" t="s">
        <x:v>3468</x:v>
      </x:c>
      <x:c r="G1192" s="8" t="s">
        <x:v>109</x:v>
      </x:c>
      <x:c r="H1192" s="8" t="s">
        <x:v>3469</x:v>
      </x:c>
      <x:c r="I1192" s="8" t="s">
        <x:v>3470</x:v>
      </x:c>
      <x:c r="J1192" s="8" t="s">
        <x:v>3471</x:v>
      </x:c>
      <x:c r="K1192" s="8" t="s">
        <x:v>3489</x:v>
      </x:c>
      <x:c r="L1192" s="8" t="s">
        <x:v>3489</x:v>
      </x:c>
      <x:c r="M1192" s="8"/>
      <x:c r="N1192" s="8" t="s">
        <x:v>406</x:v>
      </x:c>
      <x:c r="O1192" s="8" t="s">
        <x:v>1622</x:v>
      </x:c>
      <x:c r="P1192" s="8" t="s">
        <x:v>115</x:v>
      </x:c>
      <x:c r="Q1192" s="8" t="s">
        <x:v>45</x:v>
      </x:c>
      <x:c r="R1192" s="8" t="s">
        <x:v>3473</x:v>
      </x:c>
      <x:c r="S1192" s="8"/>
      <x:c r="T1192" s="8" t="s">
        <x:v>27</x:v>
      </x:c>
      <x:c r="U1192" s="8" t="s">
        <x:v>3474</x:v>
      </x:c>
      <x:c r="V1192" s="8" t="s">
        <x:v>3475</x:v>
      </x:c>
    </x:row>
    <x:row r="1193" ht="48" hidden="0" customHeight="1">
      <x:c r="A1193" s="8" t="s">
        <x:v>3508</x:v>
      </x:c>
      <x:c r="B1193" s="8" t="s">
        <x:v>3466</x:v>
      </x:c>
      <x:c r="C1193" s="8"/>
      <x:c r="D1193" s="8" t="s">
        <x:v>3509</x:v>
      </x:c>
      <x:c r="E1193" s="8" t="n">
        <x:v>400</x:v>
      </x:c>
      <x:c r="F1193" s="8" t="s">
        <x:v>3468</x:v>
      </x:c>
      <x:c r="G1193" s="8" t="s">
        <x:v>109</x:v>
      </x:c>
      <x:c r="H1193" s="8" t="s">
        <x:v>3469</x:v>
      </x:c>
      <x:c r="I1193" s="8" t="s">
        <x:v>3470</x:v>
      </x:c>
      <x:c r="J1193" s="8" t="s">
        <x:v>3471</x:v>
      </x:c>
      <x:c r="K1193" s="8" t="s">
        <x:v>3489</x:v>
      </x:c>
      <x:c r="L1193" s="8" t="s">
        <x:v>3489</x:v>
      </x:c>
      <x:c r="M1193" s="8"/>
      <x:c r="N1193" s="8" t="s">
        <x:v>406</x:v>
      </x:c>
      <x:c r="O1193" s="8" t="s">
        <x:v>1622</x:v>
      </x:c>
      <x:c r="P1193" s="8" t="s">
        <x:v>115</x:v>
      </x:c>
      <x:c r="Q1193" s="8" t="s">
        <x:v>45</x:v>
      </x:c>
      <x:c r="R1193" s="8" t="s">
        <x:v>3473</x:v>
      </x:c>
      <x:c r="S1193" s="8"/>
      <x:c r="T1193" s="8" t="s">
        <x:v>27</x:v>
      </x:c>
      <x:c r="U1193" s="8" t="s">
        <x:v>3474</x:v>
      </x:c>
      <x:c r="V1193" s="8" t="s">
        <x:v>3475</x:v>
      </x:c>
    </x:row>
    <x:row r="1194" ht="48" hidden="0" customHeight="1">
      <x:c r="A1194" s="8" t="s">
        <x:v>3510</x:v>
      </x:c>
      <x:c r="B1194" s="8" t="s">
        <x:v>3466</x:v>
      </x:c>
      <x:c r="C1194" s="8"/>
      <x:c r="D1194" s="8" t="s">
        <x:v>3511</x:v>
      </x:c>
      <x:c r="E1194" s="8" t="n">
        <x:v>700</x:v>
      </x:c>
      <x:c r="F1194" s="8" t="s">
        <x:v>3468</x:v>
      </x:c>
      <x:c r="G1194" s="8" t="s">
        <x:v>109</x:v>
      </x:c>
      <x:c r="H1194" s="8" t="s">
        <x:v>3469</x:v>
      </x:c>
      <x:c r="I1194" s="8" t="s">
        <x:v>3470</x:v>
      </x:c>
      <x:c r="J1194" s="8" t="s">
        <x:v>3471</x:v>
      </x:c>
      <x:c r="K1194" s="8" t="s">
        <x:v>3489</x:v>
      </x:c>
      <x:c r="L1194" s="8" t="s">
        <x:v>3489</x:v>
      </x:c>
      <x:c r="M1194" s="8"/>
      <x:c r="N1194" s="8" t="s">
        <x:v>406</x:v>
      </x:c>
      <x:c r="O1194" s="8" t="s">
        <x:v>1622</x:v>
      </x:c>
      <x:c r="P1194" s="8" t="s">
        <x:v>115</x:v>
      </x:c>
      <x:c r="Q1194" s="8" t="s">
        <x:v>45</x:v>
      </x:c>
      <x:c r="R1194" s="8" t="s">
        <x:v>3473</x:v>
      </x:c>
      <x:c r="S1194" s="8"/>
      <x:c r="T1194" s="8" t="s">
        <x:v>27</x:v>
      </x:c>
      <x:c r="U1194" s="8" t="s">
        <x:v>3474</x:v>
      </x:c>
      <x:c r="V1194" s="8" t="s">
        <x:v>3475</x:v>
      </x:c>
    </x:row>
    <x:row r="1195" ht="48" hidden="0" customHeight="1">
      <x:c r="A1195" s="8" t="s">
        <x:v>3512</x:v>
      </x:c>
      <x:c r="B1195" s="8" t="s">
        <x:v>3466</x:v>
      </x:c>
      <x:c r="C1195" s="8"/>
      <x:c r="D1195" s="8" t="s">
        <x:v>3513</x:v>
      </x:c>
      <x:c r="E1195" s="8" t="n">
        <x:v>12</x:v>
      </x:c>
      <x:c r="F1195" s="8" t="s">
        <x:v>3468</x:v>
      </x:c>
      <x:c r="G1195" s="8" t="s">
        <x:v>109</x:v>
      </x:c>
      <x:c r="H1195" s="8" t="s">
        <x:v>3469</x:v>
      </x:c>
      <x:c r="I1195" s="8" t="s">
        <x:v>3470</x:v>
      </x:c>
      <x:c r="J1195" s="8" t="s">
        <x:v>3471</x:v>
      </x:c>
      <x:c r="K1195" s="8" t="s">
        <x:v>3514</x:v>
      </x:c>
      <x:c r="L1195" s="8" t="s">
        <x:v>3514</x:v>
      </x:c>
      <x:c r="M1195" s="8"/>
      <x:c r="N1195" s="8" t="s">
        <x:v>406</x:v>
      </x:c>
      <x:c r="O1195" s="8" t="s">
        <x:v>1622</x:v>
      </x:c>
      <x:c r="P1195" s="8" t="s">
        <x:v>115</x:v>
      </x:c>
      <x:c r="Q1195" s="8" t="s">
        <x:v>45</x:v>
      </x:c>
      <x:c r="R1195" s="8" t="s">
        <x:v>3473</x:v>
      </x:c>
      <x:c r="S1195" s="8" t="s">
        <x:v>1545</x:v>
      </x:c>
      <x:c r="T1195" s="8" t="s">
        <x:v>27</x:v>
      </x:c>
      <x:c r="U1195" s="8" t="s">
        <x:v>3474</x:v>
      </x:c>
      <x:c r="V1195" s="8" t="s">
        <x:v>3475</x:v>
      </x:c>
    </x:row>
    <x:row r="1196" ht="48" hidden="0" customHeight="1">
      <x:c r="A1196" s="8" t="s">
        <x:v>3515</x:v>
      </x:c>
      <x:c r="B1196" s="8" t="s">
        <x:v>3466</x:v>
      </x:c>
      <x:c r="C1196" s="8"/>
      <x:c r="D1196" s="8" t="s">
        <x:v>3516</x:v>
      </x:c>
      <x:c r="E1196" s="8" t="n">
        <x:v>20</x:v>
      </x:c>
      <x:c r="F1196" s="8" t="s">
        <x:v>3468</x:v>
      </x:c>
      <x:c r="G1196" s="8" t="s">
        <x:v>109</x:v>
      </x:c>
      <x:c r="H1196" s="8" t="s">
        <x:v>3469</x:v>
      </x:c>
      <x:c r="I1196" s="8" t="s">
        <x:v>3470</x:v>
      </x:c>
      <x:c r="J1196" s="8" t="s">
        <x:v>3471</x:v>
      </x:c>
      <x:c r="K1196" s="8" t="s">
        <x:v>3514</x:v>
      </x:c>
      <x:c r="L1196" s="8" t="s">
        <x:v>3514</x:v>
      </x:c>
      <x:c r="M1196" s="8"/>
      <x:c r="N1196" s="8" t="s">
        <x:v>406</x:v>
      </x:c>
      <x:c r="O1196" s="8" t="s">
        <x:v>1622</x:v>
      </x:c>
      <x:c r="P1196" s="8" t="s">
        <x:v>115</x:v>
      </x:c>
      <x:c r="Q1196" s="8" t="s">
        <x:v>45</x:v>
      </x:c>
      <x:c r="R1196" s="8" t="s">
        <x:v>3473</x:v>
      </x:c>
      <x:c r="S1196" s="8" t="s">
        <x:v>1545</x:v>
      </x:c>
      <x:c r="T1196" s="8" t="s">
        <x:v>27</x:v>
      </x:c>
      <x:c r="U1196" s="8" t="s">
        <x:v>3474</x:v>
      </x:c>
      <x:c r="V1196" s="8" t="s">
        <x:v>3475</x:v>
      </x:c>
    </x:row>
    <x:row r="1197" ht="48" hidden="0" customHeight="1">
      <x:c r="A1197" s="8" t="s">
        <x:v>3517</x:v>
      </x:c>
      <x:c r="B1197" s="8" t="s">
        <x:v>3466</x:v>
      </x:c>
      <x:c r="C1197" s="8"/>
      <x:c r="D1197" s="8" t="s">
        <x:v>3518</x:v>
      </x:c>
      <x:c r="E1197" s="8" t="s">
        <x:v>3519</x:v>
      </x:c>
      <x:c r="F1197" s="8" t="s">
        <x:v>3468</x:v>
      </x:c>
      <x:c r="G1197" s="8" t="s">
        <x:v>109</x:v>
      </x:c>
      <x:c r="H1197" s="8" t="s">
        <x:v>3469</x:v>
      </x:c>
      <x:c r="I1197" s="8" t="s">
        <x:v>3470</x:v>
      </x:c>
      <x:c r="J1197" s="8" t="s">
        <x:v>3471</x:v>
      </x:c>
      <x:c r="K1197" s="8" t="s">
        <x:v>3514</x:v>
      </x:c>
      <x:c r="L1197" s="8" t="s">
        <x:v>3514</x:v>
      </x:c>
      <x:c r="M1197" s="8"/>
      <x:c r="N1197" s="8" t="s">
        <x:v>406</x:v>
      </x:c>
      <x:c r="O1197" s="8" t="s">
        <x:v>1622</x:v>
      </x:c>
      <x:c r="P1197" s="8" t="s">
        <x:v>115</x:v>
      </x:c>
      <x:c r="Q1197" s="8" t="s">
        <x:v>45</x:v>
      </x:c>
      <x:c r="R1197" s="8" t="s">
        <x:v>3473</x:v>
      </x:c>
      <x:c r="S1197" s="8"/>
      <x:c r="T1197" s="8" t="s">
        <x:v>27</x:v>
      </x:c>
      <x:c r="U1197" s="8" t="s">
        <x:v>3474</x:v>
      </x:c>
      <x:c r="V1197" s="8" t="s">
        <x:v>3475</x:v>
      </x:c>
    </x:row>
    <x:row r="1198" ht="48" hidden="0" customHeight="1">
      <x:c r="A1198" s="8" t="s">
        <x:v>3520</x:v>
      </x:c>
      <x:c r="B1198" s="8" t="s">
        <x:v>3466</x:v>
      </x:c>
      <x:c r="C1198" s="8"/>
      <x:c r="D1198" s="8" t="s">
        <x:v>3521</x:v>
      </x:c>
      <x:c r="E1198" s="8" t="s">
        <x:v>3522</x:v>
      </x:c>
      <x:c r="F1198" s="8" t="s">
        <x:v>3468</x:v>
      </x:c>
      <x:c r="G1198" s="8" t="s">
        <x:v>109</x:v>
      </x:c>
      <x:c r="H1198" s="8" t="s">
        <x:v>3469</x:v>
      </x:c>
      <x:c r="I1198" s="8" t="s">
        <x:v>3470</x:v>
      </x:c>
      <x:c r="J1198" s="8" t="s">
        <x:v>3471</x:v>
      </x:c>
      <x:c r="K1198" s="8" t="s">
        <x:v>3523</x:v>
      </x:c>
      <x:c r="L1198" s="8" t="s">
        <x:v>3523</x:v>
      </x:c>
      <x:c r="M1198" s="8"/>
      <x:c r="N1198" s="8" t="s">
        <x:v>406</x:v>
      </x:c>
      <x:c r="O1198" s="8" t="s">
        <x:v>1622</x:v>
      </x:c>
      <x:c r="P1198" s="8" t="s">
        <x:v>115</x:v>
      </x:c>
      <x:c r="Q1198" s="8" t="s">
        <x:v>45</x:v>
      </x:c>
      <x:c r="R1198" s="8" t="s">
        <x:v>3473</x:v>
      </x:c>
      <x:c r="S1198" s="8"/>
      <x:c r="T1198" s="8" t="s">
        <x:v>27</x:v>
      </x:c>
      <x:c r="U1198" s="8" t="s">
        <x:v>3474</x:v>
      </x:c>
      <x:c r="V1198" s="8" t="s">
        <x:v>3475</x:v>
      </x:c>
    </x:row>
    <x:row r="1199" ht="48" hidden="0" customHeight="1">
      <x:c r="A1199" s="8" t="s">
        <x:v>3524</x:v>
      </x:c>
      <x:c r="B1199" s="8" t="s">
        <x:v>3466</x:v>
      </x:c>
      <x:c r="C1199" s="8"/>
      <x:c r="D1199" s="8" t="s">
        <x:v>3525</x:v>
      </x:c>
      <x:c r="E1199" s="8" t="s">
        <x:v>3526</x:v>
      </x:c>
      <x:c r="F1199" s="8" t="s">
        <x:v>3468</x:v>
      </x:c>
      <x:c r="G1199" s="8" t="s">
        <x:v>187</x:v>
      </x:c>
      <x:c r="H1199" s="8" t="s">
        <x:v>3469</x:v>
      </x:c>
      <x:c r="I1199" s="8" t="s">
        <x:v>3470</x:v>
      </x:c>
      <x:c r="J1199" s="8" t="s">
        <x:v>3471</x:v>
      </x:c>
      <x:c r="K1199" s="8" t="s">
        <x:v>3527</x:v>
      </x:c>
      <x:c r="L1199" s="8" t="s">
        <x:v>3527</x:v>
      </x:c>
      <x:c r="M1199" s="8"/>
      <x:c r="N1199" s="8" t="s">
        <x:v>406</x:v>
      </x:c>
      <x:c r="O1199" s="8" t="s">
        <x:v>1622</x:v>
      </x:c>
      <x:c r="P1199" s="8" t="s">
        <x:v>115</x:v>
      </x:c>
      <x:c r="Q1199" s="8" t="s">
        <x:v>45</x:v>
      </x:c>
      <x:c r="R1199" s="8" t="s">
        <x:v>3473</x:v>
      </x:c>
      <x:c r="S1199" s="8"/>
      <x:c r="T1199" s="8" t="s">
        <x:v>27</x:v>
      </x:c>
      <x:c r="U1199" s="8" t="s">
        <x:v>3474</x:v>
      </x:c>
      <x:c r="V1199" s="8" t="s">
        <x:v>3475</x:v>
      </x:c>
    </x:row>
    <x:row r="1200" ht="48" hidden="0" customHeight="1">
      <x:c r="A1200" s="8" t="s">
        <x:v>3528</x:v>
      </x:c>
      <x:c r="B1200" s="8" t="s">
        <x:v>3466</x:v>
      </x:c>
      <x:c r="C1200" s="8"/>
      <x:c r="D1200" s="8" t="s">
        <x:v>3529</x:v>
      </x:c>
      <x:c r="E1200" s="8" t="s">
        <x:v>3530</x:v>
      </x:c>
      <x:c r="F1200" s="8" t="s">
        <x:v>3468</x:v>
      </x:c>
      <x:c r="G1200" s="8" t="s">
        <x:v>187</x:v>
      </x:c>
      <x:c r="H1200" s="8" t="s">
        <x:v>3469</x:v>
      </x:c>
      <x:c r="I1200" s="8" t="s">
        <x:v>3470</x:v>
      </x:c>
      <x:c r="J1200" s="8" t="s">
        <x:v>3471</x:v>
      </x:c>
      <x:c r="K1200" s="8" t="s">
        <x:v>3527</x:v>
      </x:c>
      <x:c r="L1200" s="8" t="s">
        <x:v>3527</x:v>
      </x:c>
      <x:c r="M1200" s="8"/>
      <x:c r="N1200" s="8" t="s">
        <x:v>406</x:v>
      </x:c>
      <x:c r="O1200" s="8" t="s">
        <x:v>1622</x:v>
      </x:c>
      <x:c r="P1200" s="8" t="s">
        <x:v>115</x:v>
      </x:c>
      <x:c r="Q1200" s="8" t="s">
        <x:v>45</x:v>
      </x:c>
      <x:c r="R1200" s="8" t="s">
        <x:v>3473</x:v>
      </x:c>
      <x:c r="S1200" s="8"/>
      <x:c r="T1200" s="8" t="s">
        <x:v>27</x:v>
      </x:c>
      <x:c r="U1200" s="8" t="s">
        <x:v>3474</x:v>
      </x:c>
      <x:c r="V1200" s="8" t="s">
        <x:v>3475</x:v>
      </x:c>
    </x:row>
    <x:row r="1201" ht="48" hidden="0" customHeight="1">
      <x:c r="A1201" s="8" t="s">
        <x:v>3531</x:v>
      </x:c>
      <x:c r="B1201" s="8" t="s">
        <x:v>3466</x:v>
      </x:c>
      <x:c r="C1201" s="8"/>
      <x:c r="D1201" s="8" t="s">
        <x:v>3532</x:v>
      </x:c>
      <x:c r="E1201" s="8" t="s">
        <x:v>3533</x:v>
      </x:c>
      <x:c r="F1201" s="8" t="s">
        <x:v>3468</x:v>
      </x:c>
      <x:c r="G1201" s="8" t="s">
        <x:v>109</x:v>
      </x:c>
      <x:c r="H1201" s="8" t="s">
        <x:v>3469</x:v>
      </x:c>
      <x:c r="I1201" s="8" t="s">
        <x:v>3470</x:v>
      </x:c>
      <x:c r="J1201" s="8" t="s">
        <x:v>3471</x:v>
      </x:c>
      <x:c r="K1201" s="8" t="s">
        <x:v>3527</x:v>
      </x:c>
      <x:c r="L1201" s="8" t="s">
        <x:v>3527</x:v>
      </x:c>
      <x:c r="M1201" s="8"/>
      <x:c r="N1201" s="8" t="s">
        <x:v>406</x:v>
      </x:c>
      <x:c r="O1201" s="8" t="s">
        <x:v>1622</x:v>
      </x:c>
      <x:c r="P1201" s="8" t="s">
        <x:v>115</x:v>
      </x:c>
      <x:c r="Q1201" s="8" t="s">
        <x:v>45</x:v>
      </x:c>
      <x:c r="R1201" s="8" t="s">
        <x:v>3473</x:v>
      </x:c>
      <x:c r="S1201" s="8"/>
      <x:c r="T1201" s="8" t="s">
        <x:v>27</x:v>
      </x:c>
      <x:c r="U1201" s="8" t="s">
        <x:v>3474</x:v>
      </x:c>
      <x:c r="V1201" s="8" t="s">
        <x:v>3475</x:v>
      </x:c>
    </x:row>
    <x:row r="1202" ht="48" hidden="0" customHeight="1">
      <x:c r="A1202" s="8" t="s">
        <x:v>3534</x:v>
      </x:c>
      <x:c r="B1202" s="8" t="s">
        <x:v>3535</x:v>
      </x:c>
      <x:c r="C1202" s="8"/>
      <x:c r="D1202" s="8" t="s">
        <x:v>3536</x:v>
      </x:c>
      <x:c r="E1202" s="8" t="s">
        <x:v>3537</x:v>
      </x:c>
      <x:c r="F1202" s="8" t="s">
        <x:v>3538</x:v>
      </x:c>
      <x:c r="G1202" s="8" t="s">
        <x:v>109</x:v>
      </x:c>
      <x:c r="H1202" s="8" t="s">
        <x:v>3539</x:v>
      </x:c>
      <x:c r="I1202" s="8" t="s">
        <x:v>3540</x:v>
      </x:c>
      <x:c r="J1202" s="8" t="s">
        <x:v>3471</x:v>
      </x:c>
      <x:c r="K1202" s="8" t="s">
        <x:v>3541</x:v>
      </x:c>
      <x:c r="L1202" s="8" t="s">
        <x:v>3541</x:v>
      </x:c>
      <x:c r="M1202" s="8"/>
      <x:c r="N1202" s="8" t="s">
        <x:v>168</x:v>
      </x:c>
      <x:c r="O1202" s="8" t="s">
        <x:v>1622</x:v>
      </x:c>
      <x:c r="P1202" s="8" t="s">
        <x:v>115</x:v>
      </x:c>
      <x:c r="Q1202" s="8" t="s">
        <x:v>45</x:v>
      </x:c>
      <x:c r="R1202" s="8" t="s">
        <x:v>3473</x:v>
      </x:c>
      <x:c r="S1202" s="8"/>
      <x:c r="T1202" s="8" t="s">
        <x:v>27</x:v>
      </x:c>
      <x:c r="U1202" s="8" t="s">
        <x:v>3474</x:v>
      </x:c>
      <x:c r="V1202" s="8" t="s">
        <x:v>3475</x:v>
      </x:c>
    </x:row>
    <x:row r="1203" ht="48" hidden="0" customHeight="1">
      <x:c r="A1203" s="8" t="s">
        <x:v>3542</x:v>
      </x:c>
      <x:c r="B1203" s="8" t="s">
        <x:v>3535</x:v>
      </x:c>
      <x:c r="C1203" s="8"/>
      <x:c r="D1203" s="8" t="s">
        <x:v>1682</x:v>
      </x:c>
      <x:c r="E1203" s="8" t="n">
        <x:v>1</x:v>
      </x:c>
      <x:c r="F1203" s="8" t="s">
        <x:v>3538</x:v>
      </x:c>
      <x:c r="G1203" s="8" t="s">
        <x:v>109</x:v>
      </x:c>
      <x:c r="H1203" s="8" t="s">
        <x:v>3539</x:v>
      </x:c>
      <x:c r="I1203" s="8" t="s">
        <x:v>3540</x:v>
      </x:c>
      <x:c r="J1203" s="8" t="s">
        <x:v>3471</x:v>
      </x:c>
      <x:c r="K1203" s="8" t="s">
        <x:v>3541</x:v>
      </x:c>
      <x:c r="L1203" s="8" t="s">
        <x:v>3541</x:v>
      </x:c>
      <x:c r="M1203" s="8"/>
      <x:c r="N1203" s="8" t="s">
        <x:v>168</x:v>
      </x:c>
      <x:c r="O1203" s="8" t="s">
        <x:v>1622</x:v>
      </x:c>
      <x:c r="P1203" s="8" t="s">
        <x:v>115</x:v>
      </x:c>
      <x:c r="Q1203" s="8" t="s">
        <x:v>45</x:v>
      </x:c>
      <x:c r="R1203" s="8" t="s">
        <x:v>3473</x:v>
      </x:c>
      <x:c r="S1203" s="8" t="s">
        <x:v>1684</x:v>
      </x:c>
      <x:c r="T1203" s="8" t="s">
        <x:v>27</x:v>
      </x:c>
      <x:c r="U1203" s="8" t="s">
        <x:v>3474</x:v>
      </x:c>
      <x:c r="V1203" s="8" t="s">
        <x:v>3475</x:v>
      </x:c>
    </x:row>
    <x:row r="1204" ht="48" hidden="0" customHeight="1">
      <x:c r="A1204" s="8" t="s">
        <x:v>3543</x:v>
      </x:c>
      <x:c r="B1204" s="8" t="s">
        <x:v>3535</x:v>
      </x:c>
      <x:c r="C1204" s="8"/>
      <x:c r="D1204" s="8" t="s">
        <x:v>3544</x:v>
      </x:c>
      <x:c r="E1204" s="8" t="s">
        <x:v>3545</x:v>
      </x:c>
      <x:c r="F1204" s="8" t="s">
        <x:v>3538</x:v>
      </x:c>
      <x:c r="G1204" s="8" t="s">
        <x:v>109</x:v>
      </x:c>
      <x:c r="H1204" s="8" t="s">
        <x:v>3539</x:v>
      </x:c>
      <x:c r="I1204" s="8" t="s">
        <x:v>3540</x:v>
      </x:c>
      <x:c r="J1204" s="8" t="s">
        <x:v>3471</x:v>
      </x:c>
      <x:c r="K1204" s="8" t="s">
        <x:v>3541</x:v>
      </x:c>
      <x:c r="L1204" s="8" t="s">
        <x:v>3541</x:v>
      </x:c>
      <x:c r="M1204" s="8"/>
      <x:c r="N1204" s="8" t="s">
        <x:v>168</x:v>
      </x:c>
      <x:c r="O1204" s="8" t="s">
        <x:v>1622</x:v>
      </x:c>
      <x:c r="P1204" s="8" t="s">
        <x:v>115</x:v>
      </x:c>
      <x:c r="Q1204" s="8" t="s">
        <x:v>45</x:v>
      </x:c>
      <x:c r="R1204" s="8" t="s">
        <x:v>3473</x:v>
      </x:c>
      <x:c r="S1204" s="8"/>
      <x:c r="T1204" s="8" t="s">
        <x:v>27</x:v>
      </x:c>
      <x:c r="U1204" s="8" t="s">
        <x:v>3474</x:v>
      </x:c>
      <x:c r="V1204" s="8" t="s">
        <x:v>3475</x:v>
      </x:c>
    </x:row>
    <x:row r="1205" ht="48" hidden="0" customHeight="1">
      <x:c r="A1205" s="8" t="s">
        <x:v>3546</x:v>
      </x:c>
      <x:c r="B1205" s="8" t="s">
        <x:v>3535</x:v>
      </x:c>
      <x:c r="C1205" s="8"/>
      <x:c r="D1205" s="8" t="s">
        <x:v>1898</x:v>
      </x:c>
      <x:c r="E1205" s="8" t="s">
        <x:v>3547</x:v>
      </x:c>
      <x:c r="F1205" s="8" t="s">
        <x:v>3538</x:v>
      </x:c>
      <x:c r="G1205" s="8" t="s">
        <x:v>109</x:v>
      </x:c>
      <x:c r="H1205" s="8" t="s">
        <x:v>3539</x:v>
      </x:c>
      <x:c r="I1205" s="8" t="s">
        <x:v>3540</x:v>
      </x:c>
      <x:c r="J1205" s="8" t="s">
        <x:v>3471</x:v>
      </x:c>
      <x:c r="K1205" s="8" t="s">
        <x:v>3548</x:v>
      </x:c>
      <x:c r="L1205" s="8" t="s">
        <x:v>3548</x:v>
      </x:c>
      <x:c r="M1205" s="8"/>
      <x:c r="N1205" s="8" t="s">
        <x:v>168</x:v>
      </x:c>
      <x:c r="O1205" s="8" t="s">
        <x:v>1622</x:v>
      </x:c>
      <x:c r="P1205" s="8" t="s">
        <x:v>115</x:v>
      </x:c>
      <x:c r="Q1205" s="8" t="s">
        <x:v>45</x:v>
      </x:c>
      <x:c r="R1205" s="8" t="s">
        <x:v>3473</x:v>
      </x:c>
      <x:c r="S1205" s="8"/>
      <x:c r="T1205" s="8" t="s">
        <x:v>27</x:v>
      </x:c>
      <x:c r="U1205" s="8" t="s">
        <x:v>3474</x:v>
      </x:c>
      <x:c r="V1205" s="8" t="s">
        <x:v>3475</x:v>
      </x:c>
    </x:row>
    <x:row r="1206" ht="48" hidden="0" customHeight="1">
      <x:c r="A1206" s="8" t="s">
        <x:v>3549</x:v>
      </x:c>
      <x:c r="B1206" s="8" t="s">
        <x:v>3535</x:v>
      </x:c>
      <x:c r="C1206" s="8"/>
      <x:c r="D1206" s="8" t="s">
        <x:v>1775</x:v>
      </x:c>
      <x:c r="E1206" s="8" t="s">
        <x:v>3550</x:v>
      </x:c>
      <x:c r="F1206" s="8" t="s">
        <x:v>3538</x:v>
      </x:c>
      <x:c r="G1206" s="8" t="s">
        <x:v>109</x:v>
      </x:c>
      <x:c r="H1206" s="8" t="s">
        <x:v>3539</x:v>
      </x:c>
      <x:c r="I1206" s="8" t="s">
        <x:v>3540</x:v>
      </x:c>
      <x:c r="J1206" s="8" t="s">
        <x:v>3471</x:v>
      </x:c>
      <x:c r="K1206" s="8" t="s">
        <x:v>3548</x:v>
      </x:c>
      <x:c r="L1206" s="8" t="s">
        <x:v>3548</x:v>
      </x:c>
      <x:c r="M1206" s="8"/>
      <x:c r="N1206" s="8" t="s">
        <x:v>168</x:v>
      </x:c>
      <x:c r="O1206" s="8" t="s">
        <x:v>1622</x:v>
      </x:c>
      <x:c r="P1206" s="8" t="s">
        <x:v>115</x:v>
      </x:c>
      <x:c r="Q1206" s="8" t="s">
        <x:v>45</x:v>
      </x:c>
      <x:c r="R1206" s="8" t="s">
        <x:v>3473</x:v>
      </x:c>
      <x:c r="S1206" s="8"/>
      <x:c r="T1206" s="8" t="s">
        <x:v>27</x:v>
      </x:c>
      <x:c r="U1206" s="8" t="s">
        <x:v>3474</x:v>
      </x:c>
      <x:c r="V1206" s="8" t="s">
        <x:v>3475</x:v>
      </x:c>
    </x:row>
    <x:row r="1207" ht="48" hidden="0" customHeight="1">
      <x:c r="A1207" s="8" t="s">
        <x:v>3551</x:v>
      </x:c>
      <x:c r="B1207" s="8" t="s">
        <x:v>3535</x:v>
      </x:c>
      <x:c r="C1207" s="8"/>
      <x:c r="D1207" s="8" t="s">
        <x:v>3552</x:v>
      </x:c>
      <x:c r="E1207" s="8" t="n">
        <x:v>5</x:v>
      </x:c>
      <x:c r="F1207" s="8" t="s">
        <x:v>3538</x:v>
      </x:c>
      <x:c r="G1207" s="8" t="s">
        <x:v>109</x:v>
      </x:c>
      <x:c r="H1207" s="8" t="s">
        <x:v>3539</x:v>
      </x:c>
      <x:c r="I1207" s="8" t="s">
        <x:v>3540</x:v>
      </x:c>
      <x:c r="J1207" s="8" t="s">
        <x:v>3471</x:v>
      </x:c>
      <x:c r="K1207" s="8" t="s">
        <x:v>3548</x:v>
      </x:c>
      <x:c r="L1207" s="8" t="s">
        <x:v>3548</x:v>
      </x:c>
      <x:c r="M1207" s="8"/>
      <x:c r="N1207" s="8" t="s">
        <x:v>168</x:v>
      </x:c>
      <x:c r="O1207" s="8" t="s">
        <x:v>1622</x:v>
      </x:c>
      <x:c r="P1207" s="8" t="s">
        <x:v>115</x:v>
      </x:c>
      <x:c r="Q1207" s="8" t="s">
        <x:v>45</x:v>
      </x:c>
      <x:c r="R1207" s="8" t="s">
        <x:v>3473</x:v>
      </x:c>
      <x:c r="S1207" s="8" t="s">
        <x:v>914</x:v>
      </x:c>
      <x:c r="T1207" s="8" t="s">
        <x:v>27</x:v>
      </x:c>
      <x:c r="U1207" s="8" t="s">
        <x:v>3474</x:v>
      </x:c>
      <x:c r="V1207" s="8" t="s">
        <x:v>3475</x:v>
      </x:c>
    </x:row>
    <x:row r="1208" ht="48" hidden="0" customHeight="1">
      <x:c r="A1208" s="8" t="s">
        <x:v>3553</x:v>
      </x:c>
      <x:c r="B1208" s="8" t="s">
        <x:v>3535</x:v>
      </x:c>
      <x:c r="C1208" s="8"/>
      <x:c r="D1208" s="8" t="s">
        <x:v>3554</x:v>
      </x:c>
      <x:c r="E1208" s="8" t="s">
        <x:v>3555</x:v>
      </x:c>
      <x:c r="F1208" s="8" t="s">
        <x:v>3538</x:v>
      </x:c>
      <x:c r="G1208" s="8" t="s">
        <x:v>109</x:v>
      </x:c>
      <x:c r="H1208" s="8" t="s">
        <x:v>3539</x:v>
      </x:c>
      <x:c r="I1208" s="8" t="s">
        <x:v>3540</x:v>
      </x:c>
      <x:c r="J1208" s="8" t="s">
        <x:v>3471</x:v>
      </x:c>
      <x:c r="K1208" s="8" t="s">
        <x:v>3548</x:v>
      </x:c>
      <x:c r="L1208" s="8" t="s">
        <x:v>3548</x:v>
      </x:c>
      <x:c r="M1208" s="8"/>
      <x:c r="N1208" s="8" t="s">
        <x:v>168</x:v>
      </x:c>
      <x:c r="O1208" s="8" t="s">
        <x:v>1622</x:v>
      </x:c>
      <x:c r="P1208" s="8" t="s">
        <x:v>115</x:v>
      </x:c>
      <x:c r="Q1208" s="8" t="s">
        <x:v>45</x:v>
      </x:c>
      <x:c r="R1208" s="8" t="s">
        <x:v>3473</x:v>
      </x:c>
      <x:c r="S1208" s="8"/>
      <x:c r="T1208" s="8" t="s">
        <x:v>27</x:v>
      </x:c>
      <x:c r="U1208" s="8" t="s">
        <x:v>3474</x:v>
      </x:c>
      <x:c r="V1208" s="8" t="s">
        <x:v>3475</x:v>
      </x:c>
    </x:row>
    <x:row r="1209" ht="48" hidden="0" customHeight="1">
      <x:c r="A1209" s="8" t="s">
        <x:v>3556</x:v>
      </x:c>
      <x:c r="B1209" s="8" t="s">
        <x:v>3535</x:v>
      </x:c>
      <x:c r="C1209" s="8"/>
      <x:c r="D1209" s="8" t="s">
        <x:v>2161</x:v>
      </x:c>
      <x:c r="E1209" s="8" t="s">
        <x:v>3557</x:v>
      </x:c>
      <x:c r="F1209" s="8" t="s">
        <x:v>3538</x:v>
      </x:c>
      <x:c r="G1209" s="8" t="s">
        <x:v>109</x:v>
      </x:c>
      <x:c r="H1209" s="8" t="s">
        <x:v>3539</x:v>
      </x:c>
      <x:c r="I1209" s="8" t="s">
        <x:v>3540</x:v>
      </x:c>
      <x:c r="J1209" s="8" t="s">
        <x:v>3471</x:v>
      </x:c>
      <x:c r="K1209" s="8" t="s">
        <x:v>3548</x:v>
      </x:c>
      <x:c r="L1209" s="8" t="s">
        <x:v>3548</x:v>
      </x:c>
      <x:c r="M1209" s="8"/>
      <x:c r="N1209" s="8" t="s">
        <x:v>168</x:v>
      </x:c>
      <x:c r="O1209" s="8" t="s">
        <x:v>1622</x:v>
      </x:c>
      <x:c r="P1209" s="8" t="s">
        <x:v>115</x:v>
      </x:c>
      <x:c r="Q1209" s="8" t="s">
        <x:v>45</x:v>
      </x:c>
      <x:c r="R1209" s="8" t="s">
        <x:v>3473</x:v>
      </x:c>
      <x:c r="S1209" s="8"/>
      <x:c r="T1209" s="8" t="s">
        <x:v>27</x:v>
      </x:c>
      <x:c r="U1209" s="8" t="s">
        <x:v>3474</x:v>
      </x:c>
      <x:c r="V1209" s="8" t="s">
        <x:v>3475</x:v>
      </x:c>
    </x:row>
    <x:row r="1210" ht="48" hidden="0" customHeight="1">
      <x:c r="A1210" s="8" t="s">
        <x:v>3558</x:v>
      </x:c>
      <x:c r="B1210" s="8" t="s">
        <x:v>3535</x:v>
      </x:c>
      <x:c r="C1210" s="8"/>
      <x:c r="D1210" s="8" t="s">
        <x:v>3559</x:v>
      </x:c>
      <x:c r="E1210" s="8" t="s">
        <x:v>3560</x:v>
      </x:c>
      <x:c r="F1210" s="8" t="s">
        <x:v>3538</x:v>
      </x:c>
      <x:c r="G1210" s="8" t="s">
        <x:v>109</x:v>
      </x:c>
      <x:c r="H1210" s="8" t="s">
        <x:v>3539</x:v>
      </x:c>
      <x:c r="I1210" s="8" t="s">
        <x:v>3540</x:v>
      </x:c>
      <x:c r="J1210" s="8" t="s">
        <x:v>3471</x:v>
      </x:c>
      <x:c r="K1210" s="8" t="s">
        <x:v>3548</x:v>
      </x:c>
      <x:c r="L1210" s="8" t="s">
        <x:v>3548</x:v>
      </x:c>
      <x:c r="M1210" s="8"/>
      <x:c r="N1210" s="8" t="s">
        <x:v>168</x:v>
      </x:c>
      <x:c r="O1210" s="8" t="s">
        <x:v>1622</x:v>
      </x:c>
      <x:c r="P1210" s="8" t="s">
        <x:v>115</x:v>
      </x:c>
      <x:c r="Q1210" s="8" t="s">
        <x:v>45</x:v>
      </x:c>
      <x:c r="R1210" s="8" t="s">
        <x:v>3473</x:v>
      </x:c>
      <x:c r="S1210" s="8"/>
      <x:c r="T1210" s="8" t="s">
        <x:v>27</x:v>
      </x:c>
      <x:c r="U1210" s="8" t="s">
        <x:v>3474</x:v>
      </x:c>
      <x:c r="V1210" s="8" t="s">
        <x:v>3475</x:v>
      </x:c>
    </x:row>
    <x:row r="1211" ht="48" hidden="0" customHeight="1">
      <x:c r="A1211" s="8" t="s">
        <x:v>3561</x:v>
      </x:c>
      <x:c r="B1211" s="8" t="s">
        <x:v>3535</x:v>
      </x:c>
      <x:c r="C1211" s="8"/>
      <x:c r="D1211" s="8" t="s">
        <x:v>3562</x:v>
      </x:c>
      <x:c r="E1211" s="8" t="s">
        <x:v>3563</x:v>
      </x:c>
      <x:c r="F1211" s="8" t="s">
        <x:v>3538</x:v>
      </x:c>
      <x:c r="G1211" s="8" t="s">
        <x:v>109</x:v>
      </x:c>
      <x:c r="H1211" s="8" t="s">
        <x:v>3539</x:v>
      </x:c>
      <x:c r="I1211" s="8" t="s">
        <x:v>3540</x:v>
      </x:c>
      <x:c r="J1211" s="8" t="s">
        <x:v>3471</x:v>
      </x:c>
      <x:c r="K1211" s="8" t="s">
        <x:v>3564</x:v>
      </x:c>
      <x:c r="L1211" s="8" t="s">
        <x:v>3564</x:v>
      </x:c>
      <x:c r="M1211" s="8"/>
      <x:c r="N1211" s="8" t="s">
        <x:v>3565</x:v>
      </x:c>
      <x:c r="O1211" s="8" t="s">
        <x:v>1622</x:v>
      </x:c>
      <x:c r="P1211" s="8" t="s">
        <x:v>115</x:v>
      </x:c>
      <x:c r="Q1211" s="8" t="s">
        <x:v>45</x:v>
      </x:c>
      <x:c r="R1211" s="8" t="s">
        <x:v>3473</x:v>
      </x:c>
      <x:c r="S1211" s="8"/>
      <x:c r="T1211" s="8" t="s">
        <x:v>27</x:v>
      </x:c>
      <x:c r="U1211" s="8" t="s">
        <x:v>3474</x:v>
      </x:c>
      <x:c r="V1211" s="8" t="s">
        <x:v>3475</x:v>
      </x:c>
    </x:row>
    <x:row r="1212" ht="48" hidden="0" customHeight="1">
      <x:c r="A1212" s="8" t="s">
        <x:v>3566</x:v>
      </x:c>
      <x:c r="B1212" s="8" t="s">
        <x:v>3535</x:v>
      </x:c>
      <x:c r="C1212" s="8"/>
      <x:c r="D1212" s="8" t="s">
        <x:v>3567</x:v>
      </x:c>
      <x:c r="E1212" s="8" t="n">
        <x:v>5</x:v>
      </x:c>
      <x:c r="F1212" s="8" t="s">
        <x:v>3538</x:v>
      </x:c>
      <x:c r="G1212" s="8" t="s">
        <x:v>109</x:v>
      </x:c>
      <x:c r="H1212" s="8" t="s">
        <x:v>3539</x:v>
      </x:c>
      <x:c r="I1212" s="8" t="s">
        <x:v>3540</x:v>
      </x:c>
      <x:c r="J1212" s="8" t="s">
        <x:v>3471</x:v>
      </x:c>
      <x:c r="K1212" s="8" t="s">
        <x:v>3548</x:v>
      </x:c>
      <x:c r="L1212" s="8" t="s">
        <x:v>3548</x:v>
      </x:c>
      <x:c r="M1212" s="8"/>
      <x:c r="N1212" s="8" t="s">
        <x:v>168</x:v>
      </x:c>
      <x:c r="O1212" s="8" t="s">
        <x:v>1622</x:v>
      </x:c>
      <x:c r="P1212" s="8" t="s">
        <x:v>115</x:v>
      </x:c>
      <x:c r="Q1212" s="8" t="s">
        <x:v>45</x:v>
      </x:c>
      <x:c r="R1212" s="8" t="s">
        <x:v>3473</x:v>
      </x:c>
      <x:c r="S1212" s="8"/>
      <x:c r="T1212" s="8" t="s">
        <x:v>27</x:v>
      </x:c>
      <x:c r="U1212" s="8" t="s">
        <x:v>3474</x:v>
      </x:c>
      <x:c r="V1212" s="8" t="s">
        <x:v>3475</x:v>
      </x:c>
    </x:row>
    <x:row r="1213" ht="48" hidden="0" customHeight="1">
      <x:c r="A1213" s="8" t="s">
        <x:v>3568</x:v>
      </x:c>
      <x:c r="B1213" s="8" t="s">
        <x:v>3535</x:v>
      </x:c>
      <x:c r="C1213" s="8"/>
      <x:c r="D1213" s="8" t="s">
        <x:v>2412</x:v>
      </x:c>
      <x:c r="E1213" s="8" t="s">
        <x:v>3569</x:v>
      </x:c>
      <x:c r="F1213" s="8" t="s">
        <x:v>3538</x:v>
      </x:c>
      <x:c r="G1213" s="8" t="s">
        <x:v>109</x:v>
      </x:c>
      <x:c r="H1213" s="8" t="s">
        <x:v>3539</x:v>
      </x:c>
      <x:c r="I1213" s="8" t="s">
        <x:v>3540</x:v>
      </x:c>
      <x:c r="J1213" s="8" t="s">
        <x:v>3471</x:v>
      </x:c>
      <x:c r="K1213" s="8" t="s">
        <x:v>3570</x:v>
      </x:c>
      <x:c r="L1213" s="8" t="s">
        <x:v>3570</x:v>
      </x:c>
      <x:c r="M1213" s="8"/>
      <x:c r="N1213" s="8" t="s">
        <x:v>3571</x:v>
      </x:c>
      <x:c r="O1213" s="8" t="s">
        <x:v>1622</x:v>
      </x:c>
      <x:c r="P1213" s="8" t="s">
        <x:v>115</x:v>
      </x:c>
      <x:c r="Q1213" s="8" t="s">
        <x:v>45</x:v>
      </x:c>
      <x:c r="R1213" s="8" t="s">
        <x:v>3473</x:v>
      </x:c>
      <x:c r="S1213" s="8"/>
      <x:c r="T1213" s="8" t="s">
        <x:v>27</x:v>
      </x:c>
      <x:c r="U1213" s="8" t="s">
        <x:v>3474</x:v>
      </x:c>
      <x:c r="V1213" s="8" t="s">
        <x:v>3475</x:v>
      </x:c>
    </x:row>
    <x:row r="1214" ht="48" hidden="0" customHeight="1">
      <x:c r="A1214" s="8" t="s">
        <x:v>3572</x:v>
      </x:c>
      <x:c r="B1214" s="8" t="s">
        <x:v>3535</x:v>
      </x:c>
      <x:c r="C1214" s="8"/>
      <x:c r="D1214" s="8" t="s">
        <x:v>3573</x:v>
      </x:c>
      <x:c r="E1214" s="8" t="n">
        <x:v>3</x:v>
      </x:c>
      <x:c r="F1214" s="8" t="s">
        <x:v>3538</x:v>
      </x:c>
      <x:c r="G1214" s="8" t="s">
        <x:v>109</x:v>
      </x:c>
      <x:c r="H1214" s="8" t="s">
        <x:v>3539</x:v>
      </x:c>
      <x:c r="I1214" s="8" t="s">
        <x:v>3540</x:v>
      </x:c>
      <x:c r="J1214" s="8" t="s">
        <x:v>3471</x:v>
      </x:c>
      <x:c r="K1214" s="8" t="s">
        <x:v>3574</x:v>
      </x:c>
      <x:c r="L1214" s="8" t="s">
        <x:v>3574</x:v>
      </x:c>
      <x:c r="M1214" s="8"/>
      <x:c r="N1214" s="8" t="s">
        <x:v>224</x:v>
      </x:c>
      <x:c r="O1214" s="8" t="s">
        <x:v>1622</x:v>
      </x:c>
      <x:c r="P1214" s="8" t="s">
        <x:v>115</x:v>
      </x:c>
      <x:c r="Q1214" s="8" t="s">
        <x:v>45</x:v>
      </x:c>
      <x:c r="R1214" s="8" t="s">
        <x:v>3473</x:v>
      </x:c>
      <x:c r="S1214" s="8"/>
      <x:c r="T1214" s="8" t="s">
        <x:v>27</x:v>
      </x:c>
      <x:c r="U1214" s="8" t="s">
        <x:v>3474</x:v>
      </x:c>
      <x:c r="V1214" s="8" t="s">
        <x:v>3475</x:v>
      </x:c>
    </x:row>
    <x:row r="1215" ht="48" hidden="0" customHeight="1">
      <x:c r="A1215" s="8" t="s">
        <x:v>3575</x:v>
      </x:c>
      <x:c r="B1215" s="8" t="s">
        <x:v>3535</x:v>
      </x:c>
      <x:c r="C1215" s="8"/>
      <x:c r="D1215" s="8" t="s">
        <x:v>3576</x:v>
      </x:c>
      <x:c r="E1215" s="8" t="n">
        <x:v>5</x:v>
      </x:c>
      <x:c r="F1215" s="8" t="s">
        <x:v>3538</x:v>
      </x:c>
      <x:c r="G1215" s="8" t="s">
        <x:v>109</x:v>
      </x:c>
      <x:c r="H1215" s="8" t="s">
        <x:v>3539</x:v>
      </x:c>
      <x:c r="I1215" s="8" t="s">
        <x:v>3540</x:v>
      </x:c>
      <x:c r="J1215" s="8" t="s">
        <x:v>3471</x:v>
      </x:c>
      <x:c r="K1215" s="8" t="s">
        <x:v>3574</x:v>
      </x:c>
      <x:c r="L1215" s="8" t="s">
        <x:v>3574</x:v>
      </x:c>
      <x:c r="M1215" s="8"/>
      <x:c r="N1215" s="8" t="s">
        <x:v>224</x:v>
      </x:c>
      <x:c r="O1215" s="8" t="s">
        <x:v>1622</x:v>
      </x:c>
      <x:c r="P1215" s="8" t="s">
        <x:v>115</x:v>
      </x:c>
      <x:c r="Q1215" s="8" t="s">
        <x:v>45</x:v>
      </x:c>
      <x:c r="R1215" s="8" t="s">
        <x:v>3473</x:v>
      </x:c>
      <x:c r="S1215" s="8"/>
      <x:c r="T1215" s="8" t="s">
        <x:v>27</x:v>
      </x:c>
      <x:c r="U1215" s="8" t="s">
        <x:v>3474</x:v>
      </x:c>
      <x:c r="V1215" s="8" t="s">
        <x:v>3475</x:v>
      </x:c>
    </x:row>
    <x:row r="1216" ht="48" hidden="0" customHeight="1">
      <x:c r="A1216" s="8" t="s">
        <x:v>3577</x:v>
      </x:c>
      <x:c r="B1216" s="8" t="s">
        <x:v>3535</x:v>
      </x:c>
      <x:c r="C1216" s="8"/>
      <x:c r="D1216" s="8" t="s">
        <x:v>3578</x:v>
      </x:c>
      <x:c r="E1216" s="8" t="s">
        <x:v>3579</x:v>
      </x:c>
      <x:c r="F1216" s="8" t="s">
        <x:v>3538</x:v>
      </x:c>
      <x:c r="G1216" s="8" t="s">
        <x:v>109</x:v>
      </x:c>
      <x:c r="H1216" s="8" t="s">
        <x:v>3539</x:v>
      </x:c>
      <x:c r="I1216" s="8" t="s">
        <x:v>3540</x:v>
      </x:c>
      <x:c r="J1216" s="8" t="s">
        <x:v>3471</x:v>
      </x:c>
      <x:c r="K1216" s="8" t="s">
        <x:v>3574</x:v>
      </x:c>
      <x:c r="L1216" s="8" t="s">
        <x:v>3574</x:v>
      </x:c>
      <x:c r="M1216" s="8"/>
      <x:c r="N1216" s="8" t="s">
        <x:v>224</x:v>
      </x:c>
      <x:c r="O1216" s="8" t="s">
        <x:v>1622</x:v>
      </x:c>
      <x:c r="P1216" s="8" t="s">
        <x:v>115</x:v>
      </x:c>
      <x:c r="Q1216" s="8" t="s">
        <x:v>45</x:v>
      </x:c>
      <x:c r="R1216" s="8" t="s">
        <x:v>3473</x:v>
      </x:c>
      <x:c r="S1216" s="8"/>
      <x:c r="T1216" s="8" t="s">
        <x:v>27</x:v>
      </x:c>
      <x:c r="U1216" s="8" t="s">
        <x:v>3474</x:v>
      </x:c>
      <x:c r="V1216" s="8" t="s">
        <x:v>3475</x:v>
      </x:c>
    </x:row>
    <x:row r="1217" ht="48" hidden="0" customHeight="1">
      <x:c r="A1217" s="8" t="s">
        <x:v>3580</x:v>
      </x:c>
      <x:c r="B1217" s="8" t="s">
        <x:v>3535</x:v>
      </x:c>
      <x:c r="C1217" s="8"/>
      <x:c r="D1217" s="8" t="s">
        <x:v>3581</x:v>
      </x:c>
      <x:c r="E1217" s="8" t="s">
        <x:v>3582</x:v>
      </x:c>
      <x:c r="F1217" s="8" t="s">
        <x:v>3538</x:v>
      </x:c>
      <x:c r="G1217" s="8" t="s">
        <x:v>109</x:v>
      </x:c>
      <x:c r="H1217" s="8" t="s">
        <x:v>3539</x:v>
      </x:c>
      <x:c r="I1217" s="8" t="s">
        <x:v>3540</x:v>
      </x:c>
      <x:c r="J1217" s="8" t="s">
        <x:v>3471</x:v>
      </x:c>
      <x:c r="K1217" s="8" t="s">
        <x:v>3583</x:v>
      </x:c>
      <x:c r="L1217" s="8" t="s">
        <x:v>3583</x:v>
      </x:c>
      <x:c r="M1217" s="8"/>
      <x:c r="N1217" s="8" t="s">
        <x:v>406</x:v>
      </x:c>
      <x:c r="O1217" s="8" t="s">
        <x:v>1622</x:v>
      </x:c>
      <x:c r="P1217" s="8" t="s">
        <x:v>115</x:v>
      </x:c>
      <x:c r="Q1217" s="8" t="s">
        <x:v>45</x:v>
      </x:c>
      <x:c r="R1217" s="8" t="s">
        <x:v>3473</x:v>
      </x:c>
      <x:c r="S1217" s="8"/>
      <x:c r="T1217" s="8" t="s">
        <x:v>27</x:v>
      </x:c>
      <x:c r="U1217" s="8" t="s">
        <x:v>3474</x:v>
      </x:c>
      <x:c r="V1217" s="8" t="s">
        <x:v>3475</x:v>
      </x:c>
    </x:row>
    <x:row r="1218" ht="48" hidden="0" customHeight="1">
      <x:c r="A1218" s="8" t="s">
        <x:v>3584</x:v>
      </x:c>
      <x:c r="B1218" s="8" t="s">
        <x:v>3535</x:v>
      </x:c>
      <x:c r="C1218" s="8"/>
      <x:c r="D1218" s="8" t="s">
        <x:v>3585</x:v>
      </x:c>
      <x:c r="E1218" s="8" t="n">
        <x:v>17.8</x:v>
      </x:c>
      <x:c r="F1218" s="8" t="s">
        <x:v>3538</x:v>
      </x:c>
      <x:c r="G1218" s="8" t="s">
        <x:v>109</x:v>
      </x:c>
      <x:c r="H1218" s="8" t="s">
        <x:v>3539</x:v>
      </x:c>
      <x:c r="I1218" s="8" t="s">
        <x:v>3540</x:v>
      </x:c>
      <x:c r="J1218" s="8" t="s">
        <x:v>3471</x:v>
      </x:c>
      <x:c r="K1218" s="8" t="s">
        <x:v>3586</x:v>
      </x:c>
      <x:c r="L1218" s="8" t="s">
        <x:v>3586</x:v>
      </x:c>
      <x:c r="M1218" s="8"/>
      <x:c r="N1218" s="8" t="s">
        <x:v>224</x:v>
      </x:c>
      <x:c r="O1218" s="8" t="s">
        <x:v>1622</x:v>
      </x:c>
      <x:c r="P1218" s="8" t="s">
        <x:v>115</x:v>
      </x:c>
      <x:c r="Q1218" s="8" t="s">
        <x:v>45</x:v>
      </x:c>
      <x:c r="R1218" s="8" t="s">
        <x:v>3473</x:v>
      </x:c>
      <x:c r="S1218" s="8" t="s">
        <x:v>3587</x:v>
      </x:c>
      <x:c r="T1218" s="8" t="s">
        <x:v>27</x:v>
      </x:c>
      <x:c r="U1218" s="8" t="s">
        <x:v>3474</x:v>
      </x:c>
      <x:c r="V1218" s="8" t="s">
        <x:v>3475</x:v>
      </x:c>
    </x:row>
    <x:row r="1219" ht="48" hidden="0" customHeight="1">
      <x:c r="A1219" s="8" t="s">
        <x:v>3588</x:v>
      </x:c>
      <x:c r="B1219" s="8" t="s">
        <x:v>3535</x:v>
      </x:c>
      <x:c r="C1219" s="8"/>
      <x:c r="D1219" s="8" t="s">
        <x:v>3589</x:v>
      </x:c>
      <x:c r="E1219" s="8" t="n">
        <x:v>20</x:v>
      </x:c>
      <x:c r="F1219" s="8" t="s">
        <x:v>3538</x:v>
      </x:c>
      <x:c r="G1219" s="8" t="s">
        <x:v>109</x:v>
      </x:c>
      <x:c r="H1219" s="8" t="s">
        <x:v>3539</x:v>
      </x:c>
      <x:c r="I1219" s="8" t="s">
        <x:v>3540</x:v>
      </x:c>
      <x:c r="J1219" s="8" t="s">
        <x:v>3471</x:v>
      </x:c>
      <x:c r="K1219" s="8" t="s">
        <x:v>3586</x:v>
      </x:c>
      <x:c r="L1219" s="8" t="s">
        <x:v>3586</x:v>
      </x:c>
      <x:c r="M1219" s="8"/>
      <x:c r="N1219" s="8" t="s">
        <x:v>224</x:v>
      </x:c>
      <x:c r="O1219" s="8" t="s">
        <x:v>1622</x:v>
      </x:c>
      <x:c r="P1219" s="8" t="s">
        <x:v>115</x:v>
      </x:c>
      <x:c r="Q1219" s="8" t="s">
        <x:v>45</x:v>
      </x:c>
      <x:c r="R1219" s="8" t="s">
        <x:v>3473</x:v>
      </x:c>
      <x:c r="S1219" s="8" t="s">
        <x:v>3587</x:v>
      </x:c>
      <x:c r="T1219" s="8" t="s">
        <x:v>27</x:v>
      </x:c>
      <x:c r="U1219" s="8" t="s">
        <x:v>3474</x:v>
      </x:c>
      <x:c r="V1219" s="8" t="s">
        <x:v>3475</x:v>
      </x:c>
    </x:row>
    <x:row r="1220" ht="48" hidden="0" customHeight="1">
      <x:c r="A1220" s="8" t="s">
        <x:v>3590</x:v>
      </x:c>
      <x:c r="B1220" s="8" t="s">
        <x:v>3535</x:v>
      </x:c>
      <x:c r="C1220" s="8"/>
      <x:c r="D1220" s="8" t="s">
        <x:v>3591</x:v>
      </x:c>
      <x:c r="E1220" s="8" t="s">
        <x:v>3592</x:v>
      </x:c>
      <x:c r="F1220" s="8" t="s">
        <x:v>3538</x:v>
      </x:c>
      <x:c r="G1220" s="8" t="s">
        <x:v>187</x:v>
      </x:c>
      <x:c r="H1220" s="8" t="s">
        <x:v>3539</x:v>
      </x:c>
      <x:c r="I1220" s="8" t="s">
        <x:v>3540</x:v>
      </x:c>
      <x:c r="J1220" s="8" t="s">
        <x:v>3471</x:v>
      </x:c>
      <x:c r="K1220" s="8" t="s">
        <x:v>3593</x:v>
      </x:c>
      <x:c r="L1220" s="8" t="s">
        <x:v>3593</x:v>
      </x:c>
      <x:c r="M1220" s="8"/>
      <x:c r="N1220" s="8" t="s">
        <x:v>3594</x:v>
      </x:c>
      <x:c r="O1220" s="8" t="s">
        <x:v>1622</x:v>
      </x:c>
      <x:c r="P1220" s="8" t="s">
        <x:v>115</x:v>
      </x:c>
      <x:c r="Q1220" s="8" t="s">
        <x:v>45</x:v>
      </x:c>
      <x:c r="R1220" s="8" t="s">
        <x:v>3473</x:v>
      </x:c>
      <x:c r="S1220" s="8"/>
      <x:c r="T1220" s="8" t="s">
        <x:v>27</x:v>
      </x:c>
      <x:c r="U1220" s="8" t="s">
        <x:v>3474</x:v>
      </x:c>
      <x:c r="V1220" s="8" t="s">
        <x:v>3475</x:v>
      </x:c>
    </x:row>
    <x:row r="1221" ht="48" hidden="0" customHeight="1">
      <x:c r="A1221" s="8" t="s">
        <x:v>3595</x:v>
      </x:c>
      <x:c r="B1221" s="8" t="s">
        <x:v>3535</x:v>
      </x:c>
      <x:c r="C1221" s="8"/>
      <x:c r="D1221" s="8" t="s">
        <x:v>3596</x:v>
      </x:c>
      <x:c r="E1221" s="8" t="s">
        <x:v>3597</x:v>
      </x:c>
      <x:c r="F1221" s="8" t="s">
        <x:v>3538</x:v>
      </x:c>
      <x:c r="G1221" s="8" t="s">
        <x:v>109</x:v>
      </x:c>
      <x:c r="H1221" s="8" t="s">
        <x:v>3539</x:v>
      </x:c>
      <x:c r="I1221" s="8" t="s">
        <x:v>3540</x:v>
      </x:c>
      <x:c r="J1221" s="8" t="s">
        <x:v>3471</x:v>
      </x:c>
      <x:c r="K1221" s="8" t="s">
        <x:v>3598</x:v>
      </x:c>
      <x:c r="L1221" s="8" t="s">
        <x:v>3598</x:v>
      </x:c>
      <x:c r="M1221" s="8"/>
      <x:c r="N1221" s="8" t="s">
        <x:v>1548</x:v>
      </x:c>
      <x:c r="O1221" s="8" t="s">
        <x:v>1622</x:v>
      </x:c>
      <x:c r="P1221" s="8" t="s">
        <x:v>115</x:v>
      </x:c>
      <x:c r="Q1221" s="8" t="s">
        <x:v>45</x:v>
      </x:c>
      <x:c r="R1221" s="8" t="s">
        <x:v>3473</x:v>
      </x:c>
      <x:c r="S1221" s="8"/>
      <x:c r="T1221" s="8" t="s">
        <x:v>27</x:v>
      </x:c>
      <x:c r="U1221" s="8" t="s">
        <x:v>3474</x:v>
      </x:c>
      <x:c r="V1221" s="8" t="s">
        <x:v>3475</x:v>
      </x:c>
    </x:row>
    <x:row r="1222" ht="48" hidden="0" customHeight="1">
      <x:c r="A1222" s="8" t="s">
        <x:v>3599</x:v>
      </x:c>
      <x:c r="B1222" s="8" t="s">
        <x:v>3600</x:v>
      </x:c>
      <x:c r="C1222" s="8"/>
      <x:c r="D1222" s="8" t="s">
        <x:v>3601</x:v>
      </x:c>
      <x:c r="E1222" s="8" t="n">
        <x:v>250</x:v>
      </x:c>
      <x:c r="F1222" s="8" t="s">
        <x:v>3602</x:v>
      </x:c>
      <x:c r="G1222" s="8" t="s">
        <x:v>109</x:v>
      </x:c>
      <x:c r="H1222" s="8" t="s">
        <x:v>3603</x:v>
      </x:c>
      <x:c r="I1222" s="8" t="s">
        <x:v>3604</x:v>
      </x:c>
      <x:c r="J1222" s="8" t="s">
        <x:v>3471</x:v>
      </x:c>
      <x:c r="K1222" s="8" t="s">
        <x:v>3605</x:v>
      </x:c>
      <x:c r="L1222" s="8" t="s">
        <x:v>3605</x:v>
      </x:c>
      <x:c r="M1222" s="8"/>
      <x:c r="N1222" s="8" t="s">
        <x:v>2664</x:v>
      </x:c>
      <x:c r="O1222" s="8" t="s">
        <x:v>1622</x:v>
      </x:c>
      <x:c r="P1222" s="8" t="s">
        <x:v>115</x:v>
      </x:c>
      <x:c r="Q1222" s="8" t="s">
        <x:v>45</x:v>
      </x:c>
      <x:c r="R1222" s="8" t="s">
        <x:v>3473</x:v>
      </x:c>
      <x:c r="S1222" s="8"/>
      <x:c r="T1222" s="8" t="s">
        <x:v>27</x:v>
      </x:c>
      <x:c r="U1222" s="8" t="s">
        <x:v>3474</x:v>
      </x:c>
      <x:c r="V1222" s="8" t="s">
        <x:v>3475</x:v>
      </x:c>
    </x:row>
    <x:row r="1223" ht="48" hidden="0" customHeight="1">
      <x:c r="A1223" s="8" t="s">
        <x:v>3606</x:v>
      </x:c>
      <x:c r="B1223" s="8" t="s">
        <x:v>3600</x:v>
      </x:c>
      <x:c r="C1223" s="8"/>
      <x:c r="D1223" s="8" t="s">
        <x:v>3607</x:v>
      </x:c>
      <x:c r="E1223" s="8" t="n">
        <x:v>10</x:v>
      </x:c>
      <x:c r="F1223" s="8" t="s">
        <x:v>3602</x:v>
      </x:c>
      <x:c r="G1223" s="8" t="s">
        <x:v>109</x:v>
      </x:c>
      <x:c r="H1223" s="8" t="s">
        <x:v>3603</x:v>
      </x:c>
      <x:c r="I1223" s="8" t="s">
        <x:v>3604</x:v>
      </x:c>
      <x:c r="J1223" s="8" t="s">
        <x:v>3471</x:v>
      </x:c>
      <x:c r="K1223" s="8" t="s">
        <x:v>3605</x:v>
      </x:c>
      <x:c r="L1223" s="8" t="s">
        <x:v>3605</x:v>
      </x:c>
      <x:c r="M1223" s="8"/>
      <x:c r="N1223" s="8" t="s">
        <x:v>2664</x:v>
      </x:c>
      <x:c r="O1223" s="8" t="s">
        <x:v>1622</x:v>
      </x:c>
      <x:c r="P1223" s="8" t="s">
        <x:v>115</x:v>
      </x:c>
      <x:c r="Q1223" s="8" t="s">
        <x:v>45</x:v>
      </x:c>
      <x:c r="R1223" s="8" t="s">
        <x:v>3473</x:v>
      </x:c>
      <x:c r="S1223" s="8" t="s">
        <x:v>3016</x:v>
      </x:c>
      <x:c r="T1223" s="8" t="s">
        <x:v>27</x:v>
      </x:c>
      <x:c r="U1223" s="8" t="s">
        <x:v>3474</x:v>
      </x:c>
      <x:c r="V1223" s="8" t="s">
        <x:v>3475</x:v>
      </x:c>
    </x:row>
    <x:row r="1224" ht="48" hidden="0" customHeight="1">
      <x:c r="A1224" s="8" t="s">
        <x:v>3608</x:v>
      </x:c>
      <x:c r="B1224" s="8" t="s">
        <x:v>3600</x:v>
      </x:c>
      <x:c r="C1224" s="8"/>
      <x:c r="D1224" s="8" t="s">
        <x:v>3609</x:v>
      </x:c>
      <x:c r="E1224" s="8" t="n">
        <x:v>1000</x:v>
      </x:c>
      <x:c r="F1224" s="8" t="s">
        <x:v>3602</x:v>
      </x:c>
      <x:c r="G1224" s="8" t="s">
        <x:v>109</x:v>
      </x:c>
      <x:c r="H1224" s="8" t="s">
        <x:v>3603</x:v>
      </x:c>
      <x:c r="I1224" s="8" t="s">
        <x:v>3604</x:v>
      </x:c>
      <x:c r="J1224" s="8" t="s">
        <x:v>3471</x:v>
      </x:c>
      <x:c r="K1224" s="8" t="s">
        <x:v>3605</x:v>
      </x:c>
      <x:c r="L1224" s="8" t="s">
        <x:v>3605</x:v>
      </x:c>
      <x:c r="M1224" s="8"/>
      <x:c r="N1224" s="8" t="s">
        <x:v>2664</x:v>
      </x:c>
      <x:c r="O1224" s="8" t="s">
        <x:v>1622</x:v>
      </x:c>
      <x:c r="P1224" s="8" t="s">
        <x:v>115</x:v>
      </x:c>
      <x:c r="Q1224" s="8" t="s">
        <x:v>45</x:v>
      </x:c>
      <x:c r="R1224" s="8" t="s">
        <x:v>3473</x:v>
      </x:c>
      <x:c r="S1224" s="8" t="s">
        <x:v>1670</x:v>
      </x:c>
      <x:c r="T1224" s="8" t="s">
        <x:v>27</x:v>
      </x:c>
      <x:c r="U1224" s="8" t="s">
        <x:v>3474</x:v>
      </x:c>
      <x:c r="V1224" s="8" t="s">
        <x:v>3475</x:v>
      </x:c>
    </x:row>
    <x:row r="1225" ht="48" hidden="0" customHeight="1">
      <x:c r="A1225" s="8" t="s">
        <x:v>3610</x:v>
      </x:c>
      <x:c r="B1225" s="8" t="s">
        <x:v>3600</x:v>
      </x:c>
      <x:c r="C1225" s="8"/>
      <x:c r="D1225" s="8" t="s">
        <x:v>3611</x:v>
      </x:c>
      <x:c r="E1225" s="8" t="n">
        <x:v>21750</x:v>
      </x:c>
      <x:c r="F1225" s="8" t="s">
        <x:v>3602</x:v>
      </x:c>
      <x:c r="G1225" s="8" t="s">
        <x:v>109</x:v>
      </x:c>
      <x:c r="H1225" s="8" t="s">
        <x:v>3603</x:v>
      </x:c>
      <x:c r="I1225" s="8" t="s">
        <x:v>3604</x:v>
      </x:c>
      <x:c r="J1225" s="8" t="s">
        <x:v>3471</x:v>
      </x:c>
      <x:c r="K1225" s="8" t="s">
        <x:v>3605</x:v>
      </x:c>
      <x:c r="L1225" s="8" t="s">
        <x:v>3605</x:v>
      </x:c>
      <x:c r="M1225" s="8"/>
      <x:c r="N1225" s="8" t="s">
        <x:v>2664</x:v>
      </x:c>
      <x:c r="O1225" s="8" t="s">
        <x:v>1622</x:v>
      </x:c>
      <x:c r="P1225" s="8" t="s">
        <x:v>115</x:v>
      </x:c>
      <x:c r="Q1225" s="8" t="s">
        <x:v>45</x:v>
      </x:c>
      <x:c r="R1225" s="8" t="s">
        <x:v>3473</x:v>
      </x:c>
      <x:c r="S1225" s="8"/>
      <x:c r="T1225" s="8" t="s">
        <x:v>27</x:v>
      </x:c>
      <x:c r="U1225" s="8" t="s">
        <x:v>3474</x:v>
      </x:c>
      <x:c r="V1225" s="8" t="s">
        <x:v>3475</x:v>
      </x:c>
    </x:row>
    <x:row r="1226" ht="48" hidden="0" customHeight="1">
      <x:c r="A1226" s="8" t="s">
        <x:v>3612</x:v>
      </x:c>
      <x:c r="B1226" s="8" t="s">
        <x:v>3600</x:v>
      </x:c>
      <x:c r="C1226" s="8"/>
      <x:c r="D1226" s="8" t="s">
        <x:v>3613</x:v>
      </x:c>
      <x:c r="E1226" s="8" t="s">
        <x:v>3614</x:v>
      </x:c>
      <x:c r="F1226" s="8" t="s">
        <x:v>3602</x:v>
      </x:c>
      <x:c r="G1226" s="8" t="s">
        <x:v>109</x:v>
      </x:c>
      <x:c r="H1226" s="8" t="s">
        <x:v>3603</x:v>
      </x:c>
      <x:c r="I1226" s="8" t="s">
        <x:v>3604</x:v>
      </x:c>
      <x:c r="J1226" s="8" t="s">
        <x:v>3471</x:v>
      </x:c>
      <x:c r="K1226" s="8" t="s">
        <x:v>3605</x:v>
      </x:c>
      <x:c r="L1226" s="8" t="s">
        <x:v>3605</x:v>
      </x:c>
      <x:c r="M1226" s="8"/>
      <x:c r="N1226" s="8" t="s">
        <x:v>2664</x:v>
      </x:c>
      <x:c r="O1226" s="8" t="s">
        <x:v>1622</x:v>
      </x:c>
      <x:c r="P1226" s="8" t="s">
        <x:v>115</x:v>
      </x:c>
      <x:c r="Q1226" s="8" t="s">
        <x:v>45</x:v>
      </x:c>
      <x:c r="R1226" s="8" t="s">
        <x:v>3473</x:v>
      </x:c>
      <x:c r="S1226" s="8"/>
      <x:c r="T1226" s="8" t="s">
        <x:v>27</x:v>
      </x:c>
      <x:c r="U1226" s="8" t="s">
        <x:v>3474</x:v>
      </x:c>
      <x:c r="V1226" s="8" t="s">
        <x:v>3475</x:v>
      </x:c>
    </x:row>
    <x:row r="1227" ht="48" hidden="0" customHeight="1">
      <x:c r="A1227" s="8" t="s">
        <x:v>3615</x:v>
      </x:c>
      <x:c r="B1227" s="8" t="s">
        <x:v>3600</x:v>
      </x:c>
      <x:c r="C1227" s="8"/>
      <x:c r="D1227" s="8" t="s">
        <x:v>3616</x:v>
      </x:c>
      <x:c r="E1227" s="8" t="s">
        <x:v>3617</x:v>
      </x:c>
      <x:c r="F1227" s="8" t="s">
        <x:v>3602</x:v>
      </x:c>
      <x:c r="G1227" s="8" t="s">
        <x:v>109</x:v>
      </x:c>
      <x:c r="H1227" s="8" t="s">
        <x:v>3603</x:v>
      </x:c>
      <x:c r="I1227" s="8" t="s">
        <x:v>3604</x:v>
      </x:c>
      <x:c r="J1227" s="8" t="s">
        <x:v>3471</x:v>
      </x:c>
      <x:c r="K1227" s="8" t="s">
        <x:v>3605</x:v>
      </x:c>
      <x:c r="L1227" s="8" t="s">
        <x:v>3605</x:v>
      </x:c>
      <x:c r="M1227" s="8"/>
      <x:c r="N1227" s="8" t="s">
        <x:v>2664</x:v>
      </x:c>
      <x:c r="O1227" s="8" t="s">
        <x:v>1622</x:v>
      </x:c>
      <x:c r="P1227" s="8" t="s">
        <x:v>115</x:v>
      </x:c>
      <x:c r="Q1227" s="8" t="s">
        <x:v>45</x:v>
      </x:c>
      <x:c r="R1227" s="8" t="s">
        <x:v>3473</x:v>
      </x:c>
      <x:c r="S1227" s="8"/>
      <x:c r="T1227" s="8" t="s">
        <x:v>27</x:v>
      </x:c>
      <x:c r="U1227" s="8" t="s">
        <x:v>3474</x:v>
      </x:c>
      <x:c r="V1227" s="8" t="s">
        <x:v>3475</x:v>
      </x:c>
    </x:row>
    <x:row r="1228" ht="48" hidden="0" customHeight="1">
      <x:c r="A1228" s="8" t="s">
        <x:v>3618</x:v>
      </x:c>
      <x:c r="B1228" s="8" t="s">
        <x:v>3600</x:v>
      </x:c>
      <x:c r="C1228" s="8"/>
      <x:c r="D1228" s="8" t="s">
        <x:v>3619</x:v>
      </x:c>
      <x:c r="E1228" s="8" t="n">
        <x:v>8</x:v>
      </x:c>
      <x:c r="F1228" s="8" t="s">
        <x:v>3602</x:v>
      </x:c>
      <x:c r="G1228" s="8" t="s">
        <x:v>109</x:v>
      </x:c>
      <x:c r="H1228" s="8" t="s">
        <x:v>3603</x:v>
      </x:c>
      <x:c r="I1228" s="8" t="s">
        <x:v>3604</x:v>
      </x:c>
      <x:c r="J1228" s="8" t="s">
        <x:v>3471</x:v>
      </x:c>
      <x:c r="K1228" s="8" t="s">
        <x:v>3620</x:v>
      </x:c>
      <x:c r="L1228" s="8" t="s">
        <x:v>3620</x:v>
      </x:c>
      <x:c r="M1228" s="8"/>
      <x:c r="N1228" s="8" t="s">
        <x:v>2664</x:v>
      </x:c>
      <x:c r="O1228" s="8" t="s">
        <x:v>1622</x:v>
      </x:c>
      <x:c r="P1228" s="8" t="s">
        <x:v>115</x:v>
      </x:c>
      <x:c r="Q1228" s="8" t="s">
        <x:v>45</x:v>
      </x:c>
      <x:c r="R1228" s="8" t="s">
        <x:v>3473</x:v>
      </x:c>
      <x:c r="S1228" s="8"/>
      <x:c r="T1228" s="8" t="s">
        <x:v>27</x:v>
      </x:c>
      <x:c r="U1228" s="8" t="s">
        <x:v>3474</x:v>
      </x:c>
      <x:c r="V1228" s="8" t="s">
        <x:v>3475</x:v>
      </x:c>
    </x:row>
    <x:row r="1229" ht="48" hidden="0" customHeight="1">
      <x:c r="A1229" s="8" t="s">
        <x:v>3621</x:v>
      </x:c>
      <x:c r="B1229" s="8" t="s">
        <x:v>3600</x:v>
      </x:c>
      <x:c r="C1229" s="8"/>
      <x:c r="D1229" s="8" t="s">
        <x:v>3622</x:v>
      </x:c>
      <x:c r="E1229" s="8" t="s">
        <x:v>3623</x:v>
      </x:c>
      <x:c r="F1229" s="8" t="s">
        <x:v>3602</x:v>
      </x:c>
      <x:c r="G1229" s="8" t="s">
        <x:v>109</x:v>
      </x:c>
      <x:c r="H1229" s="8" t="s">
        <x:v>3603</x:v>
      </x:c>
      <x:c r="I1229" s="8" t="s">
        <x:v>3604</x:v>
      </x:c>
      <x:c r="J1229" s="8" t="s">
        <x:v>3471</x:v>
      </x:c>
      <x:c r="K1229" s="8" t="s">
        <x:v>3620</x:v>
      </x:c>
      <x:c r="L1229" s="8" t="s">
        <x:v>3620</x:v>
      </x:c>
      <x:c r="M1229" s="8"/>
      <x:c r="N1229" s="8" t="s">
        <x:v>2664</x:v>
      </x:c>
      <x:c r="O1229" s="8" t="s">
        <x:v>1622</x:v>
      </x:c>
      <x:c r="P1229" s="8" t="s">
        <x:v>115</x:v>
      </x:c>
      <x:c r="Q1229" s="8" t="s">
        <x:v>45</x:v>
      </x:c>
      <x:c r="R1229" s="8" t="s">
        <x:v>3473</x:v>
      </x:c>
      <x:c r="S1229" s="8"/>
      <x:c r="T1229" s="8" t="s">
        <x:v>27</x:v>
      </x:c>
      <x:c r="U1229" s="8" t="s">
        <x:v>3474</x:v>
      </x:c>
      <x:c r="V1229" s="8" t="s">
        <x:v>3475</x:v>
      </x:c>
    </x:row>
    <x:row r="1230" ht="48" hidden="0" customHeight="1">
      <x:c r="A1230" s="8" t="s">
        <x:v>3624</x:v>
      </x:c>
      <x:c r="B1230" s="8" t="s">
        <x:v>3600</x:v>
      </x:c>
      <x:c r="C1230" s="8"/>
      <x:c r="D1230" s="8" t="s">
        <x:v>445</x:v>
      </x:c>
      <x:c r="E1230" s="8" t="s">
        <x:v>3625</x:v>
      </x:c>
      <x:c r="F1230" s="8" t="s">
        <x:v>3602</x:v>
      </x:c>
      <x:c r="G1230" s="8" t="s">
        <x:v>109</x:v>
      </x:c>
      <x:c r="H1230" s="8" t="s">
        <x:v>3603</x:v>
      </x:c>
      <x:c r="I1230" s="8" t="s">
        <x:v>3604</x:v>
      </x:c>
      <x:c r="J1230" s="8" t="s">
        <x:v>3471</x:v>
      </x:c>
      <x:c r="K1230" s="8" t="s">
        <x:v>3620</x:v>
      </x:c>
      <x:c r="L1230" s="8" t="s">
        <x:v>3620</x:v>
      </x:c>
      <x:c r="M1230" s="8"/>
      <x:c r="N1230" s="8" t="s">
        <x:v>2664</x:v>
      </x:c>
      <x:c r="O1230" s="8" t="s">
        <x:v>1622</x:v>
      </x:c>
      <x:c r="P1230" s="8" t="s">
        <x:v>115</x:v>
      </x:c>
      <x:c r="Q1230" s="8" t="s">
        <x:v>45</x:v>
      </x:c>
      <x:c r="R1230" s="8" t="s">
        <x:v>3473</x:v>
      </x:c>
      <x:c r="S1230" s="8"/>
      <x:c r="T1230" s="8" t="s">
        <x:v>27</x:v>
      </x:c>
      <x:c r="U1230" s="8" t="s">
        <x:v>3474</x:v>
      </x:c>
      <x:c r="V1230" s="8" t="s">
        <x:v>3475</x:v>
      </x:c>
    </x:row>
    <x:row r="1231" ht="48" hidden="0" customHeight="1">
      <x:c r="A1231" s="8" t="s">
        <x:v>3626</x:v>
      </x:c>
      <x:c r="B1231" s="8" t="s">
        <x:v>3600</x:v>
      </x:c>
      <x:c r="C1231" s="8"/>
      <x:c r="D1231" s="8" t="s">
        <x:v>1989</x:v>
      </x:c>
      <x:c r="E1231" s="8" t="s">
        <x:v>3627</x:v>
      </x:c>
      <x:c r="F1231" s="8" t="s">
        <x:v>3602</x:v>
      </x:c>
      <x:c r="G1231" s="8" t="s">
        <x:v>109</x:v>
      </x:c>
      <x:c r="H1231" s="8" t="s">
        <x:v>3603</x:v>
      </x:c>
      <x:c r="I1231" s="8" t="s">
        <x:v>3604</x:v>
      </x:c>
      <x:c r="J1231" s="8" t="s">
        <x:v>3471</x:v>
      </x:c>
      <x:c r="K1231" s="8" t="s">
        <x:v>3620</x:v>
      </x:c>
      <x:c r="L1231" s="8" t="s">
        <x:v>3620</x:v>
      </x:c>
      <x:c r="M1231" s="8"/>
      <x:c r="N1231" s="8" t="s">
        <x:v>2664</x:v>
      </x:c>
      <x:c r="O1231" s="8" t="s">
        <x:v>1622</x:v>
      </x:c>
      <x:c r="P1231" s="8" t="s">
        <x:v>115</x:v>
      </x:c>
      <x:c r="Q1231" s="8" t="s">
        <x:v>45</x:v>
      </x:c>
      <x:c r="R1231" s="8" t="s">
        <x:v>3473</x:v>
      </x:c>
      <x:c r="S1231" s="8"/>
      <x:c r="T1231" s="8" t="s">
        <x:v>27</x:v>
      </x:c>
      <x:c r="U1231" s="8" t="s">
        <x:v>3474</x:v>
      </x:c>
      <x:c r="V1231" s="8" t="s">
        <x:v>3475</x:v>
      </x:c>
    </x:row>
    <x:row r="1232" ht="48" hidden="0" customHeight="1">
      <x:c r="A1232" s="8" t="s">
        <x:v>3628</x:v>
      </x:c>
      <x:c r="B1232" s="8" t="s">
        <x:v>3600</x:v>
      </x:c>
      <x:c r="C1232" s="8"/>
      <x:c r="D1232" s="8" t="s">
        <x:v>3629</x:v>
      </x:c>
      <x:c r="E1232" s="8" t="s">
        <x:v>3630</x:v>
      </x:c>
      <x:c r="F1232" s="8" t="s">
        <x:v>3602</x:v>
      </x:c>
      <x:c r="G1232" s="8" t="s">
        <x:v>109</x:v>
      </x:c>
      <x:c r="H1232" s="8" t="s">
        <x:v>3603</x:v>
      </x:c>
      <x:c r="I1232" s="8" t="s">
        <x:v>3604</x:v>
      </x:c>
      <x:c r="J1232" s="8" t="s">
        <x:v>3471</x:v>
      </x:c>
      <x:c r="K1232" s="8" t="s">
        <x:v>3620</x:v>
      </x:c>
      <x:c r="L1232" s="8" t="s">
        <x:v>3620</x:v>
      </x:c>
      <x:c r="M1232" s="8"/>
      <x:c r="N1232" s="8" t="s">
        <x:v>2664</x:v>
      </x:c>
      <x:c r="O1232" s="8" t="s">
        <x:v>1622</x:v>
      </x:c>
      <x:c r="P1232" s="8" t="s">
        <x:v>115</x:v>
      </x:c>
      <x:c r="Q1232" s="8" t="s">
        <x:v>45</x:v>
      </x:c>
      <x:c r="R1232" s="8" t="s">
        <x:v>3473</x:v>
      </x:c>
      <x:c r="S1232" s="8"/>
      <x:c r="T1232" s="8" t="s">
        <x:v>27</x:v>
      </x:c>
      <x:c r="U1232" s="8" t="s">
        <x:v>3474</x:v>
      </x:c>
      <x:c r="V1232" s="8" t="s">
        <x:v>3475</x:v>
      </x:c>
    </x:row>
    <x:row r="1233" ht="48" hidden="0" customHeight="1">
      <x:c r="A1233" s="8" t="s">
        <x:v>3631</x:v>
      </x:c>
      <x:c r="B1233" s="8" t="s">
        <x:v>3600</x:v>
      </x:c>
      <x:c r="C1233" s="8"/>
      <x:c r="D1233" s="8" t="s">
        <x:v>1864</x:v>
      </x:c>
      <x:c r="E1233" s="8" t="s">
        <x:v>1865</x:v>
      </x:c>
      <x:c r="F1233" s="8" t="s">
        <x:v>3602</x:v>
      </x:c>
      <x:c r="G1233" s="8" t="s">
        <x:v>109</x:v>
      </x:c>
      <x:c r="H1233" s="8" t="s">
        <x:v>3603</x:v>
      </x:c>
      <x:c r="I1233" s="8" t="s">
        <x:v>3604</x:v>
      </x:c>
      <x:c r="J1233" s="8" t="s">
        <x:v>3471</x:v>
      </x:c>
      <x:c r="K1233" s="8" t="s">
        <x:v>3620</x:v>
      </x:c>
      <x:c r="L1233" s="8" t="s">
        <x:v>3620</x:v>
      </x:c>
      <x:c r="M1233" s="8"/>
      <x:c r="N1233" s="8" t="s">
        <x:v>2664</x:v>
      </x:c>
      <x:c r="O1233" s="8" t="s">
        <x:v>1622</x:v>
      </x:c>
      <x:c r="P1233" s="8" t="s">
        <x:v>115</x:v>
      </x:c>
      <x:c r="Q1233" s="8" t="s">
        <x:v>45</x:v>
      </x:c>
      <x:c r="R1233" s="8" t="s">
        <x:v>3473</x:v>
      </x:c>
      <x:c r="S1233" s="8"/>
      <x:c r="T1233" s="8" t="s">
        <x:v>27</x:v>
      </x:c>
      <x:c r="U1233" s="8" t="s">
        <x:v>3474</x:v>
      </x:c>
      <x:c r="V1233" s="8" t="s">
        <x:v>3475</x:v>
      </x:c>
    </x:row>
    <x:row r="1234" ht="48" hidden="0" customHeight="1">
      <x:c r="A1234" s="8" t="s">
        <x:v>3632</x:v>
      </x:c>
      <x:c r="B1234" s="8" t="s">
        <x:v>3600</x:v>
      </x:c>
      <x:c r="C1234" s="8"/>
      <x:c r="D1234" s="8" t="s">
        <x:v>170</x:v>
      </x:c>
      <x:c r="E1234" s="8" t="n">
        <x:v>50</x:v>
      </x:c>
      <x:c r="F1234" s="8" t="s">
        <x:v>3602</x:v>
      </x:c>
      <x:c r="G1234" s="8" t="s">
        <x:v>109</x:v>
      </x:c>
      <x:c r="H1234" s="8" t="s">
        <x:v>3603</x:v>
      </x:c>
      <x:c r="I1234" s="8" t="s">
        <x:v>3604</x:v>
      </x:c>
      <x:c r="J1234" s="8" t="s">
        <x:v>3471</x:v>
      </x:c>
      <x:c r="K1234" s="8" t="s">
        <x:v>3620</x:v>
      </x:c>
      <x:c r="L1234" s="8" t="s">
        <x:v>3620</x:v>
      </x:c>
      <x:c r="M1234" s="8"/>
      <x:c r="N1234" s="8" t="s">
        <x:v>2664</x:v>
      </x:c>
      <x:c r="O1234" s="8" t="s">
        <x:v>1622</x:v>
      </x:c>
      <x:c r="P1234" s="8" t="s">
        <x:v>115</x:v>
      </x:c>
      <x:c r="Q1234" s="8" t="s">
        <x:v>45</x:v>
      </x:c>
      <x:c r="R1234" s="8" t="s">
        <x:v>3473</x:v>
      </x:c>
      <x:c r="S1234" s="8"/>
      <x:c r="T1234" s="8" t="s">
        <x:v>27</x:v>
      </x:c>
      <x:c r="U1234" s="8" t="s">
        <x:v>3474</x:v>
      </x:c>
      <x:c r="V1234" s="8" t="s">
        <x:v>3475</x:v>
      </x:c>
    </x:row>
    <x:row r="1235" ht="48" hidden="0" customHeight="1">
      <x:c r="A1235" s="8" t="s">
        <x:v>3633</x:v>
      </x:c>
      <x:c r="B1235" s="8" t="s">
        <x:v>3600</x:v>
      </x:c>
      <x:c r="C1235" s="8"/>
      <x:c r="D1235" s="8" t="s">
        <x:v>167</x:v>
      </x:c>
      <x:c r="E1235" s="8" t="n">
        <x:v>64</x:v>
      </x:c>
      <x:c r="F1235" s="8" t="s">
        <x:v>3602</x:v>
      </x:c>
      <x:c r="G1235" s="8" t="s">
        <x:v>109</x:v>
      </x:c>
      <x:c r="H1235" s="8" t="s">
        <x:v>3603</x:v>
      </x:c>
      <x:c r="I1235" s="8" t="s">
        <x:v>3604</x:v>
      </x:c>
      <x:c r="J1235" s="8" t="s">
        <x:v>3471</x:v>
      </x:c>
      <x:c r="K1235" s="8" t="s">
        <x:v>3620</x:v>
      </x:c>
      <x:c r="L1235" s="8" t="s">
        <x:v>3620</x:v>
      </x:c>
      <x:c r="M1235" s="8"/>
      <x:c r="N1235" s="8" t="s">
        <x:v>2664</x:v>
      </x:c>
      <x:c r="O1235" s="8" t="s">
        <x:v>1622</x:v>
      </x:c>
      <x:c r="P1235" s="8" t="s">
        <x:v>115</x:v>
      </x:c>
      <x:c r="Q1235" s="8" t="s">
        <x:v>45</x:v>
      </x:c>
      <x:c r="R1235" s="8" t="s">
        <x:v>3473</x:v>
      </x:c>
      <x:c r="S1235" s="8"/>
      <x:c r="T1235" s="8" t="s">
        <x:v>27</x:v>
      </x:c>
      <x:c r="U1235" s="8" t="s">
        <x:v>3474</x:v>
      </x:c>
      <x:c r="V1235" s="8" t="s">
        <x:v>3475</x:v>
      </x:c>
    </x:row>
    <x:row r="1236" ht="48" hidden="0" customHeight="1">
      <x:c r="A1236" s="8" t="s">
        <x:v>3634</x:v>
      </x:c>
      <x:c r="B1236" s="8" t="s">
        <x:v>3600</x:v>
      </x:c>
      <x:c r="C1236" s="8"/>
      <x:c r="D1236" s="8" t="s">
        <x:v>3635</x:v>
      </x:c>
      <x:c r="E1236" s="8" t="s">
        <x:v>3636</x:v>
      </x:c>
      <x:c r="F1236" s="8" t="s">
        <x:v>3602</x:v>
      </x:c>
      <x:c r="G1236" s="8" t="s">
        <x:v>109</x:v>
      </x:c>
      <x:c r="H1236" s="8" t="s">
        <x:v>3603</x:v>
      </x:c>
      <x:c r="I1236" s="8" t="s">
        <x:v>3604</x:v>
      </x:c>
      <x:c r="J1236" s="8" t="s">
        <x:v>3471</x:v>
      </x:c>
      <x:c r="K1236" s="8" t="s">
        <x:v>3620</x:v>
      </x:c>
      <x:c r="L1236" s="8" t="s">
        <x:v>3620</x:v>
      </x:c>
      <x:c r="M1236" s="8"/>
      <x:c r="N1236" s="8" t="s">
        <x:v>2664</x:v>
      </x:c>
      <x:c r="O1236" s="8" t="s">
        <x:v>1622</x:v>
      </x:c>
      <x:c r="P1236" s="8" t="s">
        <x:v>115</x:v>
      </x:c>
      <x:c r="Q1236" s="8" t="s">
        <x:v>45</x:v>
      </x:c>
      <x:c r="R1236" s="8" t="s">
        <x:v>3473</x:v>
      </x:c>
      <x:c r="S1236" s="8"/>
      <x:c r="T1236" s="8" t="s">
        <x:v>27</x:v>
      </x:c>
      <x:c r="U1236" s="8" t="s">
        <x:v>3474</x:v>
      </x:c>
      <x:c r="V1236" s="8" t="s">
        <x:v>3475</x:v>
      </x:c>
    </x:row>
    <x:row r="1237" ht="48" hidden="0" customHeight="1">
      <x:c r="A1237" s="8" t="s">
        <x:v>3637</x:v>
      </x:c>
      <x:c r="B1237" s="8" t="s">
        <x:v>3600</x:v>
      </x:c>
      <x:c r="C1237" s="8"/>
      <x:c r="D1237" s="8" t="s">
        <x:v>3638</x:v>
      </x:c>
      <x:c r="E1237" s="8" t="s">
        <x:v>3639</x:v>
      </x:c>
      <x:c r="F1237" s="8" t="s">
        <x:v>3602</x:v>
      </x:c>
      <x:c r="G1237" s="8" t="s">
        <x:v>109</x:v>
      </x:c>
      <x:c r="H1237" s="8" t="s">
        <x:v>3603</x:v>
      </x:c>
      <x:c r="I1237" s="8" t="s">
        <x:v>3604</x:v>
      </x:c>
      <x:c r="J1237" s="8" t="s">
        <x:v>3471</x:v>
      </x:c>
      <x:c r="K1237" s="8" t="s">
        <x:v>3620</x:v>
      </x:c>
      <x:c r="L1237" s="8" t="s">
        <x:v>3620</x:v>
      </x:c>
      <x:c r="M1237" s="8"/>
      <x:c r="N1237" s="8" t="s">
        <x:v>2664</x:v>
      </x:c>
      <x:c r="O1237" s="8" t="s">
        <x:v>1622</x:v>
      </x:c>
      <x:c r="P1237" s="8" t="s">
        <x:v>115</x:v>
      </x:c>
      <x:c r="Q1237" s="8" t="s">
        <x:v>45</x:v>
      </x:c>
      <x:c r="R1237" s="8" t="s">
        <x:v>3473</x:v>
      </x:c>
      <x:c r="S1237" s="8"/>
      <x:c r="T1237" s="8" t="s">
        <x:v>27</x:v>
      </x:c>
      <x:c r="U1237" s="8" t="s">
        <x:v>3474</x:v>
      </x:c>
      <x:c r="V1237" s="8" t="s">
        <x:v>3475</x:v>
      </x:c>
    </x:row>
    <x:row r="1238" ht="48" hidden="0" customHeight="1">
      <x:c r="A1238" s="8" t="s">
        <x:v>3640</x:v>
      </x:c>
      <x:c r="B1238" s="8" t="s">
        <x:v>3600</x:v>
      </x:c>
      <x:c r="C1238" s="8"/>
      <x:c r="D1238" s="8" t="s">
        <x:v>3641</x:v>
      </x:c>
      <x:c r="E1238" s="8" t="s">
        <x:v>3642</x:v>
      </x:c>
      <x:c r="F1238" s="8" t="s">
        <x:v>3602</x:v>
      </x:c>
      <x:c r="G1238" s="8" t="s">
        <x:v>187</x:v>
      </x:c>
      <x:c r="H1238" s="8" t="s">
        <x:v>3603</x:v>
      </x:c>
      <x:c r="I1238" s="8" t="s">
        <x:v>3604</x:v>
      </x:c>
      <x:c r="J1238" s="8" t="s">
        <x:v>3471</x:v>
      </x:c>
      <x:c r="K1238" s="8" t="s">
        <x:v>3620</x:v>
      </x:c>
      <x:c r="L1238" s="8" t="s">
        <x:v>3620</x:v>
      </x:c>
      <x:c r="M1238" s="8"/>
      <x:c r="N1238" s="8" t="s">
        <x:v>2664</x:v>
      </x:c>
      <x:c r="O1238" s="8" t="s">
        <x:v>1622</x:v>
      </x:c>
      <x:c r="P1238" s="8" t="s">
        <x:v>115</x:v>
      </x:c>
      <x:c r="Q1238" s="8" t="s">
        <x:v>45</x:v>
      </x:c>
      <x:c r="R1238" s="8" t="s">
        <x:v>3473</x:v>
      </x:c>
      <x:c r="S1238" s="8"/>
      <x:c r="T1238" s="8" t="s">
        <x:v>27</x:v>
      </x:c>
      <x:c r="U1238" s="8" t="s">
        <x:v>3474</x:v>
      </x:c>
      <x:c r="V1238" s="8" t="s">
        <x:v>3475</x:v>
      </x:c>
    </x:row>
    <x:row r="1239" ht="48" hidden="0" customHeight="1">
      <x:c r="A1239" s="8" t="s">
        <x:v>3643</x:v>
      </x:c>
      <x:c r="B1239" s="8" t="s">
        <x:v>3600</x:v>
      </x:c>
      <x:c r="C1239" s="8"/>
      <x:c r="D1239" s="8" t="s">
        <x:v>3644</x:v>
      </x:c>
      <x:c r="E1239" s="8" t="s">
        <x:v>3645</x:v>
      </x:c>
      <x:c r="F1239" s="8" t="s">
        <x:v>3602</x:v>
      </x:c>
      <x:c r="G1239" s="8" t="s">
        <x:v>109</x:v>
      </x:c>
      <x:c r="H1239" s="8" t="s">
        <x:v>3603</x:v>
      </x:c>
      <x:c r="I1239" s="8" t="s">
        <x:v>3604</x:v>
      </x:c>
      <x:c r="J1239" s="8" t="s">
        <x:v>3471</x:v>
      </x:c>
      <x:c r="K1239" s="8" t="s">
        <x:v>3646</x:v>
      </x:c>
      <x:c r="L1239" s="8" t="s">
        <x:v>3646</x:v>
      </x:c>
      <x:c r="M1239" s="8"/>
      <x:c r="N1239" s="8" t="s">
        <x:v>3647</x:v>
      </x:c>
      <x:c r="O1239" s="8" t="s">
        <x:v>1622</x:v>
      </x:c>
      <x:c r="P1239" s="8" t="s">
        <x:v>115</x:v>
      </x:c>
      <x:c r="Q1239" s="8" t="s">
        <x:v>45</x:v>
      </x:c>
      <x:c r="R1239" s="8" t="s">
        <x:v>3473</x:v>
      </x:c>
      <x:c r="S1239" s="8"/>
      <x:c r="T1239" s="8" t="s">
        <x:v>27</x:v>
      </x:c>
      <x:c r="U1239" s="8" t="s">
        <x:v>3474</x:v>
      </x:c>
      <x:c r="V1239" s="8" t="s">
        <x:v>3475</x:v>
      </x:c>
    </x:row>
    <x:row r="1240" ht="36" hidden="0" customHeight="1">
      <x:c r="A1240" s="8" t="s">
        <x:v>3648</x:v>
      </x:c>
      <x:c r="B1240" s="8" t="s">
        <x:v>3649</x:v>
      </x:c>
      <x:c r="C1240" s="8"/>
      <x:c r="D1240" s="8" t="s">
        <x:v>1864</x:v>
      </x:c>
      <x:c r="E1240" s="8" t="s">
        <x:v>3650</x:v>
      </x:c>
      <x:c r="F1240" s="8" t="s">
        <x:v>1617</x:v>
      </x:c>
      <x:c r="G1240" s="8" t="s">
        <x:v>109</x:v>
      </x:c>
      <x:c r="H1240" s="8" t="s">
        <x:v>3651</x:v>
      </x:c>
      <x:c r="I1240" s="8" t="s">
        <x:v>3652</x:v>
      </x:c>
      <x:c r="J1240" s="8" t="s">
        <x:v>3471</x:v>
      </x:c>
      <x:c r="K1240" s="8" t="s">
        <x:v>3653</x:v>
      </x:c>
      <x:c r="L1240" s="8" t="s">
        <x:v>3653</x:v>
      </x:c>
      <x:c r="M1240" s="8"/>
      <x:c r="N1240" s="8"/>
      <x:c r="O1240" s="8" t="s">
        <x:v>1622</x:v>
      </x:c>
      <x:c r="P1240" s="8" t="s">
        <x:v>115</x:v>
      </x:c>
      <x:c r="Q1240" s="8" t="s">
        <x:v>45</x:v>
      </x:c>
      <x:c r="R1240" s="8" t="s">
        <x:v>3473</x:v>
      </x:c>
      <x:c r="S1240" s="8"/>
      <x:c r="T1240" s="8" t="s">
        <x:v>27</x:v>
      </x:c>
      <x:c r="U1240" s="8" t="s">
        <x:v>3474</x:v>
      </x:c>
      <x:c r="V1240" s="8" t="s">
        <x:v>3475</x:v>
      </x:c>
    </x:row>
    <x:row r="1241" ht="36" hidden="0" customHeight="1">
      <x:c r="A1241" s="8" t="s">
        <x:v>3654</x:v>
      </x:c>
      <x:c r="B1241" s="8" t="s">
        <x:v>3649</x:v>
      </x:c>
      <x:c r="C1241" s="8"/>
      <x:c r="D1241" s="8" t="s">
        <x:v>3655</x:v>
      </x:c>
      <x:c r="E1241" s="8" t="s">
        <x:v>3656</x:v>
      </x:c>
      <x:c r="F1241" s="8" t="s">
        <x:v>1617</x:v>
      </x:c>
      <x:c r="G1241" s="8" t="s">
        <x:v>109</x:v>
      </x:c>
      <x:c r="H1241" s="8" t="s">
        <x:v>3651</x:v>
      </x:c>
      <x:c r="I1241" s="8" t="s">
        <x:v>3652</x:v>
      </x:c>
      <x:c r="J1241" s="8" t="s">
        <x:v>3471</x:v>
      </x:c>
      <x:c r="K1241" s="8" t="s">
        <x:v>3653</x:v>
      </x:c>
      <x:c r="L1241" s="8" t="s">
        <x:v>3653</x:v>
      </x:c>
      <x:c r="M1241" s="8"/>
      <x:c r="N1241" s="8"/>
      <x:c r="O1241" s="8" t="s">
        <x:v>1622</x:v>
      </x:c>
      <x:c r="P1241" s="8" t="s">
        <x:v>115</x:v>
      </x:c>
      <x:c r="Q1241" s="8" t="s">
        <x:v>45</x:v>
      </x:c>
      <x:c r="R1241" s="8" t="s">
        <x:v>3473</x:v>
      </x:c>
      <x:c r="S1241" s="8"/>
      <x:c r="T1241" s="8" t="s">
        <x:v>27</x:v>
      </x:c>
      <x:c r="U1241" s="8" t="s">
        <x:v>3474</x:v>
      </x:c>
      <x:c r="V1241" s="8" t="s">
        <x:v>3475</x:v>
      </x:c>
    </x:row>
    <x:row r="1242" ht="36" hidden="0" customHeight="1">
      <x:c r="A1242" s="8" t="s">
        <x:v>3657</x:v>
      </x:c>
      <x:c r="B1242" s="8" t="s">
        <x:v>3649</x:v>
      </x:c>
      <x:c r="C1242" s="8"/>
      <x:c r="D1242" s="8" t="s">
        <x:v>3658</x:v>
      </x:c>
      <x:c r="E1242" s="8" t="s">
        <x:v>3659</x:v>
      </x:c>
      <x:c r="F1242" s="8" t="s">
        <x:v>1617</x:v>
      </x:c>
      <x:c r="G1242" s="8" t="s">
        <x:v>109</x:v>
      </x:c>
      <x:c r="H1242" s="8" t="s">
        <x:v>3651</x:v>
      </x:c>
      <x:c r="I1242" s="8" t="s">
        <x:v>3652</x:v>
      </x:c>
      <x:c r="J1242" s="8" t="s">
        <x:v>3471</x:v>
      </x:c>
      <x:c r="K1242" s="8" t="s">
        <x:v>3653</x:v>
      </x:c>
      <x:c r="L1242" s="8" t="s">
        <x:v>3653</x:v>
      </x:c>
      <x:c r="M1242" s="8"/>
      <x:c r="N1242" s="8"/>
      <x:c r="O1242" s="8" t="s">
        <x:v>1622</x:v>
      </x:c>
      <x:c r="P1242" s="8" t="s">
        <x:v>115</x:v>
      </x:c>
      <x:c r="Q1242" s="8" t="s">
        <x:v>45</x:v>
      </x:c>
      <x:c r="R1242" s="8" t="s">
        <x:v>3473</x:v>
      </x:c>
      <x:c r="S1242" s="8"/>
      <x:c r="T1242" s="8" t="s">
        <x:v>27</x:v>
      </x:c>
      <x:c r="U1242" s="8" t="s">
        <x:v>3474</x:v>
      </x:c>
      <x:c r="V1242" s="8" t="s">
        <x:v>3475</x:v>
      </x:c>
    </x:row>
    <x:row r="1243" ht="36" hidden="0" customHeight="1">
      <x:c r="A1243" s="8" t="s">
        <x:v>3660</x:v>
      </x:c>
      <x:c r="B1243" s="8" t="s">
        <x:v>3649</x:v>
      </x:c>
      <x:c r="C1243" s="8"/>
      <x:c r="D1243" s="8" t="s">
        <x:v>164</x:v>
      </x:c>
      <x:c r="E1243" s="8" t="s">
        <x:v>746</x:v>
      </x:c>
      <x:c r="F1243" s="8" t="s">
        <x:v>1617</x:v>
      </x:c>
      <x:c r="G1243" s="8" t="s">
        <x:v>109</x:v>
      </x:c>
      <x:c r="H1243" s="8" t="s">
        <x:v>3651</x:v>
      </x:c>
      <x:c r="I1243" s="8" t="s">
        <x:v>3652</x:v>
      </x:c>
      <x:c r="J1243" s="8" t="s">
        <x:v>3471</x:v>
      </x:c>
      <x:c r="K1243" s="8" t="s">
        <x:v>3661</x:v>
      </x:c>
      <x:c r="L1243" s="8" t="s">
        <x:v>3661</x:v>
      </x:c>
      <x:c r="M1243" s="8"/>
      <x:c r="N1243" s="8"/>
      <x:c r="O1243" s="8" t="s">
        <x:v>1622</x:v>
      </x:c>
      <x:c r="P1243" s="8" t="s">
        <x:v>115</x:v>
      </x:c>
      <x:c r="Q1243" s="8" t="s">
        <x:v>45</x:v>
      </x:c>
      <x:c r="R1243" s="8" t="s">
        <x:v>3473</x:v>
      </x:c>
      <x:c r="S1243" s="8"/>
      <x:c r="T1243" s="8" t="s">
        <x:v>27</x:v>
      </x:c>
      <x:c r="U1243" s="8" t="s">
        <x:v>3474</x:v>
      </x:c>
      <x:c r="V1243" s="8" t="s">
        <x:v>3475</x:v>
      </x:c>
    </x:row>
    <x:row r="1244" ht="36" hidden="0" customHeight="1">
      <x:c r="A1244" s="8" t="s">
        <x:v>3662</x:v>
      </x:c>
      <x:c r="B1244" s="8" t="s">
        <x:v>3649</x:v>
      </x:c>
      <x:c r="C1244" s="8"/>
      <x:c r="D1244" s="8" t="s">
        <x:v>318</x:v>
      </x:c>
      <x:c r="E1244" s="8" t="n">
        <x:v>0.001</x:v>
      </x:c>
      <x:c r="F1244" s="8" t="s">
        <x:v>1617</x:v>
      </x:c>
      <x:c r="G1244" s="8" t="s">
        <x:v>109</x:v>
      </x:c>
      <x:c r="H1244" s="8" t="s">
        <x:v>3651</x:v>
      </x:c>
      <x:c r="I1244" s="8" t="s">
        <x:v>3652</x:v>
      </x:c>
      <x:c r="J1244" s="8" t="s">
        <x:v>3471</x:v>
      </x:c>
      <x:c r="K1244" s="8" t="s">
        <x:v>3661</x:v>
      </x:c>
      <x:c r="L1244" s="8" t="s">
        <x:v>3661</x:v>
      </x:c>
      <x:c r="M1244" s="8"/>
      <x:c r="N1244" s="8"/>
      <x:c r="O1244" s="8" t="s">
        <x:v>1622</x:v>
      </x:c>
      <x:c r="P1244" s="8" t="s">
        <x:v>115</x:v>
      </x:c>
      <x:c r="Q1244" s="8" t="s">
        <x:v>45</x:v>
      </x:c>
      <x:c r="R1244" s="8" t="s">
        <x:v>3473</x:v>
      </x:c>
      <x:c r="S1244" s="8"/>
      <x:c r="T1244" s="8" t="s">
        <x:v>27</x:v>
      </x:c>
      <x:c r="U1244" s="8" t="s">
        <x:v>3474</x:v>
      </x:c>
      <x:c r="V1244" s="8" t="s">
        <x:v>3475</x:v>
      </x:c>
    </x:row>
    <x:row r="1245" ht="36" hidden="0" customHeight="1">
      <x:c r="A1245" s="8" t="s">
        <x:v>3663</x:v>
      </x:c>
      <x:c r="B1245" s="8" t="s">
        <x:v>3649</x:v>
      </x:c>
      <x:c r="C1245" s="8"/>
      <x:c r="D1245" s="8" t="s">
        <x:v>1652</x:v>
      </x:c>
      <x:c r="E1245" s="8" t="s">
        <x:v>3664</x:v>
      </x:c>
      <x:c r="F1245" s="8" t="s">
        <x:v>1617</x:v>
      </x:c>
      <x:c r="G1245" s="8" t="s">
        <x:v>109</x:v>
      </x:c>
      <x:c r="H1245" s="8" t="s">
        <x:v>3651</x:v>
      </x:c>
      <x:c r="I1245" s="8" t="s">
        <x:v>3652</x:v>
      </x:c>
      <x:c r="J1245" s="8" t="s">
        <x:v>3471</x:v>
      </x:c>
      <x:c r="K1245" s="8" t="s">
        <x:v>3661</x:v>
      </x:c>
      <x:c r="L1245" s="8" t="s">
        <x:v>3661</x:v>
      </x:c>
      <x:c r="M1245" s="8"/>
      <x:c r="N1245" s="8"/>
      <x:c r="O1245" s="8" t="s">
        <x:v>1622</x:v>
      </x:c>
      <x:c r="P1245" s="8" t="s">
        <x:v>115</x:v>
      </x:c>
      <x:c r="Q1245" s="8" t="s">
        <x:v>45</x:v>
      </x:c>
      <x:c r="R1245" s="8" t="s">
        <x:v>3473</x:v>
      </x:c>
      <x:c r="S1245" s="8"/>
      <x:c r="T1245" s="8" t="s">
        <x:v>27</x:v>
      </x:c>
      <x:c r="U1245" s="8" t="s">
        <x:v>3474</x:v>
      </x:c>
      <x:c r="V1245" s="8" t="s">
        <x:v>3475</x:v>
      </x:c>
    </x:row>
    <x:row r="1246" ht="36" hidden="0" customHeight="1">
      <x:c r="A1246" s="8" t="s">
        <x:v>3665</x:v>
      </x:c>
      <x:c r="B1246" s="8" t="s">
        <x:v>3649</x:v>
      </x:c>
      <x:c r="C1246" s="8"/>
      <x:c r="D1246" s="8" t="s">
        <x:v>871</x:v>
      </x:c>
      <x:c r="E1246" s="8" t="s">
        <x:v>3666</x:v>
      </x:c>
      <x:c r="F1246" s="8" t="s">
        <x:v>1617</x:v>
      </x:c>
      <x:c r="G1246" s="8" t="s">
        <x:v>109</x:v>
      </x:c>
      <x:c r="H1246" s="8" t="s">
        <x:v>3651</x:v>
      </x:c>
      <x:c r="I1246" s="8" t="s">
        <x:v>3652</x:v>
      </x:c>
      <x:c r="J1246" s="8" t="s">
        <x:v>3471</x:v>
      </x:c>
      <x:c r="K1246" s="8" t="s">
        <x:v>1696</x:v>
      </x:c>
      <x:c r="L1246" s="8" t="s">
        <x:v>1696</x:v>
      </x:c>
      <x:c r="M1246" s="8"/>
      <x:c r="N1246" s="8"/>
      <x:c r="O1246" s="8" t="s">
        <x:v>1622</x:v>
      </x:c>
      <x:c r="P1246" s="8" t="s">
        <x:v>115</x:v>
      </x:c>
      <x:c r="Q1246" s="8" t="s">
        <x:v>45</x:v>
      </x:c>
      <x:c r="R1246" s="8" t="s">
        <x:v>3473</x:v>
      </x:c>
      <x:c r="S1246" s="8"/>
      <x:c r="T1246" s="8" t="s">
        <x:v>27</x:v>
      </x:c>
      <x:c r="U1246" s="8" t="s">
        <x:v>3474</x:v>
      </x:c>
      <x:c r="V1246" s="8" t="s">
        <x:v>3475</x:v>
      </x:c>
    </x:row>
    <x:row r="1247" ht="48" hidden="0" customHeight="1">
      <x:c r="A1247" s="8" t="s">
        <x:v>3667</x:v>
      </x:c>
      <x:c r="B1247" s="8" t="s">
        <x:v>3668</x:v>
      </x:c>
      <x:c r="C1247" s="8"/>
      <x:c r="D1247" s="8" t="s">
        <x:v>3261</x:v>
      </x:c>
      <x:c r="E1247" s="8" t="s">
        <x:v>3669</x:v>
      </x:c>
      <x:c r="F1247" s="8" t="s">
        <x:v>3670</x:v>
      </x:c>
      <x:c r="G1247" s="8" t="s">
        <x:v>109</x:v>
      </x:c>
      <x:c r="H1247" s="8" t="s">
        <x:v>3671</x:v>
      </x:c>
      <x:c r="I1247" s="8" t="s">
        <x:v>3672</x:v>
      </x:c>
      <x:c r="J1247" s="8" t="s">
        <x:v>112</x:v>
      </x:c>
      <x:c r="K1247" s="8" t="s">
        <x:v>3673</x:v>
      </x:c>
      <x:c r="L1247" s="8" t="s">
        <x:v>3673</x:v>
      </x:c>
      <x:c r="M1247" s="8"/>
      <x:c r="N1247" s="8"/>
      <x:c r="O1247" s="8" t="s">
        <x:v>1622</x:v>
      </x:c>
      <x:c r="P1247" s="8" t="s">
        <x:v>115</x:v>
      </x:c>
      <x:c r="Q1247" s="8" t="s">
        <x:v>45</x:v>
      </x:c>
      <x:c r="R1247" s="8" t="s">
        <x:v>1623</x:v>
      </x:c>
      <x:c r="S1247" s="8"/>
      <x:c r="T1247" s="8" t="s">
        <x:v>27</x:v>
      </x:c>
      <x:c r="U1247" s="8" t="s">
        <x:v>3474</x:v>
      </x:c>
      <x:c r="V1247" s="8" t="s">
        <x:v>3475</x:v>
      </x:c>
    </x:row>
    <x:row r="1248" ht="48" hidden="0" customHeight="1">
      <x:c r="A1248" s="8" t="s">
        <x:v>3674</x:v>
      </x:c>
      <x:c r="B1248" s="8" t="s">
        <x:v>3668</x:v>
      </x:c>
      <x:c r="C1248" s="8"/>
      <x:c r="D1248" s="8" t="s">
        <x:v>3208</x:v>
      </x:c>
      <x:c r="E1248" s="8" t="s">
        <x:v>3675</x:v>
      </x:c>
      <x:c r="F1248" s="8" t="s">
        <x:v>3670</x:v>
      </x:c>
      <x:c r="G1248" s="8" t="s">
        <x:v>109</x:v>
      </x:c>
      <x:c r="H1248" s="8" t="s">
        <x:v>3671</x:v>
      </x:c>
      <x:c r="I1248" s="8" t="s">
        <x:v>3672</x:v>
      </x:c>
      <x:c r="J1248" s="8" t="s">
        <x:v>112</x:v>
      </x:c>
      <x:c r="K1248" s="8" t="s">
        <x:v>3673</x:v>
      </x:c>
      <x:c r="L1248" s="8" t="s">
        <x:v>3673</x:v>
      </x:c>
      <x:c r="M1248" s="8"/>
      <x:c r="N1248" s="8"/>
      <x:c r="O1248" s="8" t="s">
        <x:v>1622</x:v>
      </x:c>
      <x:c r="P1248" s="8" t="s">
        <x:v>115</x:v>
      </x:c>
      <x:c r="Q1248" s="8" t="s">
        <x:v>45</x:v>
      </x:c>
      <x:c r="R1248" s="8" t="s">
        <x:v>1623</x:v>
      </x:c>
      <x:c r="S1248" s="8"/>
      <x:c r="T1248" s="8" t="s">
        <x:v>27</x:v>
      </x:c>
      <x:c r="U1248" s="8" t="s">
        <x:v>3474</x:v>
      </x:c>
      <x:c r="V1248" s="8" t="s">
        <x:v>3475</x:v>
      </x:c>
    </x:row>
    <x:row r="1249" ht="48" hidden="0" customHeight="1">
      <x:c r="A1249" s="8" t="s">
        <x:v>3676</x:v>
      </x:c>
      <x:c r="B1249" s="8" t="s">
        <x:v>3668</x:v>
      </x:c>
      <x:c r="C1249" s="8"/>
      <x:c r="D1249" s="8" t="s">
        <x:v>3677</x:v>
      </x:c>
      <x:c r="E1249" s="8" t="s">
        <x:v>3678</x:v>
      </x:c>
      <x:c r="F1249" s="8" t="s">
        <x:v>3670</x:v>
      </x:c>
      <x:c r="G1249" s="8" t="s">
        <x:v>109</x:v>
      </x:c>
      <x:c r="H1249" s="8" t="s">
        <x:v>3671</x:v>
      </x:c>
      <x:c r="I1249" s="8" t="s">
        <x:v>3672</x:v>
      </x:c>
      <x:c r="J1249" s="8" t="s">
        <x:v>112</x:v>
      </x:c>
      <x:c r="K1249" s="8" t="s">
        <x:v>3673</x:v>
      </x:c>
      <x:c r="L1249" s="8" t="s">
        <x:v>3673</x:v>
      </x:c>
      <x:c r="M1249" s="8"/>
      <x:c r="N1249" s="8"/>
      <x:c r="O1249" s="8" t="s">
        <x:v>1622</x:v>
      </x:c>
      <x:c r="P1249" s="8" t="s">
        <x:v>115</x:v>
      </x:c>
      <x:c r="Q1249" s="8" t="s">
        <x:v>45</x:v>
      </x:c>
      <x:c r="R1249" s="8" t="s">
        <x:v>1623</x:v>
      </x:c>
      <x:c r="S1249" s="8"/>
      <x:c r="T1249" s="8" t="s">
        <x:v>27</x:v>
      </x:c>
      <x:c r="U1249" s="8" t="s">
        <x:v>3474</x:v>
      </x:c>
      <x:c r="V1249" s="8" t="s">
        <x:v>3475</x:v>
      </x:c>
    </x:row>
    <x:row r="1250" ht="48" hidden="0" customHeight="1">
      <x:c r="A1250" s="8" t="s">
        <x:v>3679</x:v>
      </x:c>
      <x:c r="B1250" s="8" t="s">
        <x:v>3668</x:v>
      </x:c>
      <x:c r="C1250" s="8"/>
      <x:c r="D1250" s="8" t="s">
        <x:v>2671</x:v>
      </x:c>
      <x:c r="E1250" s="8" t="s">
        <x:v>3680</x:v>
      </x:c>
      <x:c r="F1250" s="8" t="s">
        <x:v>3670</x:v>
      </x:c>
      <x:c r="G1250" s="8" t="s">
        <x:v>109</x:v>
      </x:c>
      <x:c r="H1250" s="8" t="s">
        <x:v>3671</x:v>
      </x:c>
      <x:c r="I1250" s="8" t="s">
        <x:v>3672</x:v>
      </x:c>
      <x:c r="J1250" s="8" t="s">
        <x:v>112</x:v>
      </x:c>
      <x:c r="K1250" s="8" t="s">
        <x:v>3673</x:v>
      </x:c>
      <x:c r="L1250" s="8" t="s">
        <x:v>3673</x:v>
      </x:c>
      <x:c r="M1250" s="8"/>
      <x:c r="N1250" s="8"/>
      <x:c r="O1250" s="8" t="s">
        <x:v>1622</x:v>
      </x:c>
      <x:c r="P1250" s="8" t="s">
        <x:v>115</x:v>
      </x:c>
      <x:c r="Q1250" s="8" t="s">
        <x:v>45</x:v>
      </x:c>
      <x:c r="R1250" s="8" t="s">
        <x:v>1623</x:v>
      </x:c>
      <x:c r="S1250" s="8"/>
      <x:c r="T1250" s="8" t="s">
        <x:v>27</x:v>
      </x:c>
      <x:c r="U1250" s="8" t="s">
        <x:v>3474</x:v>
      </x:c>
      <x:c r="V1250" s="8" t="s">
        <x:v>3475</x:v>
      </x:c>
    </x:row>
    <x:row r="1251" ht="48" hidden="0" customHeight="1">
      <x:c r="A1251" s="8" t="s">
        <x:v>3681</x:v>
      </x:c>
      <x:c r="B1251" s="8" t="s">
        <x:v>3668</x:v>
      </x:c>
      <x:c r="C1251" s="8"/>
      <x:c r="D1251" s="8" t="s">
        <x:v>1682</x:v>
      </x:c>
      <x:c r="E1251" s="8" t="n">
        <x:v>1</x:v>
      </x:c>
      <x:c r="F1251" s="8" t="s">
        <x:v>3670</x:v>
      </x:c>
      <x:c r="G1251" s="8" t="s">
        <x:v>109</x:v>
      </x:c>
      <x:c r="H1251" s="8" t="s">
        <x:v>3671</x:v>
      </x:c>
      <x:c r="I1251" s="8" t="s">
        <x:v>3672</x:v>
      </x:c>
      <x:c r="J1251" s="8" t="s">
        <x:v>112</x:v>
      </x:c>
      <x:c r="K1251" s="8" t="s">
        <x:v>3673</x:v>
      </x:c>
      <x:c r="L1251" s="8" t="s">
        <x:v>3673</x:v>
      </x:c>
      <x:c r="M1251" s="8"/>
      <x:c r="N1251" s="8"/>
      <x:c r="O1251" s="8" t="s">
        <x:v>1622</x:v>
      </x:c>
      <x:c r="P1251" s="8" t="s">
        <x:v>115</x:v>
      </x:c>
      <x:c r="Q1251" s="8" t="s">
        <x:v>45</x:v>
      </x:c>
      <x:c r="R1251" s="8" t="s">
        <x:v>1623</x:v>
      </x:c>
      <x:c r="S1251" s="8" t="s">
        <x:v>1684</x:v>
      </x:c>
      <x:c r="T1251" s="8" t="s">
        <x:v>27</x:v>
      </x:c>
      <x:c r="U1251" s="8" t="s">
        <x:v>3474</x:v>
      </x:c>
      <x:c r="V1251" s="8" t="s">
        <x:v>3475</x:v>
      </x:c>
    </x:row>
    <x:row r="1252" ht="48" hidden="0" customHeight="1">
      <x:c r="A1252" s="8" t="s">
        <x:v>3682</x:v>
      </x:c>
      <x:c r="B1252" s="8" t="s">
        <x:v>3668</x:v>
      </x:c>
      <x:c r="C1252" s="8"/>
      <x:c r="D1252" s="8" t="s">
        <x:v>3683</x:v>
      </x:c>
      <x:c r="E1252" s="8" t="s">
        <x:v>3684</x:v>
      </x:c>
      <x:c r="F1252" s="8" t="s">
        <x:v>3670</x:v>
      </x:c>
      <x:c r="G1252" s="8" t="s">
        <x:v>109</x:v>
      </x:c>
      <x:c r="H1252" s="8" t="s">
        <x:v>3671</x:v>
      </x:c>
      <x:c r="I1252" s="8" t="s">
        <x:v>3672</x:v>
      </x:c>
      <x:c r="J1252" s="8" t="s">
        <x:v>112</x:v>
      </x:c>
      <x:c r="K1252" s="8" t="s">
        <x:v>3673</x:v>
      </x:c>
      <x:c r="L1252" s="8" t="s">
        <x:v>3673</x:v>
      </x:c>
      <x:c r="M1252" s="8"/>
      <x:c r="N1252" s="8"/>
      <x:c r="O1252" s="8" t="s">
        <x:v>1622</x:v>
      </x:c>
      <x:c r="P1252" s="8" t="s">
        <x:v>115</x:v>
      </x:c>
      <x:c r="Q1252" s="8" t="s">
        <x:v>45</x:v>
      </x:c>
      <x:c r="R1252" s="8" t="s">
        <x:v>1623</x:v>
      </x:c>
      <x:c r="S1252" s="8"/>
      <x:c r="T1252" s="8" t="s">
        <x:v>27</x:v>
      </x:c>
      <x:c r="U1252" s="8" t="s">
        <x:v>3474</x:v>
      </x:c>
      <x:c r="V1252" s="8" t="s">
        <x:v>3475</x:v>
      </x:c>
    </x:row>
    <x:row r="1253" ht="48" hidden="0" customHeight="1">
      <x:c r="A1253" s="8" t="s">
        <x:v>3685</x:v>
      </x:c>
      <x:c r="B1253" s="8" t="s">
        <x:v>3668</x:v>
      </x:c>
      <x:c r="C1253" s="8"/>
      <x:c r="D1253" s="8" t="s">
        <x:v>3686</x:v>
      </x:c>
      <x:c r="E1253" s="8" t="s">
        <x:v>3687</x:v>
      </x:c>
      <x:c r="F1253" s="8" t="s">
        <x:v>3670</x:v>
      </x:c>
      <x:c r="G1253" s="8" t="s">
        <x:v>109</x:v>
      </x:c>
      <x:c r="H1253" s="8" t="s">
        <x:v>3671</x:v>
      </x:c>
      <x:c r="I1253" s="8" t="s">
        <x:v>3672</x:v>
      </x:c>
      <x:c r="J1253" s="8" t="s">
        <x:v>112</x:v>
      </x:c>
      <x:c r="K1253" s="8" t="s">
        <x:v>3688</x:v>
      </x:c>
      <x:c r="L1253" s="8" t="s">
        <x:v>3688</x:v>
      </x:c>
      <x:c r="M1253" s="8"/>
      <x:c r="N1253" s="8"/>
      <x:c r="O1253" s="8" t="s">
        <x:v>1622</x:v>
      </x:c>
      <x:c r="P1253" s="8" t="s">
        <x:v>115</x:v>
      </x:c>
      <x:c r="Q1253" s="8" t="s">
        <x:v>45</x:v>
      </x:c>
      <x:c r="R1253" s="8" t="s">
        <x:v>1623</x:v>
      </x:c>
      <x:c r="S1253" s="8"/>
      <x:c r="T1253" s="8" t="s">
        <x:v>27</x:v>
      </x:c>
      <x:c r="U1253" s="8" t="s">
        <x:v>3474</x:v>
      </x:c>
      <x:c r="V1253" s="8" t="s">
        <x:v>3475</x:v>
      </x:c>
    </x:row>
    <x:row r="1254" ht="48" hidden="0" customHeight="1">
      <x:c r="A1254" s="8" t="s">
        <x:v>3689</x:v>
      </x:c>
      <x:c r="B1254" s="8" t="s">
        <x:v>3668</x:v>
      </x:c>
      <x:c r="C1254" s="8"/>
      <x:c r="D1254" s="8" t="s">
        <x:v>1626</x:v>
      </x:c>
      <x:c r="E1254" s="8" t="s">
        <x:v>3690</x:v>
      </x:c>
      <x:c r="F1254" s="8" t="s">
        <x:v>3670</x:v>
      </x:c>
      <x:c r="G1254" s="8" t="s">
        <x:v>109</x:v>
      </x:c>
      <x:c r="H1254" s="8" t="s">
        <x:v>3671</x:v>
      </x:c>
      <x:c r="I1254" s="8" t="s">
        <x:v>3672</x:v>
      </x:c>
      <x:c r="J1254" s="8" t="s">
        <x:v>112</x:v>
      </x:c>
      <x:c r="K1254" s="8" t="s">
        <x:v>3688</x:v>
      </x:c>
      <x:c r="L1254" s="8" t="s">
        <x:v>3688</x:v>
      </x:c>
      <x:c r="M1254" s="8"/>
      <x:c r="N1254" s="8"/>
      <x:c r="O1254" s="8" t="s">
        <x:v>1622</x:v>
      </x:c>
      <x:c r="P1254" s="8" t="s">
        <x:v>115</x:v>
      </x:c>
      <x:c r="Q1254" s="8" t="s">
        <x:v>45</x:v>
      </x:c>
      <x:c r="R1254" s="8" t="s">
        <x:v>1623</x:v>
      </x:c>
      <x:c r="S1254" s="8"/>
      <x:c r="T1254" s="8" t="s">
        <x:v>27</x:v>
      </x:c>
      <x:c r="U1254" s="8" t="s">
        <x:v>3474</x:v>
      </x:c>
      <x:c r="V1254" s="8" t="s">
        <x:v>3475</x:v>
      </x:c>
    </x:row>
    <x:row r="1255" ht="48" hidden="0" customHeight="1">
      <x:c r="A1255" s="8" t="s">
        <x:v>3691</x:v>
      </x:c>
      <x:c r="B1255" s="8" t="s">
        <x:v>3668</x:v>
      </x:c>
      <x:c r="C1255" s="8"/>
      <x:c r="D1255" s="8" t="s">
        <x:v>3692</x:v>
      </x:c>
      <x:c r="E1255" s="8" t="s">
        <x:v>3693</x:v>
      </x:c>
      <x:c r="F1255" s="8" t="s">
        <x:v>3670</x:v>
      </x:c>
      <x:c r="G1255" s="8" t="s">
        <x:v>109</x:v>
      </x:c>
      <x:c r="H1255" s="8" t="s">
        <x:v>3671</x:v>
      </x:c>
      <x:c r="I1255" s="8" t="s">
        <x:v>3672</x:v>
      </x:c>
      <x:c r="J1255" s="8" t="s">
        <x:v>112</x:v>
      </x:c>
      <x:c r="K1255" s="8" t="s">
        <x:v>3694</x:v>
      </x:c>
      <x:c r="L1255" s="8" t="s">
        <x:v>3694</x:v>
      </x:c>
      <x:c r="M1255" s="8"/>
      <x:c r="N1255" s="8"/>
      <x:c r="O1255" s="8" t="s">
        <x:v>1622</x:v>
      </x:c>
      <x:c r="P1255" s="8" t="s">
        <x:v>115</x:v>
      </x:c>
      <x:c r="Q1255" s="8" t="s">
        <x:v>45</x:v>
      </x:c>
      <x:c r="R1255" s="8" t="s">
        <x:v>1623</x:v>
      </x:c>
      <x:c r="S1255" s="8"/>
      <x:c r="T1255" s="8" t="s">
        <x:v>27</x:v>
      </x:c>
      <x:c r="U1255" s="8" t="s">
        <x:v>3474</x:v>
      </x:c>
      <x:c r="V1255" s="8" t="s">
        <x:v>3475</x:v>
      </x:c>
    </x:row>
    <x:row r="1256" ht="48" hidden="0" customHeight="1">
      <x:c r="A1256" s="8" t="s">
        <x:v>3695</x:v>
      </x:c>
      <x:c r="B1256" s="8" t="s">
        <x:v>3668</x:v>
      </x:c>
      <x:c r="C1256" s="8"/>
      <x:c r="D1256" s="8" t="s">
        <x:v>3619</x:v>
      </x:c>
      <x:c r="E1256" s="8" t="n">
        <x:v>4</x:v>
      </x:c>
      <x:c r="F1256" s="8" t="s">
        <x:v>3670</x:v>
      </x:c>
      <x:c r="G1256" s="8" t="s">
        <x:v>109</x:v>
      </x:c>
      <x:c r="H1256" s="8" t="s">
        <x:v>3671</x:v>
      </x:c>
      <x:c r="I1256" s="8" t="s">
        <x:v>3672</x:v>
      </x:c>
      <x:c r="J1256" s="8" t="s">
        <x:v>112</x:v>
      </x:c>
      <x:c r="K1256" s="8" t="s">
        <x:v>3694</x:v>
      </x:c>
      <x:c r="L1256" s="8" t="s">
        <x:v>3694</x:v>
      </x:c>
      <x:c r="M1256" s="8"/>
      <x:c r="N1256" s="8"/>
      <x:c r="O1256" s="8" t="s">
        <x:v>1622</x:v>
      </x:c>
      <x:c r="P1256" s="8" t="s">
        <x:v>115</x:v>
      </x:c>
      <x:c r="Q1256" s="8" t="s">
        <x:v>45</x:v>
      </x:c>
      <x:c r="R1256" s="8" t="s">
        <x:v>1623</x:v>
      </x:c>
      <x:c r="S1256" s="8"/>
      <x:c r="T1256" s="8" t="s">
        <x:v>27</x:v>
      </x:c>
      <x:c r="U1256" s="8" t="s">
        <x:v>3474</x:v>
      </x:c>
      <x:c r="V1256" s="8" t="s">
        <x:v>3475</x:v>
      </x:c>
    </x:row>
    <x:row r="1257" ht="48" hidden="0" customHeight="1">
      <x:c r="A1257" s="8" t="s">
        <x:v>3696</x:v>
      </x:c>
      <x:c r="B1257" s="8" t="s">
        <x:v>3668</x:v>
      </x:c>
      <x:c r="C1257" s="8"/>
      <x:c r="D1257" s="8" t="s">
        <x:v>2192</x:v>
      </x:c>
      <x:c r="E1257" s="8" t="n">
        <x:v>3</x:v>
      </x:c>
      <x:c r="F1257" s="8" t="s">
        <x:v>3670</x:v>
      </x:c>
      <x:c r="G1257" s="8" t="s">
        <x:v>109</x:v>
      </x:c>
      <x:c r="H1257" s="8" t="s">
        <x:v>3671</x:v>
      </x:c>
      <x:c r="I1257" s="8" t="s">
        <x:v>3672</x:v>
      </x:c>
      <x:c r="J1257" s="8" t="s">
        <x:v>112</x:v>
      </x:c>
      <x:c r="K1257" s="8" t="s">
        <x:v>3694</x:v>
      </x:c>
      <x:c r="L1257" s="8" t="s">
        <x:v>3694</x:v>
      </x:c>
      <x:c r="M1257" s="8"/>
      <x:c r="N1257" s="8"/>
      <x:c r="O1257" s="8" t="s">
        <x:v>1622</x:v>
      </x:c>
      <x:c r="P1257" s="8" t="s">
        <x:v>115</x:v>
      </x:c>
      <x:c r="Q1257" s="8" t="s">
        <x:v>45</x:v>
      </x:c>
      <x:c r="R1257" s="8" t="s">
        <x:v>1623</x:v>
      </x:c>
      <x:c r="S1257" s="8"/>
      <x:c r="T1257" s="8" t="s">
        <x:v>27</x:v>
      </x:c>
      <x:c r="U1257" s="8" t="s">
        <x:v>3474</x:v>
      </x:c>
      <x:c r="V1257" s="8" t="s">
        <x:v>3475</x:v>
      </x:c>
    </x:row>
    <x:row r="1258" ht="48" hidden="0" customHeight="1">
      <x:c r="A1258" s="8" t="s">
        <x:v>3697</x:v>
      </x:c>
      <x:c r="B1258" s="8" t="s">
        <x:v>3668</x:v>
      </x:c>
      <x:c r="C1258" s="8"/>
      <x:c r="D1258" s="8" t="s">
        <x:v>445</x:v>
      </x:c>
      <x:c r="E1258" s="8" t="s">
        <x:v>3698</x:v>
      </x:c>
      <x:c r="F1258" s="8" t="s">
        <x:v>3670</x:v>
      </x:c>
      <x:c r="G1258" s="8" t="s">
        <x:v>109</x:v>
      </x:c>
      <x:c r="H1258" s="8" t="s">
        <x:v>3671</x:v>
      </x:c>
      <x:c r="I1258" s="8" t="s">
        <x:v>3672</x:v>
      </x:c>
      <x:c r="J1258" s="8" t="s">
        <x:v>112</x:v>
      </x:c>
      <x:c r="K1258" s="8" t="s">
        <x:v>3694</x:v>
      </x:c>
      <x:c r="L1258" s="8" t="s">
        <x:v>3694</x:v>
      </x:c>
      <x:c r="M1258" s="8"/>
      <x:c r="N1258" s="8"/>
      <x:c r="O1258" s="8" t="s">
        <x:v>1622</x:v>
      </x:c>
      <x:c r="P1258" s="8" t="s">
        <x:v>115</x:v>
      </x:c>
      <x:c r="Q1258" s="8" t="s">
        <x:v>45</x:v>
      </x:c>
      <x:c r="R1258" s="8" t="s">
        <x:v>1623</x:v>
      </x:c>
      <x:c r="S1258" s="8"/>
      <x:c r="T1258" s="8" t="s">
        <x:v>27</x:v>
      </x:c>
      <x:c r="U1258" s="8" t="s">
        <x:v>3474</x:v>
      </x:c>
      <x:c r="V1258" s="8" t="s">
        <x:v>3475</x:v>
      </x:c>
    </x:row>
    <x:row r="1259" ht="48" hidden="0" customHeight="1">
      <x:c r="A1259" s="8" t="s">
        <x:v>3699</x:v>
      </x:c>
      <x:c r="B1259" s="8" t="s">
        <x:v>3668</x:v>
      </x:c>
      <x:c r="C1259" s="8"/>
      <x:c r="D1259" s="8" t="s">
        <x:v>3700</x:v>
      </x:c>
      <x:c r="E1259" s="8" t="s">
        <x:v>3701</x:v>
      </x:c>
      <x:c r="F1259" s="8" t="s">
        <x:v>3670</x:v>
      </x:c>
      <x:c r="G1259" s="8" t="s">
        <x:v>109</x:v>
      </x:c>
      <x:c r="H1259" s="8" t="s">
        <x:v>3671</x:v>
      </x:c>
      <x:c r="I1259" s="8" t="s">
        <x:v>3672</x:v>
      </x:c>
      <x:c r="J1259" s="8" t="s">
        <x:v>112</x:v>
      </x:c>
      <x:c r="K1259" s="8" t="s">
        <x:v>3694</x:v>
      </x:c>
      <x:c r="L1259" s="8" t="s">
        <x:v>3694</x:v>
      </x:c>
      <x:c r="M1259" s="8"/>
      <x:c r="N1259" s="8"/>
      <x:c r="O1259" s="8" t="s">
        <x:v>1622</x:v>
      </x:c>
      <x:c r="P1259" s="8" t="s">
        <x:v>115</x:v>
      </x:c>
      <x:c r="Q1259" s="8" t="s">
        <x:v>45</x:v>
      </x:c>
      <x:c r="R1259" s="8" t="s">
        <x:v>1623</x:v>
      </x:c>
      <x:c r="S1259" s="8"/>
      <x:c r="T1259" s="8" t="s">
        <x:v>27</x:v>
      </x:c>
      <x:c r="U1259" s="8" t="s">
        <x:v>3474</x:v>
      </x:c>
      <x:c r="V1259" s="8" t="s">
        <x:v>3475</x:v>
      </x:c>
    </x:row>
    <x:row r="1260" ht="48" hidden="0" customHeight="1">
      <x:c r="A1260" s="8" t="s">
        <x:v>3702</x:v>
      </x:c>
      <x:c r="B1260" s="8" t="s">
        <x:v>3668</x:v>
      </x:c>
      <x:c r="C1260" s="8"/>
      <x:c r="D1260" s="8" t="s">
        <x:v>3703</x:v>
      </x:c>
      <x:c r="E1260" s="8" t="n">
        <x:v>2617</x:v>
      </x:c>
      <x:c r="F1260" s="8" t="s">
        <x:v>3670</x:v>
      </x:c>
      <x:c r="G1260" s="8" t="s">
        <x:v>109</x:v>
      </x:c>
      <x:c r="H1260" s="8" t="s">
        <x:v>3671</x:v>
      </x:c>
      <x:c r="I1260" s="8" t="s">
        <x:v>3672</x:v>
      </x:c>
      <x:c r="J1260" s="8" t="s">
        <x:v>112</x:v>
      </x:c>
      <x:c r="K1260" s="8" t="s">
        <x:v>3694</x:v>
      </x:c>
      <x:c r="L1260" s="8" t="s">
        <x:v>3694</x:v>
      </x:c>
      <x:c r="M1260" s="8"/>
      <x:c r="N1260" s="8"/>
      <x:c r="O1260" s="8" t="s">
        <x:v>1622</x:v>
      </x:c>
      <x:c r="P1260" s="8" t="s">
        <x:v>115</x:v>
      </x:c>
      <x:c r="Q1260" s="8" t="s">
        <x:v>45</x:v>
      </x:c>
      <x:c r="R1260" s="8" t="s">
        <x:v>1623</x:v>
      </x:c>
      <x:c r="S1260" s="8"/>
      <x:c r="T1260" s="8" t="s">
        <x:v>27</x:v>
      </x:c>
      <x:c r="U1260" s="8" t="s">
        <x:v>3474</x:v>
      </x:c>
      <x:c r="V1260" s="8" t="s">
        <x:v>3475</x:v>
      </x:c>
    </x:row>
    <x:row r="1261" ht="48" hidden="0" customHeight="1">
      <x:c r="A1261" s="8" t="s">
        <x:v>3704</x:v>
      </x:c>
      <x:c r="B1261" s="8" t="s">
        <x:v>3668</x:v>
      </x:c>
      <x:c r="C1261" s="8"/>
      <x:c r="D1261" s="8" t="s">
        <x:v>164</x:v>
      </x:c>
      <x:c r="E1261" s="8" t="s">
        <x:v>746</x:v>
      </x:c>
      <x:c r="F1261" s="8" t="s">
        <x:v>3670</x:v>
      </x:c>
      <x:c r="G1261" s="8" t="s">
        <x:v>109</x:v>
      </x:c>
      <x:c r="H1261" s="8" t="s">
        <x:v>3671</x:v>
      </x:c>
      <x:c r="I1261" s="8" t="s">
        <x:v>3672</x:v>
      </x:c>
      <x:c r="J1261" s="8" t="s">
        <x:v>112</x:v>
      </x:c>
      <x:c r="K1261" s="8" t="s">
        <x:v>3694</x:v>
      </x:c>
      <x:c r="L1261" s="8" t="s">
        <x:v>3694</x:v>
      </x:c>
      <x:c r="M1261" s="8"/>
      <x:c r="N1261" s="8"/>
      <x:c r="O1261" s="8" t="s">
        <x:v>1622</x:v>
      </x:c>
      <x:c r="P1261" s="8" t="s">
        <x:v>115</x:v>
      </x:c>
      <x:c r="Q1261" s="8" t="s">
        <x:v>45</x:v>
      </x:c>
      <x:c r="R1261" s="8" t="s">
        <x:v>1623</x:v>
      </x:c>
      <x:c r="S1261" s="8"/>
      <x:c r="T1261" s="8" t="s">
        <x:v>27</x:v>
      </x:c>
      <x:c r="U1261" s="8" t="s">
        <x:v>3474</x:v>
      </x:c>
      <x:c r="V1261" s="8" t="s">
        <x:v>3475</x:v>
      </x:c>
    </x:row>
    <x:row r="1262" ht="48" hidden="0" customHeight="1">
      <x:c r="A1262" s="8" t="s">
        <x:v>3705</x:v>
      </x:c>
      <x:c r="B1262" s="8" t="s">
        <x:v>3668</x:v>
      </x:c>
      <x:c r="C1262" s="8"/>
      <x:c r="D1262" s="8" t="s">
        <x:v>318</x:v>
      </x:c>
      <x:c r="E1262" s="8" t="n">
        <x:v>0.001</x:v>
      </x:c>
      <x:c r="F1262" s="8" t="s">
        <x:v>3670</x:v>
      </x:c>
      <x:c r="G1262" s="8" t="s">
        <x:v>109</x:v>
      </x:c>
      <x:c r="H1262" s="8" t="s">
        <x:v>3671</x:v>
      </x:c>
      <x:c r="I1262" s="8" t="s">
        <x:v>3672</x:v>
      </x:c>
      <x:c r="J1262" s="8" t="s">
        <x:v>112</x:v>
      </x:c>
      <x:c r="K1262" s="8" t="s">
        <x:v>3694</x:v>
      </x:c>
      <x:c r="L1262" s="8" t="s">
        <x:v>3694</x:v>
      </x:c>
      <x:c r="M1262" s="8"/>
      <x:c r="N1262" s="8"/>
      <x:c r="O1262" s="8" t="s">
        <x:v>1622</x:v>
      </x:c>
      <x:c r="P1262" s="8" t="s">
        <x:v>115</x:v>
      </x:c>
      <x:c r="Q1262" s="8" t="s">
        <x:v>45</x:v>
      </x:c>
      <x:c r="R1262" s="8" t="s">
        <x:v>1623</x:v>
      </x:c>
      <x:c r="S1262" s="8"/>
      <x:c r="T1262" s="8" t="s">
        <x:v>27</x:v>
      </x:c>
      <x:c r="U1262" s="8" t="s">
        <x:v>3474</x:v>
      </x:c>
      <x:c r="V1262" s="8" t="s">
        <x:v>3475</x:v>
      </x:c>
    </x:row>
    <x:row r="1263" ht="48" hidden="0" customHeight="1">
      <x:c r="A1263" s="8" t="s">
        <x:v>3706</x:v>
      </x:c>
      <x:c r="B1263" s="8" t="s">
        <x:v>3668</x:v>
      </x:c>
      <x:c r="C1263" s="8"/>
      <x:c r="D1263" s="8" t="s">
        <x:v>3707</x:v>
      </x:c>
      <x:c r="E1263" s="8" t="n">
        <x:v>1000</x:v>
      </x:c>
      <x:c r="F1263" s="8" t="s">
        <x:v>3670</x:v>
      </x:c>
      <x:c r="G1263" s="8" t="s">
        <x:v>109</x:v>
      </x:c>
      <x:c r="H1263" s="8" t="s">
        <x:v>3671</x:v>
      </x:c>
      <x:c r="I1263" s="8" t="s">
        <x:v>3672</x:v>
      </x:c>
      <x:c r="J1263" s="8" t="s">
        <x:v>112</x:v>
      </x:c>
      <x:c r="K1263" s="8" t="s">
        <x:v>3694</x:v>
      </x:c>
      <x:c r="L1263" s="8" t="s">
        <x:v>3694</x:v>
      </x:c>
      <x:c r="M1263" s="8"/>
      <x:c r="N1263" s="8"/>
      <x:c r="O1263" s="8" t="s">
        <x:v>1622</x:v>
      </x:c>
      <x:c r="P1263" s="8" t="s">
        <x:v>115</x:v>
      </x:c>
      <x:c r="Q1263" s="8" t="s">
        <x:v>45</x:v>
      </x:c>
      <x:c r="R1263" s="8" t="s">
        <x:v>1623</x:v>
      </x:c>
      <x:c r="S1263" s="8"/>
      <x:c r="T1263" s="8" t="s">
        <x:v>27</x:v>
      </x:c>
      <x:c r="U1263" s="8" t="s">
        <x:v>3474</x:v>
      </x:c>
      <x:c r="V1263" s="8" t="s">
        <x:v>3475</x:v>
      </x:c>
    </x:row>
    <x:row r="1264" ht="48" hidden="0" customHeight="1">
      <x:c r="A1264" s="8" t="s">
        <x:v>3708</x:v>
      </x:c>
      <x:c r="B1264" s="8" t="s">
        <x:v>3668</x:v>
      </x:c>
      <x:c r="C1264" s="8"/>
      <x:c r="D1264" s="8" t="s">
        <x:v>1961</x:v>
      </x:c>
      <x:c r="E1264" s="8" t="s">
        <x:v>3709</x:v>
      </x:c>
      <x:c r="F1264" s="8" t="s">
        <x:v>3670</x:v>
      </x:c>
      <x:c r="G1264" s="8" t="s">
        <x:v>109</x:v>
      </x:c>
      <x:c r="H1264" s="8" t="s">
        <x:v>3671</x:v>
      </x:c>
      <x:c r="I1264" s="8" t="s">
        <x:v>3672</x:v>
      </x:c>
      <x:c r="J1264" s="8" t="s">
        <x:v>112</x:v>
      </x:c>
      <x:c r="K1264" s="8" t="s">
        <x:v>3694</x:v>
      </x:c>
      <x:c r="L1264" s="8" t="s">
        <x:v>3694</x:v>
      </x:c>
      <x:c r="M1264" s="8"/>
      <x:c r="N1264" s="8"/>
      <x:c r="O1264" s="8" t="s">
        <x:v>1622</x:v>
      </x:c>
      <x:c r="P1264" s="8" t="s">
        <x:v>115</x:v>
      </x:c>
      <x:c r="Q1264" s="8" t="s">
        <x:v>45</x:v>
      </x:c>
      <x:c r="R1264" s="8" t="s">
        <x:v>1623</x:v>
      </x:c>
      <x:c r="S1264" s="8"/>
      <x:c r="T1264" s="8" t="s">
        <x:v>27</x:v>
      </x:c>
      <x:c r="U1264" s="8" t="s">
        <x:v>3474</x:v>
      </x:c>
      <x:c r="V1264" s="8" t="s">
        <x:v>3475</x:v>
      </x:c>
    </x:row>
    <x:row r="1265" ht="48" hidden="0" customHeight="1">
      <x:c r="A1265" s="8" t="s">
        <x:v>3710</x:v>
      </x:c>
      <x:c r="B1265" s="8" t="s">
        <x:v>3668</x:v>
      </x:c>
      <x:c r="C1265" s="8"/>
      <x:c r="D1265" s="8" t="s">
        <x:v>1864</x:v>
      </x:c>
      <x:c r="E1265" s="8" t="s">
        <x:v>3711</x:v>
      </x:c>
      <x:c r="F1265" s="8" t="s">
        <x:v>3670</x:v>
      </x:c>
      <x:c r="G1265" s="8" t="s">
        <x:v>109</x:v>
      </x:c>
      <x:c r="H1265" s="8" t="s">
        <x:v>3671</x:v>
      </x:c>
      <x:c r="I1265" s="8" t="s">
        <x:v>3672</x:v>
      </x:c>
      <x:c r="J1265" s="8" t="s">
        <x:v>112</x:v>
      </x:c>
      <x:c r="K1265" s="8" t="s">
        <x:v>3694</x:v>
      </x:c>
      <x:c r="L1265" s="8" t="s">
        <x:v>3694</x:v>
      </x:c>
      <x:c r="M1265" s="8"/>
      <x:c r="N1265" s="8"/>
      <x:c r="O1265" s="8" t="s">
        <x:v>1622</x:v>
      </x:c>
      <x:c r="P1265" s="8" t="s">
        <x:v>115</x:v>
      </x:c>
      <x:c r="Q1265" s="8" t="s">
        <x:v>45</x:v>
      </x:c>
      <x:c r="R1265" s="8" t="s">
        <x:v>1623</x:v>
      </x:c>
      <x:c r="S1265" s="8"/>
      <x:c r="T1265" s="8" t="s">
        <x:v>27</x:v>
      </x:c>
      <x:c r="U1265" s="8" t="s">
        <x:v>3474</x:v>
      </x:c>
      <x:c r="V1265" s="8" t="s">
        <x:v>3475</x:v>
      </x:c>
    </x:row>
    <x:row r="1266" ht="48" hidden="0" customHeight="1">
      <x:c r="A1266" s="8" t="s">
        <x:v>3712</x:v>
      </x:c>
      <x:c r="B1266" s="8" t="s">
        <x:v>3668</x:v>
      </x:c>
      <x:c r="C1266" s="8"/>
      <x:c r="D1266" s="8" t="s">
        <x:v>3713</x:v>
      </x:c>
      <x:c r="E1266" s="8" t="n">
        <x:v>50</x:v>
      </x:c>
      <x:c r="F1266" s="8" t="s">
        <x:v>3670</x:v>
      </x:c>
      <x:c r="G1266" s="8" t="s">
        <x:v>109</x:v>
      </x:c>
      <x:c r="H1266" s="8" t="s">
        <x:v>3671</x:v>
      </x:c>
      <x:c r="I1266" s="8" t="s">
        <x:v>3672</x:v>
      </x:c>
      <x:c r="J1266" s="8" t="s">
        <x:v>112</x:v>
      </x:c>
      <x:c r="K1266" s="8" t="s">
        <x:v>3694</x:v>
      </x:c>
      <x:c r="L1266" s="8" t="s">
        <x:v>3694</x:v>
      </x:c>
      <x:c r="M1266" s="8"/>
      <x:c r="N1266" s="8"/>
      <x:c r="O1266" s="8" t="s">
        <x:v>1622</x:v>
      </x:c>
      <x:c r="P1266" s="8" t="s">
        <x:v>115</x:v>
      </x:c>
      <x:c r="Q1266" s="8" t="s">
        <x:v>45</x:v>
      </x:c>
      <x:c r="R1266" s="8" t="s">
        <x:v>1623</x:v>
      </x:c>
      <x:c r="S1266" s="8"/>
      <x:c r="T1266" s="8" t="s">
        <x:v>27</x:v>
      </x:c>
      <x:c r="U1266" s="8" t="s">
        <x:v>3474</x:v>
      </x:c>
      <x:c r="V1266" s="8" t="s">
        <x:v>3475</x:v>
      </x:c>
    </x:row>
    <x:row r="1267" ht="48" hidden="0" customHeight="1">
      <x:c r="A1267" s="8" t="s">
        <x:v>3714</x:v>
      </x:c>
      <x:c r="B1267" s="8" t="s">
        <x:v>3668</x:v>
      </x:c>
      <x:c r="C1267" s="8"/>
      <x:c r="D1267" s="8" t="s">
        <x:v>3715</x:v>
      </x:c>
      <x:c r="E1267" s="8" t="s">
        <x:v>3716</x:v>
      </x:c>
      <x:c r="F1267" s="8" t="s">
        <x:v>3670</x:v>
      </x:c>
      <x:c r="G1267" s="8" t="s">
        <x:v>109</x:v>
      </x:c>
      <x:c r="H1267" s="8" t="s">
        <x:v>3671</x:v>
      </x:c>
      <x:c r="I1267" s="8" t="s">
        <x:v>3672</x:v>
      </x:c>
      <x:c r="J1267" s="8" t="s">
        <x:v>112</x:v>
      </x:c>
      <x:c r="K1267" s="8" t="s">
        <x:v>3717</x:v>
      </x:c>
      <x:c r="L1267" s="8" t="s">
        <x:v>3717</x:v>
      </x:c>
      <x:c r="M1267" s="8"/>
      <x:c r="N1267" s="8"/>
      <x:c r="O1267" s="8" t="s">
        <x:v>1622</x:v>
      </x:c>
      <x:c r="P1267" s="8" t="s">
        <x:v>115</x:v>
      </x:c>
      <x:c r="Q1267" s="8" t="s">
        <x:v>45</x:v>
      </x:c>
      <x:c r="R1267" s="8" t="s">
        <x:v>1623</x:v>
      </x:c>
      <x:c r="S1267" s="8"/>
      <x:c r="T1267" s="8" t="s">
        <x:v>27</x:v>
      </x:c>
      <x:c r="U1267" s="8" t="s">
        <x:v>3474</x:v>
      </x:c>
      <x:c r="V1267" s="8" t="s">
        <x:v>3475</x:v>
      </x:c>
    </x:row>
    <x:row r="1268" ht="48" hidden="0" customHeight="1">
      <x:c r="A1268" s="8" t="s">
        <x:v>3718</x:v>
      </x:c>
      <x:c r="B1268" s="8" t="s">
        <x:v>3668</x:v>
      </x:c>
      <x:c r="C1268" s="8"/>
      <x:c r="D1268" s="8" t="s">
        <x:v>871</x:v>
      </x:c>
      <x:c r="E1268" s="8" t="s">
        <x:v>3719</x:v>
      </x:c>
      <x:c r="F1268" s="8" t="s">
        <x:v>3670</x:v>
      </x:c>
      <x:c r="G1268" s="8" t="s">
        <x:v>109</x:v>
      </x:c>
      <x:c r="H1268" s="8" t="s">
        <x:v>3671</x:v>
      </x:c>
      <x:c r="I1268" s="8" t="s">
        <x:v>3672</x:v>
      </x:c>
      <x:c r="J1268" s="8" t="s">
        <x:v>112</x:v>
      </x:c>
      <x:c r="K1268" s="8" t="s">
        <x:v>1700</x:v>
      </x:c>
      <x:c r="L1268" s="8" t="s">
        <x:v>1700</x:v>
      </x:c>
      <x:c r="M1268" s="8"/>
      <x:c r="N1268" s="8"/>
      <x:c r="O1268" s="8" t="s">
        <x:v>1622</x:v>
      </x:c>
      <x:c r="P1268" s="8" t="s">
        <x:v>115</x:v>
      </x:c>
      <x:c r="Q1268" s="8" t="s">
        <x:v>45</x:v>
      </x:c>
      <x:c r="R1268" s="8" t="s">
        <x:v>1623</x:v>
      </x:c>
      <x:c r="S1268" s="8"/>
      <x:c r="T1268" s="8" t="s">
        <x:v>27</x:v>
      </x:c>
      <x:c r="U1268" s="8" t="s">
        <x:v>3474</x:v>
      </x:c>
      <x:c r="V1268" s="8" t="s">
        <x:v>3475</x:v>
      </x:c>
    </x:row>
    <x:row r="1269" ht="72" hidden="0" customHeight="1">
      <x:c r="A1269" s="8" t="s">
        <x:v>3720</x:v>
      </x:c>
      <x:c r="B1269" s="8" t="s">
        <x:v>3721</x:v>
      </x:c>
      <x:c r="C1269" s="8"/>
      <x:c r="D1269" s="8" t="s">
        <x:v>1842</x:v>
      </x:c>
      <x:c r="E1269" s="8" t="s">
        <x:v>3722</x:v>
      </x:c>
      <x:c r="F1269" s="8" t="s">
        <x:v>3723</x:v>
      </x:c>
      <x:c r="G1269" s="8" t="s">
        <x:v>109</x:v>
      </x:c>
      <x:c r="H1269" s="8" t="s">
        <x:v>3724</x:v>
      </x:c>
      <x:c r="I1269" s="8" t="s">
        <x:v>3725</x:v>
      </x:c>
      <x:c r="J1269" s="8" t="s">
        <x:v>112</x:v>
      </x:c>
      <x:c r="K1269" s="8" t="s">
        <x:v>3726</x:v>
      </x:c>
      <x:c r="L1269" s="8" t="s">
        <x:v>3726</x:v>
      </x:c>
      <x:c r="M1269" s="8"/>
      <x:c r="N1269" s="8"/>
      <x:c r="O1269" s="8" t="s">
        <x:v>1622</x:v>
      </x:c>
      <x:c r="P1269" s="8" t="s">
        <x:v>115</x:v>
      </x:c>
      <x:c r="Q1269" s="8" t="s">
        <x:v>45</x:v>
      </x:c>
      <x:c r="R1269" s="8" t="s">
        <x:v>1623</x:v>
      </x:c>
      <x:c r="S1269" s="8"/>
      <x:c r="T1269" s="8" t="s">
        <x:v>27</x:v>
      </x:c>
      <x:c r="U1269" s="8" t="s">
        <x:v>3474</x:v>
      </x:c>
      <x:c r="V1269" s="8" t="s">
        <x:v>3475</x:v>
      </x:c>
    </x:row>
    <x:row r="1270" ht="72" hidden="0" customHeight="1">
      <x:c r="A1270" s="8" t="s">
        <x:v>3727</x:v>
      </x:c>
      <x:c r="B1270" s="8" t="s">
        <x:v>3721</x:v>
      </x:c>
      <x:c r="C1270" s="8"/>
      <x:c r="D1270" s="8" t="s">
        <x:v>3728</x:v>
      </x:c>
      <x:c r="E1270" s="8" t="s">
        <x:v>3729</x:v>
      </x:c>
      <x:c r="F1270" s="8" t="s">
        <x:v>3723</x:v>
      </x:c>
      <x:c r="G1270" s="8" t="s">
        <x:v>109</x:v>
      </x:c>
      <x:c r="H1270" s="8" t="s">
        <x:v>3724</x:v>
      </x:c>
      <x:c r="I1270" s="8" t="s">
        <x:v>3725</x:v>
      </x:c>
      <x:c r="J1270" s="8" t="s">
        <x:v>112</x:v>
      </x:c>
      <x:c r="K1270" s="8" t="s">
        <x:v>3726</x:v>
      </x:c>
      <x:c r="L1270" s="8" t="s">
        <x:v>3726</x:v>
      </x:c>
      <x:c r="M1270" s="8"/>
      <x:c r="N1270" s="8"/>
      <x:c r="O1270" s="8" t="s">
        <x:v>1622</x:v>
      </x:c>
      <x:c r="P1270" s="8" t="s">
        <x:v>115</x:v>
      </x:c>
      <x:c r="Q1270" s="8" t="s">
        <x:v>45</x:v>
      </x:c>
      <x:c r="R1270" s="8" t="s">
        <x:v>1623</x:v>
      </x:c>
      <x:c r="S1270" s="8"/>
      <x:c r="T1270" s="8" t="s">
        <x:v>27</x:v>
      </x:c>
      <x:c r="U1270" s="8" t="s">
        <x:v>3474</x:v>
      </x:c>
      <x:c r="V1270" s="8" t="s">
        <x:v>3475</x:v>
      </x:c>
    </x:row>
    <x:row r="1271" ht="72" hidden="0" customHeight="1">
      <x:c r="A1271" s="8" t="s">
        <x:v>3730</x:v>
      </x:c>
      <x:c r="B1271" s="8" t="s">
        <x:v>3721</x:v>
      </x:c>
      <x:c r="C1271" s="8"/>
      <x:c r="D1271" s="8" t="s">
        <x:v>3731</x:v>
      </x:c>
      <x:c r="E1271" s="8" t="s">
        <x:v>3732</x:v>
      </x:c>
      <x:c r="F1271" s="8" t="s">
        <x:v>3723</x:v>
      </x:c>
      <x:c r="G1271" s="8" t="s">
        <x:v>109</x:v>
      </x:c>
      <x:c r="H1271" s="8" t="s">
        <x:v>3724</x:v>
      </x:c>
      <x:c r="I1271" s="8" t="s">
        <x:v>3725</x:v>
      </x:c>
      <x:c r="J1271" s="8" t="s">
        <x:v>112</x:v>
      </x:c>
      <x:c r="K1271" s="8" t="s">
        <x:v>3726</x:v>
      </x:c>
      <x:c r="L1271" s="8" t="s">
        <x:v>3726</x:v>
      </x:c>
      <x:c r="M1271" s="8"/>
      <x:c r="N1271" s="8"/>
      <x:c r="O1271" s="8" t="s">
        <x:v>1622</x:v>
      </x:c>
      <x:c r="P1271" s="8" t="s">
        <x:v>115</x:v>
      </x:c>
      <x:c r="Q1271" s="8" t="s">
        <x:v>45</x:v>
      </x:c>
      <x:c r="R1271" s="8" t="s">
        <x:v>1623</x:v>
      </x:c>
      <x:c r="S1271" s="8"/>
      <x:c r="T1271" s="8" t="s">
        <x:v>27</x:v>
      </x:c>
      <x:c r="U1271" s="8" t="s">
        <x:v>3474</x:v>
      </x:c>
      <x:c r="V1271" s="8" t="s">
        <x:v>3475</x:v>
      </x:c>
    </x:row>
    <x:row r="1272" ht="72" hidden="0" customHeight="1">
      <x:c r="A1272" s="8" t="s">
        <x:v>3733</x:v>
      </x:c>
      <x:c r="B1272" s="8" t="s">
        <x:v>3721</x:v>
      </x:c>
      <x:c r="C1272" s="8"/>
      <x:c r="D1272" s="8" t="s">
        <x:v>3734</x:v>
      </x:c>
      <x:c r="E1272" s="8" t="s">
        <x:v>3735</x:v>
      </x:c>
      <x:c r="F1272" s="8" t="s">
        <x:v>3723</x:v>
      </x:c>
      <x:c r="G1272" s="8" t="s">
        <x:v>109</x:v>
      </x:c>
      <x:c r="H1272" s="8" t="s">
        <x:v>3724</x:v>
      </x:c>
      <x:c r="I1272" s="8" t="s">
        <x:v>3725</x:v>
      </x:c>
      <x:c r="J1272" s="8" t="s">
        <x:v>112</x:v>
      </x:c>
      <x:c r="K1272" s="8" t="s">
        <x:v>3726</x:v>
      </x:c>
      <x:c r="L1272" s="8" t="s">
        <x:v>3726</x:v>
      </x:c>
      <x:c r="M1272" s="8"/>
      <x:c r="N1272" s="8"/>
      <x:c r="O1272" s="8" t="s">
        <x:v>1622</x:v>
      </x:c>
      <x:c r="P1272" s="8" t="s">
        <x:v>115</x:v>
      </x:c>
      <x:c r="Q1272" s="8" t="s">
        <x:v>45</x:v>
      </x:c>
      <x:c r="R1272" s="8" t="s">
        <x:v>1623</x:v>
      </x:c>
      <x:c r="S1272" s="8"/>
      <x:c r="T1272" s="8" t="s">
        <x:v>27</x:v>
      </x:c>
      <x:c r="U1272" s="8" t="s">
        <x:v>3474</x:v>
      </x:c>
      <x:c r="V1272" s="8" t="s">
        <x:v>3475</x:v>
      </x:c>
    </x:row>
    <x:row r="1273" ht="72" hidden="0" customHeight="1">
      <x:c r="A1273" s="8" t="s">
        <x:v>3736</x:v>
      </x:c>
      <x:c r="B1273" s="8" t="s">
        <x:v>3721</x:v>
      </x:c>
      <x:c r="C1273" s="8"/>
      <x:c r="D1273" s="8" t="s">
        <x:v>3737</x:v>
      </x:c>
      <x:c r="E1273" s="8" t="s">
        <x:v>3738</x:v>
      </x:c>
      <x:c r="F1273" s="8" t="s">
        <x:v>3723</x:v>
      </x:c>
      <x:c r="G1273" s="8" t="s">
        <x:v>109</x:v>
      </x:c>
      <x:c r="H1273" s="8" t="s">
        <x:v>3724</x:v>
      </x:c>
      <x:c r="I1273" s="8" t="s">
        <x:v>3725</x:v>
      </x:c>
      <x:c r="J1273" s="8" t="s">
        <x:v>112</x:v>
      </x:c>
      <x:c r="K1273" s="8" t="s">
        <x:v>3726</x:v>
      </x:c>
      <x:c r="L1273" s="8" t="s">
        <x:v>3726</x:v>
      </x:c>
      <x:c r="M1273" s="8"/>
      <x:c r="N1273" s="8"/>
      <x:c r="O1273" s="8" t="s">
        <x:v>1622</x:v>
      </x:c>
      <x:c r="P1273" s="8" t="s">
        <x:v>115</x:v>
      </x:c>
      <x:c r="Q1273" s="8" t="s">
        <x:v>45</x:v>
      </x:c>
      <x:c r="R1273" s="8" t="s">
        <x:v>1623</x:v>
      </x:c>
      <x:c r="S1273" s="8"/>
      <x:c r="T1273" s="8" t="s">
        <x:v>27</x:v>
      </x:c>
      <x:c r="U1273" s="8" t="s">
        <x:v>3474</x:v>
      </x:c>
      <x:c r="V1273" s="8" t="s">
        <x:v>3475</x:v>
      </x:c>
    </x:row>
    <x:row r="1274" ht="72" hidden="0" customHeight="1">
      <x:c r="A1274" s="8" t="s">
        <x:v>3739</x:v>
      </x:c>
      <x:c r="B1274" s="8" t="s">
        <x:v>3721</x:v>
      </x:c>
      <x:c r="C1274" s="8"/>
      <x:c r="D1274" s="8" t="s">
        <x:v>3740</x:v>
      </x:c>
      <x:c r="E1274" s="8" t="s">
        <x:v>3741</x:v>
      </x:c>
      <x:c r="F1274" s="8" t="s">
        <x:v>3723</x:v>
      </x:c>
      <x:c r="G1274" s="8" t="s">
        <x:v>109</x:v>
      </x:c>
      <x:c r="H1274" s="8" t="s">
        <x:v>3724</x:v>
      </x:c>
      <x:c r="I1274" s="8" t="s">
        <x:v>3725</x:v>
      </x:c>
      <x:c r="J1274" s="8" t="s">
        <x:v>112</x:v>
      </x:c>
      <x:c r="K1274" s="8" t="s">
        <x:v>3742</x:v>
      </x:c>
      <x:c r="L1274" s="8" t="s">
        <x:v>3742</x:v>
      </x:c>
      <x:c r="M1274" s="8"/>
      <x:c r="N1274" s="8"/>
      <x:c r="O1274" s="8" t="s">
        <x:v>1622</x:v>
      </x:c>
      <x:c r="P1274" s="8" t="s">
        <x:v>115</x:v>
      </x:c>
      <x:c r="Q1274" s="8" t="s">
        <x:v>45</x:v>
      </x:c>
      <x:c r="R1274" s="8" t="s">
        <x:v>1623</x:v>
      </x:c>
      <x:c r="S1274" s="8"/>
      <x:c r="T1274" s="8" t="s">
        <x:v>27</x:v>
      </x:c>
      <x:c r="U1274" s="8" t="s">
        <x:v>3474</x:v>
      </x:c>
      <x:c r="V1274" s="8" t="s">
        <x:v>3475</x:v>
      </x:c>
    </x:row>
    <x:row r="1275" ht="72" hidden="0" customHeight="1">
      <x:c r="A1275" s="8" t="s">
        <x:v>3743</x:v>
      </x:c>
      <x:c r="B1275" s="8" t="s">
        <x:v>3721</x:v>
      </x:c>
      <x:c r="C1275" s="8"/>
      <x:c r="D1275" s="8" t="s">
        <x:v>3744</x:v>
      </x:c>
      <x:c r="E1275" s="8" t="s">
        <x:v>3745</x:v>
      </x:c>
      <x:c r="F1275" s="8" t="s">
        <x:v>3723</x:v>
      </x:c>
      <x:c r="G1275" s="8" t="s">
        <x:v>109</x:v>
      </x:c>
      <x:c r="H1275" s="8" t="s">
        <x:v>3724</x:v>
      </x:c>
      <x:c r="I1275" s="8" t="s">
        <x:v>3725</x:v>
      </x:c>
      <x:c r="J1275" s="8" t="s">
        <x:v>112</x:v>
      </x:c>
      <x:c r="K1275" s="8" t="s">
        <x:v>3746</x:v>
      </x:c>
      <x:c r="L1275" s="8" t="s">
        <x:v>3746</x:v>
      </x:c>
      <x:c r="M1275" s="8"/>
      <x:c r="N1275" s="8"/>
      <x:c r="O1275" s="8" t="s">
        <x:v>1622</x:v>
      </x:c>
      <x:c r="P1275" s="8" t="s">
        <x:v>115</x:v>
      </x:c>
      <x:c r="Q1275" s="8" t="s">
        <x:v>45</x:v>
      </x:c>
      <x:c r="R1275" s="8" t="s">
        <x:v>1623</x:v>
      </x:c>
      <x:c r="S1275" s="8"/>
      <x:c r="T1275" s="8" t="s">
        <x:v>27</x:v>
      </x:c>
      <x:c r="U1275" s="8" t="s">
        <x:v>3474</x:v>
      </x:c>
      <x:c r="V1275" s="8" t="s">
        <x:v>3475</x:v>
      </x:c>
    </x:row>
    <x:row r="1276" ht="72" hidden="0" customHeight="1">
      <x:c r="A1276" s="8" t="s">
        <x:v>3747</x:v>
      </x:c>
      <x:c r="B1276" s="8" t="s">
        <x:v>3721</x:v>
      </x:c>
      <x:c r="C1276" s="8"/>
      <x:c r="D1276" s="8" t="s">
        <x:v>3748</x:v>
      </x:c>
      <x:c r="E1276" s="8" t="s">
        <x:v>3749</x:v>
      </x:c>
      <x:c r="F1276" s="8" t="s">
        <x:v>3723</x:v>
      </x:c>
      <x:c r="G1276" s="8" t="s">
        <x:v>187</x:v>
      </x:c>
      <x:c r="H1276" s="8" t="s">
        <x:v>3724</x:v>
      </x:c>
      <x:c r="I1276" s="8" t="s">
        <x:v>3725</x:v>
      </x:c>
      <x:c r="J1276" s="8" t="s">
        <x:v>112</x:v>
      </x:c>
      <x:c r="K1276" s="8" t="s">
        <x:v>3746</x:v>
      </x:c>
      <x:c r="L1276" s="8" t="s">
        <x:v>3746</x:v>
      </x:c>
      <x:c r="M1276" s="8"/>
      <x:c r="N1276" s="8"/>
      <x:c r="O1276" s="8" t="s">
        <x:v>1622</x:v>
      </x:c>
      <x:c r="P1276" s="8" t="s">
        <x:v>115</x:v>
      </x:c>
      <x:c r="Q1276" s="8" t="s">
        <x:v>45</x:v>
      </x:c>
      <x:c r="R1276" s="8" t="s">
        <x:v>1623</x:v>
      </x:c>
      <x:c r="S1276" s="8"/>
      <x:c r="T1276" s="8" t="s">
        <x:v>27</x:v>
      </x:c>
      <x:c r="U1276" s="8" t="s">
        <x:v>3474</x:v>
      </x:c>
      <x:c r="V1276" s="8" t="s">
        <x:v>3475</x:v>
      </x:c>
    </x:row>
    <x:row r="1277" ht="72" hidden="0" customHeight="1">
      <x:c r="A1277" s="8" t="s">
        <x:v>3750</x:v>
      </x:c>
      <x:c r="B1277" s="8" t="s">
        <x:v>3721</x:v>
      </x:c>
      <x:c r="C1277" s="8"/>
      <x:c r="D1277" s="8" t="s">
        <x:v>3239</x:v>
      </x:c>
      <x:c r="E1277" s="8" t="s">
        <x:v>3751</x:v>
      </x:c>
      <x:c r="F1277" s="8" t="s">
        <x:v>3723</x:v>
      </x:c>
      <x:c r="G1277" s="8" t="s">
        <x:v>109</x:v>
      </x:c>
      <x:c r="H1277" s="8" t="s">
        <x:v>3724</x:v>
      </x:c>
      <x:c r="I1277" s="8" t="s">
        <x:v>3725</x:v>
      </x:c>
      <x:c r="J1277" s="8" t="s">
        <x:v>112</x:v>
      </x:c>
      <x:c r="K1277" s="8" t="s">
        <x:v>3752</x:v>
      </x:c>
      <x:c r="L1277" s="8" t="s">
        <x:v>3752</x:v>
      </x:c>
      <x:c r="M1277" s="8"/>
      <x:c r="N1277" s="8"/>
      <x:c r="O1277" s="8" t="s">
        <x:v>1622</x:v>
      </x:c>
      <x:c r="P1277" s="8" t="s">
        <x:v>115</x:v>
      </x:c>
      <x:c r="Q1277" s="8" t="s">
        <x:v>45</x:v>
      </x:c>
      <x:c r="R1277" s="8" t="s">
        <x:v>1623</x:v>
      </x:c>
      <x:c r="S1277" s="8"/>
      <x:c r="T1277" s="8" t="s">
        <x:v>27</x:v>
      </x:c>
      <x:c r="U1277" s="8" t="s">
        <x:v>3474</x:v>
      </x:c>
      <x:c r="V1277" s="8" t="s">
        <x:v>3475</x:v>
      </x:c>
    </x:row>
    <x:row r="1278" ht="72" hidden="0" customHeight="1">
      <x:c r="A1278" s="8" t="s">
        <x:v>3753</x:v>
      </x:c>
      <x:c r="B1278" s="8" t="s">
        <x:v>3721</x:v>
      </x:c>
      <x:c r="C1278" s="8"/>
      <x:c r="D1278" s="8" t="s">
        <x:v>871</x:v>
      </x:c>
      <x:c r="E1278" s="8" t="s">
        <x:v>3754</x:v>
      </x:c>
      <x:c r="F1278" s="8" t="s">
        <x:v>3723</x:v>
      </x:c>
      <x:c r="G1278" s="8" t="s">
        <x:v>109</x:v>
      </x:c>
      <x:c r="H1278" s="8" t="s">
        <x:v>3724</x:v>
      </x:c>
      <x:c r="I1278" s="8" t="s">
        <x:v>3725</x:v>
      </x:c>
      <x:c r="J1278" s="8" t="s">
        <x:v>112</x:v>
      </x:c>
      <x:c r="K1278" s="8" t="s">
        <x:v>1700</x:v>
      </x:c>
      <x:c r="L1278" s="8" t="s">
        <x:v>1700</x:v>
      </x:c>
      <x:c r="M1278" s="8"/>
      <x:c r="N1278" s="8"/>
      <x:c r="O1278" s="8" t="s">
        <x:v>1622</x:v>
      </x:c>
      <x:c r="P1278" s="8" t="s">
        <x:v>115</x:v>
      </x:c>
      <x:c r="Q1278" s="8" t="s">
        <x:v>45</x:v>
      </x:c>
      <x:c r="R1278" s="8" t="s">
        <x:v>1623</x:v>
      </x:c>
      <x:c r="S1278" s="8"/>
      <x:c r="T1278" s="8" t="s">
        <x:v>27</x:v>
      </x:c>
      <x:c r="U1278" s="8" t="s">
        <x:v>3474</x:v>
      </x:c>
      <x:c r="V1278" s="8" t="s">
        <x:v>3475</x:v>
      </x:c>
    </x:row>
    <x:row r="1279" ht="72" hidden="0" customHeight="1">
      <x:c r="A1279" s="8" t="s">
        <x:v>3755</x:v>
      </x:c>
      <x:c r="B1279" s="8" t="s">
        <x:v>3721</x:v>
      </x:c>
      <x:c r="C1279" s="8"/>
      <x:c r="D1279" s="8" t="s">
        <x:v>3756</x:v>
      </x:c>
      <x:c r="E1279" s="8" t="s">
        <x:v>3757</x:v>
      </x:c>
      <x:c r="F1279" s="8" t="s">
        <x:v>3723</x:v>
      </x:c>
      <x:c r="G1279" s="8" t="s">
        <x:v>109</x:v>
      </x:c>
      <x:c r="H1279" s="8" t="s">
        <x:v>3724</x:v>
      </x:c>
      <x:c r="I1279" s="8" t="s">
        <x:v>3725</x:v>
      </x:c>
      <x:c r="J1279" s="8" t="s">
        <x:v>112</x:v>
      </x:c>
      <x:c r="K1279" s="8" t="s">
        <x:v>1696</x:v>
      </x:c>
      <x:c r="L1279" s="8" t="s">
        <x:v>1696</x:v>
      </x:c>
      <x:c r="M1279" s="8"/>
      <x:c r="N1279" s="8"/>
      <x:c r="O1279" s="8" t="s">
        <x:v>1622</x:v>
      </x:c>
      <x:c r="P1279" s="8" t="s">
        <x:v>115</x:v>
      </x:c>
      <x:c r="Q1279" s="8" t="s">
        <x:v>45</x:v>
      </x:c>
      <x:c r="R1279" s="8" t="s">
        <x:v>1623</x:v>
      </x:c>
      <x:c r="S1279" s="8"/>
      <x:c r="T1279" s="8" t="s">
        <x:v>27</x:v>
      </x:c>
      <x:c r="U1279" s="8" t="s">
        <x:v>3474</x:v>
      </x:c>
      <x:c r="V1279" s="8" t="s">
        <x:v>3475</x:v>
      </x:c>
    </x:row>
    <x:row r="1280" ht="48" hidden="0" customHeight="1">
      <x:c r="A1280" s="8" t="s">
        <x:v>3758</x:v>
      </x:c>
      <x:c r="B1280" s="8" t="s">
        <x:v>3759</x:v>
      </x:c>
      <x:c r="C1280" s="8"/>
      <x:c r="D1280" s="8" t="s">
        <x:v>1096</x:v>
      </x:c>
      <x:c r="E1280" s="8" t="s">
        <x:v>3760</x:v>
      </x:c>
      <x:c r="F1280" s="8" t="s">
        <x:v>3761</x:v>
      </x:c>
      <x:c r="G1280" s="8" t="s">
        <x:v>109</x:v>
      </x:c>
      <x:c r="H1280" s="8" t="s">
        <x:v>3762</x:v>
      </x:c>
      <x:c r="I1280" s="8" t="s">
        <x:v>3763</x:v>
      </x:c>
      <x:c r="J1280" s="8" t="s">
        <x:v>3764</x:v>
      </x:c>
      <x:c r="K1280" s="8" t="s">
        <x:v>3765</x:v>
      </x:c>
      <x:c r="L1280" s="8" t="s">
        <x:v>3765</x:v>
      </x:c>
      <x:c r="M1280" s="8"/>
      <x:c r="N1280" s="8"/>
      <x:c r="O1280" s="8" t="s">
        <x:v>1622</x:v>
      </x:c>
      <x:c r="P1280" s="8" t="s">
        <x:v>115</x:v>
      </x:c>
      <x:c r="Q1280" s="8" t="s">
        <x:v>45</x:v>
      </x:c>
      <x:c r="R1280" s="8" t="s">
        <x:v>3766</x:v>
      </x:c>
      <x:c r="S1280" s="8"/>
      <x:c r="T1280" s="8" t="s">
        <x:v>27</x:v>
      </x:c>
      <x:c r="U1280" s="8" t="s">
        <x:v>3474</x:v>
      </x:c>
      <x:c r="V1280" s="8" t="s">
        <x:v>3475</x:v>
      </x:c>
    </x:row>
    <x:row r="1281" ht="48" hidden="0" customHeight="1">
      <x:c r="A1281" s="8" t="s">
        <x:v>3767</x:v>
      </x:c>
      <x:c r="B1281" s="8" t="s">
        <x:v>3759</x:v>
      </x:c>
      <x:c r="C1281" s="8"/>
      <x:c r="D1281" s="8" t="s">
        <x:v>764</x:v>
      </x:c>
      <x:c r="E1281" s="8" t="s">
        <x:v>3768</x:v>
      </x:c>
      <x:c r="F1281" s="8" t="s">
        <x:v>3761</x:v>
      </x:c>
      <x:c r="G1281" s="8" t="s">
        <x:v>109</x:v>
      </x:c>
      <x:c r="H1281" s="8" t="s">
        <x:v>3762</x:v>
      </x:c>
      <x:c r="I1281" s="8" t="s">
        <x:v>3763</x:v>
      </x:c>
      <x:c r="J1281" s="8" t="s">
        <x:v>3764</x:v>
      </x:c>
      <x:c r="K1281" s="8" t="s">
        <x:v>3765</x:v>
      </x:c>
      <x:c r="L1281" s="8" t="s">
        <x:v>3765</x:v>
      </x:c>
      <x:c r="M1281" s="8"/>
      <x:c r="N1281" s="8"/>
      <x:c r="O1281" s="8" t="s">
        <x:v>1622</x:v>
      </x:c>
      <x:c r="P1281" s="8" t="s">
        <x:v>115</x:v>
      </x:c>
      <x:c r="Q1281" s="8" t="s">
        <x:v>45</x:v>
      </x:c>
      <x:c r="R1281" s="8" t="s">
        <x:v>3766</x:v>
      </x:c>
      <x:c r="S1281" s="8"/>
      <x:c r="T1281" s="8" t="s">
        <x:v>27</x:v>
      </x:c>
      <x:c r="U1281" s="8" t="s">
        <x:v>3474</x:v>
      </x:c>
      <x:c r="V1281" s="8" t="s">
        <x:v>3475</x:v>
      </x:c>
    </x:row>
    <x:row r="1282" ht="48" hidden="0" customHeight="1">
      <x:c r="A1282" s="8" t="s">
        <x:v>3769</x:v>
      </x:c>
      <x:c r="B1282" s="8" t="s">
        <x:v>3759</x:v>
      </x:c>
      <x:c r="C1282" s="8"/>
      <x:c r="D1282" s="8" t="s">
        <x:v>549</x:v>
      </x:c>
      <x:c r="E1282" s="8" t="s">
        <x:v>3770</x:v>
      </x:c>
      <x:c r="F1282" s="8" t="s">
        <x:v>3761</x:v>
      </x:c>
      <x:c r="G1282" s="8" t="s">
        <x:v>109</x:v>
      </x:c>
      <x:c r="H1282" s="8" t="s">
        <x:v>3762</x:v>
      </x:c>
      <x:c r="I1282" s="8" t="s">
        <x:v>3763</x:v>
      </x:c>
      <x:c r="J1282" s="8" t="s">
        <x:v>3764</x:v>
      </x:c>
      <x:c r="K1282" s="8" t="s">
        <x:v>3765</x:v>
      </x:c>
      <x:c r="L1282" s="8" t="s">
        <x:v>3765</x:v>
      </x:c>
      <x:c r="M1282" s="8"/>
      <x:c r="N1282" s="8"/>
      <x:c r="O1282" s="8" t="s">
        <x:v>1622</x:v>
      </x:c>
      <x:c r="P1282" s="8" t="s">
        <x:v>115</x:v>
      </x:c>
      <x:c r="Q1282" s="8" t="s">
        <x:v>45</x:v>
      </x:c>
      <x:c r="R1282" s="8" t="s">
        <x:v>3766</x:v>
      </x:c>
      <x:c r="S1282" s="8"/>
      <x:c r="T1282" s="8" t="s">
        <x:v>27</x:v>
      </x:c>
      <x:c r="U1282" s="8" t="s">
        <x:v>3474</x:v>
      </x:c>
      <x:c r="V1282" s="8" t="s">
        <x:v>3475</x:v>
      </x:c>
    </x:row>
    <x:row r="1283" ht="48" hidden="0" customHeight="1">
      <x:c r="A1283" s="8" t="s">
        <x:v>3771</x:v>
      </x:c>
      <x:c r="B1283" s="8" t="s">
        <x:v>3759</x:v>
      </x:c>
      <x:c r="C1283" s="8"/>
      <x:c r="D1283" s="8" t="s">
        <x:v>546</x:v>
      </x:c>
      <x:c r="E1283" s="8" t="s">
        <x:v>3772</x:v>
      </x:c>
      <x:c r="F1283" s="8" t="s">
        <x:v>3761</x:v>
      </x:c>
      <x:c r="G1283" s="8" t="s">
        <x:v>109</x:v>
      </x:c>
      <x:c r="H1283" s="8" t="s">
        <x:v>3762</x:v>
      </x:c>
      <x:c r="I1283" s="8" t="s">
        <x:v>3763</x:v>
      </x:c>
      <x:c r="J1283" s="8" t="s">
        <x:v>3764</x:v>
      </x:c>
      <x:c r="K1283" s="8" t="s">
        <x:v>3765</x:v>
      </x:c>
      <x:c r="L1283" s="8" t="s">
        <x:v>3765</x:v>
      </x:c>
      <x:c r="M1283" s="8"/>
      <x:c r="N1283" s="8"/>
      <x:c r="O1283" s="8" t="s">
        <x:v>1622</x:v>
      </x:c>
      <x:c r="P1283" s="8" t="s">
        <x:v>115</x:v>
      </x:c>
      <x:c r="Q1283" s="8" t="s">
        <x:v>45</x:v>
      </x:c>
      <x:c r="R1283" s="8" t="s">
        <x:v>3766</x:v>
      </x:c>
      <x:c r="S1283" s="8"/>
      <x:c r="T1283" s="8" t="s">
        <x:v>27</x:v>
      </x:c>
      <x:c r="U1283" s="8" t="s">
        <x:v>3474</x:v>
      </x:c>
      <x:c r="V1283" s="8" t="s">
        <x:v>3475</x:v>
      </x:c>
    </x:row>
    <x:row r="1284" ht="48" hidden="0" customHeight="1">
      <x:c r="A1284" s="8" t="s">
        <x:v>3773</x:v>
      </x:c>
      <x:c r="B1284" s="8" t="s">
        <x:v>3759</x:v>
      </x:c>
      <x:c r="C1284" s="8"/>
      <x:c r="D1284" s="8" t="s">
        <x:v>768</x:v>
      </x:c>
      <x:c r="E1284" s="8" t="s">
        <x:v>3774</x:v>
      </x:c>
      <x:c r="F1284" s="8" t="s">
        <x:v>3761</x:v>
      </x:c>
      <x:c r="G1284" s="8" t="s">
        <x:v>109</x:v>
      </x:c>
      <x:c r="H1284" s="8" t="s">
        <x:v>3762</x:v>
      </x:c>
      <x:c r="I1284" s="8" t="s">
        <x:v>3763</x:v>
      </x:c>
      <x:c r="J1284" s="8" t="s">
        <x:v>3764</x:v>
      </x:c>
      <x:c r="K1284" s="8" t="s">
        <x:v>3775</x:v>
      </x:c>
      <x:c r="L1284" s="8" t="s">
        <x:v>3775</x:v>
      </x:c>
      <x:c r="M1284" s="8"/>
      <x:c r="N1284" s="8"/>
      <x:c r="O1284" s="8" t="s">
        <x:v>1622</x:v>
      </x:c>
      <x:c r="P1284" s="8" t="s">
        <x:v>115</x:v>
      </x:c>
      <x:c r="Q1284" s="8" t="s">
        <x:v>45</x:v>
      </x:c>
      <x:c r="R1284" s="8" t="s">
        <x:v>3766</x:v>
      </x:c>
      <x:c r="S1284" s="8"/>
      <x:c r="T1284" s="8" t="s">
        <x:v>27</x:v>
      </x:c>
      <x:c r="U1284" s="8" t="s">
        <x:v>3474</x:v>
      </x:c>
      <x:c r="V1284" s="8" t="s">
        <x:v>3475</x:v>
      </x:c>
    </x:row>
    <x:row r="1285" ht="48" hidden="0" customHeight="1">
      <x:c r="A1285" s="8" t="s">
        <x:v>3776</x:v>
      </x:c>
      <x:c r="B1285" s="8" t="s">
        <x:v>3759</x:v>
      </x:c>
      <x:c r="C1285" s="8"/>
      <x:c r="D1285" s="8" t="s">
        <x:v>3777</x:v>
      </x:c>
      <x:c r="E1285" s="8" t="s">
        <x:v>3778</x:v>
      </x:c>
      <x:c r="F1285" s="8" t="s">
        <x:v>3761</x:v>
      </x:c>
      <x:c r="G1285" s="8" t="s">
        <x:v>109</x:v>
      </x:c>
      <x:c r="H1285" s="8" t="s">
        <x:v>3762</x:v>
      </x:c>
      <x:c r="I1285" s="8" t="s">
        <x:v>3763</x:v>
      </x:c>
      <x:c r="J1285" s="8" t="s">
        <x:v>3764</x:v>
      </x:c>
      <x:c r="K1285" s="8" t="s">
        <x:v>3779</x:v>
      </x:c>
      <x:c r="L1285" s="8" t="s">
        <x:v>3779</x:v>
      </x:c>
      <x:c r="M1285" s="8"/>
      <x:c r="N1285" s="8"/>
      <x:c r="O1285" s="8" t="s">
        <x:v>1622</x:v>
      </x:c>
      <x:c r="P1285" s="8" t="s">
        <x:v>115</x:v>
      </x:c>
      <x:c r="Q1285" s="8" t="s">
        <x:v>45</x:v>
      </x:c>
      <x:c r="R1285" s="8" t="s">
        <x:v>3766</x:v>
      </x:c>
      <x:c r="S1285" s="8"/>
      <x:c r="T1285" s="8" t="s">
        <x:v>27</x:v>
      </x:c>
      <x:c r="U1285" s="8" t="s">
        <x:v>3474</x:v>
      </x:c>
      <x:c r="V1285" s="8" t="s">
        <x:v>3475</x:v>
      </x:c>
    </x:row>
    <x:row r="1286" ht="48" hidden="0" customHeight="1">
      <x:c r="A1286" s="8" t="s">
        <x:v>3780</x:v>
      </x:c>
      <x:c r="B1286" s="8" t="s">
        <x:v>3759</x:v>
      </x:c>
      <x:c r="C1286" s="8"/>
      <x:c r="D1286" s="8" t="s">
        <x:v>3781</x:v>
      </x:c>
      <x:c r="E1286" s="8" t="s">
        <x:v>3782</x:v>
      </x:c>
      <x:c r="F1286" s="8" t="s">
        <x:v>3761</x:v>
      </x:c>
      <x:c r="G1286" s="8" t="s">
        <x:v>109</x:v>
      </x:c>
      <x:c r="H1286" s="8" t="s">
        <x:v>3762</x:v>
      </x:c>
      <x:c r="I1286" s="8" t="s">
        <x:v>3763</x:v>
      </x:c>
      <x:c r="J1286" s="8" t="s">
        <x:v>3764</x:v>
      </x:c>
      <x:c r="K1286" s="8" t="s">
        <x:v>3783</x:v>
      </x:c>
      <x:c r="L1286" s="8" t="s">
        <x:v>3783</x:v>
      </x:c>
      <x:c r="M1286" s="8"/>
      <x:c r="N1286" s="8"/>
      <x:c r="O1286" s="8" t="s">
        <x:v>1622</x:v>
      </x:c>
      <x:c r="P1286" s="8" t="s">
        <x:v>115</x:v>
      </x:c>
      <x:c r="Q1286" s="8" t="s">
        <x:v>45</x:v>
      </x:c>
      <x:c r="R1286" s="8" t="s">
        <x:v>3766</x:v>
      </x:c>
      <x:c r="S1286" s="8"/>
      <x:c r="T1286" s="8" t="s">
        <x:v>27</x:v>
      </x:c>
      <x:c r="U1286" s="8" t="s">
        <x:v>3474</x:v>
      </x:c>
      <x:c r="V1286" s="8" t="s">
        <x:v>3475</x:v>
      </x:c>
    </x:row>
    <x:row r="1287" ht="48" hidden="0" customHeight="1">
      <x:c r="A1287" s="8" t="s">
        <x:v>3784</x:v>
      </x:c>
      <x:c r="B1287" s="8" t="s">
        <x:v>3759</x:v>
      </x:c>
      <x:c r="C1287" s="8"/>
      <x:c r="D1287" s="8" t="s">
        <x:v>3785</x:v>
      </x:c>
      <x:c r="E1287" s="8" t="s">
        <x:v>3786</x:v>
      </x:c>
      <x:c r="F1287" s="8" t="s">
        <x:v>3761</x:v>
      </x:c>
      <x:c r="G1287" s="8" t="s">
        <x:v>109</x:v>
      </x:c>
      <x:c r="H1287" s="8" t="s">
        <x:v>3762</x:v>
      </x:c>
      <x:c r="I1287" s="8" t="s">
        <x:v>3763</x:v>
      </x:c>
      <x:c r="J1287" s="8" t="s">
        <x:v>3764</x:v>
      </x:c>
      <x:c r="K1287" s="8" t="s">
        <x:v>3787</x:v>
      </x:c>
      <x:c r="L1287" s="8" t="s">
        <x:v>3787</x:v>
      </x:c>
      <x:c r="M1287" s="8"/>
      <x:c r="N1287" s="8"/>
      <x:c r="O1287" s="8" t="s">
        <x:v>1622</x:v>
      </x:c>
      <x:c r="P1287" s="8" t="s">
        <x:v>115</x:v>
      </x:c>
      <x:c r="Q1287" s="8" t="s">
        <x:v>45</x:v>
      </x:c>
      <x:c r="R1287" s="8" t="s">
        <x:v>3766</x:v>
      </x:c>
      <x:c r="S1287" s="8"/>
      <x:c r="T1287" s="8" t="s">
        <x:v>27</x:v>
      </x:c>
      <x:c r="U1287" s="8" t="s">
        <x:v>3474</x:v>
      </x:c>
      <x:c r="V1287" s="8" t="s">
        <x:v>3475</x:v>
      </x:c>
    </x:row>
    <x:row r="1288" ht="48" hidden="0" customHeight="1">
      <x:c r="A1288" s="8" t="s">
        <x:v>3788</x:v>
      </x:c>
      <x:c r="B1288" s="8" t="s">
        <x:v>3759</x:v>
      </x:c>
      <x:c r="C1288" s="8"/>
      <x:c r="D1288" s="8" t="s">
        <x:v>3789</x:v>
      </x:c>
      <x:c r="E1288" s="8" t="n">
        <x:v>0</x:v>
      </x:c>
      <x:c r="F1288" s="8" t="s">
        <x:v>3761</x:v>
      </x:c>
      <x:c r="G1288" s="8" t="s">
        <x:v>109</x:v>
      </x:c>
      <x:c r="H1288" s="8" t="s">
        <x:v>3762</x:v>
      </x:c>
      <x:c r="I1288" s="8" t="s">
        <x:v>3763</x:v>
      </x:c>
      <x:c r="J1288" s="8" t="s">
        <x:v>3764</x:v>
      </x:c>
      <x:c r="K1288" s="8" t="s">
        <x:v>3765</x:v>
      </x:c>
      <x:c r="L1288" s="8" t="s">
        <x:v>3765</x:v>
      </x:c>
      <x:c r="M1288" s="8"/>
      <x:c r="N1288" s="8"/>
      <x:c r="O1288" s="8" t="s">
        <x:v>1622</x:v>
      </x:c>
      <x:c r="P1288" s="8" t="s">
        <x:v>115</x:v>
      </x:c>
      <x:c r="Q1288" s="8" t="s">
        <x:v>45</x:v>
      </x:c>
      <x:c r="R1288" s="8" t="s">
        <x:v>3766</x:v>
      </x:c>
      <x:c r="S1288" s="8"/>
      <x:c r="T1288" s="8" t="s">
        <x:v>27</x:v>
      </x:c>
      <x:c r="U1288" s="8" t="s">
        <x:v>3474</x:v>
      </x:c>
      <x:c r="V1288" s="8" t="s">
        <x:v>3475</x:v>
      </x:c>
    </x:row>
    <x:row r="1289" ht="48" hidden="0" customHeight="1">
      <x:c r="A1289" s="8" t="s">
        <x:v>3790</x:v>
      </x:c>
      <x:c r="B1289" s="8" t="s">
        <x:v>3759</x:v>
      </x:c>
      <x:c r="C1289" s="8"/>
      <x:c r="D1289" s="8" t="s">
        <x:v>3791</x:v>
      </x:c>
      <x:c r="E1289" s="8" t="s">
        <x:v>3792</x:v>
      </x:c>
      <x:c r="F1289" s="8" t="s">
        <x:v>3761</x:v>
      </x:c>
      <x:c r="G1289" s="8" t="s">
        <x:v>109</x:v>
      </x:c>
      <x:c r="H1289" s="8" t="s">
        <x:v>3762</x:v>
      </x:c>
      <x:c r="I1289" s="8" t="s">
        <x:v>3763</x:v>
      </x:c>
      <x:c r="J1289" s="8" t="s">
        <x:v>3764</x:v>
      </x:c>
      <x:c r="K1289" s="8" t="s">
        <x:v>3765</x:v>
      </x:c>
      <x:c r="L1289" s="8" t="s">
        <x:v>3765</x:v>
      </x:c>
      <x:c r="M1289" s="8"/>
      <x:c r="N1289" s="8"/>
      <x:c r="O1289" s="8" t="s">
        <x:v>1622</x:v>
      </x:c>
      <x:c r="P1289" s="8" t="s">
        <x:v>115</x:v>
      </x:c>
      <x:c r="Q1289" s="8" t="s">
        <x:v>45</x:v>
      </x:c>
      <x:c r="R1289" s="8" t="s">
        <x:v>3766</x:v>
      </x:c>
      <x:c r="S1289" s="8"/>
      <x:c r="T1289" s="8" t="s">
        <x:v>27</x:v>
      </x:c>
      <x:c r="U1289" s="8" t="s">
        <x:v>3474</x:v>
      </x:c>
      <x:c r="V1289" s="8" t="s">
        <x:v>3475</x:v>
      </x:c>
    </x:row>
    <x:row r="1290" ht="48" hidden="0" customHeight="1">
      <x:c r="A1290" s="8" t="s">
        <x:v>3793</x:v>
      </x:c>
      <x:c r="B1290" s="8" t="s">
        <x:v>3759</x:v>
      </x:c>
      <x:c r="C1290" s="8"/>
      <x:c r="D1290" s="8" t="s">
        <x:v>2161</x:v>
      </x:c>
      <x:c r="E1290" s="8" t="s">
        <x:v>3794</x:v>
      </x:c>
      <x:c r="F1290" s="8" t="s">
        <x:v>3761</x:v>
      </x:c>
      <x:c r="G1290" s="8" t="s">
        <x:v>109</x:v>
      </x:c>
      <x:c r="H1290" s="8" t="s">
        <x:v>3762</x:v>
      </x:c>
      <x:c r="I1290" s="8" t="s">
        <x:v>3763</x:v>
      </x:c>
      <x:c r="J1290" s="8" t="s">
        <x:v>3764</x:v>
      </x:c>
      <x:c r="K1290" s="8" t="s">
        <x:v>3795</x:v>
      </x:c>
      <x:c r="L1290" s="8" t="s">
        <x:v>3795</x:v>
      </x:c>
      <x:c r="M1290" s="8"/>
      <x:c r="N1290" s="8"/>
      <x:c r="O1290" s="8" t="s">
        <x:v>1622</x:v>
      </x:c>
      <x:c r="P1290" s="8" t="s">
        <x:v>115</x:v>
      </x:c>
      <x:c r="Q1290" s="8" t="s">
        <x:v>45</x:v>
      </x:c>
      <x:c r="R1290" s="8" t="s">
        <x:v>3766</x:v>
      </x:c>
      <x:c r="S1290" s="8"/>
      <x:c r="T1290" s="8" t="s">
        <x:v>27</x:v>
      </x:c>
      <x:c r="U1290" s="8" t="s">
        <x:v>3474</x:v>
      </x:c>
      <x:c r="V1290" s="8" t="s">
        <x:v>3475</x:v>
      </x:c>
    </x:row>
    <x:row r="1291" ht="48" hidden="0" customHeight="1">
      <x:c r="A1291" s="8" t="s">
        <x:v>3796</x:v>
      </x:c>
      <x:c r="B1291" s="8" t="s">
        <x:v>3759</x:v>
      </x:c>
      <x:c r="C1291" s="8"/>
      <x:c r="D1291" s="8" t="s">
        <x:v>233</x:v>
      </x:c>
      <x:c r="E1291" s="8" t="s">
        <x:v>3797</x:v>
      </x:c>
      <x:c r="F1291" s="8" t="s">
        <x:v>3761</x:v>
      </x:c>
      <x:c r="G1291" s="8" t="s">
        <x:v>109</x:v>
      </x:c>
      <x:c r="H1291" s="8" t="s">
        <x:v>3762</x:v>
      </x:c>
      <x:c r="I1291" s="8" t="s">
        <x:v>3763</x:v>
      </x:c>
      <x:c r="J1291" s="8" t="s">
        <x:v>3764</x:v>
      </x:c>
      <x:c r="K1291" s="8" t="s">
        <x:v>3795</x:v>
      </x:c>
      <x:c r="L1291" s="8" t="s">
        <x:v>3795</x:v>
      </x:c>
      <x:c r="M1291" s="8"/>
      <x:c r="N1291" s="8"/>
      <x:c r="O1291" s="8" t="s">
        <x:v>1622</x:v>
      </x:c>
      <x:c r="P1291" s="8" t="s">
        <x:v>115</x:v>
      </x:c>
      <x:c r="Q1291" s="8" t="s">
        <x:v>45</x:v>
      </x:c>
      <x:c r="R1291" s="8" t="s">
        <x:v>3766</x:v>
      </x:c>
      <x:c r="S1291" s="8"/>
      <x:c r="T1291" s="8" t="s">
        <x:v>27</x:v>
      </x:c>
      <x:c r="U1291" s="8" t="s">
        <x:v>3474</x:v>
      </x:c>
      <x:c r="V1291" s="8" t="s">
        <x:v>3475</x:v>
      </x:c>
    </x:row>
    <x:row r="1292" ht="48" hidden="0" customHeight="1">
      <x:c r="A1292" s="8" t="s">
        <x:v>3798</x:v>
      </x:c>
      <x:c r="B1292" s="8" t="s">
        <x:v>3759</x:v>
      </x:c>
      <x:c r="C1292" s="8"/>
      <x:c r="D1292" s="8" t="s">
        <x:v>2177</x:v>
      </x:c>
      <x:c r="E1292" s="8" t="s">
        <x:v>3799</x:v>
      </x:c>
      <x:c r="F1292" s="8" t="s">
        <x:v>3761</x:v>
      </x:c>
      <x:c r="G1292" s="8" t="s">
        <x:v>109</x:v>
      </x:c>
      <x:c r="H1292" s="8" t="s">
        <x:v>3762</x:v>
      </x:c>
      <x:c r="I1292" s="8" t="s">
        <x:v>3763</x:v>
      </x:c>
      <x:c r="J1292" s="8" t="s">
        <x:v>3764</x:v>
      </x:c>
      <x:c r="K1292" s="8" t="s">
        <x:v>3800</x:v>
      </x:c>
      <x:c r="L1292" s="8" t="s">
        <x:v>3800</x:v>
      </x:c>
      <x:c r="M1292" s="8"/>
      <x:c r="N1292" s="8"/>
      <x:c r="O1292" s="8" t="s">
        <x:v>1622</x:v>
      </x:c>
      <x:c r="P1292" s="8" t="s">
        <x:v>115</x:v>
      </x:c>
      <x:c r="Q1292" s="8" t="s">
        <x:v>45</x:v>
      </x:c>
      <x:c r="R1292" s="8" t="s">
        <x:v>3766</x:v>
      </x:c>
      <x:c r="S1292" s="8"/>
      <x:c r="T1292" s="8" t="s">
        <x:v>27</x:v>
      </x:c>
      <x:c r="U1292" s="8" t="s">
        <x:v>3474</x:v>
      </x:c>
      <x:c r="V1292" s="8" t="s">
        <x:v>3475</x:v>
      </x:c>
    </x:row>
    <x:row r="1293" ht="48" hidden="0" customHeight="1">
      <x:c r="A1293" s="8" t="s">
        <x:v>3801</x:v>
      </x:c>
      <x:c r="B1293" s="8" t="s">
        <x:v>3759</x:v>
      </x:c>
      <x:c r="C1293" s="8"/>
      <x:c r="D1293" s="8" t="s">
        <x:v>3802</x:v>
      </x:c>
      <x:c r="E1293" s="8" t="s">
        <x:v>3803</x:v>
      </x:c>
      <x:c r="F1293" s="8" t="s">
        <x:v>3761</x:v>
      </x:c>
      <x:c r="G1293" s="8" t="s">
        <x:v>109</x:v>
      </x:c>
      <x:c r="H1293" s="8" t="s">
        <x:v>3762</x:v>
      </x:c>
      <x:c r="I1293" s="8" t="s">
        <x:v>3763</x:v>
      </x:c>
      <x:c r="J1293" s="8" t="s">
        <x:v>3764</x:v>
      </x:c>
      <x:c r="K1293" s="8" t="s">
        <x:v>3800</x:v>
      </x:c>
      <x:c r="L1293" s="8" t="s">
        <x:v>3800</x:v>
      </x:c>
      <x:c r="M1293" s="8"/>
      <x:c r="N1293" s="8"/>
      <x:c r="O1293" s="8" t="s">
        <x:v>1622</x:v>
      </x:c>
      <x:c r="P1293" s="8" t="s">
        <x:v>115</x:v>
      </x:c>
      <x:c r="Q1293" s="8" t="s">
        <x:v>45</x:v>
      </x:c>
      <x:c r="R1293" s="8" t="s">
        <x:v>3766</x:v>
      </x:c>
      <x:c r="S1293" s="8"/>
      <x:c r="T1293" s="8" t="s">
        <x:v>27</x:v>
      </x:c>
      <x:c r="U1293" s="8" t="s">
        <x:v>3474</x:v>
      </x:c>
      <x:c r="V1293" s="8" t="s">
        <x:v>3475</x:v>
      </x:c>
    </x:row>
    <x:row r="1294" ht="48" hidden="0" customHeight="1">
      <x:c r="A1294" s="8" t="s">
        <x:v>3804</x:v>
      </x:c>
      <x:c r="B1294" s="8" t="s">
        <x:v>3759</x:v>
      </x:c>
      <x:c r="C1294" s="8"/>
      <x:c r="D1294" s="8" t="s">
        <x:v>3805</x:v>
      </x:c>
      <x:c r="E1294" s="8" t="s">
        <x:v>3806</x:v>
      </x:c>
      <x:c r="F1294" s="8" t="s">
        <x:v>3761</x:v>
      </x:c>
      <x:c r="G1294" s="8" t="s">
        <x:v>109</x:v>
      </x:c>
      <x:c r="H1294" s="8" t="s">
        <x:v>3762</x:v>
      </x:c>
      <x:c r="I1294" s="8" t="s">
        <x:v>3763</x:v>
      </x:c>
      <x:c r="J1294" s="8" t="s">
        <x:v>3764</x:v>
      </x:c>
      <x:c r="K1294" s="8" t="s">
        <x:v>3800</x:v>
      </x:c>
      <x:c r="L1294" s="8" t="s">
        <x:v>3800</x:v>
      </x:c>
      <x:c r="M1294" s="8"/>
      <x:c r="N1294" s="8"/>
      <x:c r="O1294" s="8" t="s">
        <x:v>1622</x:v>
      </x:c>
      <x:c r="P1294" s="8" t="s">
        <x:v>115</x:v>
      </x:c>
      <x:c r="Q1294" s="8" t="s">
        <x:v>45</x:v>
      </x:c>
      <x:c r="R1294" s="8" t="s">
        <x:v>3766</x:v>
      </x:c>
      <x:c r="S1294" s="8"/>
      <x:c r="T1294" s="8" t="s">
        <x:v>27</x:v>
      </x:c>
      <x:c r="U1294" s="8" t="s">
        <x:v>3474</x:v>
      </x:c>
      <x:c r="V1294" s="8" t="s">
        <x:v>3475</x:v>
      </x:c>
    </x:row>
    <x:row r="1295" ht="48" hidden="0" customHeight="1">
      <x:c r="A1295" s="8" t="s">
        <x:v>3807</x:v>
      </x:c>
      <x:c r="B1295" s="8" t="s">
        <x:v>3808</x:v>
      </x:c>
      <x:c r="C1295" s="8"/>
      <x:c r="D1295" s="8" t="s">
        <x:v>3809</x:v>
      </x:c>
      <x:c r="E1295" s="8" t="s">
        <x:v>3810</x:v>
      </x:c>
      <x:c r="F1295" s="8" t="s">
        <x:v>1617</x:v>
      </x:c>
      <x:c r="G1295" s="8" t="s">
        <x:v>109</x:v>
      </x:c>
      <x:c r="H1295" s="8" t="s">
        <x:v>3811</x:v>
      </x:c>
      <x:c r="I1295" s="8" t="s">
        <x:v>3812</x:v>
      </x:c>
      <x:c r="J1295" s="8" t="s">
        <x:v>3471</x:v>
      </x:c>
      <x:c r="K1295" s="8" t="s">
        <x:v>3813</x:v>
      </x:c>
      <x:c r="L1295" s="8" t="s">
        <x:v>3813</x:v>
      </x:c>
      <x:c r="M1295" s="8"/>
      <x:c r="N1295" s="8" t="s">
        <x:v>3814</x:v>
      </x:c>
      <x:c r="O1295" s="8" t="s">
        <x:v>1622</x:v>
      </x:c>
      <x:c r="P1295" s="8" t="s">
        <x:v>115</x:v>
      </x:c>
      <x:c r="Q1295" s="8" t="s">
        <x:v>45</x:v>
      </x:c>
      <x:c r="R1295" s="8" t="s">
        <x:v>3473</x:v>
      </x:c>
      <x:c r="S1295" s="8"/>
      <x:c r="T1295" s="8" t="s">
        <x:v>27</x:v>
      </x:c>
      <x:c r="U1295" s="8" t="s">
        <x:v>3474</x:v>
      </x:c>
      <x:c r="V1295" s="8" t="s">
        <x:v>3475</x:v>
      </x:c>
    </x:row>
    <x:row r="1296" ht="48" hidden="0" customHeight="1">
      <x:c r="A1296" s="8" t="s">
        <x:v>3815</x:v>
      </x:c>
      <x:c r="B1296" s="8" t="s">
        <x:v>3808</x:v>
      </x:c>
      <x:c r="C1296" s="8"/>
      <x:c r="D1296" s="8" t="s">
        <x:v>3816</x:v>
      </x:c>
      <x:c r="E1296" s="8" t="s">
        <x:v>3817</x:v>
      </x:c>
      <x:c r="F1296" s="8" t="s">
        <x:v>1617</x:v>
      </x:c>
      <x:c r="G1296" s="8" t="s">
        <x:v>109</x:v>
      </x:c>
      <x:c r="H1296" s="8" t="s">
        <x:v>3811</x:v>
      </x:c>
      <x:c r="I1296" s="8" t="s">
        <x:v>3812</x:v>
      </x:c>
      <x:c r="J1296" s="8" t="s">
        <x:v>3471</x:v>
      </x:c>
      <x:c r="K1296" s="8" t="s">
        <x:v>3813</x:v>
      </x:c>
      <x:c r="L1296" s="8" t="s">
        <x:v>3813</x:v>
      </x:c>
      <x:c r="M1296" s="8"/>
      <x:c r="N1296" s="8" t="s">
        <x:v>3814</x:v>
      </x:c>
      <x:c r="O1296" s="8" t="s">
        <x:v>1622</x:v>
      </x:c>
      <x:c r="P1296" s="8" t="s">
        <x:v>115</x:v>
      </x:c>
      <x:c r="Q1296" s="8" t="s">
        <x:v>45</x:v>
      </x:c>
      <x:c r="R1296" s="8" t="s">
        <x:v>3473</x:v>
      </x:c>
      <x:c r="S1296" s="8"/>
      <x:c r="T1296" s="8" t="s">
        <x:v>27</x:v>
      </x:c>
      <x:c r="U1296" s="8" t="s">
        <x:v>3474</x:v>
      </x:c>
      <x:c r="V1296" s="8" t="s">
        <x:v>3475</x:v>
      </x:c>
    </x:row>
    <x:row r="1297" ht="60" hidden="0" customHeight="1">
      <x:c r="A1297" s="8" t="s">
        <x:v>3818</x:v>
      </x:c>
      <x:c r="B1297" s="8" t="s">
        <x:v>3808</x:v>
      </x:c>
      <x:c r="C1297" s="8"/>
      <x:c r="D1297" s="8" t="s">
        <x:v>3819</x:v>
      </x:c>
      <x:c r="E1297" s="8" t="s">
        <x:v>3820</x:v>
      </x:c>
      <x:c r="F1297" s="8" t="s">
        <x:v>1617</x:v>
      </x:c>
      <x:c r="G1297" s="8" t="s">
        <x:v>109</x:v>
      </x:c>
      <x:c r="H1297" s="8" t="s">
        <x:v>3811</x:v>
      </x:c>
      <x:c r="I1297" s="8" t="s">
        <x:v>3812</x:v>
      </x:c>
      <x:c r="J1297" s="8" t="s">
        <x:v>3471</x:v>
      </x:c>
      <x:c r="K1297" s="8" t="s">
        <x:v>3821</x:v>
      </x:c>
      <x:c r="L1297" s="8" t="s">
        <x:v>3821</x:v>
      </x:c>
      <x:c r="M1297" s="8"/>
      <x:c r="N1297" s="8" t="s">
        <x:v>3822</x:v>
      </x:c>
      <x:c r="O1297" s="8" t="s">
        <x:v>1622</x:v>
      </x:c>
      <x:c r="P1297" s="8" t="s">
        <x:v>115</x:v>
      </x:c>
      <x:c r="Q1297" s="8" t="s">
        <x:v>45</x:v>
      </x:c>
      <x:c r="R1297" s="8" t="s">
        <x:v>3823</x:v>
      </x:c>
      <x:c r="S1297" s="8"/>
      <x:c r="T1297" s="8" t="s">
        <x:v>27</x:v>
      </x:c>
      <x:c r="U1297" s="8" t="s">
        <x:v>3474</x:v>
      </x:c>
      <x:c r="V1297" s="8" t="s">
        <x:v>3475</x:v>
      </x:c>
    </x:row>
    <x:row r="1298" ht="60" hidden="0" customHeight="1">
      <x:c r="A1298" s="8" t="s">
        <x:v>3824</x:v>
      </x:c>
      <x:c r="B1298" s="8" t="s">
        <x:v>3808</x:v>
      </x:c>
      <x:c r="C1298" s="8"/>
      <x:c r="D1298" s="8" t="s">
        <x:v>3825</x:v>
      </x:c>
      <x:c r="E1298" s="8" t="s">
        <x:v>3826</x:v>
      </x:c>
      <x:c r="F1298" s="8" t="s">
        <x:v>1617</x:v>
      </x:c>
      <x:c r="G1298" s="8" t="s">
        <x:v>109</x:v>
      </x:c>
      <x:c r="H1298" s="8" t="s">
        <x:v>3811</x:v>
      </x:c>
      <x:c r="I1298" s="8" t="s">
        <x:v>3812</x:v>
      </x:c>
      <x:c r="J1298" s="8" t="s">
        <x:v>3471</x:v>
      </x:c>
      <x:c r="K1298" s="8" t="s">
        <x:v>3827</x:v>
      </x:c>
      <x:c r="L1298" s="8" t="s">
        <x:v>3827</x:v>
      </x:c>
      <x:c r="M1298" s="8"/>
      <x:c r="N1298" s="8" t="s">
        <x:v>3822</x:v>
      </x:c>
      <x:c r="O1298" s="8" t="s">
        <x:v>1622</x:v>
      </x:c>
      <x:c r="P1298" s="8" t="s">
        <x:v>115</x:v>
      </x:c>
      <x:c r="Q1298" s="8" t="s">
        <x:v>45</x:v>
      </x:c>
      <x:c r="R1298" s="8" t="s">
        <x:v>3823</x:v>
      </x:c>
      <x:c r="S1298" s="8"/>
      <x:c r="T1298" s="8" t="s">
        <x:v>27</x:v>
      </x:c>
      <x:c r="U1298" s="8" t="s">
        <x:v>3474</x:v>
      </x:c>
      <x:c r="V1298" s="8" t="s">
        <x:v>3475</x:v>
      </x:c>
    </x:row>
    <x:row r="1299" ht="48" hidden="0" customHeight="1">
      <x:c r="A1299" s="8" t="s">
        <x:v>3828</x:v>
      </x:c>
      <x:c r="B1299" s="8" t="s">
        <x:v>3808</x:v>
      </x:c>
      <x:c r="C1299" s="8"/>
      <x:c r="D1299" s="8" t="s">
        <x:v>1889</x:v>
      </x:c>
      <x:c r="E1299" s="8" t="s">
        <x:v>3829</x:v>
      </x:c>
      <x:c r="F1299" s="8" t="s">
        <x:v>1617</x:v>
      </x:c>
      <x:c r="G1299" s="8" t="s">
        <x:v>109</x:v>
      </x:c>
      <x:c r="H1299" s="8" t="s">
        <x:v>3811</x:v>
      </x:c>
      <x:c r="I1299" s="8" t="s">
        <x:v>3812</x:v>
      </x:c>
      <x:c r="J1299" s="8" t="s">
        <x:v>3471</x:v>
      </x:c>
      <x:c r="K1299" s="8" t="s">
        <x:v>3821</x:v>
      </x:c>
      <x:c r="L1299" s="8" t="s">
        <x:v>3821</x:v>
      </x:c>
      <x:c r="M1299" s="8"/>
      <x:c r="N1299" s="8" t="s">
        <x:v>3822</x:v>
      </x:c>
      <x:c r="O1299" s="8" t="s">
        <x:v>1622</x:v>
      </x:c>
      <x:c r="P1299" s="8" t="s">
        <x:v>115</x:v>
      </x:c>
      <x:c r="Q1299" s="8" t="s">
        <x:v>45</x:v>
      </x:c>
      <x:c r="R1299" s="8" t="s">
        <x:v>3473</x:v>
      </x:c>
      <x:c r="S1299" s="8"/>
      <x:c r="T1299" s="8" t="s">
        <x:v>27</x:v>
      </x:c>
      <x:c r="U1299" s="8" t="s">
        <x:v>3474</x:v>
      </x:c>
      <x:c r="V1299" s="8" t="s">
        <x:v>3475</x:v>
      </x:c>
    </x:row>
    <x:row r="1300" ht="48" hidden="0" customHeight="1">
      <x:c r="A1300" s="8" t="s">
        <x:v>3830</x:v>
      </x:c>
      <x:c r="B1300" s="8" t="s">
        <x:v>3808</x:v>
      </x:c>
      <x:c r="C1300" s="8"/>
      <x:c r="D1300" s="8" t="s">
        <x:v>3831</x:v>
      </x:c>
      <x:c r="E1300" s="8" t="n">
        <x:v>50</x:v>
      </x:c>
      <x:c r="F1300" s="8" t="s">
        <x:v>1617</x:v>
      </x:c>
      <x:c r="G1300" s="8" t="s">
        <x:v>109</x:v>
      </x:c>
      <x:c r="H1300" s="8" t="s">
        <x:v>3811</x:v>
      </x:c>
      <x:c r="I1300" s="8" t="s">
        <x:v>3812</x:v>
      </x:c>
      <x:c r="J1300" s="8" t="s">
        <x:v>3471</x:v>
      </x:c>
      <x:c r="K1300" s="8" t="s">
        <x:v>3821</x:v>
      </x:c>
      <x:c r="L1300" s="8" t="s">
        <x:v>3821</x:v>
      </x:c>
      <x:c r="M1300" s="8"/>
      <x:c r="N1300" s="8" t="s">
        <x:v>3822</x:v>
      </x:c>
      <x:c r="O1300" s="8" t="s">
        <x:v>1622</x:v>
      </x:c>
      <x:c r="P1300" s="8" t="s">
        <x:v>115</x:v>
      </x:c>
      <x:c r="Q1300" s="8" t="s">
        <x:v>45</x:v>
      </x:c>
      <x:c r="R1300" s="8" t="s">
        <x:v>3473</x:v>
      </x:c>
      <x:c r="S1300" s="8"/>
      <x:c r="T1300" s="8" t="s">
        <x:v>27</x:v>
      </x:c>
      <x:c r="U1300" s="8" t="s">
        <x:v>3474</x:v>
      </x:c>
      <x:c r="V1300" s="8" t="s">
        <x:v>3475</x:v>
      </x:c>
    </x:row>
    <x:row r="1301" ht="48" hidden="0" customHeight="1">
      <x:c r="A1301" s="8" t="s">
        <x:v>3832</x:v>
      </x:c>
      <x:c r="B1301" s="8" t="s">
        <x:v>3808</x:v>
      </x:c>
      <x:c r="C1301" s="8"/>
      <x:c r="D1301" s="8" t="s">
        <x:v>3833</x:v>
      </x:c>
      <x:c r="E1301" s="8" t="n">
        <x:v>1612</x:v>
      </x:c>
      <x:c r="F1301" s="8" t="s">
        <x:v>1617</x:v>
      </x:c>
      <x:c r="G1301" s="8" t="s">
        <x:v>109</x:v>
      </x:c>
      <x:c r="H1301" s="8" t="s">
        <x:v>3811</x:v>
      </x:c>
      <x:c r="I1301" s="8" t="s">
        <x:v>3812</x:v>
      </x:c>
      <x:c r="J1301" s="8" t="s">
        <x:v>3471</x:v>
      </x:c>
      <x:c r="K1301" s="8" t="s">
        <x:v>3821</x:v>
      </x:c>
      <x:c r="L1301" s="8" t="s">
        <x:v>3821</x:v>
      </x:c>
      <x:c r="M1301" s="8"/>
      <x:c r="N1301" s="8" t="s">
        <x:v>3822</x:v>
      </x:c>
      <x:c r="O1301" s="8" t="s">
        <x:v>1622</x:v>
      </x:c>
      <x:c r="P1301" s="8" t="s">
        <x:v>115</x:v>
      </x:c>
      <x:c r="Q1301" s="8" t="s">
        <x:v>45</x:v>
      </x:c>
      <x:c r="R1301" s="8" t="s">
        <x:v>3473</x:v>
      </x:c>
      <x:c r="S1301" s="8"/>
      <x:c r="T1301" s="8" t="s">
        <x:v>27</x:v>
      </x:c>
      <x:c r="U1301" s="8" t="s">
        <x:v>3474</x:v>
      </x:c>
      <x:c r="V1301" s="8" t="s">
        <x:v>3475</x:v>
      </x:c>
    </x:row>
    <x:row r="1302" ht="48" hidden="0" customHeight="1">
      <x:c r="A1302" s="8" t="s">
        <x:v>3834</x:v>
      </x:c>
      <x:c r="B1302" s="8" t="s">
        <x:v>3808</x:v>
      </x:c>
      <x:c r="C1302" s="8"/>
      <x:c r="D1302" s="8" t="s">
        <x:v>3835</x:v>
      </x:c>
      <x:c r="E1302" s="8" t="n">
        <x:v>22</x:v>
      </x:c>
      <x:c r="F1302" s="8" t="s">
        <x:v>1617</x:v>
      </x:c>
      <x:c r="G1302" s="8" t="s">
        <x:v>109</x:v>
      </x:c>
      <x:c r="H1302" s="8" t="s">
        <x:v>3811</x:v>
      </x:c>
      <x:c r="I1302" s="8" t="s">
        <x:v>3812</x:v>
      </x:c>
      <x:c r="J1302" s="8" t="s">
        <x:v>3471</x:v>
      </x:c>
      <x:c r="K1302" s="8" t="s">
        <x:v>3821</x:v>
      </x:c>
      <x:c r="L1302" s="8" t="s">
        <x:v>3821</x:v>
      </x:c>
      <x:c r="M1302" s="8"/>
      <x:c r="N1302" s="8" t="s">
        <x:v>3822</x:v>
      </x:c>
      <x:c r="O1302" s="8" t="s">
        <x:v>1622</x:v>
      </x:c>
      <x:c r="P1302" s="8" t="s">
        <x:v>115</x:v>
      </x:c>
      <x:c r="Q1302" s="8" t="s">
        <x:v>45</x:v>
      </x:c>
      <x:c r="R1302" s="8" t="s">
        <x:v>3473</x:v>
      </x:c>
      <x:c r="S1302" s="8" t="s">
        <x:v>1670</x:v>
      </x:c>
      <x:c r="T1302" s="8" t="s">
        <x:v>27</x:v>
      </x:c>
      <x:c r="U1302" s="8" t="s">
        <x:v>3474</x:v>
      </x:c>
      <x:c r="V1302" s="8" t="s">
        <x:v>3475</x:v>
      </x:c>
    </x:row>
    <x:row r="1303" ht="48" hidden="0" customHeight="1">
      <x:c r="A1303" s="8" t="s">
        <x:v>3836</x:v>
      </x:c>
      <x:c r="B1303" s="8" t="s">
        <x:v>3808</x:v>
      </x:c>
      <x:c r="C1303" s="8"/>
      <x:c r="D1303" s="8" t="s">
        <x:v>3837</x:v>
      </x:c>
      <x:c r="E1303" s="8" t="s">
        <x:v>3838</x:v>
      </x:c>
      <x:c r="F1303" s="8" t="s">
        <x:v>1617</x:v>
      </x:c>
      <x:c r="G1303" s="8" t="s">
        <x:v>109</x:v>
      </x:c>
      <x:c r="H1303" s="8" t="s">
        <x:v>3811</x:v>
      </x:c>
      <x:c r="I1303" s="8" t="s">
        <x:v>3812</x:v>
      </x:c>
      <x:c r="J1303" s="8" t="s">
        <x:v>3471</x:v>
      </x:c>
      <x:c r="K1303" s="8" t="s">
        <x:v>3821</x:v>
      </x:c>
      <x:c r="L1303" s="8" t="s">
        <x:v>3821</x:v>
      </x:c>
      <x:c r="M1303" s="8"/>
      <x:c r="N1303" s="8" t="s">
        <x:v>3822</x:v>
      </x:c>
      <x:c r="O1303" s="8" t="s">
        <x:v>1622</x:v>
      </x:c>
      <x:c r="P1303" s="8" t="s">
        <x:v>115</x:v>
      </x:c>
      <x:c r="Q1303" s="8" t="s">
        <x:v>45</x:v>
      </x:c>
      <x:c r="R1303" s="8" t="s">
        <x:v>3473</x:v>
      </x:c>
      <x:c r="S1303" s="8"/>
      <x:c r="T1303" s="8" t="s">
        <x:v>27</x:v>
      </x:c>
      <x:c r="U1303" s="8" t="s">
        <x:v>3474</x:v>
      </x:c>
      <x:c r="V1303" s="8" t="s">
        <x:v>3475</x:v>
      </x:c>
    </x:row>
    <x:row r="1304" ht="48" hidden="0" customHeight="1">
      <x:c r="A1304" s="8" t="s">
        <x:v>3839</x:v>
      </x:c>
      <x:c r="B1304" s="8" t="s">
        <x:v>3808</x:v>
      </x:c>
      <x:c r="C1304" s="8"/>
      <x:c r="D1304" s="8" t="s">
        <x:v>3840</x:v>
      </x:c>
      <x:c r="E1304" s="8" t="s">
        <x:v>3841</x:v>
      </x:c>
      <x:c r="F1304" s="8" t="s">
        <x:v>1617</x:v>
      </x:c>
      <x:c r="G1304" s="8" t="s">
        <x:v>109</x:v>
      </x:c>
      <x:c r="H1304" s="8" t="s">
        <x:v>3811</x:v>
      </x:c>
      <x:c r="I1304" s="8" t="s">
        <x:v>3812</x:v>
      </x:c>
      <x:c r="J1304" s="8" t="s">
        <x:v>3471</x:v>
      </x:c>
      <x:c r="K1304" s="8" t="s">
        <x:v>3842</x:v>
      </x:c>
      <x:c r="L1304" s="8" t="s">
        <x:v>3842</x:v>
      </x:c>
      <x:c r="M1304" s="8"/>
      <x:c r="N1304" s="8" t="s">
        <x:v>3843</x:v>
      </x:c>
      <x:c r="O1304" s="8" t="s">
        <x:v>1622</x:v>
      </x:c>
      <x:c r="P1304" s="8" t="s">
        <x:v>115</x:v>
      </x:c>
      <x:c r="Q1304" s="8" t="s">
        <x:v>45</x:v>
      </x:c>
      <x:c r="R1304" s="8" t="s">
        <x:v>3473</x:v>
      </x:c>
      <x:c r="S1304" s="8"/>
      <x:c r="T1304" s="8" t="s">
        <x:v>27</x:v>
      </x:c>
      <x:c r="U1304" s="8" t="s">
        <x:v>3474</x:v>
      </x:c>
      <x:c r="V1304" s="8" t="s">
        <x:v>3475</x:v>
      </x:c>
    </x:row>
    <x:row r="1305" ht="48" hidden="0" customHeight="1">
      <x:c r="A1305" s="8" t="s">
        <x:v>3844</x:v>
      </x:c>
      <x:c r="B1305" s="8" t="s">
        <x:v>3808</x:v>
      </x:c>
      <x:c r="C1305" s="8"/>
      <x:c r="D1305" s="8" t="s">
        <x:v>3845</x:v>
      </x:c>
      <x:c r="E1305" s="8" t="s">
        <x:v>3846</x:v>
      </x:c>
      <x:c r="F1305" s="8" t="s">
        <x:v>1617</x:v>
      </x:c>
      <x:c r="G1305" s="8" t="s">
        <x:v>109</x:v>
      </x:c>
      <x:c r="H1305" s="8" t="s">
        <x:v>3811</x:v>
      </x:c>
      <x:c r="I1305" s="8" t="s">
        <x:v>3812</x:v>
      </x:c>
      <x:c r="J1305" s="8" t="s">
        <x:v>3471</x:v>
      </x:c>
      <x:c r="K1305" s="8" t="s">
        <x:v>3847</x:v>
      </x:c>
      <x:c r="L1305" s="8" t="s">
        <x:v>3847</x:v>
      </x:c>
      <x:c r="M1305" s="8"/>
      <x:c r="N1305" s="8" t="s">
        <x:v>496</x:v>
      </x:c>
      <x:c r="O1305" s="8" t="s">
        <x:v>1622</x:v>
      </x:c>
      <x:c r="P1305" s="8" t="s">
        <x:v>115</x:v>
      </x:c>
      <x:c r="Q1305" s="8" t="s">
        <x:v>45</x:v>
      </x:c>
      <x:c r="R1305" s="8" t="s">
        <x:v>3473</x:v>
      </x:c>
      <x:c r="S1305" s="8"/>
      <x:c r="T1305" s="8" t="s">
        <x:v>27</x:v>
      </x:c>
      <x:c r="U1305" s="8" t="s">
        <x:v>3474</x:v>
      </x:c>
      <x:c r="V1305" s="8" t="s">
        <x:v>3475</x:v>
      </x:c>
    </x:row>
    <x:row r="1306" ht="48" hidden="0" customHeight="1">
      <x:c r="A1306" s="8" t="s">
        <x:v>3848</x:v>
      </x:c>
      <x:c r="B1306" s="8" t="s">
        <x:v>3808</x:v>
      </x:c>
      <x:c r="C1306" s="8"/>
      <x:c r="D1306" s="8" t="s">
        <x:v>3849</x:v>
      </x:c>
      <x:c r="E1306" s="8" t="s">
        <x:v>3850</x:v>
      </x:c>
      <x:c r="F1306" s="8" t="s">
        <x:v>1617</x:v>
      </x:c>
      <x:c r="G1306" s="8" t="s">
        <x:v>109</x:v>
      </x:c>
      <x:c r="H1306" s="8" t="s">
        <x:v>3811</x:v>
      </x:c>
      <x:c r="I1306" s="8" t="s">
        <x:v>3812</x:v>
      </x:c>
      <x:c r="J1306" s="8" t="s">
        <x:v>3471</x:v>
      </x:c>
      <x:c r="K1306" s="8" t="s">
        <x:v>3847</x:v>
      </x:c>
      <x:c r="L1306" s="8" t="s">
        <x:v>3847</x:v>
      </x:c>
      <x:c r="M1306" s="8"/>
      <x:c r="N1306" s="8" t="s">
        <x:v>496</x:v>
      </x:c>
      <x:c r="O1306" s="8" t="s">
        <x:v>1622</x:v>
      </x:c>
      <x:c r="P1306" s="8" t="s">
        <x:v>115</x:v>
      </x:c>
      <x:c r="Q1306" s="8" t="s">
        <x:v>45</x:v>
      </x:c>
      <x:c r="R1306" s="8" t="s">
        <x:v>3473</x:v>
      </x:c>
      <x:c r="S1306" s="8"/>
      <x:c r="T1306" s="8" t="s">
        <x:v>27</x:v>
      </x:c>
      <x:c r="U1306" s="8" t="s">
        <x:v>3474</x:v>
      </x:c>
      <x:c r="V1306" s="8" t="s">
        <x:v>3475</x:v>
      </x:c>
    </x:row>
    <x:row r="1307" ht="48" hidden="0" customHeight="1">
      <x:c r="A1307" s="8" t="s">
        <x:v>3851</x:v>
      </x:c>
      <x:c r="B1307" s="8" t="s">
        <x:v>3808</x:v>
      </x:c>
      <x:c r="C1307" s="8"/>
      <x:c r="D1307" s="8" t="s">
        <x:v>2177</x:v>
      </x:c>
      <x:c r="E1307" s="8" t="s">
        <x:v>3852</x:v>
      </x:c>
      <x:c r="F1307" s="8" t="s">
        <x:v>1617</x:v>
      </x:c>
      <x:c r="G1307" s="8" t="s">
        <x:v>109</x:v>
      </x:c>
      <x:c r="H1307" s="8" t="s">
        <x:v>3811</x:v>
      </x:c>
      <x:c r="I1307" s="8" t="s">
        <x:v>3812</x:v>
      </x:c>
      <x:c r="J1307" s="8" t="s">
        <x:v>3471</x:v>
      </x:c>
      <x:c r="K1307" s="8" t="s">
        <x:v>3853</x:v>
      </x:c>
      <x:c r="L1307" s="8" t="s">
        <x:v>3853</x:v>
      </x:c>
      <x:c r="M1307" s="8"/>
      <x:c r="N1307" s="8" t="s">
        <x:v>3854</x:v>
      </x:c>
      <x:c r="O1307" s="8" t="s">
        <x:v>1622</x:v>
      </x:c>
      <x:c r="P1307" s="8" t="s">
        <x:v>115</x:v>
      </x:c>
      <x:c r="Q1307" s="8" t="s">
        <x:v>45</x:v>
      </x:c>
      <x:c r="R1307" s="8" t="s">
        <x:v>3473</x:v>
      </x:c>
      <x:c r="S1307" s="8"/>
      <x:c r="T1307" s="8" t="s">
        <x:v>27</x:v>
      </x:c>
      <x:c r="U1307" s="8" t="s">
        <x:v>3474</x:v>
      </x:c>
      <x:c r="V1307" s="8" t="s">
        <x:v>3475</x:v>
      </x:c>
    </x:row>
    <x:row r="1308" ht="48" hidden="0" customHeight="1">
      <x:c r="A1308" s="8" t="s">
        <x:v>3855</x:v>
      </x:c>
      <x:c r="B1308" s="8" t="s">
        <x:v>3808</x:v>
      </x:c>
      <x:c r="C1308" s="8"/>
      <x:c r="D1308" s="8" t="s">
        <x:v>3239</x:v>
      </x:c>
      <x:c r="E1308" s="8" t="s">
        <x:v>3856</x:v>
      </x:c>
      <x:c r="F1308" s="8" t="s">
        <x:v>1617</x:v>
      </x:c>
      <x:c r="G1308" s="8" t="s">
        <x:v>109</x:v>
      </x:c>
      <x:c r="H1308" s="8" t="s">
        <x:v>3811</x:v>
      </x:c>
      <x:c r="I1308" s="8" t="s">
        <x:v>3812</x:v>
      </x:c>
      <x:c r="J1308" s="8" t="s">
        <x:v>3471</x:v>
      </x:c>
      <x:c r="K1308" s="8" t="s">
        <x:v>3853</x:v>
      </x:c>
      <x:c r="L1308" s="8" t="s">
        <x:v>3853</x:v>
      </x:c>
      <x:c r="M1308" s="8"/>
      <x:c r="N1308" s="8" t="s">
        <x:v>3854</x:v>
      </x:c>
      <x:c r="O1308" s="8" t="s">
        <x:v>1622</x:v>
      </x:c>
      <x:c r="P1308" s="8" t="s">
        <x:v>115</x:v>
      </x:c>
      <x:c r="Q1308" s="8" t="s">
        <x:v>45</x:v>
      </x:c>
      <x:c r="R1308" s="8" t="s">
        <x:v>3473</x:v>
      </x:c>
      <x:c r="S1308" s="8"/>
      <x:c r="T1308" s="8" t="s">
        <x:v>27</x:v>
      </x:c>
      <x:c r="U1308" s="8" t="s">
        <x:v>3474</x:v>
      </x:c>
      <x:c r="V1308" s="8" t="s">
        <x:v>3475</x:v>
      </x:c>
    </x:row>
    <x:row r="1309" ht="48" hidden="0" customHeight="1">
      <x:c r="A1309" s="8" t="s">
        <x:v>3857</x:v>
      </x:c>
      <x:c r="B1309" s="8" t="s">
        <x:v>3808</x:v>
      </x:c>
      <x:c r="C1309" s="8"/>
      <x:c r="D1309" s="8" t="s">
        <x:v>3858</x:v>
      </x:c>
      <x:c r="E1309" s="8" t="n">
        <x:v>24</x:v>
      </x:c>
      <x:c r="F1309" s="8" t="s">
        <x:v>1617</x:v>
      </x:c>
      <x:c r="G1309" s="8" t="s">
        <x:v>109</x:v>
      </x:c>
      <x:c r="H1309" s="8" t="s">
        <x:v>3811</x:v>
      </x:c>
      <x:c r="I1309" s="8" t="s">
        <x:v>3812</x:v>
      </x:c>
      <x:c r="J1309" s="8" t="s">
        <x:v>3471</x:v>
      </x:c>
      <x:c r="K1309" s="8" t="s">
        <x:v>3853</x:v>
      </x:c>
      <x:c r="L1309" s="8" t="s">
        <x:v>3853</x:v>
      </x:c>
      <x:c r="M1309" s="8"/>
      <x:c r="N1309" s="8" t="s">
        <x:v>3854</x:v>
      </x:c>
      <x:c r="O1309" s="8" t="s">
        <x:v>1622</x:v>
      </x:c>
      <x:c r="P1309" s="8" t="s">
        <x:v>115</x:v>
      </x:c>
      <x:c r="Q1309" s="8" t="s">
        <x:v>45</x:v>
      </x:c>
      <x:c r="R1309" s="8" t="s">
        <x:v>3473</x:v>
      </x:c>
      <x:c r="S1309" s="8"/>
      <x:c r="T1309" s="8" t="s">
        <x:v>27</x:v>
      </x:c>
      <x:c r="U1309" s="8" t="s">
        <x:v>3474</x:v>
      </x:c>
      <x:c r="V1309" s="8" t="s">
        <x:v>3475</x:v>
      </x:c>
    </x:row>
    <x:row r="1310" ht="60" hidden="0" customHeight="1">
      <x:c r="A1310" s="8" t="s">
        <x:v>3859</x:v>
      </x:c>
      <x:c r="B1310" s="8" t="s">
        <x:v>3860</x:v>
      </x:c>
      <x:c r="C1310" s="8"/>
      <x:c r="D1310" s="8" t="s">
        <x:v>2154</x:v>
      </x:c>
      <x:c r="E1310" s="8" t="s">
        <x:v>3861</x:v>
      </x:c>
      <x:c r="F1310" s="8" t="s">
        <x:v>3862</x:v>
      </x:c>
      <x:c r="G1310" s="8" t="s">
        <x:v>109</x:v>
      </x:c>
      <x:c r="H1310" s="8" t="s">
        <x:v>3863</x:v>
      </x:c>
      <x:c r="I1310" s="8" t="s">
        <x:v>3864</x:v>
      </x:c>
      <x:c r="J1310" s="8" t="s">
        <x:v>3471</x:v>
      </x:c>
      <x:c r="K1310" s="8" t="s">
        <x:v>3865</x:v>
      </x:c>
      <x:c r="L1310" s="8" t="s">
        <x:v>3865</x:v>
      </x:c>
      <x:c r="M1310" s="8"/>
      <x:c r="N1310" s="8" t="s">
        <x:v>224</x:v>
      </x:c>
      <x:c r="O1310" s="8" t="s">
        <x:v>1622</x:v>
      </x:c>
      <x:c r="P1310" s="8" t="s">
        <x:v>115</x:v>
      </x:c>
      <x:c r="Q1310" s="8" t="s">
        <x:v>45</x:v>
      </x:c>
      <x:c r="R1310" s="8" t="s">
        <x:v>3473</x:v>
      </x:c>
      <x:c r="S1310" s="8"/>
      <x:c r="T1310" s="8" t="s">
        <x:v>27</x:v>
      </x:c>
      <x:c r="U1310" s="8" t="s">
        <x:v>3474</x:v>
      </x:c>
      <x:c r="V1310" s="8" t="s">
        <x:v>3475</x:v>
      </x:c>
    </x:row>
    <x:row r="1311" ht="60" hidden="0" customHeight="1">
      <x:c r="A1311" s="8" t="s">
        <x:v>3866</x:v>
      </x:c>
      <x:c r="B1311" s="8" t="s">
        <x:v>3860</x:v>
      </x:c>
      <x:c r="C1311" s="8"/>
      <x:c r="D1311" s="8" t="s">
        <x:v>1682</x:v>
      </x:c>
      <x:c r="E1311" s="8" t="s">
        <x:v>3867</x:v>
      </x:c>
      <x:c r="F1311" s="8" t="s">
        <x:v>3862</x:v>
      </x:c>
      <x:c r="G1311" s="8" t="s">
        <x:v>109</x:v>
      </x:c>
      <x:c r="H1311" s="8" t="s">
        <x:v>3863</x:v>
      </x:c>
      <x:c r="I1311" s="8" t="s">
        <x:v>3864</x:v>
      </x:c>
      <x:c r="J1311" s="8" t="s">
        <x:v>3471</x:v>
      </x:c>
      <x:c r="K1311" s="8" t="s">
        <x:v>3865</x:v>
      </x:c>
      <x:c r="L1311" s="8" t="s">
        <x:v>3865</x:v>
      </x:c>
      <x:c r="M1311" s="8"/>
      <x:c r="N1311" s="8" t="s">
        <x:v>224</x:v>
      </x:c>
      <x:c r="O1311" s="8" t="s">
        <x:v>1622</x:v>
      </x:c>
      <x:c r="P1311" s="8" t="s">
        <x:v>115</x:v>
      </x:c>
      <x:c r="Q1311" s="8" t="s">
        <x:v>45</x:v>
      </x:c>
      <x:c r="R1311" s="8" t="s">
        <x:v>3473</x:v>
      </x:c>
      <x:c r="S1311" s="8"/>
      <x:c r="T1311" s="8" t="s">
        <x:v>27</x:v>
      </x:c>
      <x:c r="U1311" s="8" t="s">
        <x:v>3474</x:v>
      </x:c>
      <x:c r="V1311" s="8" t="s">
        <x:v>3475</x:v>
      </x:c>
    </x:row>
    <x:row r="1312" ht="60" hidden="0" customHeight="1">
      <x:c r="A1312" s="8" t="s">
        <x:v>3868</x:v>
      </x:c>
      <x:c r="B1312" s="8" t="s">
        <x:v>3860</x:v>
      </x:c>
      <x:c r="C1312" s="8"/>
      <x:c r="D1312" s="8" t="s">
        <x:v>3481</x:v>
      </x:c>
      <x:c r="E1312" s="8" t="s">
        <x:v>3869</x:v>
      </x:c>
      <x:c r="F1312" s="8" t="s">
        <x:v>3862</x:v>
      </x:c>
      <x:c r="G1312" s="8" t="s">
        <x:v>109</x:v>
      </x:c>
      <x:c r="H1312" s="8" t="s">
        <x:v>3863</x:v>
      </x:c>
      <x:c r="I1312" s="8" t="s">
        <x:v>3864</x:v>
      </x:c>
      <x:c r="J1312" s="8" t="s">
        <x:v>3471</x:v>
      </x:c>
      <x:c r="K1312" s="8" t="s">
        <x:v>3865</x:v>
      </x:c>
      <x:c r="L1312" s="8" t="s">
        <x:v>3865</x:v>
      </x:c>
      <x:c r="M1312" s="8"/>
      <x:c r="N1312" s="8" t="s">
        <x:v>224</x:v>
      </x:c>
      <x:c r="O1312" s="8" t="s">
        <x:v>1622</x:v>
      </x:c>
      <x:c r="P1312" s="8" t="s">
        <x:v>115</x:v>
      </x:c>
      <x:c r="Q1312" s="8" t="s">
        <x:v>45</x:v>
      </x:c>
      <x:c r="R1312" s="8" t="s">
        <x:v>3473</x:v>
      </x:c>
      <x:c r="S1312" s="8"/>
      <x:c r="T1312" s="8" t="s">
        <x:v>27</x:v>
      </x:c>
      <x:c r="U1312" s="8" t="s">
        <x:v>3474</x:v>
      </x:c>
      <x:c r="V1312" s="8" t="s">
        <x:v>3475</x:v>
      </x:c>
    </x:row>
    <x:row r="1313" ht="60" hidden="0" customHeight="1">
      <x:c r="A1313" s="8" t="s">
        <x:v>3870</x:v>
      </x:c>
      <x:c r="B1313" s="8" t="s">
        <x:v>3860</x:v>
      </x:c>
      <x:c r="C1313" s="8"/>
      <x:c r="D1313" s="8" t="s">
        <x:v>3683</x:v>
      </x:c>
      <x:c r="E1313" s="8" t="s">
        <x:v>3871</x:v>
      </x:c>
      <x:c r="F1313" s="8" t="s">
        <x:v>3862</x:v>
      </x:c>
      <x:c r="G1313" s="8" t="s">
        <x:v>109</x:v>
      </x:c>
      <x:c r="H1313" s="8" t="s">
        <x:v>3863</x:v>
      </x:c>
      <x:c r="I1313" s="8" t="s">
        <x:v>3864</x:v>
      </x:c>
      <x:c r="J1313" s="8" t="s">
        <x:v>3471</x:v>
      </x:c>
      <x:c r="K1313" s="8" t="s">
        <x:v>3865</x:v>
      </x:c>
      <x:c r="L1313" s="8" t="s">
        <x:v>3865</x:v>
      </x:c>
      <x:c r="M1313" s="8"/>
      <x:c r="N1313" s="8" t="s">
        <x:v>224</x:v>
      </x:c>
      <x:c r="O1313" s="8" t="s">
        <x:v>1622</x:v>
      </x:c>
      <x:c r="P1313" s="8" t="s">
        <x:v>115</x:v>
      </x:c>
      <x:c r="Q1313" s="8" t="s">
        <x:v>45</x:v>
      </x:c>
      <x:c r="R1313" s="8" t="s">
        <x:v>3473</x:v>
      </x:c>
      <x:c r="S1313" s="8"/>
      <x:c r="T1313" s="8" t="s">
        <x:v>27</x:v>
      </x:c>
      <x:c r="U1313" s="8" t="s">
        <x:v>3474</x:v>
      </x:c>
      <x:c r="V1313" s="8" t="s">
        <x:v>3475</x:v>
      </x:c>
    </x:row>
    <x:row r="1314" ht="60" hidden="0" customHeight="1">
      <x:c r="A1314" s="8" t="s">
        <x:v>3872</x:v>
      </x:c>
      <x:c r="B1314" s="8" t="s">
        <x:v>3860</x:v>
      </x:c>
      <x:c r="C1314" s="8"/>
      <x:c r="D1314" s="8" t="s">
        <x:v>3873</x:v>
      </x:c>
      <x:c r="E1314" s="8" t="s">
        <x:v>3874</x:v>
      </x:c>
      <x:c r="F1314" s="8" t="s">
        <x:v>3862</x:v>
      </x:c>
      <x:c r="G1314" s="8" t="s">
        <x:v>109</x:v>
      </x:c>
      <x:c r="H1314" s="8" t="s">
        <x:v>3863</x:v>
      </x:c>
      <x:c r="I1314" s="8" t="s">
        <x:v>3864</x:v>
      </x:c>
      <x:c r="J1314" s="8" t="s">
        <x:v>3471</x:v>
      </x:c>
      <x:c r="K1314" s="8" t="s">
        <x:v>3875</x:v>
      </x:c>
      <x:c r="L1314" s="8" t="s">
        <x:v>3875</x:v>
      </x:c>
      <x:c r="M1314" s="8"/>
      <x:c r="N1314" s="8" t="s">
        <x:v>3876</x:v>
      </x:c>
      <x:c r="O1314" s="8" t="s">
        <x:v>1622</x:v>
      </x:c>
      <x:c r="P1314" s="8" t="s">
        <x:v>115</x:v>
      </x:c>
      <x:c r="Q1314" s="8" t="s">
        <x:v>45</x:v>
      </x:c>
      <x:c r="R1314" s="8" t="s">
        <x:v>3473</x:v>
      </x:c>
      <x:c r="S1314" s="8"/>
      <x:c r="T1314" s="8" t="s">
        <x:v>27</x:v>
      </x:c>
      <x:c r="U1314" s="8" t="s">
        <x:v>3474</x:v>
      </x:c>
      <x:c r="V1314" s="8" t="s">
        <x:v>3475</x:v>
      </x:c>
    </x:row>
    <x:row r="1315" ht="60" hidden="0" customHeight="1">
      <x:c r="A1315" s="8" t="s">
        <x:v>3877</x:v>
      </x:c>
      <x:c r="B1315" s="8" t="s">
        <x:v>3860</x:v>
      </x:c>
      <x:c r="C1315" s="8"/>
      <x:c r="D1315" s="8" t="s">
        <x:v>3878</x:v>
      </x:c>
      <x:c r="E1315" s="8" t="n">
        <x:v>0.7</x:v>
      </x:c>
      <x:c r="F1315" s="8" t="s">
        <x:v>3862</x:v>
      </x:c>
      <x:c r="G1315" s="8" t="s">
        <x:v>109</x:v>
      </x:c>
      <x:c r="H1315" s="8" t="s">
        <x:v>3863</x:v>
      </x:c>
      <x:c r="I1315" s="8" t="s">
        <x:v>3864</x:v>
      </x:c>
      <x:c r="J1315" s="8" t="s">
        <x:v>3471</x:v>
      </x:c>
      <x:c r="K1315" s="8" t="s">
        <x:v>3875</x:v>
      </x:c>
      <x:c r="L1315" s="8" t="s">
        <x:v>3875</x:v>
      </x:c>
      <x:c r="M1315" s="8"/>
      <x:c r="N1315" s="8" t="s">
        <x:v>3876</x:v>
      </x:c>
      <x:c r="O1315" s="8" t="s">
        <x:v>1622</x:v>
      </x:c>
      <x:c r="P1315" s="8" t="s">
        <x:v>115</x:v>
      </x:c>
      <x:c r="Q1315" s="8" t="s">
        <x:v>45</x:v>
      </x:c>
      <x:c r="R1315" s="8" t="s">
        <x:v>3473</x:v>
      </x:c>
      <x:c r="S1315" s="8"/>
      <x:c r="T1315" s="8" t="s">
        <x:v>27</x:v>
      </x:c>
      <x:c r="U1315" s="8" t="s">
        <x:v>3474</x:v>
      </x:c>
      <x:c r="V1315" s="8" t="s">
        <x:v>3475</x:v>
      </x:c>
    </x:row>
    <x:row r="1316" ht="60" hidden="0" customHeight="1">
      <x:c r="A1316" s="8" t="s">
        <x:v>3879</x:v>
      </x:c>
      <x:c r="B1316" s="8" t="s">
        <x:v>3860</x:v>
      </x:c>
      <x:c r="C1316" s="8"/>
      <x:c r="D1316" s="8" t="s">
        <x:v>3880</x:v>
      </x:c>
      <x:c r="E1316" s="8" t="s">
        <x:v>3881</x:v>
      </x:c>
      <x:c r="F1316" s="8" t="s">
        <x:v>3862</x:v>
      </x:c>
      <x:c r="G1316" s="8" t="s">
        <x:v>109</x:v>
      </x:c>
      <x:c r="H1316" s="8" t="s">
        <x:v>3863</x:v>
      </x:c>
      <x:c r="I1316" s="8" t="s">
        <x:v>3864</x:v>
      </x:c>
      <x:c r="J1316" s="8" t="s">
        <x:v>3471</x:v>
      </x:c>
      <x:c r="K1316" s="8" t="s">
        <x:v>3875</x:v>
      </x:c>
      <x:c r="L1316" s="8" t="s">
        <x:v>3875</x:v>
      </x:c>
      <x:c r="M1316" s="8"/>
      <x:c r="N1316" s="8" t="s">
        <x:v>3876</x:v>
      </x:c>
      <x:c r="O1316" s="8" t="s">
        <x:v>1622</x:v>
      </x:c>
      <x:c r="P1316" s="8" t="s">
        <x:v>115</x:v>
      </x:c>
      <x:c r="Q1316" s="8" t="s">
        <x:v>45</x:v>
      </x:c>
      <x:c r="R1316" s="8" t="s">
        <x:v>3473</x:v>
      </x:c>
      <x:c r="S1316" s="8"/>
      <x:c r="T1316" s="8" t="s">
        <x:v>27</x:v>
      </x:c>
      <x:c r="U1316" s="8" t="s">
        <x:v>3474</x:v>
      </x:c>
      <x:c r="V1316" s="8" t="s">
        <x:v>3475</x:v>
      </x:c>
    </x:row>
    <x:row r="1317" ht="60" hidden="0" customHeight="1">
      <x:c r="A1317" s="8" t="s">
        <x:v>3882</x:v>
      </x:c>
      <x:c r="B1317" s="8" t="s">
        <x:v>3860</x:v>
      </x:c>
      <x:c r="C1317" s="8"/>
      <x:c r="D1317" s="8" t="s">
        <x:v>3883</x:v>
      </x:c>
      <x:c r="E1317" s="8" t="s">
        <x:v>3884</x:v>
      </x:c>
      <x:c r="F1317" s="8" t="s">
        <x:v>3862</x:v>
      </x:c>
      <x:c r="G1317" s="8" t="s">
        <x:v>109</x:v>
      </x:c>
      <x:c r="H1317" s="8" t="s">
        <x:v>3863</x:v>
      </x:c>
      <x:c r="I1317" s="8" t="s">
        <x:v>3864</x:v>
      </x:c>
      <x:c r="J1317" s="8" t="s">
        <x:v>3471</x:v>
      </x:c>
      <x:c r="K1317" s="8" t="s">
        <x:v>3875</x:v>
      </x:c>
      <x:c r="L1317" s="8" t="s">
        <x:v>3875</x:v>
      </x:c>
      <x:c r="M1317" s="8"/>
      <x:c r="N1317" s="8" t="s">
        <x:v>3876</x:v>
      </x:c>
      <x:c r="O1317" s="8" t="s">
        <x:v>1622</x:v>
      </x:c>
      <x:c r="P1317" s="8" t="s">
        <x:v>115</x:v>
      </x:c>
      <x:c r="Q1317" s="8" t="s">
        <x:v>45</x:v>
      </x:c>
      <x:c r="R1317" s="8" t="s">
        <x:v>3473</x:v>
      </x:c>
      <x:c r="S1317" s="8"/>
      <x:c r="T1317" s="8" t="s">
        <x:v>27</x:v>
      </x:c>
      <x:c r="U1317" s="8" t="s">
        <x:v>3474</x:v>
      </x:c>
      <x:c r="V1317" s="8" t="s">
        <x:v>3475</x:v>
      </x:c>
    </x:row>
    <x:row r="1318" ht="60" hidden="0" customHeight="1">
      <x:c r="A1318" s="8" t="s">
        <x:v>3885</x:v>
      </x:c>
      <x:c r="B1318" s="8" t="s">
        <x:v>3860</x:v>
      </x:c>
      <x:c r="C1318" s="8"/>
      <x:c r="D1318" s="8" t="s">
        <x:v>3886</x:v>
      </x:c>
      <x:c r="E1318" s="8" t="s">
        <x:v>3887</x:v>
      </x:c>
      <x:c r="F1318" s="8" t="s">
        <x:v>3862</x:v>
      </x:c>
      <x:c r="G1318" s="8" t="s">
        <x:v>109</x:v>
      </x:c>
      <x:c r="H1318" s="8" t="s">
        <x:v>3863</x:v>
      </x:c>
      <x:c r="I1318" s="8" t="s">
        <x:v>3864</x:v>
      </x:c>
      <x:c r="J1318" s="8" t="s">
        <x:v>3471</x:v>
      </x:c>
      <x:c r="K1318" s="8" t="s">
        <x:v>3875</x:v>
      </x:c>
      <x:c r="L1318" s="8" t="s">
        <x:v>3875</x:v>
      </x:c>
      <x:c r="M1318" s="8"/>
      <x:c r="N1318" s="8" t="s">
        <x:v>3876</x:v>
      </x:c>
      <x:c r="O1318" s="8" t="s">
        <x:v>1622</x:v>
      </x:c>
      <x:c r="P1318" s="8" t="s">
        <x:v>115</x:v>
      </x:c>
      <x:c r="Q1318" s="8" t="s">
        <x:v>45</x:v>
      </x:c>
      <x:c r="R1318" s="8" t="s">
        <x:v>3473</x:v>
      </x:c>
      <x:c r="S1318" s="8"/>
      <x:c r="T1318" s="8" t="s">
        <x:v>27</x:v>
      </x:c>
      <x:c r="U1318" s="8" t="s">
        <x:v>3474</x:v>
      </x:c>
      <x:c r="V1318" s="8" t="s">
        <x:v>3475</x:v>
      </x:c>
    </x:row>
    <x:row r="1319" ht="60" hidden="0" customHeight="1">
      <x:c r="A1319" s="8" t="s">
        <x:v>3888</x:v>
      </x:c>
      <x:c r="B1319" s="8" t="s">
        <x:v>3860</x:v>
      </x:c>
      <x:c r="C1319" s="8"/>
      <x:c r="D1319" s="8" t="s">
        <x:v>3889</x:v>
      </x:c>
      <x:c r="E1319" s="8" t="n">
        <x:v>16</x:v>
      </x:c>
      <x:c r="F1319" s="8" t="s">
        <x:v>3862</x:v>
      </x:c>
      <x:c r="G1319" s="8" t="s">
        <x:v>109</x:v>
      </x:c>
      <x:c r="H1319" s="8" t="s">
        <x:v>3863</x:v>
      </x:c>
      <x:c r="I1319" s="8" t="s">
        <x:v>3864</x:v>
      </x:c>
      <x:c r="J1319" s="8" t="s">
        <x:v>3471</x:v>
      </x:c>
      <x:c r="K1319" s="8" t="s">
        <x:v>3890</x:v>
      </x:c>
      <x:c r="L1319" s="8" t="s">
        <x:v>3890</x:v>
      </x:c>
      <x:c r="M1319" s="8"/>
      <x:c r="N1319" s="8" t="s">
        <x:v>3891</x:v>
      </x:c>
      <x:c r="O1319" s="8" t="s">
        <x:v>1622</x:v>
      </x:c>
      <x:c r="P1319" s="8" t="s">
        <x:v>115</x:v>
      </x:c>
      <x:c r="Q1319" s="8" t="s">
        <x:v>45</x:v>
      </x:c>
      <x:c r="R1319" s="8" t="s">
        <x:v>3473</x:v>
      </x:c>
      <x:c r="S1319" s="8"/>
      <x:c r="T1319" s="8" t="s">
        <x:v>27</x:v>
      </x:c>
      <x:c r="U1319" s="8" t="s">
        <x:v>3474</x:v>
      </x:c>
      <x:c r="V1319" s="8" t="s">
        <x:v>3475</x:v>
      </x:c>
    </x:row>
    <x:row r="1320" ht="60" hidden="0" customHeight="1">
      <x:c r="A1320" s="8" t="s">
        <x:v>3892</x:v>
      </x:c>
      <x:c r="B1320" s="8" t="s">
        <x:v>3860</x:v>
      </x:c>
      <x:c r="C1320" s="8"/>
      <x:c r="D1320" s="8" t="s">
        <x:v>3893</x:v>
      </x:c>
      <x:c r="E1320" s="8" t="n">
        <x:v>128</x:v>
      </x:c>
      <x:c r="F1320" s="8" t="s">
        <x:v>3862</x:v>
      </x:c>
      <x:c r="G1320" s="8" t="s">
        <x:v>109</x:v>
      </x:c>
      <x:c r="H1320" s="8" t="s">
        <x:v>3863</x:v>
      </x:c>
      <x:c r="I1320" s="8" t="s">
        <x:v>3864</x:v>
      </x:c>
      <x:c r="J1320" s="8" t="s">
        <x:v>3471</x:v>
      </x:c>
      <x:c r="K1320" s="8" t="s">
        <x:v>3890</x:v>
      </x:c>
      <x:c r="L1320" s="8" t="s">
        <x:v>3890</x:v>
      </x:c>
      <x:c r="M1320" s="8"/>
      <x:c r="N1320" s="8" t="s">
        <x:v>3891</x:v>
      </x:c>
      <x:c r="O1320" s="8" t="s">
        <x:v>1622</x:v>
      </x:c>
      <x:c r="P1320" s="8" t="s">
        <x:v>115</x:v>
      </x:c>
      <x:c r="Q1320" s="8" t="s">
        <x:v>45</x:v>
      </x:c>
      <x:c r="R1320" s="8" t="s">
        <x:v>3473</x:v>
      </x:c>
      <x:c r="S1320" s="8"/>
      <x:c r="T1320" s="8" t="s">
        <x:v>27</x:v>
      </x:c>
      <x:c r="U1320" s="8" t="s">
        <x:v>3474</x:v>
      </x:c>
      <x:c r="V1320" s="8" t="s">
        <x:v>3475</x:v>
      </x:c>
    </x:row>
    <x:row r="1321" ht="60" hidden="0" customHeight="1">
      <x:c r="A1321" s="8" t="s">
        <x:v>3894</x:v>
      </x:c>
      <x:c r="B1321" s="8" t="s">
        <x:v>3860</x:v>
      </x:c>
      <x:c r="C1321" s="8"/>
      <x:c r="D1321" s="8" t="s">
        <x:v>2199</x:v>
      </x:c>
      <x:c r="E1321" s="8" t="n">
        <x:v>0.3</x:v>
      </x:c>
      <x:c r="F1321" s="8" t="s">
        <x:v>3862</x:v>
      </x:c>
      <x:c r="G1321" s="8" t="s">
        <x:v>109</x:v>
      </x:c>
      <x:c r="H1321" s="8" t="s">
        <x:v>3863</x:v>
      </x:c>
      <x:c r="I1321" s="8" t="s">
        <x:v>3864</x:v>
      </x:c>
      <x:c r="J1321" s="8" t="s">
        <x:v>3471</x:v>
      </x:c>
      <x:c r="K1321" s="8" t="s">
        <x:v>3890</x:v>
      </x:c>
      <x:c r="L1321" s="8" t="s">
        <x:v>3890</x:v>
      </x:c>
      <x:c r="M1321" s="8"/>
      <x:c r="N1321" s="8" t="s">
        <x:v>3891</x:v>
      </x:c>
      <x:c r="O1321" s="8" t="s">
        <x:v>1622</x:v>
      </x:c>
      <x:c r="P1321" s="8" t="s">
        <x:v>115</x:v>
      </x:c>
      <x:c r="Q1321" s="8" t="s">
        <x:v>45</x:v>
      </x:c>
      <x:c r="R1321" s="8" t="s">
        <x:v>3473</x:v>
      </x:c>
      <x:c r="S1321" s="8"/>
      <x:c r="T1321" s="8" t="s">
        <x:v>27</x:v>
      </x:c>
      <x:c r="U1321" s="8" t="s">
        <x:v>3474</x:v>
      </x:c>
      <x:c r="V1321" s="8" t="s">
        <x:v>3475</x:v>
      </x:c>
    </x:row>
    <x:row r="1322" ht="60" hidden="0" customHeight="1">
      <x:c r="A1322" s="8" t="s">
        <x:v>3895</x:v>
      </x:c>
      <x:c r="B1322" s="8" t="s">
        <x:v>3860</x:v>
      </x:c>
      <x:c r="C1322" s="8"/>
      <x:c r="D1322" s="8" t="s">
        <x:v>2040</x:v>
      </x:c>
      <x:c r="E1322" s="8" t="n">
        <x:v>0.3</x:v>
      </x:c>
      <x:c r="F1322" s="8" t="s">
        <x:v>3862</x:v>
      </x:c>
      <x:c r="G1322" s="8" t="s">
        <x:v>109</x:v>
      </x:c>
      <x:c r="H1322" s="8" t="s">
        <x:v>3863</x:v>
      </x:c>
      <x:c r="I1322" s="8" t="s">
        <x:v>3864</x:v>
      </x:c>
      <x:c r="J1322" s="8" t="s">
        <x:v>3471</x:v>
      </x:c>
      <x:c r="K1322" s="8" t="s">
        <x:v>3890</x:v>
      </x:c>
      <x:c r="L1322" s="8" t="s">
        <x:v>3890</x:v>
      </x:c>
      <x:c r="M1322" s="8"/>
      <x:c r="N1322" s="8" t="s">
        <x:v>3891</x:v>
      </x:c>
      <x:c r="O1322" s="8" t="s">
        <x:v>1622</x:v>
      </x:c>
      <x:c r="P1322" s="8" t="s">
        <x:v>115</x:v>
      </x:c>
      <x:c r="Q1322" s="8" t="s">
        <x:v>45</x:v>
      </x:c>
      <x:c r="R1322" s="8" t="s">
        <x:v>3473</x:v>
      </x:c>
      <x:c r="S1322" s="8"/>
      <x:c r="T1322" s="8" t="s">
        <x:v>27</x:v>
      </x:c>
      <x:c r="U1322" s="8" t="s">
        <x:v>3474</x:v>
      </x:c>
      <x:c r="V1322" s="8" t="s">
        <x:v>3475</x:v>
      </x:c>
    </x:row>
    <x:row r="1323" ht="60" hidden="0" customHeight="1">
      <x:c r="A1323" s="8" t="s">
        <x:v>3896</x:v>
      </x:c>
      <x:c r="B1323" s="8" t="s">
        <x:v>3860</x:v>
      </x:c>
      <x:c r="C1323" s="8"/>
      <x:c r="D1323" s="8" t="s">
        <x:v>3897</x:v>
      </x:c>
      <x:c r="E1323" s="8" t="n">
        <x:v>3</x:v>
      </x:c>
      <x:c r="F1323" s="8" t="s">
        <x:v>3862</x:v>
      </x:c>
      <x:c r="G1323" s="8" t="s">
        <x:v>109</x:v>
      </x:c>
      <x:c r="H1323" s="8" t="s">
        <x:v>3863</x:v>
      </x:c>
      <x:c r="I1323" s="8" t="s">
        <x:v>3864</x:v>
      </x:c>
      <x:c r="J1323" s="8" t="s">
        <x:v>3471</x:v>
      </x:c>
      <x:c r="K1323" s="8" t="s">
        <x:v>3890</x:v>
      </x:c>
      <x:c r="L1323" s="8" t="s">
        <x:v>3890</x:v>
      </x:c>
      <x:c r="M1323" s="8"/>
      <x:c r="N1323" s="8" t="s">
        <x:v>3891</x:v>
      </x:c>
      <x:c r="O1323" s="8" t="s">
        <x:v>1622</x:v>
      </x:c>
      <x:c r="P1323" s="8" t="s">
        <x:v>115</x:v>
      </x:c>
      <x:c r="Q1323" s="8" t="s">
        <x:v>45</x:v>
      </x:c>
      <x:c r="R1323" s="8" t="s">
        <x:v>3473</x:v>
      </x:c>
      <x:c r="S1323" s="8"/>
      <x:c r="T1323" s="8" t="s">
        <x:v>27</x:v>
      </x:c>
      <x:c r="U1323" s="8" t="s">
        <x:v>3474</x:v>
      </x:c>
      <x:c r="V1323" s="8" t="s">
        <x:v>3475</x:v>
      </x:c>
    </x:row>
    <x:row r="1324" ht="60" hidden="0" customHeight="1">
      <x:c r="A1324" s="8" t="s">
        <x:v>3898</x:v>
      </x:c>
      <x:c r="B1324" s="8" t="s">
        <x:v>3860</x:v>
      </x:c>
      <x:c r="C1324" s="8"/>
      <x:c r="D1324" s="8" t="s">
        <x:v>1338</x:v>
      </x:c>
      <x:c r="E1324" s="8" t="n">
        <x:v>8</x:v>
      </x:c>
      <x:c r="F1324" s="8" t="s">
        <x:v>3862</x:v>
      </x:c>
      <x:c r="G1324" s="8" t="s">
        <x:v>109</x:v>
      </x:c>
      <x:c r="H1324" s="8" t="s">
        <x:v>3863</x:v>
      </x:c>
      <x:c r="I1324" s="8" t="s">
        <x:v>3864</x:v>
      </x:c>
      <x:c r="J1324" s="8" t="s">
        <x:v>3471</x:v>
      </x:c>
      <x:c r="K1324" s="8" t="s">
        <x:v>3890</x:v>
      </x:c>
      <x:c r="L1324" s="8" t="s">
        <x:v>3890</x:v>
      </x:c>
      <x:c r="M1324" s="8"/>
      <x:c r="N1324" s="8" t="s">
        <x:v>3891</x:v>
      </x:c>
      <x:c r="O1324" s="8" t="s">
        <x:v>1622</x:v>
      </x:c>
      <x:c r="P1324" s="8" t="s">
        <x:v>115</x:v>
      </x:c>
      <x:c r="Q1324" s="8" t="s">
        <x:v>45</x:v>
      </x:c>
      <x:c r="R1324" s="8" t="s">
        <x:v>3473</x:v>
      </x:c>
      <x:c r="S1324" s="8"/>
      <x:c r="T1324" s="8" t="s">
        <x:v>27</x:v>
      </x:c>
      <x:c r="U1324" s="8" t="s">
        <x:v>3474</x:v>
      </x:c>
      <x:c r="V1324" s="8" t="s">
        <x:v>3475</x:v>
      </x:c>
    </x:row>
    <x:row r="1325" ht="60" hidden="0" customHeight="1">
      <x:c r="A1325" s="8" t="s">
        <x:v>3899</x:v>
      </x:c>
      <x:c r="B1325" s="8" t="s">
        <x:v>3860</x:v>
      </x:c>
      <x:c r="C1325" s="8"/>
      <x:c r="D1325" s="8" t="s">
        <x:v>1889</x:v>
      </x:c>
      <x:c r="E1325" s="8" t="s">
        <x:v>3900</x:v>
      </x:c>
      <x:c r="F1325" s="8" t="s">
        <x:v>3862</x:v>
      </x:c>
      <x:c r="G1325" s="8" t="s">
        <x:v>109</x:v>
      </x:c>
      <x:c r="H1325" s="8" t="s">
        <x:v>3863</x:v>
      </x:c>
      <x:c r="I1325" s="8" t="s">
        <x:v>3864</x:v>
      </x:c>
      <x:c r="J1325" s="8" t="s">
        <x:v>3471</x:v>
      </x:c>
      <x:c r="K1325" s="8" t="s">
        <x:v>3890</x:v>
      </x:c>
      <x:c r="L1325" s="8" t="s">
        <x:v>3890</x:v>
      </x:c>
      <x:c r="M1325" s="8"/>
      <x:c r="N1325" s="8" t="s">
        <x:v>3891</x:v>
      </x:c>
      <x:c r="O1325" s="8" t="s">
        <x:v>1622</x:v>
      </x:c>
      <x:c r="P1325" s="8" t="s">
        <x:v>115</x:v>
      </x:c>
      <x:c r="Q1325" s="8" t="s">
        <x:v>45</x:v>
      </x:c>
      <x:c r="R1325" s="8" t="s">
        <x:v>3473</x:v>
      </x:c>
      <x:c r="S1325" s="8"/>
      <x:c r="T1325" s="8" t="s">
        <x:v>27</x:v>
      </x:c>
      <x:c r="U1325" s="8" t="s">
        <x:v>3474</x:v>
      </x:c>
      <x:c r="V1325" s="8" t="s">
        <x:v>3475</x:v>
      </x:c>
    </x:row>
    <x:row r="1326" ht="60" hidden="0" customHeight="1">
      <x:c r="A1326" s="8" t="s">
        <x:v>3901</x:v>
      </x:c>
      <x:c r="B1326" s="8" t="s">
        <x:v>3860</x:v>
      </x:c>
      <x:c r="C1326" s="8"/>
      <x:c r="D1326" s="8" t="s">
        <x:v>167</x:v>
      </x:c>
      <x:c r="E1326" s="8" t="n">
        <x:v>4</x:v>
      </x:c>
      <x:c r="F1326" s="8" t="s">
        <x:v>3862</x:v>
      </x:c>
      <x:c r="G1326" s="8" t="s">
        <x:v>109</x:v>
      </x:c>
      <x:c r="H1326" s="8" t="s">
        <x:v>3863</x:v>
      </x:c>
      <x:c r="I1326" s="8" t="s">
        <x:v>3864</x:v>
      </x:c>
      <x:c r="J1326" s="8" t="s">
        <x:v>3471</x:v>
      </x:c>
      <x:c r="K1326" s="8" t="s">
        <x:v>3890</x:v>
      </x:c>
      <x:c r="L1326" s="8" t="s">
        <x:v>3890</x:v>
      </x:c>
      <x:c r="M1326" s="8"/>
      <x:c r="N1326" s="8" t="s">
        <x:v>3891</x:v>
      </x:c>
      <x:c r="O1326" s="8" t="s">
        <x:v>1622</x:v>
      </x:c>
      <x:c r="P1326" s="8" t="s">
        <x:v>115</x:v>
      </x:c>
      <x:c r="Q1326" s="8" t="s">
        <x:v>45</x:v>
      </x:c>
      <x:c r="R1326" s="8" t="s">
        <x:v>3473</x:v>
      </x:c>
      <x:c r="S1326" s="8"/>
      <x:c r="T1326" s="8" t="s">
        <x:v>27</x:v>
      </x:c>
      <x:c r="U1326" s="8" t="s">
        <x:v>3474</x:v>
      </x:c>
      <x:c r="V1326" s="8" t="s">
        <x:v>3475</x:v>
      </x:c>
    </x:row>
    <x:row r="1327" ht="60" hidden="0" customHeight="1">
      <x:c r="A1327" s="8" t="s">
        <x:v>3902</x:v>
      </x:c>
      <x:c r="B1327" s="8" t="s">
        <x:v>3860</x:v>
      </x:c>
      <x:c r="C1327" s="8"/>
      <x:c r="D1327" s="8" t="s">
        <x:v>318</x:v>
      </x:c>
      <x:c r="E1327" s="8" t="n">
        <x:v>0.0001</x:v>
      </x:c>
      <x:c r="F1327" s="8" t="s">
        <x:v>3862</x:v>
      </x:c>
      <x:c r="G1327" s="8" t="s">
        <x:v>109</x:v>
      </x:c>
      <x:c r="H1327" s="8" t="s">
        <x:v>3863</x:v>
      </x:c>
      <x:c r="I1327" s="8" t="s">
        <x:v>3864</x:v>
      </x:c>
      <x:c r="J1327" s="8" t="s">
        <x:v>3471</x:v>
      </x:c>
      <x:c r="K1327" s="8" t="s">
        <x:v>3890</x:v>
      </x:c>
      <x:c r="L1327" s="8" t="s">
        <x:v>3890</x:v>
      </x:c>
      <x:c r="M1327" s="8"/>
      <x:c r="N1327" s="8" t="s">
        <x:v>3891</x:v>
      </x:c>
      <x:c r="O1327" s="8" t="s">
        <x:v>1622</x:v>
      </x:c>
      <x:c r="P1327" s="8" t="s">
        <x:v>115</x:v>
      </x:c>
      <x:c r="Q1327" s="8" t="s">
        <x:v>45</x:v>
      </x:c>
      <x:c r="R1327" s="8" t="s">
        <x:v>3473</x:v>
      </x:c>
      <x:c r="S1327" s="8"/>
      <x:c r="T1327" s="8" t="s">
        <x:v>27</x:v>
      </x:c>
      <x:c r="U1327" s="8" t="s">
        <x:v>3474</x:v>
      </x:c>
      <x:c r="V1327" s="8" t="s">
        <x:v>3475</x:v>
      </x:c>
    </x:row>
    <x:row r="1328" ht="60" hidden="0" customHeight="1">
      <x:c r="A1328" s="8" t="s">
        <x:v>3903</x:v>
      </x:c>
      <x:c r="B1328" s="8" t="s">
        <x:v>3860</x:v>
      </x:c>
      <x:c r="C1328" s="8"/>
      <x:c r="D1328" s="8" t="s">
        <x:v>1652</x:v>
      </x:c>
      <x:c r="E1328" s="8" t="s">
        <x:v>3904</x:v>
      </x:c>
      <x:c r="F1328" s="8" t="s">
        <x:v>3862</x:v>
      </x:c>
      <x:c r="G1328" s="8" t="s">
        <x:v>109</x:v>
      </x:c>
      <x:c r="H1328" s="8" t="s">
        <x:v>3863</x:v>
      </x:c>
      <x:c r="I1328" s="8" t="s">
        <x:v>3864</x:v>
      </x:c>
      <x:c r="J1328" s="8" t="s">
        <x:v>3471</x:v>
      </x:c>
      <x:c r="K1328" s="8" t="s">
        <x:v>3890</x:v>
      </x:c>
      <x:c r="L1328" s="8" t="s">
        <x:v>3890</x:v>
      </x:c>
      <x:c r="M1328" s="8"/>
      <x:c r="N1328" s="8" t="s">
        <x:v>3891</x:v>
      </x:c>
      <x:c r="O1328" s="8" t="s">
        <x:v>1622</x:v>
      </x:c>
      <x:c r="P1328" s="8" t="s">
        <x:v>115</x:v>
      </x:c>
      <x:c r="Q1328" s="8" t="s">
        <x:v>45</x:v>
      </x:c>
      <x:c r="R1328" s="8" t="s">
        <x:v>3473</x:v>
      </x:c>
      <x:c r="S1328" s="8"/>
      <x:c r="T1328" s="8" t="s">
        <x:v>27</x:v>
      </x:c>
      <x:c r="U1328" s="8" t="s">
        <x:v>3474</x:v>
      </x:c>
      <x:c r="V1328" s="8" t="s">
        <x:v>3475</x:v>
      </x:c>
    </x:row>
    <x:row r="1329" ht="60" hidden="0" customHeight="1">
      <x:c r="A1329" s="8" t="s">
        <x:v>3905</x:v>
      </x:c>
      <x:c r="B1329" s="8" t="s">
        <x:v>3860</x:v>
      </x:c>
      <x:c r="C1329" s="8"/>
      <x:c r="D1329" s="8" t="s">
        <x:v>3906</x:v>
      </x:c>
      <x:c r="E1329" s="8" t="n">
        <x:v>0.1</x:v>
      </x:c>
      <x:c r="F1329" s="8" t="s">
        <x:v>3862</x:v>
      </x:c>
      <x:c r="G1329" s="8" t="s">
        <x:v>109</x:v>
      </x:c>
      <x:c r="H1329" s="8" t="s">
        <x:v>3863</x:v>
      </x:c>
      <x:c r="I1329" s="8" t="s">
        <x:v>3864</x:v>
      </x:c>
      <x:c r="J1329" s="8" t="s">
        <x:v>3471</x:v>
      </x:c>
      <x:c r="K1329" s="8" t="s">
        <x:v>3890</x:v>
      </x:c>
      <x:c r="L1329" s="8" t="s">
        <x:v>3890</x:v>
      </x:c>
      <x:c r="M1329" s="8"/>
      <x:c r="N1329" s="8" t="s">
        <x:v>3891</x:v>
      </x:c>
      <x:c r="O1329" s="8" t="s">
        <x:v>1622</x:v>
      </x:c>
      <x:c r="P1329" s="8" t="s">
        <x:v>115</x:v>
      </x:c>
      <x:c r="Q1329" s="8" t="s">
        <x:v>45</x:v>
      </x:c>
      <x:c r="R1329" s="8" t="s">
        <x:v>3473</x:v>
      </x:c>
      <x:c r="S1329" s="8"/>
      <x:c r="T1329" s="8" t="s">
        <x:v>27</x:v>
      </x:c>
      <x:c r="U1329" s="8" t="s">
        <x:v>3474</x:v>
      </x:c>
      <x:c r="V1329" s="8" t="s">
        <x:v>3475</x:v>
      </x:c>
    </x:row>
    <x:row r="1330" ht="60" hidden="0" customHeight="1">
      <x:c r="A1330" s="8" t="s">
        <x:v>3907</x:v>
      </x:c>
      <x:c r="B1330" s="8" t="s">
        <x:v>3860</x:v>
      </x:c>
      <x:c r="C1330" s="8"/>
      <x:c r="D1330" s="8" t="s">
        <x:v>3908</x:v>
      </x:c>
      <x:c r="E1330" s="8" t="n">
        <x:v>5</x:v>
      </x:c>
      <x:c r="F1330" s="8" t="s">
        <x:v>3862</x:v>
      </x:c>
      <x:c r="G1330" s="8" t="s">
        <x:v>109</x:v>
      </x:c>
      <x:c r="H1330" s="8" t="s">
        <x:v>3863</x:v>
      </x:c>
      <x:c r="I1330" s="8" t="s">
        <x:v>3864</x:v>
      </x:c>
      <x:c r="J1330" s="8" t="s">
        <x:v>3471</x:v>
      </x:c>
      <x:c r="K1330" s="8" t="s">
        <x:v>3890</x:v>
      </x:c>
      <x:c r="L1330" s="8" t="s">
        <x:v>3890</x:v>
      </x:c>
      <x:c r="M1330" s="8"/>
      <x:c r="N1330" s="8" t="s">
        <x:v>3891</x:v>
      </x:c>
      <x:c r="O1330" s="8" t="s">
        <x:v>1622</x:v>
      </x:c>
      <x:c r="P1330" s="8" t="s">
        <x:v>115</x:v>
      </x:c>
      <x:c r="Q1330" s="8" t="s">
        <x:v>45</x:v>
      </x:c>
      <x:c r="R1330" s="8" t="s">
        <x:v>3473</x:v>
      </x:c>
      <x:c r="S1330" s="8" t="s">
        <x:v>990</x:v>
      </x:c>
      <x:c r="T1330" s="8" t="s">
        <x:v>27</x:v>
      </x:c>
      <x:c r="U1330" s="8" t="s">
        <x:v>3474</x:v>
      </x:c>
      <x:c r="V1330" s="8" t="s">
        <x:v>3475</x:v>
      </x:c>
    </x:row>
    <x:row r="1331" ht="60" hidden="0" customHeight="1">
      <x:c r="A1331" s="8" t="s">
        <x:v>3909</x:v>
      </x:c>
      <x:c r="B1331" s="8" t="s">
        <x:v>3860</x:v>
      </x:c>
      <x:c r="C1331" s="8"/>
      <x:c r="D1331" s="8" t="s">
        <x:v>3707</x:v>
      </x:c>
      <x:c r="E1331" s="8" t="n">
        <x:v>150</x:v>
      </x:c>
      <x:c r="F1331" s="8" t="s">
        <x:v>3862</x:v>
      </x:c>
      <x:c r="G1331" s="8" t="s">
        <x:v>109</x:v>
      </x:c>
      <x:c r="H1331" s="8" t="s">
        <x:v>3863</x:v>
      </x:c>
      <x:c r="I1331" s="8" t="s">
        <x:v>3864</x:v>
      </x:c>
      <x:c r="J1331" s="8" t="s">
        <x:v>3471</x:v>
      </x:c>
      <x:c r="K1331" s="8" t="s">
        <x:v>3890</x:v>
      </x:c>
      <x:c r="L1331" s="8" t="s">
        <x:v>3890</x:v>
      </x:c>
      <x:c r="M1331" s="8"/>
      <x:c r="N1331" s="8" t="s">
        <x:v>3891</x:v>
      </x:c>
      <x:c r="O1331" s="8" t="s">
        <x:v>1622</x:v>
      </x:c>
      <x:c r="P1331" s="8" t="s">
        <x:v>115</x:v>
      </x:c>
      <x:c r="Q1331" s="8" t="s">
        <x:v>45</x:v>
      </x:c>
      <x:c r="R1331" s="8" t="s">
        <x:v>3473</x:v>
      </x:c>
      <x:c r="S1331" s="8"/>
      <x:c r="T1331" s="8" t="s">
        <x:v>27</x:v>
      </x:c>
      <x:c r="U1331" s="8" t="s">
        <x:v>3474</x:v>
      </x:c>
      <x:c r="V1331" s="8" t="s">
        <x:v>3475</x:v>
      </x:c>
    </x:row>
    <x:row r="1332" ht="60" hidden="0" customHeight="1">
      <x:c r="A1332" s="8" t="s">
        <x:v>3910</x:v>
      </x:c>
      <x:c r="B1332" s="8" t="s">
        <x:v>3860</x:v>
      </x:c>
      <x:c r="C1332" s="8"/>
      <x:c r="D1332" s="8" t="s">
        <x:v>3911</x:v>
      </x:c>
      <x:c r="E1332" s="8" t="n">
        <x:v>10</x:v>
      </x:c>
      <x:c r="F1332" s="8" t="s">
        <x:v>3862</x:v>
      </x:c>
      <x:c r="G1332" s="8" t="s">
        <x:v>109</x:v>
      </x:c>
      <x:c r="H1332" s="8" t="s">
        <x:v>3863</x:v>
      </x:c>
      <x:c r="I1332" s="8" t="s">
        <x:v>3864</x:v>
      </x:c>
      <x:c r="J1332" s="8" t="s">
        <x:v>3471</x:v>
      </x:c>
      <x:c r="K1332" s="8" t="s">
        <x:v>3890</x:v>
      </x:c>
      <x:c r="L1332" s="8" t="s">
        <x:v>3890</x:v>
      </x:c>
      <x:c r="M1332" s="8"/>
      <x:c r="N1332" s="8" t="s">
        <x:v>3891</x:v>
      </x:c>
      <x:c r="O1332" s="8" t="s">
        <x:v>1622</x:v>
      </x:c>
      <x:c r="P1332" s="8" t="s">
        <x:v>115</x:v>
      </x:c>
      <x:c r="Q1332" s="8" t="s">
        <x:v>45</x:v>
      </x:c>
      <x:c r="R1332" s="8" t="s">
        <x:v>3473</x:v>
      </x:c>
      <x:c r="S1332" s="8" t="s">
        <x:v>990</x:v>
      </x:c>
      <x:c r="T1332" s="8" t="s">
        <x:v>27</x:v>
      </x:c>
      <x:c r="U1332" s="8" t="s">
        <x:v>3474</x:v>
      </x:c>
      <x:c r="V1332" s="8" t="s">
        <x:v>3475</x:v>
      </x:c>
    </x:row>
    <x:row r="1333" ht="60" hidden="0" customHeight="1">
      <x:c r="A1333" s="8" t="s">
        <x:v>3912</x:v>
      </x:c>
      <x:c r="B1333" s="8" t="s">
        <x:v>3860</x:v>
      </x:c>
      <x:c r="C1333" s="8"/>
      <x:c r="D1333" s="8" t="s">
        <x:v>3703</x:v>
      </x:c>
      <x:c r="E1333" s="8" t="n">
        <x:v>3273809</x:v>
      </x:c>
      <x:c r="F1333" s="8" t="s">
        <x:v>3862</x:v>
      </x:c>
      <x:c r="G1333" s="8" t="s">
        <x:v>109</x:v>
      </x:c>
      <x:c r="H1333" s="8" t="s">
        <x:v>3863</x:v>
      </x:c>
      <x:c r="I1333" s="8" t="s">
        <x:v>3864</x:v>
      </x:c>
      <x:c r="J1333" s="8" t="s">
        <x:v>3471</x:v>
      </x:c>
      <x:c r="K1333" s="8" t="s">
        <x:v>3890</x:v>
      </x:c>
      <x:c r="L1333" s="8" t="s">
        <x:v>3890</x:v>
      </x:c>
      <x:c r="M1333" s="8"/>
      <x:c r="N1333" s="8" t="s">
        <x:v>3891</x:v>
      </x:c>
      <x:c r="O1333" s="8" t="s">
        <x:v>1622</x:v>
      </x:c>
      <x:c r="P1333" s="8" t="s">
        <x:v>115</x:v>
      </x:c>
      <x:c r="Q1333" s="8" t="s">
        <x:v>45</x:v>
      </x:c>
      <x:c r="R1333" s="8" t="s">
        <x:v>3473</x:v>
      </x:c>
      <x:c r="S1333" s="8"/>
      <x:c r="T1333" s="8" t="s">
        <x:v>27</x:v>
      </x:c>
      <x:c r="U1333" s="8" t="s">
        <x:v>3474</x:v>
      </x:c>
      <x:c r="V1333" s="8" t="s">
        <x:v>3475</x:v>
      </x:c>
    </x:row>
    <x:row r="1334" ht="60" hidden="0" customHeight="1">
      <x:c r="A1334" s="8" t="s">
        <x:v>3913</x:v>
      </x:c>
      <x:c r="B1334" s="8" t="s">
        <x:v>3860</x:v>
      </x:c>
      <x:c r="C1334" s="8"/>
      <x:c r="D1334" s="8" t="s">
        <x:v>1892</x:v>
      </x:c>
      <x:c r="E1334" s="8" t="n">
        <x:v>3</x:v>
      </x:c>
      <x:c r="F1334" s="8" t="s">
        <x:v>3862</x:v>
      </x:c>
      <x:c r="G1334" s="8" t="s">
        <x:v>109</x:v>
      </x:c>
      <x:c r="H1334" s="8" t="s">
        <x:v>3863</x:v>
      </x:c>
      <x:c r="I1334" s="8" t="s">
        <x:v>3864</x:v>
      </x:c>
      <x:c r="J1334" s="8" t="s">
        <x:v>3471</x:v>
      </x:c>
      <x:c r="K1334" s="8" t="s">
        <x:v>3890</x:v>
      </x:c>
      <x:c r="L1334" s="8" t="s">
        <x:v>3890</x:v>
      </x:c>
      <x:c r="M1334" s="8"/>
      <x:c r="N1334" s="8" t="s">
        <x:v>3891</x:v>
      </x:c>
      <x:c r="O1334" s="8" t="s">
        <x:v>1622</x:v>
      </x:c>
      <x:c r="P1334" s="8" t="s">
        <x:v>115</x:v>
      </x:c>
      <x:c r="Q1334" s="8" t="s">
        <x:v>45</x:v>
      </x:c>
      <x:c r="R1334" s="8" t="s">
        <x:v>3473</x:v>
      </x:c>
      <x:c r="S1334" s="8" t="s">
        <x:v>1670</x:v>
      </x:c>
      <x:c r="T1334" s="8" t="s">
        <x:v>27</x:v>
      </x:c>
      <x:c r="U1334" s="8" t="s">
        <x:v>3474</x:v>
      </x:c>
      <x:c r="V1334" s="8" t="s">
        <x:v>3475</x:v>
      </x:c>
    </x:row>
    <x:row r="1335" ht="60" hidden="0" customHeight="1">
      <x:c r="A1335" s="8" t="s">
        <x:v>3914</x:v>
      </x:c>
      <x:c r="B1335" s="8" t="s">
        <x:v>3860</x:v>
      </x:c>
      <x:c r="C1335" s="8"/>
      <x:c r="D1335" s="8" t="s">
        <x:v>3915</x:v>
      </x:c>
      <x:c r="E1335" s="8" t="n">
        <x:v>3.7</x:v>
      </x:c>
      <x:c r="F1335" s="8" t="s">
        <x:v>3862</x:v>
      </x:c>
      <x:c r="G1335" s="8" t="s">
        <x:v>109</x:v>
      </x:c>
      <x:c r="H1335" s="8" t="s">
        <x:v>3863</x:v>
      </x:c>
      <x:c r="I1335" s="8" t="s">
        <x:v>3864</x:v>
      </x:c>
      <x:c r="J1335" s="8" t="s">
        <x:v>3471</x:v>
      </x:c>
      <x:c r="K1335" s="8" t="s">
        <x:v>3916</x:v>
      </x:c>
      <x:c r="L1335" s="8" t="s">
        <x:v>3916</x:v>
      </x:c>
      <x:c r="M1335" s="8"/>
      <x:c r="N1335" s="8" t="s">
        <x:v>3917</x:v>
      </x:c>
      <x:c r="O1335" s="8" t="s">
        <x:v>1622</x:v>
      </x:c>
      <x:c r="P1335" s="8" t="s">
        <x:v>115</x:v>
      </x:c>
      <x:c r="Q1335" s="8" t="s">
        <x:v>45</x:v>
      </x:c>
      <x:c r="R1335" s="8" t="s">
        <x:v>3473</x:v>
      </x:c>
      <x:c r="S1335" s="8" t="s">
        <x:v>3918</x:v>
      </x:c>
      <x:c r="T1335" s="8" t="s">
        <x:v>27</x:v>
      </x:c>
      <x:c r="U1335" s="8" t="s">
        <x:v>3474</x:v>
      </x:c>
      <x:c r="V1335" s="8" t="s">
        <x:v>3475</x:v>
      </x:c>
    </x:row>
    <x:row r="1336" ht="60" hidden="0" customHeight="1">
      <x:c r="A1336" s="8" t="s">
        <x:v>3919</x:v>
      </x:c>
      <x:c r="B1336" s="8" t="s">
        <x:v>3860</x:v>
      </x:c>
      <x:c r="C1336" s="8"/>
      <x:c r="D1336" s="8" t="s">
        <x:v>3920</x:v>
      </x:c>
      <x:c r="E1336" s="8" t="s">
        <x:v>3921</x:v>
      </x:c>
      <x:c r="F1336" s="8" t="s">
        <x:v>3862</x:v>
      </x:c>
      <x:c r="G1336" s="8" t="s">
        <x:v>109</x:v>
      </x:c>
      <x:c r="H1336" s="8" t="s">
        <x:v>3863</x:v>
      </x:c>
      <x:c r="I1336" s="8" t="s">
        <x:v>3864</x:v>
      </x:c>
      <x:c r="J1336" s="8" t="s">
        <x:v>3471</x:v>
      </x:c>
      <x:c r="K1336" s="8" t="s">
        <x:v>3922</x:v>
      </x:c>
      <x:c r="L1336" s="8" t="s">
        <x:v>3922</x:v>
      </x:c>
      <x:c r="M1336" s="8"/>
      <x:c r="N1336" s="8" t="s">
        <x:v>3917</x:v>
      </x:c>
      <x:c r="O1336" s="8" t="s">
        <x:v>1622</x:v>
      </x:c>
      <x:c r="P1336" s="8" t="s">
        <x:v>115</x:v>
      </x:c>
      <x:c r="Q1336" s="8" t="s">
        <x:v>45</x:v>
      </x:c>
      <x:c r="R1336" s="8" t="s">
        <x:v>3473</x:v>
      </x:c>
      <x:c r="S1336" s="8"/>
      <x:c r="T1336" s="8" t="s">
        <x:v>27</x:v>
      </x:c>
      <x:c r="U1336" s="8" t="s">
        <x:v>3474</x:v>
      </x:c>
      <x:c r="V1336" s="8" t="s">
        <x:v>3475</x:v>
      </x:c>
    </x:row>
    <x:row r="1337" ht="36" hidden="0" customHeight="1">
      <x:c r="A1337" s="8" t="s">
        <x:v>3923</x:v>
      </x:c>
      <x:c r="B1337" s="8" t="s">
        <x:v>3649</x:v>
      </x:c>
      <x:c r="C1337" s="8"/>
      <x:c r="D1337" s="8" t="s">
        <x:v>3924</x:v>
      </x:c>
      <x:c r="E1337" s="8" t="s">
        <x:v>3925</x:v>
      </x:c>
      <x:c r="F1337" s="8" t="s">
        <x:v>1617</x:v>
      </x:c>
      <x:c r="G1337" s="8" t="s">
        <x:v>109</x:v>
      </x:c>
      <x:c r="H1337" s="8" t="s">
        <x:v>3651</x:v>
      </x:c>
      <x:c r="I1337" s="8" t="s">
        <x:v>3652</x:v>
      </x:c>
      <x:c r="J1337" s="8" t="s">
        <x:v>3471</x:v>
      </x:c>
      <x:c r="K1337" s="8" t="s">
        <x:v>3926</x:v>
      </x:c>
      <x:c r="L1337" s="8" t="s">
        <x:v>3926</x:v>
      </x:c>
      <x:c r="M1337" s="8"/>
      <x:c r="N1337" s="8"/>
      <x:c r="O1337" s="8" t="s">
        <x:v>1622</x:v>
      </x:c>
      <x:c r="P1337" s="8" t="s">
        <x:v>115</x:v>
      </x:c>
      <x:c r="Q1337" s="8" t="s">
        <x:v>45</x:v>
      </x:c>
      <x:c r="R1337" s="8" t="s">
        <x:v>3473</x:v>
      </x:c>
      <x:c r="S1337" s="8"/>
      <x:c r="T1337" s="8" t="s">
        <x:v>27</x:v>
      </x:c>
      <x:c r="U1337" s="8" t="s">
        <x:v>3474</x:v>
      </x:c>
      <x:c r="V1337" s="8" t="s">
        <x:v>3475</x:v>
      </x:c>
    </x:row>
    <x:row r="1338" ht="36" hidden="0" customHeight="1">
      <x:c r="A1338" s="8" t="s">
        <x:v>3927</x:v>
      </x:c>
      <x:c r="B1338" s="8" t="s">
        <x:v>3649</x:v>
      </x:c>
      <x:c r="C1338" s="8"/>
      <x:c r="D1338" s="8" t="s">
        <x:v>3928</x:v>
      </x:c>
      <x:c r="E1338" s="8" t="s">
        <x:v>3929</x:v>
      </x:c>
      <x:c r="F1338" s="8" t="s">
        <x:v>1617</x:v>
      </x:c>
      <x:c r="G1338" s="8" t="s">
        <x:v>109</x:v>
      </x:c>
      <x:c r="H1338" s="8" t="s">
        <x:v>3651</x:v>
      </x:c>
      <x:c r="I1338" s="8" t="s">
        <x:v>3652</x:v>
      </x:c>
      <x:c r="J1338" s="8" t="s">
        <x:v>3471</x:v>
      </x:c>
      <x:c r="K1338" s="8" t="s">
        <x:v>3926</x:v>
      </x:c>
      <x:c r="L1338" s="8" t="s">
        <x:v>3926</x:v>
      </x:c>
      <x:c r="M1338" s="8"/>
      <x:c r="N1338" s="8"/>
      <x:c r="O1338" s="8" t="s">
        <x:v>1622</x:v>
      </x:c>
      <x:c r="P1338" s="8" t="s">
        <x:v>115</x:v>
      </x:c>
      <x:c r="Q1338" s="8" t="s">
        <x:v>45</x:v>
      </x:c>
      <x:c r="R1338" s="8" t="s">
        <x:v>3473</x:v>
      </x:c>
      <x:c r="S1338" s="8"/>
      <x:c r="T1338" s="8" t="s">
        <x:v>27</x:v>
      </x:c>
      <x:c r="U1338" s="8" t="s">
        <x:v>3474</x:v>
      </x:c>
      <x:c r="V1338" s="8" t="s">
        <x:v>3475</x:v>
      </x:c>
    </x:row>
    <x:row r="1339" ht="36" hidden="0" customHeight="1">
      <x:c r="A1339" s="8" t="s">
        <x:v>3930</x:v>
      </x:c>
      <x:c r="B1339" s="8" t="s">
        <x:v>3649</x:v>
      </x:c>
      <x:c r="C1339" s="8"/>
      <x:c r="D1339" s="8" t="s">
        <x:v>3931</x:v>
      </x:c>
      <x:c r="E1339" s="8" t="s">
        <x:v>3932</x:v>
      </x:c>
      <x:c r="F1339" s="8" t="s">
        <x:v>1617</x:v>
      </x:c>
      <x:c r="G1339" s="8" t="s">
        <x:v>109</x:v>
      </x:c>
      <x:c r="H1339" s="8" t="s">
        <x:v>3651</x:v>
      </x:c>
      <x:c r="I1339" s="8" t="s">
        <x:v>3652</x:v>
      </x:c>
      <x:c r="J1339" s="8" t="s">
        <x:v>3471</x:v>
      </x:c>
      <x:c r="K1339" s="8" t="s">
        <x:v>3926</x:v>
      </x:c>
      <x:c r="L1339" s="8" t="s">
        <x:v>3926</x:v>
      </x:c>
      <x:c r="M1339" s="8"/>
      <x:c r="N1339" s="8"/>
      <x:c r="O1339" s="8" t="s">
        <x:v>1622</x:v>
      </x:c>
      <x:c r="P1339" s="8" t="s">
        <x:v>115</x:v>
      </x:c>
      <x:c r="Q1339" s="8" t="s">
        <x:v>45</x:v>
      </x:c>
      <x:c r="R1339" s="8" t="s">
        <x:v>3473</x:v>
      </x:c>
      <x:c r="S1339" s="8"/>
      <x:c r="T1339" s="8" t="s">
        <x:v>27</x:v>
      </x:c>
      <x:c r="U1339" s="8" t="s">
        <x:v>3474</x:v>
      </x:c>
      <x:c r="V1339" s="8" t="s">
        <x:v>3475</x:v>
      </x:c>
    </x:row>
    <x:row r="1340" ht="36" hidden="0" customHeight="1">
      <x:c r="A1340" s="8" t="s">
        <x:v>3933</x:v>
      </x:c>
      <x:c r="B1340" s="8" t="s">
        <x:v>3649</x:v>
      </x:c>
      <x:c r="C1340" s="8"/>
      <x:c r="D1340" s="8" t="s">
        <x:v>1682</x:v>
      </x:c>
      <x:c r="E1340" s="8" t="n">
        <x:v>1</x:v>
      </x:c>
      <x:c r="F1340" s="8" t="s">
        <x:v>1617</x:v>
      </x:c>
      <x:c r="G1340" s="8" t="s">
        <x:v>109</x:v>
      </x:c>
      <x:c r="H1340" s="8" t="s">
        <x:v>3651</x:v>
      </x:c>
      <x:c r="I1340" s="8" t="s">
        <x:v>3652</x:v>
      </x:c>
      <x:c r="J1340" s="8" t="s">
        <x:v>3471</x:v>
      </x:c>
      <x:c r="K1340" s="8" t="s">
        <x:v>3926</x:v>
      </x:c>
      <x:c r="L1340" s="8" t="s">
        <x:v>3926</x:v>
      </x:c>
      <x:c r="M1340" s="8"/>
      <x:c r="N1340" s="8"/>
      <x:c r="O1340" s="8" t="s">
        <x:v>1622</x:v>
      </x:c>
      <x:c r="P1340" s="8" t="s">
        <x:v>115</x:v>
      </x:c>
      <x:c r="Q1340" s="8" t="s">
        <x:v>45</x:v>
      </x:c>
      <x:c r="R1340" s="8" t="s">
        <x:v>3473</x:v>
      </x:c>
      <x:c r="S1340" s="8" t="s">
        <x:v>1684</x:v>
      </x:c>
      <x:c r="T1340" s="8" t="s">
        <x:v>27</x:v>
      </x:c>
      <x:c r="U1340" s="8" t="s">
        <x:v>3474</x:v>
      </x:c>
      <x:c r="V1340" s="8" t="s">
        <x:v>3475</x:v>
      </x:c>
    </x:row>
    <x:row r="1341" ht="36" hidden="0" customHeight="1">
      <x:c r="A1341" s="8" t="s">
        <x:v>3934</x:v>
      </x:c>
      <x:c r="B1341" s="8" t="s">
        <x:v>3649</x:v>
      </x:c>
      <x:c r="C1341" s="8"/>
      <x:c r="D1341" s="8" t="s">
        <x:v>3935</x:v>
      </x:c>
      <x:c r="E1341" s="8" t="s">
        <x:v>3936</x:v>
      </x:c>
      <x:c r="F1341" s="8" t="s">
        <x:v>1617</x:v>
      </x:c>
      <x:c r="G1341" s="8" t="s">
        <x:v>109</x:v>
      </x:c>
      <x:c r="H1341" s="8" t="s">
        <x:v>3651</x:v>
      </x:c>
      <x:c r="I1341" s="8" t="s">
        <x:v>3652</x:v>
      </x:c>
      <x:c r="J1341" s="8" t="s">
        <x:v>3471</x:v>
      </x:c>
      <x:c r="K1341" s="8" t="s">
        <x:v>3926</x:v>
      </x:c>
      <x:c r="L1341" s="8" t="s">
        <x:v>3926</x:v>
      </x:c>
      <x:c r="M1341" s="8"/>
      <x:c r="N1341" s="8"/>
      <x:c r="O1341" s="8" t="s">
        <x:v>1622</x:v>
      </x:c>
      <x:c r="P1341" s="8" t="s">
        <x:v>115</x:v>
      </x:c>
      <x:c r="Q1341" s="8" t="s">
        <x:v>45</x:v>
      </x:c>
      <x:c r="R1341" s="8" t="s">
        <x:v>3473</x:v>
      </x:c>
      <x:c r="S1341" s="8"/>
      <x:c r="T1341" s="8" t="s">
        <x:v>27</x:v>
      </x:c>
      <x:c r="U1341" s="8" t="s">
        <x:v>3474</x:v>
      </x:c>
      <x:c r="V1341" s="8" t="s">
        <x:v>3475</x:v>
      </x:c>
    </x:row>
    <x:row r="1342" ht="36" hidden="0" customHeight="1">
      <x:c r="A1342" s="8" t="s">
        <x:v>3937</x:v>
      </x:c>
      <x:c r="B1342" s="8" t="s">
        <x:v>3649</x:v>
      </x:c>
      <x:c r="C1342" s="8"/>
      <x:c r="D1342" s="8" t="s">
        <x:v>3938</x:v>
      </x:c>
      <x:c r="E1342" s="8" t="s">
        <x:v>3939</x:v>
      </x:c>
      <x:c r="F1342" s="8" t="s">
        <x:v>1617</x:v>
      </x:c>
      <x:c r="G1342" s="8" t="s">
        <x:v>109</x:v>
      </x:c>
      <x:c r="H1342" s="8" t="s">
        <x:v>3651</x:v>
      </x:c>
      <x:c r="I1342" s="8" t="s">
        <x:v>3652</x:v>
      </x:c>
      <x:c r="J1342" s="8" t="s">
        <x:v>3471</x:v>
      </x:c>
      <x:c r="K1342" s="8" t="s">
        <x:v>3926</x:v>
      </x:c>
      <x:c r="L1342" s="8" t="s">
        <x:v>3926</x:v>
      </x:c>
      <x:c r="M1342" s="8"/>
      <x:c r="N1342" s="8"/>
      <x:c r="O1342" s="8" t="s">
        <x:v>1622</x:v>
      </x:c>
      <x:c r="P1342" s="8" t="s">
        <x:v>115</x:v>
      </x:c>
      <x:c r="Q1342" s="8" t="s">
        <x:v>45</x:v>
      </x:c>
      <x:c r="R1342" s="8" t="s">
        <x:v>3473</x:v>
      </x:c>
      <x:c r="S1342" s="8"/>
      <x:c r="T1342" s="8" t="s">
        <x:v>27</x:v>
      </x:c>
      <x:c r="U1342" s="8" t="s">
        <x:v>3474</x:v>
      </x:c>
      <x:c r="V1342" s="8" t="s">
        <x:v>3475</x:v>
      </x:c>
    </x:row>
    <x:row r="1343" ht="36" hidden="0" customHeight="1">
      <x:c r="A1343" s="8" t="s">
        <x:v>3940</x:v>
      </x:c>
      <x:c r="B1343" s="8" t="s">
        <x:v>3649</x:v>
      </x:c>
      <x:c r="C1343" s="8"/>
      <x:c r="D1343" s="8" t="s">
        <x:v>3941</x:v>
      </x:c>
      <x:c r="E1343" s="8" t="s">
        <x:v>3942</x:v>
      </x:c>
      <x:c r="F1343" s="8" t="s">
        <x:v>1617</x:v>
      </x:c>
      <x:c r="G1343" s="8" t="s">
        <x:v>109</x:v>
      </x:c>
      <x:c r="H1343" s="8" t="s">
        <x:v>3651</x:v>
      </x:c>
      <x:c r="I1343" s="8" t="s">
        <x:v>3652</x:v>
      </x:c>
      <x:c r="J1343" s="8" t="s">
        <x:v>3471</x:v>
      </x:c>
      <x:c r="K1343" s="8" t="s">
        <x:v>3926</x:v>
      </x:c>
      <x:c r="L1343" s="8" t="s">
        <x:v>3926</x:v>
      </x:c>
      <x:c r="M1343" s="8"/>
      <x:c r="N1343" s="8"/>
      <x:c r="O1343" s="8" t="s">
        <x:v>1622</x:v>
      </x:c>
      <x:c r="P1343" s="8" t="s">
        <x:v>115</x:v>
      </x:c>
      <x:c r="Q1343" s="8" t="s">
        <x:v>45</x:v>
      </x:c>
      <x:c r="R1343" s="8" t="s">
        <x:v>3473</x:v>
      </x:c>
      <x:c r="S1343" s="8"/>
      <x:c r="T1343" s="8" t="s">
        <x:v>27</x:v>
      </x:c>
      <x:c r="U1343" s="8" t="s">
        <x:v>3474</x:v>
      </x:c>
      <x:c r="V1343" s="8" t="s">
        <x:v>3475</x:v>
      </x:c>
    </x:row>
    <x:row r="1344" ht="36" hidden="0" customHeight="1">
      <x:c r="A1344" s="8" t="s">
        <x:v>3943</x:v>
      </x:c>
      <x:c r="B1344" s="8" t="s">
        <x:v>3649</x:v>
      </x:c>
      <x:c r="C1344" s="8"/>
      <x:c r="D1344" s="8" t="s">
        <x:v>3944</x:v>
      </x:c>
      <x:c r="E1344" s="8" t="s">
        <x:v>3945</x:v>
      </x:c>
      <x:c r="F1344" s="8" t="s">
        <x:v>1617</x:v>
      </x:c>
      <x:c r="G1344" s="8" t="s">
        <x:v>109</x:v>
      </x:c>
      <x:c r="H1344" s="8" t="s">
        <x:v>3651</x:v>
      </x:c>
      <x:c r="I1344" s="8" t="s">
        <x:v>3652</x:v>
      </x:c>
      <x:c r="J1344" s="8" t="s">
        <x:v>3471</x:v>
      </x:c>
      <x:c r="K1344" s="8" t="s">
        <x:v>3926</x:v>
      </x:c>
      <x:c r="L1344" s="8" t="s">
        <x:v>3926</x:v>
      </x:c>
      <x:c r="M1344" s="8"/>
      <x:c r="N1344" s="8"/>
      <x:c r="O1344" s="8" t="s">
        <x:v>1622</x:v>
      </x:c>
      <x:c r="P1344" s="8" t="s">
        <x:v>115</x:v>
      </x:c>
      <x:c r="Q1344" s="8" t="s">
        <x:v>45</x:v>
      </x:c>
      <x:c r="R1344" s="8" t="s">
        <x:v>3473</x:v>
      </x:c>
      <x:c r="S1344" s="8"/>
      <x:c r="T1344" s="8" t="s">
        <x:v>27</x:v>
      </x:c>
      <x:c r="U1344" s="8" t="s">
        <x:v>3474</x:v>
      </x:c>
      <x:c r="V1344" s="8" t="s">
        <x:v>3475</x:v>
      </x:c>
    </x:row>
    <x:row r="1345" ht="36" hidden="0" customHeight="1">
      <x:c r="A1345" s="8" t="s">
        <x:v>3946</x:v>
      </x:c>
      <x:c r="B1345" s="8" t="s">
        <x:v>3649</x:v>
      </x:c>
      <x:c r="C1345" s="8"/>
      <x:c r="D1345" s="8" t="s">
        <x:v>3947</x:v>
      </x:c>
      <x:c r="E1345" s="8" t="s">
        <x:v>3948</x:v>
      </x:c>
      <x:c r="F1345" s="8" t="s">
        <x:v>1617</x:v>
      </x:c>
      <x:c r="G1345" s="8" t="s">
        <x:v>187</x:v>
      </x:c>
      <x:c r="H1345" s="8" t="s">
        <x:v>3651</x:v>
      </x:c>
      <x:c r="I1345" s="8" t="s">
        <x:v>3652</x:v>
      </x:c>
      <x:c r="J1345" s="8" t="s">
        <x:v>3471</x:v>
      </x:c>
      <x:c r="K1345" s="8" t="s">
        <x:v>3926</x:v>
      </x:c>
      <x:c r="L1345" s="8" t="s">
        <x:v>3926</x:v>
      </x:c>
      <x:c r="M1345" s="8"/>
      <x:c r="N1345" s="8"/>
      <x:c r="O1345" s="8" t="s">
        <x:v>1622</x:v>
      </x:c>
      <x:c r="P1345" s="8" t="s">
        <x:v>115</x:v>
      </x:c>
      <x:c r="Q1345" s="8" t="s">
        <x:v>45</x:v>
      </x:c>
      <x:c r="R1345" s="8" t="s">
        <x:v>3473</x:v>
      </x:c>
      <x:c r="S1345" s="8"/>
      <x:c r="T1345" s="8" t="s">
        <x:v>27</x:v>
      </x:c>
      <x:c r="U1345" s="8" t="s">
        <x:v>3474</x:v>
      </x:c>
      <x:c r="V1345" s="8" t="s">
        <x:v>3475</x:v>
      </x:c>
    </x:row>
    <x:row r="1346" ht="48" hidden="0" customHeight="1">
      <x:c r="A1346" s="8" t="s">
        <x:v>3949</x:v>
      </x:c>
      <x:c r="B1346" s="8" t="s">
        <x:v>3808</x:v>
      </x:c>
      <x:c r="C1346" s="8"/>
      <x:c r="D1346" s="8" t="s">
        <x:v>233</x:v>
      </x:c>
      <x:c r="E1346" s="8" t="s">
        <x:v>3950</x:v>
      </x:c>
      <x:c r="F1346" s="8" t="s">
        <x:v>1617</x:v>
      </x:c>
      <x:c r="G1346" s="8" t="s">
        <x:v>109</x:v>
      </x:c>
      <x:c r="H1346" s="8" t="s">
        <x:v>3811</x:v>
      </x:c>
      <x:c r="I1346" s="8" t="s">
        <x:v>3812</x:v>
      </x:c>
      <x:c r="J1346" s="8" t="s">
        <x:v>3471</x:v>
      </x:c>
      <x:c r="K1346" s="8" t="s">
        <x:v>3951</x:v>
      </x:c>
      <x:c r="L1346" s="8" t="s">
        <x:v>3951</x:v>
      </x:c>
      <x:c r="M1346" s="8"/>
      <x:c r="N1346" s="8" t="s">
        <x:v>3952</x:v>
      </x:c>
      <x:c r="O1346" s="8" t="s">
        <x:v>1622</x:v>
      </x:c>
      <x:c r="P1346" s="8" t="s">
        <x:v>115</x:v>
      </x:c>
      <x:c r="Q1346" s="8" t="s">
        <x:v>45</x:v>
      </x:c>
      <x:c r="R1346" s="8" t="s">
        <x:v>3473</x:v>
      </x:c>
      <x:c r="S1346" s="8"/>
      <x:c r="T1346" s="8" t="s">
        <x:v>27</x:v>
      </x:c>
      <x:c r="U1346" s="8" t="s">
        <x:v>3474</x:v>
      </x:c>
      <x:c r="V1346" s="8" t="s">
        <x:v>3475</x:v>
      </x:c>
    </x:row>
    <x:row r="1347" ht="48" hidden="0" customHeight="1">
      <x:c r="A1347" s="8" t="s">
        <x:v>3953</x:v>
      </x:c>
      <x:c r="B1347" s="8" t="s">
        <x:v>3808</x:v>
      </x:c>
      <x:c r="C1347" s="8"/>
      <x:c r="D1347" s="8" t="s">
        <x:v>3521</x:v>
      </x:c>
      <x:c r="E1347" s="8" t="s">
        <x:v>3954</x:v>
      </x:c>
      <x:c r="F1347" s="8" t="s">
        <x:v>1617</x:v>
      </x:c>
      <x:c r="G1347" s="8" t="s">
        <x:v>109</x:v>
      </x:c>
      <x:c r="H1347" s="8" t="s">
        <x:v>3811</x:v>
      </x:c>
      <x:c r="I1347" s="8" t="s">
        <x:v>3812</x:v>
      </x:c>
      <x:c r="J1347" s="8" t="s">
        <x:v>3471</x:v>
      </x:c>
      <x:c r="K1347" s="8" t="s">
        <x:v>3813</x:v>
      </x:c>
      <x:c r="L1347" s="8" t="s">
        <x:v>3813</x:v>
      </x:c>
      <x:c r="M1347" s="8"/>
      <x:c r="N1347" s="8" t="s">
        <x:v>3814</x:v>
      </x:c>
      <x:c r="O1347" s="8" t="s">
        <x:v>1622</x:v>
      </x:c>
      <x:c r="P1347" s="8" t="s">
        <x:v>115</x:v>
      </x:c>
      <x:c r="Q1347" s="8" t="s">
        <x:v>45</x:v>
      </x:c>
      <x:c r="R1347" s="8" t="s">
        <x:v>3473</x:v>
      </x:c>
      <x:c r="S1347" s="8"/>
      <x:c r="T1347" s="8" t="s">
        <x:v>27</x:v>
      </x:c>
      <x:c r="U1347" s="8" t="s">
        <x:v>3474</x:v>
      </x:c>
      <x:c r="V1347" s="8" t="s">
        <x:v>3475</x:v>
      </x:c>
    </x:row>
    <x:row r="1348" ht="48" hidden="0" customHeight="1">
      <x:c r="A1348" s="8" t="s">
        <x:v>3955</x:v>
      </x:c>
      <x:c r="B1348" s="8" t="s">
        <x:v>3808</x:v>
      </x:c>
      <x:c r="C1348" s="8"/>
      <x:c r="D1348" s="8" t="s">
        <x:v>3956</x:v>
      </x:c>
      <x:c r="E1348" s="8" t="n">
        <x:v>500</x:v>
      </x:c>
      <x:c r="F1348" s="8" t="s">
        <x:v>1617</x:v>
      </x:c>
      <x:c r="G1348" s="8" t="s">
        <x:v>109</x:v>
      </x:c>
      <x:c r="H1348" s="8" t="s">
        <x:v>3811</x:v>
      </x:c>
      <x:c r="I1348" s="8" t="s">
        <x:v>3812</x:v>
      </x:c>
      <x:c r="J1348" s="8" t="s">
        <x:v>3471</x:v>
      </x:c>
      <x:c r="K1348" s="8" t="s">
        <x:v>3957</x:v>
      </x:c>
      <x:c r="L1348" s="8" t="s">
        <x:v>3957</x:v>
      </x:c>
      <x:c r="M1348" s="8"/>
      <x:c r="N1348" s="8" t="s">
        <x:v>406</x:v>
      </x:c>
      <x:c r="O1348" s="8" t="s">
        <x:v>1622</x:v>
      </x:c>
      <x:c r="P1348" s="8" t="s">
        <x:v>115</x:v>
      </x:c>
      <x:c r="Q1348" s="8" t="s">
        <x:v>45</x:v>
      </x:c>
      <x:c r="R1348" s="8" t="s">
        <x:v>3473</x:v>
      </x:c>
      <x:c r="S1348" s="8"/>
      <x:c r="T1348" s="8" t="s">
        <x:v>27</x:v>
      </x:c>
      <x:c r="U1348" s="8" t="s">
        <x:v>3474</x:v>
      </x:c>
      <x:c r="V1348" s="8" t="s">
        <x:v>3475</x:v>
      </x:c>
    </x:row>
    <x:row r="1349" ht="48" hidden="0" customHeight="1">
      <x:c r="A1349" s="8" t="s">
        <x:v>3958</x:v>
      </x:c>
      <x:c r="B1349" s="8" t="s">
        <x:v>3808</x:v>
      </x:c>
      <x:c r="C1349" s="8"/>
      <x:c r="D1349" s="8" t="s">
        <x:v>3959</x:v>
      </x:c>
      <x:c r="E1349" s="8" t="n">
        <x:v>2</x:v>
      </x:c>
      <x:c r="F1349" s="8" t="s">
        <x:v>1617</x:v>
      </x:c>
      <x:c r="G1349" s="8" t="s">
        <x:v>109</x:v>
      </x:c>
      <x:c r="H1349" s="8" t="s">
        <x:v>3811</x:v>
      </x:c>
      <x:c r="I1349" s="8" t="s">
        <x:v>3812</x:v>
      </x:c>
      <x:c r="J1349" s="8" t="s">
        <x:v>3471</x:v>
      </x:c>
      <x:c r="K1349" s="8" t="s">
        <x:v>3957</x:v>
      </x:c>
      <x:c r="L1349" s="8" t="s">
        <x:v>3957</x:v>
      </x:c>
      <x:c r="M1349" s="8"/>
      <x:c r="N1349" s="8" t="s">
        <x:v>406</x:v>
      </x:c>
      <x:c r="O1349" s="8" t="s">
        <x:v>1622</x:v>
      </x:c>
      <x:c r="P1349" s="8" t="s">
        <x:v>115</x:v>
      </x:c>
      <x:c r="Q1349" s="8" t="s">
        <x:v>45</x:v>
      </x:c>
      <x:c r="R1349" s="8" t="s">
        <x:v>3473</x:v>
      </x:c>
      <x:c r="S1349" s="8"/>
      <x:c r="T1349" s="8" t="s">
        <x:v>27</x:v>
      </x:c>
      <x:c r="U1349" s="8" t="s">
        <x:v>3474</x:v>
      </x:c>
      <x:c r="V1349" s="8" t="s">
        <x:v>3475</x:v>
      </x:c>
    </x:row>
    <x:row r="1350" ht="60" hidden="0" customHeight="1">
      <x:c r="A1350" s="8" t="s">
        <x:v>3960</x:v>
      </x:c>
      <x:c r="B1350" s="8" t="s">
        <x:v>3860</x:v>
      </x:c>
      <x:c r="C1350" s="8"/>
      <x:c r="D1350" s="8" t="s">
        <x:v>1860</x:v>
      </x:c>
      <x:c r="E1350" s="8" t="n">
        <x:v>10</x:v>
      </x:c>
      <x:c r="F1350" s="8" t="s">
        <x:v>3862</x:v>
      </x:c>
      <x:c r="G1350" s="8" t="s">
        <x:v>109</x:v>
      </x:c>
      <x:c r="H1350" s="8" t="s">
        <x:v>3863</x:v>
      </x:c>
      <x:c r="I1350" s="8" t="s">
        <x:v>3864</x:v>
      </x:c>
      <x:c r="J1350" s="8" t="s">
        <x:v>3471</x:v>
      </x:c>
      <x:c r="K1350" s="8" t="s">
        <x:v>3957</x:v>
      </x:c>
      <x:c r="L1350" s="8" t="s">
        <x:v>3957</x:v>
      </x:c>
      <x:c r="M1350" s="8"/>
      <x:c r="N1350" s="8" t="s">
        <x:v>406</x:v>
      </x:c>
      <x:c r="O1350" s="8" t="s">
        <x:v>1622</x:v>
      </x:c>
      <x:c r="P1350" s="8" t="s">
        <x:v>115</x:v>
      </x:c>
      <x:c r="Q1350" s="8" t="s">
        <x:v>45</x:v>
      </x:c>
      <x:c r="R1350" s="8" t="s">
        <x:v>3473</x:v>
      </x:c>
      <x:c r="S1350" s="8" t="s">
        <x:v>914</x:v>
      </x:c>
      <x:c r="T1350" s="8" t="s">
        <x:v>27</x:v>
      </x:c>
      <x:c r="U1350" s="8" t="s">
        <x:v>3474</x:v>
      </x:c>
      <x:c r="V1350" s="8" t="s">
        <x:v>3475</x:v>
      </x:c>
    </x:row>
    <x:row r="1351" ht="60" hidden="0" customHeight="1">
      <x:c r="A1351" s="8" t="s">
        <x:v>3961</x:v>
      </x:c>
      <x:c r="B1351" s="8" t="s">
        <x:v>3860</x:v>
      </x:c>
      <x:c r="C1351" s="8"/>
      <x:c r="D1351" s="8" t="s">
        <x:v>1943</x:v>
      </x:c>
      <x:c r="E1351" s="8" t="n">
        <x:v>10</x:v>
      </x:c>
      <x:c r="F1351" s="8" t="s">
        <x:v>3862</x:v>
      </x:c>
      <x:c r="G1351" s="8" t="s">
        <x:v>109</x:v>
      </x:c>
      <x:c r="H1351" s="8" t="s">
        <x:v>3863</x:v>
      </x:c>
      <x:c r="I1351" s="8" t="s">
        <x:v>3864</x:v>
      </x:c>
      <x:c r="J1351" s="8" t="s">
        <x:v>3471</x:v>
      </x:c>
      <x:c r="K1351" s="8" t="s">
        <x:v>3957</x:v>
      </x:c>
      <x:c r="L1351" s="8" t="s">
        <x:v>3957</x:v>
      </x:c>
      <x:c r="M1351" s="8"/>
      <x:c r="N1351" s="8" t="s">
        <x:v>406</x:v>
      </x:c>
      <x:c r="O1351" s="8" t="s">
        <x:v>1622</x:v>
      </x:c>
      <x:c r="P1351" s="8" t="s">
        <x:v>115</x:v>
      </x:c>
      <x:c r="Q1351" s="8" t="s">
        <x:v>45</x:v>
      </x:c>
      <x:c r="R1351" s="8" t="s">
        <x:v>3473</x:v>
      </x:c>
      <x:c r="S1351" s="8" t="s">
        <x:v>914</x:v>
      </x:c>
      <x:c r="T1351" s="8" t="s">
        <x:v>27</x:v>
      </x:c>
      <x:c r="U1351" s="8" t="s">
        <x:v>3474</x:v>
      </x:c>
      <x:c r="V1351" s="8" t="s">
        <x:v>3475</x:v>
      </x:c>
    </x:row>
    <x:row r="1352" ht="60" hidden="0" customHeight="1">
      <x:c r="A1352" s="8" t="s">
        <x:v>3962</x:v>
      </x:c>
      <x:c r="B1352" s="8" t="s">
        <x:v>3860</x:v>
      </x:c>
      <x:c r="C1352" s="8"/>
      <x:c r="D1352" s="8" t="s">
        <x:v>2144</x:v>
      </x:c>
      <x:c r="E1352" s="8" t="n">
        <x:v>2</x:v>
      </x:c>
      <x:c r="F1352" s="8" t="s">
        <x:v>3862</x:v>
      </x:c>
      <x:c r="G1352" s="8" t="s">
        <x:v>109</x:v>
      </x:c>
      <x:c r="H1352" s="8" t="s">
        <x:v>3863</x:v>
      </x:c>
      <x:c r="I1352" s="8" t="s">
        <x:v>3864</x:v>
      </x:c>
      <x:c r="J1352" s="8" t="s">
        <x:v>3471</x:v>
      </x:c>
      <x:c r="K1352" s="8" t="s">
        <x:v>3957</x:v>
      </x:c>
      <x:c r="L1352" s="8" t="s">
        <x:v>3957</x:v>
      </x:c>
      <x:c r="M1352" s="8"/>
      <x:c r="N1352" s="8" t="s">
        <x:v>406</x:v>
      </x:c>
      <x:c r="O1352" s="8" t="s">
        <x:v>1622</x:v>
      </x:c>
      <x:c r="P1352" s="8" t="s">
        <x:v>115</x:v>
      </x:c>
      <x:c r="Q1352" s="8" t="s">
        <x:v>45</x:v>
      </x:c>
      <x:c r="R1352" s="8" t="s">
        <x:v>3473</x:v>
      </x:c>
      <x:c r="S1352" s="8"/>
      <x:c r="T1352" s="8" t="s">
        <x:v>27</x:v>
      </x:c>
      <x:c r="U1352" s="8" t="s">
        <x:v>3474</x:v>
      </x:c>
      <x:c r="V1352" s="8" t="s">
        <x:v>3475</x:v>
      </x:c>
    </x:row>
    <x:row r="1353" ht="60" hidden="0" customHeight="1">
      <x:c r="A1353" s="8" t="s">
        <x:v>3963</x:v>
      </x:c>
      <x:c r="B1353" s="8" t="s">
        <x:v>3860</x:v>
      </x:c>
      <x:c r="C1353" s="8"/>
      <x:c r="D1353" s="8" t="s">
        <x:v>3964</x:v>
      </x:c>
      <x:c r="E1353" s="8" t="n">
        <x:v>2</x:v>
      </x:c>
      <x:c r="F1353" s="8" t="s">
        <x:v>3862</x:v>
      </x:c>
      <x:c r="G1353" s="8" t="s">
        <x:v>109</x:v>
      </x:c>
      <x:c r="H1353" s="8" t="s">
        <x:v>3863</x:v>
      </x:c>
      <x:c r="I1353" s="8" t="s">
        <x:v>3864</x:v>
      </x:c>
      <x:c r="J1353" s="8" t="s">
        <x:v>3471</x:v>
      </x:c>
      <x:c r="K1353" s="8" t="s">
        <x:v>3957</x:v>
      </x:c>
      <x:c r="L1353" s="8" t="s">
        <x:v>3957</x:v>
      </x:c>
      <x:c r="M1353" s="8"/>
      <x:c r="N1353" s="8" t="s">
        <x:v>406</x:v>
      </x:c>
      <x:c r="O1353" s="8" t="s">
        <x:v>1622</x:v>
      </x:c>
      <x:c r="P1353" s="8" t="s">
        <x:v>115</x:v>
      </x:c>
      <x:c r="Q1353" s="8" t="s">
        <x:v>45</x:v>
      </x:c>
      <x:c r="R1353" s="8" t="s">
        <x:v>3473</x:v>
      </x:c>
      <x:c r="S1353" s="8"/>
      <x:c r="T1353" s="8" t="s">
        <x:v>27</x:v>
      </x:c>
      <x:c r="U1353" s="8" t="s">
        <x:v>3474</x:v>
      </x:c>
      <x:c r="V1353" s="8" t="s">
        <x:v>3475</x:v>
      </x:c>
    </x:row>
    <x:row r="1354" ht="60" hidden="0" customHeight="1">
      <x:c r="A1354" s="8" t="s">
        <x:v>3965</x:v>
      </x:c>
      <x:c r="B1354" s="8" t="s">
        <x:v>3860</x:v>
      </x:c>
      <x:c r="C1354" s="8"/>
      <x:c r="D1354" s="8" t="s">
        <x:v>3966</x:v>
      </x:c>
      <x:c r="E1354" s="8" t="n">
        <x:v>21</x:v>
      </x:c>
      <x:c r="F1354" s="8" t="s">
        <x:v>3862</x:v>
      </x:c>
      <x:c r="G1354" s="8" t="s">
        <x:v>109</x:v>
      </x:c>
      <x:c r="H1354" s="8" t="s">
        <x:v>3863</x:v>
      </x:c>
      <x:c r="I1354" s="8" t="s">
        <x:v>3864</x:v>
      </x:c>
      <x:c r="J1354" s="8" t="s">
        <x:v>3471</x:v>
      </x:c>
      <x:c r="K1354" s="8" t="s">
        <x:v>3957</x:v>
      </x:c>
      <x:c r="L1354" s="8" t="s">
        <x:v>3957</x:v>
      </x:c>
      <x:c r="M1354" s="8"/>
      <x:c r="N1354" s="8" t="s">
        <x:v>406</x:v>
      </x:c>
      <x:c r="O1354" s="8" t="s">
        <x:v>1622</x:v>
      </x:c>
      <x:c r="P1354" s="8" t="s">
        <x:v>115</x:v>
      </x:c>
      <x:c r="Q1354" s="8" t="s">
        <x:v>45</x:v>
      </x:c>
      <x:c r="R1354" s="8" t="s">
        <x:v>3473</x:v>
      </x:c>
      <x:c r="S1354" s="8"/>
      <x:c r="T1354" s="8" t="s">
        <x:v>27</x:v>
      </x:c>
      <x:c r="U1354" s="8" t="s">
        <x:v>3474</x:v>
      </x:c>
      <x:c r="V1354" s="8" t="s">
        <x:v>3475</x:v>
      </x:c>
    </x:row>
    <x:row r="1355" ht="60" hidden="0" customHeight="1">
      <x:c r="A1355" s="8" t="s">
        <x:v>3967</x:v>
      </x:c>
      <x:c r="B1355" s="8" t="s">
        <x:v>3860</x:v>
      </x:c>
      <x:c r="C1355" s="8"/>
      <x:c r="D1355" s="8" t="s">
        <x:v>1864</x:v>
      </x:c>
      <x:c r="E1355" s="8" t="s">
        <x:v>3968</x:v>
      </x:c>
      <x:c r="F1355" s="8" t="s">
        <x:v>3862</x:v>
      </x:c>
      <x:c r="G1355" s="8" t="s">
        <x:v>109</x:v>
      </x:c>
      <x:c r="H1355" s="8" t="s">
        <x:v>3863</x:v>
      </x:c>
      <x:c r="I1355" s="8" t="s">
        <x:v>3864</x:v>
      </x:c>
      <x:c r="J1355" s="8" t="s">
        <x:v>3471</x:v>
      </x:c>
      <x:c r="K1355" s="8" t="s">
        <x:v>3969</x:v>
      </x:c>
      <x:c r="L1355" s="8" t="s">
        <x:v>3969</x:v>
      </x:c>
      <x:c r="M1355" s="8"/>
      <x:c r="N1355" s="8"/>
      <x:c r="O1355" s="8" t="s">
        <x:v>1622</x:v>
      </x:c>
      <x:c r="P1355" s="8" t="s">
        <x:v>115</x:v>
      </x:c>
      <x:c r="Q1355" s="8" t="s">
        <x:v>45</x:v>
      </x:c>
      <x:c r="R1355" s="8" t="s">
        <x:v>3473</x:v>
      </x:c>
      <x:c r="S1355" s="8"/>
      <x:c r="T1355" s="8" t="s">
        <x:v>27</x:v>
      </x:c>
      <x:c r="U1355" s="8" t="s">
        <x:v>3474</x:v>
      </x:c>
      <x:c r="V1355" s="8" t="s">
        <x:v>3475</x:v>
      </x:c>
    </x:row>
    <x:row r="1356" ht="60" hidden="0" customHeight="1">
      <x:c r="A1356" s="8" t="s">
        <x:v>3970</x:v>
      </x:c>
      <x:c r="B1356" s="8" t="s">
        <x:v>3860</x:v>
      </x:c>
      <x:c r="C1356" s="8"/>
      <x:c r="D1356" s="8" t="s">
        <x:v>3971</x:v>
      </x:c>
      <x:c r="E1356" s="8" t="s">
        <x:v>3972</x:v>
      </x:c>
      <x:c r="F1356" s="8" t="s">
        <x:v>3862</x:v>
      </x:c>
      <x:c r="G1356" s="8" t="s">
        <x:v>109</x:v>
      </x:c>
      <x:c r="H1356" s="8" t="s">
        <x:v>3863</x:v>
      </x:c>
      <x:c r="I1356" s="8" t="s">
        <x:v>3864</x:v>
      </x:c>
      <x:c r="J1356" s="8" t="s">
        <x:v>3471</x:v>
      </x:c>
      <x:c r="K1356" s="8" t="s">
        <x:v>3973</x:v>
      </x:c>
      <x:c r="L1356" s="8" t="s">
        <x:v>3973</x:v>
      </x:c>
      <x:c r="M1356" s="8"/>
      <x:c r="N1356" s="8"/>
      <x:c r="O1356" s="8" t="s">
        <x:v>1622</x:v>
      </x:c>
      <x:c r="P1356" s="8" t="s">
        <x:v>115</x:v>
      </x:c>
      <x:c r="Q1356" s="8" t="s">
        <x:v>45</x:v>
      </x:c>
      <x:c r="R1356" s="8" t="s">
        <x:v>3473</x:v>
      </x:c>
      <x:c r="S1356" s="8"/>
      <x:c r="T1356" s="8" t="s">
        <x:v>27</x:v>
      </x:c>
      <x:c r="U1356" s="8" t="s">
        <x:v>3474</x:v>
      </x:c>
      <x:c r="V1356" s="8" t="s">
        <x:v>3475</x:v>
      </x:c>
    </x:row>
    <x:row r="1357" ht="60" hidden="0" customHeight="1">
      <x:c r="A1357" s="8" t="s">
        <x:v>3974</x:v>
      </x:c>
      <x:c r="B1357" s="8" t="s">
        <x:v>3860</x:v>
      </x:c>
      <x:c r="C1357" s="8"/>
      <x:c r="D1357" s="8" t="s">
        <x:v>3975</x:v>
      </x:c>
      <x:c r="E1357" s="8" t="s">
        <x:v>3976</x:v>
      </x:c>
      <x:c r="F1357" s="8" t="s">
        <x:v>3862</x:v>
      </x:c>
      <x:c r="G1357" s="8" t="s">
        <x:v>109</x:v>
      </x:c>
      <x:c r="H1357" s="8" t="s">
        <x:v>3863</x:v>
      </x:c>
      <x:c r="I1357" s="8" t="s">
        <x:v>3864</x:v>
      </x:c>
      <x:c r="J1357" s="8" t="s">
        <x:v>3471</x:v>
      </x:c>
      <x:c r="K1357" s="8" t="s">
        <x:v>3977</x:v>
      </x:c>
      <x:c r="L1357" s="8" t="s">
        <x:v>3977</x:v>
      </x:c>
      <x:c r="M1357" s="8"/>
      <x:c r="N1357" s="8"/>
      <x:c r="O1357" s="8" t="s">
        <x:v>1622</x:v>
      </x:c>
      <x:c r="P1357" s="8" t="s">
        <x:v>115</x:v>
      </x:c>
      <x:c r="Q1357" s="8" t="s">
        <x:v>45</x:v>
      </x:c>
      <x:c r="R1357" s="8" t="s">
        <x:v>3473</x:v>
      </x:c>
      <x:c r="S1357" s="8"/>
      <x:c r="T1357" s="8" t="s">
        <x:v>27</x:v>
      </x:c>
      <x:c r="U1357" s="8" t="s">
        <x:v>3474</x:v>
      </x:c>
      <x:c r="V1357" s="8" t="s">
        <x:v>3475</x:v>
      </x:c>
    </x:row>
    <x:row r="1358" ht="60" hidden="0" customHeight="1">
      <x:c r="A1358" s="8" t="s">
        <x:v>3978</x:v>
      </x:c>
      <x:c r="B1358" s="8" t="s">
        <x:v>3860</x:v>
      </x:c>
      <x:c r="C1358" s="8"/>
      <x:c r="D1358" s="8" t="s">
        <x:v>3979</x:v>
      </x:c>
      <x:c r="E1358" s="8" t="s">
        <x:v>3980</x:v>
      </x:c>
      <x:c r="F1358" s="8" t="s">
        <x:v>3862</x:v>
      </x:c>
      <x:c r="G1358" s="8" t="s">
        <x:v>109</x:v>
      </x:c>
      <x:c r="H1358" s="8" t="s">
        <x:v>3863</x:v>
      </x:c>
      <x:c r="I1358" s="8" t="s">
        <x:v>3864</x:v>
      </x:c>
      <x:c r="J1358" s="8" t="s">
        <x:v>3471</x:v>
      </x:c>
      <x:c r="K1358" s="8" t="s">
        <x:v>3981</x:v>
      </x:c>
      <x:c r="L1358" s="8" t="s">
        <x:v>3981</x:v>
      </x:c>
      <x:c r="M1358" s="8"/>
      <x:c r="N1358" s="8"/>
      <x:c r="O1358" s="8" t="s">
        <x:v>1622</x:v>
      </x:c>
      <x:c r="P1358" s="8" t="s">
        <x:v>115</x:v>
      </x:c>
      <x:c r="Q1358" s="8" t="s">
        <x:v>45</x:v>
      </x:c>
      <x:c r="R1358" s="8" t="s">
        <x:v>3473</x:v>
      </x:c>
      <x:c r="S1358" s="8"/>
      <x:c r="T1358" s="8" t="s">
        <x:v>27</x:v>
      </x:c>
      <x:c r="U1358" s="8" t="s">
        <x:v>3474</x:v>
      </x:c>
      <x:c r="V1358" s="8" t="s">
        <x:v>3475</x:v>
      </x:c>
    </x:row>
    <x:row r="1359" ht="60" hidden="0" customHeight="1">
      <x:c r="A1359" s="8" t="s">
        <x:v>3982</x:v>
      </x:c>
      <x:c r="B1359" s="8" t="s">
        <x:v>3860</x:v>
      </x:c>
      <x:c r="C1359" s="8"/>
      <x:c r="D1359" s="8" t="s">
        <x:v>3983</x:v>
      </x:c>
      <x:c r="E1359" s="8" t="s">
        <x:v>3984</x:v>
      </x:c>
      <x:c r="F1359" s="8" t="s">
        <x:v>3862</x:v>
      </x:c>
      <x:c r="G1359" s="8" t="s">
        <x:v>109</x:v>
      </x:c>
      <x:c r="H1359" s="8" t="s">
        <x:v>3863</x:v>
      </x:c>
      <x:c r="I1359" s="8" t="s">
        <x:v>3864</x:v>
      </x:c>
      <x:c r="J1359" s="8" t="s">
        <x:v>3471</x:v>
      </x:c>
      <x:c r="K1359" s="8" t="s">
        <x:v>3985</x:v>
      </x:c>
      <x:c r="L1359" s="8" t="s">
        <x:v>3985</x:v>
      </x:c>
      <x:c r="M1359" s="8"/>
      <x:c r="N1359" s="8" t="s">
        <x:v>3814</x:v>
      </x:c>
      <x:c r="O1359" s="8" t="s">
        <x:v>1622</x:v>
      </x:c>
      <x:c r="P1359" s="8" t="s">
        <x:v>115</x:v>
      </x:c>
      <x:c r="Q1359" s="8" t="s">
        <x:v>45</x:v>
      </x:c>
      <x:c r="R1359" s="8" t="s">
        <x:v>3473</x:v>
      </x:c>
      <x:c r="S1359" s="8"/>
      <x:c r="T1359" s="8" t="s">
        <x:v>27</x:v>
      </x:c>
      <x:c r="U1359" s="8" t="s">
        <x:v>3474</x:v>
      </x:c>
      <x:c r="V1359" s="8" t="s">
        <x:v>3475</x:v>
      </x:c>
    </x:row>
    <x:row r="1360" ht="60" hidden="0" customHeight="1">
      <x:c r="A1360" s="8" t="s">
        <x:v>3986</x:v>
      </x:c>
      <x:c r="B1360" s="8" t="s">
        <x:v>3860</x:v>
      </x:c>
      <x:c r="C1360" s="8"/>
      <x:c r="D1360" s="8" t="s">
        <x:v>3987</x:v>
      </x:c>
      <x:c r="E1360" s="8" t="n">
        <x:v>7</x:v>
      </x:c>
      <x:c r="F1360" s="8" t="s">
        <x:v>3862</x:v>
      </x:c>
      <x:c r="G1360" s="8" t="s">
        <x:v>109</x:v>
      </x:c>
      <x:c r="H1360" s="8" t="s">
        <x:v>3863</x:v>
      </x:c>
      <x:c r="I1360" s="8" t="s">
        <x:v>3864</x:v>
      </x:c>
      <x:c r="J1360" s="8" t="s">
        <x:v>3471</x:v>
      </x:c>
      <x:c r="K1360" s="8" t="s">
        <x:v>3988</x:v>
      </x:c>
      <x:c r="L1360" s="8" t="s">
        <x:v>3988</x:v>
      </x:c>
      <x:c r="M1360" s="8"/>
      <x:c r="N1360" s="8"/>
      <x:c r="O1360" s="8" t="s">
        <x:v>1622</x:v>
      </x:c>
      <x:c r="P1360" s="8" t="s">
        <x:v>115</x:v>
      </x:c>
      <x:c r="Q1360" s="8" t="s">
        <x:v>45</x:v>
      </x:c>
      <x:c r="R1360" s="8" t="s">
        <x:v>3473</x:v>
      </x:c>
      <x:c r="S1360" s="8" t="s">
        <x:v>3989</x:v>
      </x:c>
      <x:c r="T1360" s="8" t="s">
        <x:v>27</x:v>
      </x:c>
      <x:c r="U1360" s="8" t="s">
        <x:v>3474</x:v>
      </x:c>
      <x:c r="V1360" s="8" t="s">
        <x:v>3475</x:v>
      </x:c>
    </x:row>
    <x:row r="1361" ht="60" hidden="0" customHeight="1">
      <x:c r="A1361" s="8" t="s">
        <x:v>3990</x:v>
      </x:c>
      <x:c r="B1361" s="8" t="s">
        <x:v>3860</x:v>
      </x:c>
      <x:c r="C1361" s="8"/>
      <x:c r="D1361" s="8" t="s">
        <x:v>3991</x:v>
      </x:c>
      <x:c r="E1361" s="8" t="n">
        <x:v>2</x:v>
      </x:c>
      <x:c r="F1361" s="8" t="s">
        <x:v>3862</x:v>
      </x:c>
      <x:c r="G1361" s="8" t="s">
        <x:v>109</x:v>
      </x:c>
      <x:c r="H1361" s="8" t="s">
        <x:v>3863</x:v>
      </x:c>
      <x:c r="I1361" s="8" t="s">
        <x:v>3864</x:v>
      </x:c>
      <x:c r="J1361" s="8" t="s">
        <x:v>3471</x:v>
      </x:c>
      <x:c r="K1361" s="8" t="s">
        <x:v>3988</x:v>
      </x:c>
      <x:c r="L1361" s="8" t="s">
        <x:v>3988</x:v>
      </x:c>
      <x:c r="M1361" s="8"/>
      <x:c r="N1361" s="8"/>
      <x:c r="O1361" s="8" t="s">
        <x:v>1622</x:v>
      </x:c>
      <x:c r="P1361" s="8" t="s">
        <x:v>115</x:v>
      </x:c>
      <x:c r="Q1361" s="8" t="s">
        <x:v>45</x:v>
      </x:c>
      <x:c r="R1361" s="8" t="s">
        <x:v>3473</x:v>
      </x:c>
      <x:c r="S1361" s="8"/>
      <x:c r="T1361" s="8" t="s">
        <x:v>27</x:v>
      </x:c>
      <x:c r="U1361" s="8" t="s">
        <x:v>3474</x:v>
      </x:c>
      <x:c r="V1361" s="8" t="s">
        <x:v>3475</x:v>
      </x:c>
    </x:row>
    <x:row r="1362" ht="36" hidden="0" customHeight="1">
      <x:c r="A1362" s="8" t="s">
        <x:v>3992</x:v>
      </x:c>
      <x:c r="B1362" s="8" t="s">
        <x:v>3993</x:v>
      </x:c>
      <x:c r="C1362" s="8"/>
      <x:c r="D1362" s="8" t="s">
        <x:v>1704</x:v>
      </x:c>
      <x:c r="E1362" s="8" t="s">
        <x:v>3994</x:v>
      </x:c>
      <x:c r="F1362" s="8" t="s">
        <x:v>3995</x:v>
      </x:c>
      <x:c r="G1362" s="8" t="s">
        <x:v>109</x:v>
      </x:c>
      <x:c r="H1362" s="8" t="s">
        <x:v>3996</x:v>
      </x:c>
      <x:c r="I1362" s="8" t="s">
        <x:v>3997</x:v>
      </x:c>
      <x:c r="J1362" s="8" t="s">
        <x:v>112</x:v>
      </x:c>
      <x:c r="K1362" s="8" t="s">
        <x:v>3998</x:v>
      </x:c>
      <x:c r="L1362" s="8" t="s">
        <x:v>3998</x:v>
      </x:c>
      <x:c r="M1362" s="8"/>
      <x:c r="N1362" s="8"/>
      <x:c r="O1362" s="8" t="s">
        <x:v>1622</x:v>
      </x:c>
      <x:c r="P1362" s="8" t="s">
        <x:v>115</x:v>
      </x:c>
      <x:c r="Q1362" s="8" t="s">
        <x:v>45</x:v>
      </x:c>
      <x:c r="R1362" s="8" t="s">
        <x:v>3999</x:v>
      </x:c>
      <x:c r="S1362" s="8"/>
      <x:c r="T1362" s="8" t="s">
        <x:v>27</x:v>
      </x:c>
      <x:c r="U1362" s="8" t="s">
        <x:v>3474</x:v>
      </x:c>
      <x:c r="V1362" s="8" t="s">
        <x:v>4000</x:v>
      </x:c>
    </x:row>
    <x:row r="1363" ht="36" hidden="0" customHeight="1">
      <x:c r="A1363" s="8" t="s">
        <x:v>4001</x:v>
      </x:c>
      <x:c r="B1363" s="8" t="s">
        <x:v>3993</x:v>
      </x:c>
      <x:c r="C1363" s="8"/>
      <x:c r="D1363" s="8" t="s">
        <x:v>4002</x:v>
      </x:c>
      <x:c r="E1363" s="8" t="s">
        <x:v>4003</x:v>
      </x:c>
      <x:c r="F1363" s="8" t="s">
        <x:v>3995</x:v>
      </x:c>
      <x:c r="G1363" s="8" t="s">
        <x:v>109</x:v>
      </x:c>
      <x:c r="H1363" s="8" t="s">
        <x:v>3996</x:v>
      </x:c>
      <x:c r="I1363" s="8" t="s">
        <x:v>3997</x:v>
      </x:c>
      <x:c r="J1363" s="8" t="s">
        <x:v>112</x:v>
      </x:c>
      <x:c r="K1363" s="8" t="s">
        <x:v>3998</x:v>
      </x:c>
      <x:c r="L1363" s="8" t="s">
        <x:v>3998</x:v>
      </x:c>
      <x:c r="M1363" s="8"/>
      <x:c r="N1363" s="8"/>
      <x:c r="O1363" s="8" t="s">
        <x:v>1622</x:v>
      </x:c>
      <x:c r="P1363" s="8" t="s">
        <x:v>115</x:v>
      </x:c>
      <x:c r="Q1363" s="8" t="s">
        <x:v>45</x:v>
      </x:c>
      <x:c r="R1363" s="8" t="s">
        <x:v>3999</x:v>
      </x:c>
      <x:c r="S1363" s="8"/>
      <x:c r="T1363" s="8" t="s">
        <x:v>27</x:v>
      </x:c>
      <x:c r="U1363" s="8" t="s">
        <x:v>3474</x:v>
      </x:c>
      <x:c r="V1363" s="8" t="s">
        <x:v>4000</x:v>
      </x:c>
    </x:row>
    <x:row r="1364" ht="36" hidden="0" customHeight="1">
      <x:c r="A1364" s="8" t="s">
        <x:v>4004</x:v>
      </x:c>
      <x:c r="B1364" s="8" t="s">
        <x:v>3993</x:v>
      </x:c>
      <x:c r="C1364" s="8"/>
      <x:c r="D1364" s="8" t="s">
        <x:v>1682</x:v>
      </x:c>
      <x:c r="E1364" s="8" t="n">
        <x:v>2</x:v>
      </x:c>
      <x:c r="F1364" s="8" t="s">
        <x:v>3995</x:v>
      </x:c>
      <x:c r="G1364" s="8" t="s">
        <x:v>109</x:v>
      </x:c>
      <x:c r="H1364" s="8" t="s">
        <x:v>3996</x:v>
      </x:c>
      <x:c r="I1364" s="8" t="s">
        <x:v>3997</x:v>
      </x:c>
      <x:c r="J1364" s="8" t="s">
        <x:v>112</x:v>
      </x:c>
      <x:c r="K1364" s="8" t="s">
        <x:v>3998</x:v>
      </x:c>
      <x:c r="L1364" s="8" t="s">
        <x:v>3998</x:v>
      </x:c>
      <x:c r="M1364" s="8"/>
      <x:c r="N1364" s="8"/>
      <x:c r="O1364" s="8" t="s">
        <x:v>1622</x:v>
      </x:c>
      <x:c r="P1364" s="8" t="s">
        <x:v>115</x:v>
      </x:c>
      <x:c r="Q1364" s="8" t="s">
        <x:v>45</x:v>
      </x:c>
      <x:c r="R1364" s="8" t="s">
        <x:v>3999</x:v>
      </x:c>
      <x:c r="S1364" s="8" t="s">
        <x:v>902</x:v>
      </x:c>
      <x:c r="T1364" s="8" t="s">
        <x:v>27</x:v>
      </x:c>
      <x:c r="U1364" s="8" t="s">
        <x:v>3474</x:v>
      </x:c>
      <x:c r="V1364" s="8" t="s">
        <x:v>4000</x:v>
      </x:c>
    </x:row>
    <x:row r="1365" ht="36" hidden="0" customHeight="1">
      <x:c r="A1365" s="8" t="s">
        <x:v>4005</x:v>
      </x:c>
      <x:c r="B1365" s="8" t="s">
        <x:v>3993</x:v>
      </x:c>
      <x:c r="C1365" s="8"/>
      <x:c r="D1365" s="8" t="s">
        <x:v>4006</x:v>
      </x:c>
      <x:c r="E1365" s="8" t="n">
        <x:v>100</x:v>
      </x:c>
      <x:c r="F1365" s="8" t="s">
        <x:v>3995</x:v>
      </x:c>
      <x:c r="G1365" s="8" t="s">
        <x:v>109</x:v>
      </x:c>
      <x:c r="H1365" s="8" t="s">
        <x:v>3996</x:v>
      </x:c>
      <x:c r="I1365" s="8" t="s">
        <x:v>3997</x:v>
      </x:c>
      <x:c r="J1365" s="8" t="s">
        <x:v>112</x:v>
      </x:c>
      <x:c r="K1365" s="8" t="s">
        <x:v>3998</x:v>
      </x:c>
      <x:c r="L1365" s="8" t="s">
        <x:v>3998</x:v>
      </x:c>
      <x:c r="M1365" s="8"/>
      <x:c r="N1365" s="8"/>
      <x:c r="O1365" s="8" t="s">
        <x:v>1622</x:v>
      </x:c>
      <x:c r="P1365" s="8" t="s">
        <x:v>115</x:v>
      </x:c>
      <x:c r="Q1365" s="8" t="s">
        <x:v>45</x:v>
      </x:c>
      <x:c r="R1365" s="8" t="s">
        <x:v>3999</x:v>
      </x:c>
      <x:c r="S1365" s="8"/>
      <x:c r="T1365" s="8" t="s">
        <x:v>27</x:v>
      </x:c>
      <x:c r="U1365" s="8" t="s">
        <x:v>3474</x:v>
      </x:c>
      <x:c r="V1365" s="8" t="s">
        <x:v>4000</x:v>
      </x:c>
    </x:row>
    <x:row r="1366" ht="36" hidden="0" customHeight="1">
      <x:c r="A1366" s="8" t="s">
        <x:v>4007</x:v>
      </x:c>
      <x:c r="B1366" s="8" t="s">
        <x:v>3993</x:v>
      </x:c>
      <x:c r="C1366" s="8"/>
      <x:c r="D1366" s="8" t="s">
        <x:v>4008</x:v>
      </x:c>
      <x:c r="E1366" s="8" t="n">
        <x:v>5</x:v>
      </x:c>
      <x:c r="F1366" s="8" t="s">
        <x:v>3995</x:v>
      </x:c>
      <x:c r="G1366" s="8" t="s">
        <x:v>109</x:v>
      </x:c>
      <x:c r="H1366" s="8" t="s">
        <x:v>3996</x:v>
      </x:c>
      <x:c r="I1366" s="8" t="s">
        <x:v>3997</x:v>
      </x:c>
      <x:c r="J1366" s="8" t="s">
        <x:v>112</x:v>
      </x:c>
      <x:c r="K1366" s="8" t="s">
        <x:v>3998</x:v>
      </x:c>
      <x:c r="L1366" s="8" t="s">
        <x:v>3998</x:v>
      </x:c>
      <x:c r="M1366" s="8"/>
      <x:c r="N1366" s="8"/>
      <x:c r="O1366" s="8" t="s">
        <x:v>1622</x:v>
      </x:c>
      <x:c r="P1366" s="8" t="s">
        <x:v>115</x:v>
      </x:c>
      <x:c r="Q1366" s="8" t="s">
        <x:v>45</x:v>
      </x:c>
      <x:c r="R1366" s="8" t="s">
        <x:v>3999</x:v>
      </x:c>
      <x:c r="S1366" s="8" t="s">
        <x:v>2379</x:v>
      </x:c>
      <x:c r="T1366" s="8" t="s">
        <x:v>27</x:v>
      </x:c>
      <x:c r="U1366" s="8" t="s">
        <x:v>3474</x:v>
      </x:c>
      <x:c r="V1366" s="8" t="s">
        <x:v>4000</x:v>
      </x:c>
    </x:row>
    <x:row r="1367" ht="36" hidden="0" customHeight="1">
      <x:c r="A1367" s="8" t="s">
        <x:v>4009</x:v>
      </x:c>
      <x:c r="B1367" s="8" t="s">
        <x:v>3993</x:v>
      </x:c>
      <x:c r="C1367" s="8"/>
      <x:c r="D1367" s="8" t="s">
        <x:v>1529</x:v>
      </x:c>
      <x:c r="E1367" s="8" t="s">
        <x:v>4010</x:v>
      </x:c>
      <x:c r="F1367" s="8" t="s">
        <x:v>3995</x:v>
      </x:c>
      <x:c r="G1367" s="8" t="s">
        <x:v>109</x:v>
      </x:c>
      <x:c r="H1367" s="8" t="s">
        <x:v>3996</x:v>
      </x:c>
      <x:c r="I1367" s="8" t="s">
        <x:v>3997</x:v>
      </x:c>
      <x:c r="J1367" s="8" t="s">
        <x:v>112</x:v>
      </x:c>
      <x:c r="K1367" s="8" t="s">
        <x:v>3998</x:v>
      </x:c>
      <x:c r="L1367" s="8" t="s">
        <x:v>3998</x:v>
      </x:c>
      <x:c r="M1367" s="8"/>
      <x:c r="N1367" s="8"/>
      <x:c r="O1367" s="8" t="s">
        <x:v>1622</x:v>
      </x:c>
      <x:c r="P1367" s="8" t="s">
        <x:v>115</x:v>
      </x:c>
      <x:c r="Q1367" s="8" t="s">
        <x:v>45</x:v>
      </x:c>
      <x:c r="R1367" s="8" t="s">
        <x:v>3999</x:v>
      </x:c>
      <x:c r="S1367" s="8"/>
      <x:c r="T1367" s="8" t="s">
        <x:v>27</x:v>
      </x:c>
      <x:c r="U1367" s="8" t="s">
        <x:v>3474</x:v>
      </x:c>
      <x:c r="V1367" s="8" t="s">
        <x:v>4000</x:v>
      </x:c>
    </x:row>
    <x:row r="1368" ht="36" hidden="0" customHeight="1">
      <x:c r="A1368" s="8" t="s">
        <x:v>4011</x:v>
      </x:c>
      <x:c r="B1368" s="8" t="s">
        <x:v>3993</x:v>
      </x:c>
      <x:c r="C1368" s="8"/>
      <x:c r="D1368" s="8" t="s">
        <x:v>4012</x:v>
      </x:c>
      <x:c r="E1368" s="8" t="s">
        <x:v>4013</x:v>
      </x:c>
      <x:c r="F1368" s="8" t="s">
        <x:v>3995</x:v>
      </x:c>
      <x:c r="G1368" s="8" t="s">
        <x:v>109</x:v>
      </x:c>
      <x:c r="H1368" s="8" t="s">
        <x:v>3996</x:v>
      </x:c>
      <x:c r="I1368" s="8" t="s">
        <x:v>3997</x:v>
      </x:c>
      <x:c r="J1368" s="8" t="s">
        <x:v>112</x:v>
      </x:c>
      <x:c r="K1368" s="8" t="s">
        <x:v>3998</x:v>
      </x:c>
      <x:c r="L1368" s="8" t="s">
        <x:v>3998</x:v>
      </x:c>
      <x:c r="M1368" s="8"/>
      <x:c r="N1368" s="8"/>
      <x:c r="O1368" s="8" t="s">
        <x:v>1622</x:v>
      </x:c>
      <x:c r="P1368" s="8" t="s">
        <x:v>115</x:v>
      </x:c>
      <x:c r="Q1368" s="8" t="s">
        <x:v>45</x:v>
      </x:c>
      <x:c r="R1368" s="8" t="s">
        <x:v>3999</x:v>
      </x:c>
      <x:c r="S1368" s="8"/>
      <x:c r="T1368" s="8" t="s">
        <x:v>27</x:v>
      </x:c>
      <x:c r="U1368" s="8" t="s">
        <x:v>3474</x:v>
      </x:c>
      <x:c r="V1368" s="8" t="s">
        <x:v>4000</x:v>
      </x:c>
    </x:row>
    <x:row r="1369" ht="36" hidden="0" customHeight="1">
      <x:c r="A1369" s="8" t="s">
        <x:v>4014</x:v>
      </x:c>
      <x:c r="B1369" s="8" t="s">
        <x:v>3993</x:v>
      </x:c>
      <x:c r="C1369" s="8"/>
      <x:c r="D1369" s="8" t="s">
        <x:v>4015</x:v>
      </x:c>
      <x:c r="E1369" s="8" t="s">
        <x:v>4016</x:v>
      </x:c>
      <x:c r="F1369" s="8" t="s">
        <x:v>3995</x:v>
      </x:c>
      <x:c r="G1369" s="8" t="s">
        <x:v>109</x:v>
      </x:c>
      <x:c r="H1369" s="8" t="s">
        <x:v>3996</x:v>
      </x:c>
      <x:c r="I1369" s="8" t="s">
        <x:v>3997</x:v>
      </x:c>
      <x:c r="J1369" s="8" t="s">
        <x:v>112</x:v>
      </x:c>
      <x:c r="K1369" s="8" t="s">
        <x:v>3998</x:v>
      </x:c>
      <x:c r="L1369" s="8" t="s">
        <x:v>3998</x:v>
      </x:c>
      <x:c r="M1369" s="8"/>
      <x:c r="N1369" s="8"/>
      <x:c r="O1369" s="8" t="s">
        <x:v>1622</x:v>
      </x:c>
      <x:c r="P1369" s="8" t="s">
        <x:v>115</x:v>
      </x:c>
      <x:c r="Q1369" s="8" t="s">
        <x:v>45</x:v>
      </x:c>
      <x:c r="R1369" s="8" t="s">
        <x:v>3999</x:v>
      </x:c>
      <x:c r="S1369" s="8"/>
      <x:c r="T1369" s="8" t="s">
        <x:v>27</x:v>
      </x:c>
      <x:c r="U1369" s="8" t="s">
        <x:v>3474</x:v>
      </x:c>
      <x:c r="V1369" s="8" t="s">
        <x:v>4000</x:v>
      </x:c>
    </x:row>
    <x:row r="1370" ht="36" hidden="0" customHeight="1">
      <x:c r="A1370" s="8" t="s">
        <x:v>4017</x:v>
      </x:c>
      <x:c r="B1370" s="8" t="s">
        <x:v>3993</x:v>
      </x:c>
      <x:c r="C1370" s="8"/>
      <x:c r="D1370" s="8" t="s">
        <x:v>4018</x:v>
      </x:c>
      <x:c r="E1370" s="8" t="s">
        <x:v>4019</x:v>
      </x:c>
      <x:c r="F1370" s="8" t="s">
        <x:v>3995</x:v>
      </x:c>
      <x:c r="G1370" s="8" t="s">
        <x:v>109</x:v>
      </x:c>
      <x:c r="H1370" s="8" t="s">
        <x:v>3996</x:v>
      </x:c>
      <x:c r="I1370" s="8" t="s">
        <x:v>3997</x:v>
      </x:c>
      <x:c r="J1370" s="8" t="s">
        <x:v>112</x:v>
      </x:c>
      <x:c r="K1370" s="8" t="s">
        <x:v>3998</x:v>
      </x:c>
      <x:c r="L1370" s="8" t="s">
        <x:v>3998</x:v>
      </x:c>
      <x:c r="M1370" s="8"/>
      <x:c r="N1370" s="8"/>
      <x:c r="O1370" s="8" t="s">
        <x:v>1622</x:v>
      </x:c>
      <x:c r="P1370" s="8" t="s">
        <x:v>115</x:v>
      </x:c>
      <x:c r="Q1370" s="8" t="s">
        <x:v>45</x:v>
      </x:c>
      <x:c r="R1370" s="8" t="s">
        <x:v>3999</x:v>
      </x:c>
      <x:c r="S1370" s="8"/>
      <x:c r="T1370" s="8" t="s">
        <x:v>27</x:v>
      </x:c>
      <x:c r="U1370" s="8" t="s">
        <x:v>3474</x:v>
      </x:c>
      <x:c r="V1370" s="8" t="s">
        <x:v>4000</x:v>
      </x:c>
    </x:row>
    <x:row r="1371" ht="36" hidden="0" customHeight="1">
      <x:c r="A1371" s="8" t="s">
        <x:v>4020</x:v>
      </x:c>
      <x:c r="B1371" s="8" t="s">
        <x:v>3993</x:v>
      </x:c>
      <x:c r="C1371" s="8"/>
      <x:c r="D1371" s="8" t="s">
        <x:v>1775</x:v>
      </x:c>
      <x:c r="E1371" s="8" t="s">
        <x:v>4021</x:v>
      </x:c>
      <x:c r="F1371" s="8" t="s">
        <x:v>3995</x:v>
      </x:c>
      <x:c r="G1371" s="8" t="s">
        <x:v>109</x:v>
      </x:c>
      <x:c r="H1371" s="8" t="s">
        <x:v>3996</x:v>
      </x:c>
      <x:c r="I1371" s="8" t="s">
        <x:v>3997</x:v>
      </x:c>
      <x:c r="J1371" s="8" t="s">
        <x:v>112</x:v>
      </x:c>
      <x:c r="K1371" s="8" t="s">
        <x:v>1356</x:v>
      </x:c>
      <x:c r="L1371" s="8" t="s">
        <x:v>1356</x:v>
      </x:c>
      <x:c r="M1371" s="8"/>
      <x:c r="N1371" s="8"/>
      <x:c r="O1371" s="8" t="s">
        <x:v>1622</x:v>
      </x:c>
      <x:c r="P1371" s="8" t="s">
        <x:v>115</x:v>
      </x:c>
      <x:c r="Q1371" s="8" t="s">
        <x:v>45</x:v>
      </x:c>
      <x:c r="R1371" s="8" t="s">
        <x:v>3999</x:v>
      </x:c>
      <x:c r="S1371" s="8"/>
      <x:c r="T1371" s="8" t="s">
        <x:v>27</x:v>
      </x:c>
      <x:c r="U1371" s="8" t="s">
        <x:v>3474</x:v>
      </x:c>
      <x:c r="V1371" s="8" t="s">
        <x:v>4000</x:v>
      </x:c>
    </x:row>
    <x:row r="1372" ht="36" hidden="0" customHeight="1">
      <x:c r="A1372" s="8" t="s">
        <x:v>4022</x:v>
      </x:c>
      <x:c r="B1372" s="8" t="s">
        <x:v>3993</x:v>
      </x:c>
      <x:c r="C1372" s="8"/>
      <x:c r="D1372" s="8" t="s">
        <x:v>1864</x:v>
      </x:c>
      <x:c r="E1372" s="8" t="s">
        <x:v>4023</x:v>
      </x:c>
      <x:c r="F1372" s="8" t="s">
        <x:v>3995</x:v>
      </x:c>
      <x:c r="G1372" s="8" t="s">
        <x:v>109</x:v>
      </x:c>
      <x:c r="H1372" s="8" t="s">
        <x:v>3996</x:v>
      </x:c>
      <x:c r="I1372" s="8" t="s">
        <x:v>3997</x:v>
      </x:c>
      <x:c r="J1372" s="8" t="s">
        <x:v>112</x:v>
      </x:c>
      <x:c r="K1372" s="8" t="s">
        <x:v>1356</x:v>
      </x:c>
      <x:c r="L1372" s="8" t="s">
        <x:v>1356</x:v>
      </x:c>
      <x:c r="M1372" s="8"/>
      <x:c r="N1372" s="8"/>
      <x:c r="O1372" s="8" t="s">
        <x:v>1622</x:v>
      </x:c>
      <x:c r="P1372" s="8" t="s">
        <x:v>115</x:v>
      </x:c>
      <x:c r="Q1372" s="8" t="s">
        <x:v>45</x:v>
      </x:c>
      <x:c r="R1372" s="8" t="s">
        <x:v>3999</x:v>
      </x:c>
      <x:c r="S1372" s="8"/>
      <x:c r="T1372" s="8" t="s">
        <x:v>27</x:v>
      </x:c>
      <x:c r="U1372" s="8" t="s">
        <x:v>3474</x:v>
      </x:c>
      <x:c r="V1372" s="8" t="s">
        <x:v>4000</x:v>
      </x:c>
    </x:row>
    <x:row r="1373" ht="36" hidden="0" customHeight="1">
      <x:c r="A1373" s="8" t="s">
        <x:v>4024</x:v>
      </x:c>
      <x:c r="B1373" s="8" t="s">
        <x:v>3993</x:v>
      </x:c>
      <x:c r="C1373" s="8"/>
      <x:c r="D1373" s="8" t="s">
        <x:v>4025</x:v>
      </x:c>
      <x:c r="E1373" s="8" t="s">
        <x:v>4026</x:v>
      </x:c>
      <x:c r="F1373" s="8" t="s">
        <x:v>3995</x:v>
      </x:c>
      <x:c r="G1373" s="8" t="s">
        <x:v>109</x:v>
      </x:c>
      <x:c r="H1373" s="8" t="s">
        <x:v>3996</x:v>
      </x:c>
      <x:c r="I1373" s="8" t="s">
        <x:v>3997</x:v>
      </x:c>
      <x:c r="J1373" s="8" t="s">
        <x:v>112</x:v>
      </x:c>
      <x:c r="K1373" s="8" t="s">
        <x:v>1356</x:v>
      </x:c>
      <x:c r="L1373" s="8" t="s">
        <x:v>1356</x:v>
      </x:c>
      <x:c r="M1373" s="8"/>
      <x:c r="N1373" s="8"/>
      <x:c r="O1373" s="8" t="s">
        <x:v>1622</x:v>
      </x:c>
      <x:c r="P1373" s="8" t="s">
        <x:v>115</x:v>
      </x:c>
      <x:c r="Q1373" s="8" t="s">
        <x:v>45</x:v>
      </x:c>
      <x:c r="R1373" s="8" t="s">
        <x:v>3999</x:v>
      </x:c>
      <x:c r="S1373" s="8"/>
      <x:c r="T1373" s="8" t="s">
        <x:v>27</x:v>
      </x:c>
      <x:c r="U1373" s="8" t="s">
        <x:v>3474</x:v>
      </x:c>
      <x:c r="V1373" s="8" t="s">
        <x:v>4000</x:v>
      </x:c>
    </x:row>
    <x:row r="1374" ht="36" hidden="0" customHeight="1">
      <x:c r="A1374" s="8" t="s">
        <x:v>4027</x:v>
      </x:c>
      <x:c r="B1374" s="8" t="s">
        <x:v>3993</x:v>
      </x:c>
      <x:c r="C1374" s="8"/>
      <x:c r="D1374" s="8" t="s">
        <x:v>4028</x:v>
      </x:c>
      <x:c r="E1374" s="8" t="s">
        <x:v>4029</x:v>
      </x:c>
      <x:c r="F1374" s="8" t="s">
        <x:v>3995</x:v>
      </x:c>
      <x:c r="G1374" s="8" t="s">
        <x:v>109</x:v>
      </x:c>
      <x:c r="H1374" s="8" t="s">
        <x:v>3996</x:v>
      </x:c>
      <x:c r="I1374" s="8" t="s">
        <x:v>3997</x:v>
      </x:c>
      <x:c r="J1374" s="8" t="s">
        <x:v>112</x:v>
      </x:c>
      <x:c r="K1374" s="8" t="s">
        <x:v>1356</x:v>
      </x:c>
      <x:c r="L1374" s="8" t="s">
        <x:v>1356</x:v>
      </x:c>
      <x:c r="M1374" s="8"/>
      <x:c r="N1374" s="8"/>
      <x:c r="O1374" s="8" t="s">
        <x:v>1622</x:v>
      </x:c>
      <x:c r="P1374" s="8" t="s">
        <x:v>115</x:v>
      </x:c>
      <x:c r="Q1374" s="8" t="s">
        <x:v>45</x:v>
      </x:c>
      <x:c r="R1374" s="8" t="s">
        <x:v>3999</x:v>
      </x:c>
      <x:c r="S1374" s="8"/>
      <x:c r="T1374" s="8" t="s">
        <x:v>27</x:v>
      </x:c>
      <x:c r="U1374" s="8" t="s">
        <x:v>3474</x:v>
      </x:c>
      <x:c r="V1374" s="8" t="s">
        <x:v>4000</x:v>
      </x:c>
    </x:row>
    <x:row r="1375" ht="36" hidden="0" customHeight="1">
      <x:c r="A1375" s="8" t="s">
        <x:v>4030</x:v>
      </x:c>
      <x:c r="B1375" s="8" t="s">
        <x:v>3993</x:v>
      </x:c>
      <x:c r="C1375" s="8"/>
      <x:c r="D1375" s="8" t="s">
        <x:v>4031</x:v>
      </x:c>
      <x:c r="E1375" s="8" t="s">
        <x:v>4032</x:v>
      </x:c>
      <x:c r="F1375" s="8" t="s">
        <x:v>3995</x:v>
      </x:c>
      <x:c r="G1375" s="8" t="s">
        <x:v>109</x:v>
      </x:c>
      <x:c r="H1375" s="8" t="s">
        <x:v>3996</x:v>
      </x:c>
      <x:c r="I1375" s="8" t="s">
        <x:v>3997</x:v>
      </x:c>
      <x:c r="J1375" s="8" t="s">
        <x:v>112</x:v>
      </x:c>
      <x:c r="K1375" s="8" t="s">
        <x:v>1301</x:v>
      </x:c>
      <x:c r="L1375" s="8" t="s">
        <x:v>1301</x:v>
      </x:c>
      <x:c r="M1375" s="8"/>
      <x:c r="N1375" s="8"/>
      <x:c r="O1375" s="8" t="s">
        <x:v>1622</x:v>
      </x:c>
      <x:c r="P1375" s="8" t="s">
        <x:v>115</x:v>
      </x:c>
      <x:c r="Q1375" s="8" t="s">
        <x:v>45</x:v>
      </x:c>
      <x:c r="R1375" s="8" t="s">
        <x:v>3999</x:v>
      </x:c>
      <x:c r="S1375" s="8"/>
      <x:c r="T1375" s="8" t="s">
        <x:v>27</x:v>
      </x:c>
      <x:c r="U1375" s="8" t="s">
        <x:v>3474</x:v>
      </x:c>
      <x:c r="V1375" s="8" t="s">
        <x:v>4000</x:v>
      </x:c>
    </x:row>
    <x:row r="1376" ht="36" hidden="0" customHeight="1">
      <x:c r="A1376" s="8" t="s">
        <x:v>4033</x:v>
      </x:c>
      <x:c r="B1376" s="8" t="s">
        <x:v>3993</x:v>
      </x:c>
      <x:c r="C1376" s="8"/>
      <x:c r="D1376" s="8" t="s">
        <x:v>4034</x:v>
      </x:c>
      <x:c r="E1376" s="8" t="s">
        <x:v>4035</x:v>
      </x:c>
      <x:c r="F1376" s="8" t="s">
        <x:v>3995</x:v>
      </x:c>
      <x:c r="G1376" s="8" t="s">
        <x:v>109</x:v>
      </x:c>
      <x:c r="H1376" s="8" t="s">
        <x:v>3996</x:v>
      </x:c>
      <x:c r="I1376" s="8" t="s">
        <x:v>3997</x:v>
      </x:c>
      <x:c r="J1376" s="8" t="s">
        <x:v>112</x:v>
      </x:c>
      <x:c r="K1376" s="8" t="s">
        <x:v>1301</x:v>
      </x:c>
      <x:c r="L1376" s="8" t="s">
        <x:v>1301</x:v>
      </x:c>
      <x:c r="M1376" s="8"/>
      <x:c r="N1376" s="8"/>
      <x:c r="O1376" s="8" t="s">
        <x:v>1622</x:v>
      </x:c>
      <x:c r="P1376" s="8" t="s">
        <x:v>115</x:v>
      </x:c>
      <x:c r="Q1376" s="8" t="s">
        <x:v>45</x:v>
      </x:c>
      <x:c r="R1376" s="8" t="s">
        <x:v>3999</x:v>
      </x:c>
      <x:c r="S1376" s="8"/>
      <x:c r="T1376" s="8" t="s">
        <x:v>27</x:v>
      </x:c>
      <x:c r="U1376" s="8" t="s">
        <x:v>3474</x:v>
      </x:c>
      <x:c r="V1376" s="8" t="s">
        <x:v>4000</x:v>
      </x:c>
    </x:row>
    <x:row r="1377" ht="36" hidden="0" customHeight="1">
      <x:c r="A1377" s="8" t="s">
        <x:v>4036</x:v>
      </x:c>
      <x:c r="B1377" s="8" t="s">
        <x:v>3993</x:v>
      </x:c>
      <x:c r="C1377" s="8"/>
      <x:c r="D1377" s="8" t="s">
        <x:v>4037</x:v>
      </x:c>
      <x:c r="E1377" s="8" t="n">
        <x:v>20</x:v>
      </x:c>
      <x:c r="F1377" s="8" t="s">
        <x:v>3995</x:v>
      </x:c>
      <x:c r="G1377" s="8" t="s">
        <x:v>109</x:v>
      </x:c>
      <x:c r="H1377" s="8" t="s">
        <x:v>3996</x:v>
      </x:c>
      <x:c r="I1377" s="8" t="s">
        <x:v>3997</x:v>
      </x:c>
      <x:c r="J1377" s="8" t="s">
        <x:v>112</x:v>
      </x:c>
      <x:c r="K1377" s="8" t="s">
        <x:v>1301</x:v>
      </x:c>
      <x:c r="L1377" s="8" t="s">
        <x:v>1301</x:v>
      </x:c>
      <x:c r="M1377" s="8"/>
      <x:c r="N1377" s="8"/>
      <x:c r="O1377" s="8" t="s">
        <x:v>1622</x:v>
      </x:c>
      <x:c r="P1377" s="8" t="s">
        <x:v>115</x:v>
      </x:c>
      <x:c r="Q1377" s="8" t="s">
        <x:v>45</x:v>
      </x:c>
      <x:c r="R1377" s="8" t="s">
        <x:v>3999</x:v>
      </x:c>
      <x:c r="S1377" s="8" t="s">
        <x:v>4038</x:v>
      </x:c>
      <x:c r="T1377" s="8" t="s">
        <x:v>27</x:v>
      </x:c>
      <x:c r="U1377" s="8" t="s">
        <x:v>3474</x:v>
      </x:c>
      <x:c r="V1377" s="8" t="s">
        <x:v>4000</x:v>
      </x:c>
    </x:row>
    <x:row r="1378" ht="36" hidden="0" customHeight="1">
      <x:c r="A1378" s="8" t="s">
        <x:v>4039</x:v>
      </x:c>
      <x:c r="B1378" s="8" t="s">
        <x:v>3993</x:v>
      </x:c>
      <x:c r="C1378" s="8"/>
      <x:c r="D1378" s="8" t="s">
        <x:v>4040</x:v>
      </x:c>
      <x:c r="E1378" s="8" t="n">
        <x:v>10</x:v>
      </x:c>
      <x:c r="F1378" s="8" t="s">
        <x:v>3995</x:v>
      </x:c>
      <x:c r="G1378" s="8" t="s">
        <x:v>109</x:v>
      </x:c>
      <x:c r="H1378" s="8" t="s">
        <x:v>3996</x:v>
      </x:c>
      <x:c r="I1378" s="8" t="s">
        <x:v>3997</x:v>
      </x:c>
      <x:c r="J1378" s="8" t="s">
        <x:v>112</x:v>
      </x:c>
      <x:c r="K1378" s="8" t="s">
        <x:v>1301</x:v>
      </x:c>
      <x:c r="L1378" s="8" t="s">
        <x:v>1301</x:v>
      </x:c>
      <x:c r="M1378" s="8"/>
      <x:c r="N1378" s="8"/>
      <x:c r="O1378" s="8" t="s">
        <x:v>1622</x:v>
      </x:c>
      <x:c r="P1378" s="8" t="s">
        <x:v>115</x:v>
      </x:c>
      <x:c r="Q1378" s="8" t="s">
        <x:v>45</x:v>
      </x:c>
      <x:c r="R1378" s="8" t="s">
        <x:v>3999</x:v>
      </x:c>
      <x:c r="S1378" s="8" t="s">
        <x:v>4038</x:v>
      </x:c>
      <x:c r="T1378" s="8" t="s">
        <x:v>27</x:v>
      </x:c>
      <x:c r="U1378" s="8" t="s">
        <x:v>3474</x:v>
      </x:c>
      <x:c r="V1378" s="8" t="s">
        <x:v>4000</x:v>
      </x:c>
    </x:row>
    <x:row r="1379" ht="36" hidden="0" customHeight="1">
      <x:c r="A1379" s="8" t="s">
        <x:v>4041</x:v>
      </x:c>
      <x:c r="B1379" s="8" t="s">
        <x:v>3993</x:v>
      </x:c>
      <x:c r="C1379" s="8"/>
      <x:c r="D1379" s="8" t="s">
        <x:v>4042</x:v>
      </x:c>
      <x:c r="E1379" s="8" t="n">
        <x:v>10</x:v>
      </x:c>
      <x:c r="F1379" s="8" t="s">
        <x:v>3995</x:v>
      </x:c>
      <x:c r="G1379" s="8" t="s">
        <x:v>109</x:v>
      </x:c>
      <x:c r="H1379" s="8" t="s">
        <x:v>3996</x:v>
      </x:c>
      <x:c r="I1379" s="8" t="s">
        <x:v>3997</x:v>
      </x:c>
      <x:c r="J1379" s="8" t="s">
        <x:v>112</x:v>
      </x:c>
      <x:c r="K1379" s="8" t="s">
        <x:v>1301</x:v>
      </x:c>
      <x:c r="L1379" s="8" t="s">
        <x:v>1301</x:v>
      </x:c>
      <x:c r="M1379" s="8"/>
      <x:c r="N1379" s="8"/>
      <x:c r="O1379" s="8" t="s">
        <x:v>1622</x:v>
      </x:c>
      <x:c r="P1379" s="8" t="s">
        <x:v>115</x:v>
      </x:c>
      <x:c r="Q1379" s="8" t="s">
        <x:v>45</x:v>
      </x:c>
      <x:c r="R1379" s="8" t="s">
        <x:v>3999</x:v>
      </x:c>
      <x:c r="S1379" s="8" t="s">
        <x:v>4043</x:v>
      </x:c>
      <x:c r="T1379" s="8" t="s">
        <x:v>27</x:v>
      </x:c>
      <x:c r="U1379" s="8" t="s">
        <x:v>3474</x:v>
      </x:c>
      <x:c r="V1379" s="8" t="s">
        <x:v>4000</x:v>
      </x:c>
    </x:row>
    <x:row r="1380" ht="36" hidden="0" customHeight="1">
      <x:c r="A1380" s="8" t="s">
        <x:v>4044</x:v>
      </x:c>
      <x:c r="B1380" s="8" t="s">
        <x:v>3993</x:v>
      </x:c>
      <x:c r="C1380" s="8"/>
      <x:c r="D1380" s="8" t="s">
        <x:v>1794</x:v>
      </x:c>
      <x:c r="E1380" s="8" t="n">
        <x:v>31</x:v>
      </x:c>
      <x:c r="F1380" s="8" t="s">
        <x:v>3995</x:v>
      </x:c>
      <x:c r="G1380" s="8" t="s">
        <x:v>109</x:v>
      </x:c>
      <x:c r="H1380" s="8" t="s">
        <x:v>3996</x:v>
      </x:c>
      <x:c r="I1380" s="8" t="s">
        <x:v>3997</x:v>
      </x:c>
      <x:c r="J1380" s="8" t="s">
        <x:v>112</x:v>
      </x:c>
      <x:c r="K1380" s="8" t="s">
        <x:v>1301</x:v>
      </x:c>
      <x:c r="L1380" s="8" t="s">
        <x:v>1301</x:v>
      </x:c>
      <x:c r="M1380" s="8"/>
      <x:c r="N1380" s="8"/>
      <x:c r="O1380" s="8" t="s">
        <x:v>1622</x:v>
      </x:c>
      <x:c r="P1380" s="8" t="s">
        <x:v>115</x:v>
      </x:c>
      <x:c r="Q1380" s="8" t="s">
        <x:v>45</x:v>
      </x:c>
      <x:c r="R1380" s="8" t="s">
        <x:v>3999</x:v>
      </x:c>
      <x:c r="S1380" s="8" t="s">
        <x:v>914</x:v>
      </x:c>
      <x:c r="T1380" s="8" t="s">
        <x:v>27</x:v>
      </x:c>
      <x:c r="U1380" s="8" t="s">
        <x:v>3474</x:v>
      </x:c>
      <x:c r="V1380" s="8" t="s">
        <x:v>4000</x:v>
      </x:c>
    </x:row>
    <x:row r="1381" ht="36" hidden="0" customHeight="1">
      <x:c r="A1381" s="8" t="s">
        <x:v>4045</x:v>
      </x:c>
      <x:c r="B1381" s="8" t="s">
        <x:v>3993</x:v>
      </x:c>
      <x:c r="C1381" s="8"/>
      <x:c r="D1381" s="8" t="s">
        <x:v>4046</x:v>
      </x:c>
      <x:c r="E1381" s="8" t="s">
        <x:v>4047</x:v>
      </x:c>
      <x:c r="F1381" s="8" t="s">
        <x:v>3995</x:v>
      </x:c>
      <x:c r="G1381" s="8" t="s">
        <x:v>109</x:v>
      </x:c>
      <x:c r="H1381" s="8" t="s">
        <x:v>3996</x:v>
      </x:c>
      <x:c r="I1381" s="8" t="s">
        <x:v>3997</x:v>
      </x:c>
      <x:c r="J1381" s="8" t="s">
        <x:v>112</x:v>
      </x:c>
      <x:c r="K1381" s="8" t="s">
        <x:v>1132</x:v>
      </x:c>
      <x:c r="L1381" s="8" t="s">
        <x:v>1132</x:v>
      </x:c>
      <x:c r="M1381" s="8"/>
      <x:c r="N1381" s="8"/>
      <x:c r="O1381" s="8" t="s">
        <x:v>1622</x:v>
      </x:c>
      <x:c r="P1381" s="8" t="s">
        <x:v>115</x:v>
      </x:c>
      <x:c r="Q1381" s="8" t="s">
        <x:v>45</x:v>
      </x:c>
      <x:c r="R1381" s="8" t="s">
        <x:v>3999</x:v>
      </x:c>
      <x:c r="S1381" s="8"/>
      <x:c r="T1381" s="8" t="s">
        <x:v>27</x:v>
      </x:c>
      <x:c r="U1381" s="8" t="s">
        <x:v>3474</x:v>
      </x:c>
      <x:c r="V1381" s="8" t="s">
        <x:v>4000</x:v>
      </x:c>
    </x:row>
    <x:row r="1382" ht="36" hidden="0" customHeight="1">
      <x:c r="A1382" s="8" t="s">
        <x:v>4048</x:v>
      </x:c>
      <x:c r="B1382" s="8" t="s">
        <x:v>3993</x:v>
      </x:c>
      <x:c r="C1382" s="8"/>
      <x:c r="D1382" s="8" t="s">
        <x:v>4049</x:v>
      </x:c>
      <x:c r="E1382" s="8" t="s">
        <x:v>4050</x:v>
      </x:c>
      <x:c r="F1382" s="8" t="s">
        <x:v>3995</x:v>
      </x:c>
      <x:c r="G1382" s="8" t="s">
        <x:v>109</x:v>
      </x:c>
      <x:c r="H1382" s="8" t="s">
        <x:v>3996</x:v>
      </x:c>
      <x:c r="I1382" s="8" t="s">
        <x:v>3997</x:v>
      </x:c>
      <x:c r="J1382" s="8" t="s">
        <x:v>112</x:v>
      </x:c>
      <x:c r="K1382" s="8" t="s">
        <x:v>4051</x:v>
      </x:c>
      <x:c r="L1382" s="8" t="s">
        <x:v>4051</x:v>
      </x:c>
      <x:c r="M1382" s="8"/>
      <x:c r="N1382" s="8"/>
      <x:c r="O1382" s="8" t="s">
        <x:v>1622</x:v>
      </x:c>
      <x:c r="P1382" s="8" t="s">
        <x:v>115</x:v>
      </x:c>
      <x:c r="Q1382" s="8" t="s">
        <x:v>45</x:v>
      </x:c>
      <x:c r="R1382" s="8" t="s">
        <x:v>3999</x:v>
      </x:c>
      <x:c r="S1382" s="8"/>
      <x:c r="T1382" s="8" t="s">
        <x:v>27</x:v>
      </x:c>
      <x:c r="U1382" s="8" t="s">
        <x:v>3474</x:v>
      </x:c>
      <x:c r="V1382" s="8" t="s">
        <x:v>4000</x:v>
      </x:c>
    </x:row>
    <x:row r="1383" ht="36" hidden="0" customHeight="1">
      <x:c r="A1383" s="8" t="s">
        <x:v>4052</x:v>
      </x:c>
      <x:c r="B1383" s="8" t="s">
        <x:v>3993</x:v>
      </x:c>
      <x:c r="C1383" s="8"/>
      <x:c r="D1383" s="8" t="s">
        <x:v>4053</x:v>
      </x:c>
      <x:c r="E1383" s="8" t="n">
        <x:v>97</x:v>
      </x:c>
      <x:c r="F1383" s="8" t="s">
        <x:v>3995</x:v>
      </x:c>
      <x:c r="G1383" s="8" t="s">
        <x:v>109</x:v>
      </x:c>
      <x:c r="H1383" s="8" t="s">
        <x:v>3996</x:v>
      </x:c>
      <x:c r="I1383" s="8" t="s">
        <x:v>3997</x:v>
      </x:c>
      <x:c r="J1383" s="8" t="s">
        <x:v>112</x:v>
      </x:c>
      <x:c r="K1383" s="8" t="s">
        <x:v>4051</x:v>
      </x:c>
      <x:c r="L1383" s="8" t="s">
        <x:v>4051</x:v>
      </x:c>
      <x:c r="M1383" s="8"/>
      <x:c r="N1383" s="8"/>
      <x:c r="O1383" s="8" t="s">
        <x:v>1622</x:v>
      </x:c>
      <x:c r="P1383" s="8" t="s">
        <x:v>115</x:v>
      </x:c>
      <x:c r="Q1383" s="8" t="s">
        <x:v>45</x:v>
      </x:c>
      <x:c r="R1383" s="8" t="s">
        <x:v>3999</x:v>
      </x:c>
      <x:c r="S1383" s="8"/>
      <x:c r="T1383" s="8" t="s">
        <x:v>27</x:v>
      </x:c>
      <x:c r="U1383" s="8" t="s">
        <x:v>3474</x:v>
      </x:c>
      <x:c r="V1383" s="8" t="s">
        <x:v>4000</x:v>
      </x:c>
    </x:row>
    <x:row r="1384" ht="36" hidden="0" customHeight="1">
      <x:c r="A1384" s="8" t="s">
        <x:v>4054</x:v>
      </x:c>
      <x:c r="B1384" s="8" t="s">
        <x:v>3993</x:v>
      </x:c>
      <x:c r="C1384" s="8"/>
      <x:c r="D1384" s="8" t="s">
        <x:v>4055</x:v>
      </x:c>
      <x:c r="E1384" s="8" t="n">
        <x:v>3</x:v>
      </x:c>
      <x:c r="F1384" s="8" t="s">
        <x:v>3995</x:v>
      </x:c>
      <x:c r="G1384" s="8" t="s">
        <x:v>109</x:v>
      </x:c>
      <x:c r="H1384" s="8" t="s">
        <x:v>3996</x:v>
      </x:c>
      <x:c r="I1384" s="8" t="s">
        <x:v>3997</x:v>
      </x:c>
      <x:c r="J1384" s="8" t="s">
        <x:v>112</x:v>
      </x:c>
      <x:c r="K1384" s="8" t="s">
        <x:v>4051</x:v>
      </x:c>
      <x:c r="L1384" s="8" t="s">
        <x:v>4051</x:v>
      </x:c>
      <x:c r="M1384" s="8"/>
      <x:c r="N1384" s="8"/>
      <x:c r="O1384" s="8" t="s">
        <x:v>1622</x:v>
      </x:c>
      <x:c r="P1384" s="8" t="s">
        <x:v>115</x:v>
      </x:c>
      <x:c r="Q1384" s="8" t="s">
        <x:v>45</x:v>
      </x:c>
      <x:c r="R1384" s="8" t="s">
        <x:v>3999</x:v>
      </x:c>
      <x:c r="S1384" s="8" t="s">
        <x:v>4056</x:v>
      </x:c>
      <x:c r="T1384" s="8" t="s">
        <x:v>27</x:v>
      </x:c>
      <x:c r="U1384" s="8" t="s">
        <x:v>3474</x:v>
      </x:c>
      <x:c r="V1384" s="8" t="s">
        <x:v>4000</x:v>
      </x:c>
    </x:row>
    <x:row r="1385" ht="36" hidden="0" customHeight="1">
      <x:c r="A1385" s="8" t="s">
        <x:v>4057</x:v>
      </x:c>
      <x:c r="B1385" s="8" t="s">
        <x:v>3993</x:v>
      </x:c>
      <x:c r="C1385" s="8"/>
      <x:c r="D1385" s="8" t="s">
        <x:v>4058</x:v>
      </x:c>
      <x:c r="E1385" s="8" t="s">
        <x:v>4059</x:v>
      </x:c>
      <x:c r="F1385" s="8" t="s">
        <x:v>3995</x:v>
      </x:c>
      <x:c r="G1385" s="8" t="s">
        <x:v>187</x:v>
      </x:c>
      <x:c r="H1385" s="8" t="s">
        <x:v>3996</x:v>
      </x:c>
      <x:c r="I1385" s="8" t="s">
        <x:v>3997</x:v>
      </x:c>
      <x:c r="J1385" s="8" t="s">
        <x:v>112</x:v>
      </x:c>
      <x:c r="K1385" s="8" t="s">
        <x:v>4051</x:v>
      </x:c>
      <x:c r="L1385" s="8" t="s">
        <x:v>4051</x:v>
      </x:c>
      <x:c r="M1385" s="8"/>
      <x:c r="N1385" s="8"/>
      <x:c r="O1385" s="8" t="s">
        <x:v>1622</x:v>
      </x:c>
      <x:c r="P1385" s="8" t="s">
        <x:v>115</x:v>
      </x:c>
      <x:c r="Q1385" s="8" t="s">
        <x:v>45</x:v>
      </x:c>
      <x:c r="R1385" s="8" t="s">
        <x:v>3999</x:v>
      </x:c>
      <x:c r="S1385" s="8"/>
      <x:c r="T1385" s="8" t="s">
        <x:v>27</x:v>
      </x:c>
      <x:c r="U1385" s="8" t="s">
        <x:v>3474</x:v>
      </x:c>
      <x:c r="V1385" s="8" t="s">
        <x:v>4000</x:v>
      </x:c>
    </x:row>
    <x:row r="1386" ht="36" hidden="0" customHeight="1">
      <x:c r="A1386" s="8" t="s">
        <x:v>4060</x:v>
      </x:c>
      <x:c r="B1386" s="8" t="s">
        <x:v>3993</x:v>
      </x:c>
      <x:c r="C1386" s="8"/>
      <x:c r="D1386" s="8" t="s">
        <x:v>4061</x:v>
      </x:c>
      <x:c r="E1386" s="8" t="s">
        <x:v>4062</x:v>
      </x:c>
      <x:c r="F1386" s="8" t="s">
        <x:v>3995</x:v>
      </x:c>
      <x:c r="G1386" s="8" t="s">
        <x:v>109</x:v>
      </x:c>
      <x:c r="H1386" s="8" t="s">
        <x:v>3996</x:v>
      </x:c>
      <x:c r="I1386" s="8" t="s">
        <x:v>3997</x:v>
      </x:c>
      <x:c r="J1386" s="8" t="s">
        <x:v>112</x:v>
      </x:c>
      <x:c r="K1386" s="8" t="s">
        <x:v>4051</x:v>
      </x:c>
      <x:c r="L1386" s="8" t="s">
        <x:v>4051</x:v>
      </x:c>
      <x:c r="M1386" s="8"/>
      <x:c r="N1386" s="8"/>
      <x:c r="O1386" s="8" t="s">
        <x:v>1622</x:v>
      </x:c>
      <x:c r="P1386" s="8" t="s">
        <x:v>115</x:v>
      </x:c>
      <x:c r="Q1386" s="8" t="s">
        <x:v>45</x:v>
      </x:c>
      <x:c r="R1386" s="8" t="s">
        <x:v>3999</x:v>
      </x:c>
      <x:c r="S1386" s="8"/>
      <x:c r="T1386" s="8" t="s">
        <x:v>27</x:v>
      </x:c>
      <x:c r="U1386" s="8" t="s">
        <x:v>3474</x:v>
      </x:c>
      <x:c r="V1386" s="8" t="s">
        <x:v>4000</x:v>
      </x:c>
    </x:row>
    <x:row r="1387" ht="36" hidden="0" customHeight="1">
      <x:c r="A1387" s="8" t="s">
        <x:v>4063</x:v>
      </x:c>
      <x:c r="B1387" s="8" t="s">
        <x:v>3993</x:v>
      </x:c>
      <x:c r="C1387" s="8"/>
      <x:c r="D1387" s="8" t="s">
        <x:v>4064</x:v>
      </x:c>
      <x:c r="E1387" s="8" t="s">
        <x:v>4065</x:v>
      </x:c>
      <x:c r="F1387" s="8" t="s">
        <x:v>3995</x:v>
      </x:c>
      <x:c r="G1387" s="8" t="s">
        <x:v>109</x:v>
      </x:c>
      <x:c r="H1387" s="8" t="s">
        <x:v>3996</x:v>
      </x:c>
      <x:c r="I1387" s="8" t="s">
        <x:v>3997</x:v>
      </x:c>
      <x:c r="J1387" s="8" t="s">
        <x:v>112</x:v>
      </x:c>
      <x:c r="K1387" s="8" t="s">
        <x:v>4066</x:v>
      </x:c>
      <x:c r="L1387" s="8" t="s">
        <x:v>4066</x:v>
      </x:c>
      <x:c r="M1387" s="8"/>
      <x:c r="N1387" s="8"/>
      <x:c r="O1387" s="8" t="s">
        <x:v>1622</x:v>
      </x:c>
      <x:c r="P1387" s="8" t="s">
        <x:v>115</x:v>
      </x:c>
      <x:c r="Q1387" s="8" t="s">
        <x:v>45</x:v>
      </x:c>
      <x:c r="R1387" s="8" t="s">
        <x:v>3999</x:v>
      </x:c>
      <x:c r="S1387" s="8"/>
      <x:c r="T1387" s="8" t="s">
        <x:v>27</x:v>
      </x:c>
      <x:c r="U1387" s="8" t="s">
        <x:v>3474</x:v>
      </x:c>
      <x:c r="V1387" s="8" t="s">
        <x:v>4000</x:v>
      </x:c>
    </x:row>
    <x:row r="1388" ht="60" hidden="0" customHeight="1">
      <x:c r="A1388" s="8" t="s">
        <x:v>4067</x:v>
      </x:c>
      <x:c r="B1388" s="8" t="s">
        <x:v>4068</x:v>
      </x:c>
      <x:c r="C1388" s="8"/>
      <x:c r="D1388" s="8" t="s">
        <x:v>1704</x:v>
      </x:c>
      <x:c r="E1388" s="8" t="s">
        <x:v>4069</x:v>
      </x:c>
      <x:c r="F1388" s="8" t="s">
        <x:v>4070</x:v>
      </x:c>
      <x:c r="G1388" s="8" t="s">
        <x:v>109</x:v>
      </x:c>
      <x:c r="H1388" s="8" t="s">
        <x:v>4071</x:v>
      </x:c>
      <x:c r="I1388" s="8" t="s">
        <x:v>4072</x:v>
      </x:c>
      <x:c r="J1388" s="8" t="s">
        <x:v>112</x:v>
      </x:c>
      <x:c r="K1388" s="8" t="s">
        <x:v>3998</x:v>
      </x:c>
      <x:c r="L1388" s="8" t="s">
        <x:v>3998</x:v>
      </x:c>
      <x:c r="M1388" s="8"/>
      <x:c r="N1388" s="8"/>
      <x:c r="O1388" s="8" t="s">
        <x:v>1622</x:v>
      </x:c>
      <x:c r="P1388" s="8" t="s">
        <x:v>115</x:v>
      </x:c>
      <x:c r="Q1388" s="8" t="s">
        <x:v>45</x:v>
      </x:c>
      <x:c r="R1388" s="8" t="s">
        <x:v>3999</x:v>
      </x:c>
      <x:c r="S1388" s="8"/>
      <x:c r="T1388" s="8" t="s">
        <x:v>27</x:v>
      </x:c>
      <x:c r="U1388" s="8" t="s">
        <x:v>3474</x:v>
      </x:c>
      <x:c r="V1388" s="8" t="s">
        <x:v>4000</x:v>
      </x:c>
    </x:row>
    <x:row r="1389" ht="60" hidden="0" customHeight="1">
      <x:c r="A1389" s="8" t="s">
        <x:v>4073</x:v>
      </x:c>
      <x:c r="B1389" s="8" t="s">
        <x:v>4068</x:v>
      </x:c>
      <x:c r="C1389" s="8"/>
      <x:c r="D1389" s="8" t="s">
        <x:v>2123</x:v>
      </x:c>
      <x:c r="E1389" s="8" t="s">
        <x:v>4074</x:v>
      </x:c>
      <x:c r="F1389" s="8" t="s">
        <x:v>4070</x:v>
      </x:c>
      <x:c r="G1389" s="8" t="s">
        <x:v>109</x:v>
      </x:c>
      <x:c r="H1389" s="8" t="s">
        <x:v>4071</x:v>
      </x:c>
      <x:c r="I1389" s="8" t="s">
        <x:v>4072</x:v>
      </x:c>
      <x:c r="J1389" s="8" t="s">
        <x:v>112</x:v>
      </x:c>
      <x:c r="K1389" s="8" t="s">
        <x:v>3998</x:v>
      </x:c>
      <x:c r="L1389" s="8" t="s">
        <x:v>3998</x:v>
      </x:c>
      <x:c r="M1389" s="8"/>
      <x:c r="N1389" s="8"/>
      <x:c r="O1389" s="8" t="s">
        <x:v>1622</x:v>
      </x:c>
      <x:c r="P1389" s="8" t="s">
        <x:v>115</x:v>
      </x:c>
      <x:c r="Q1389" s="8" t="s">
        <x:v>45</x:v>
      </x:c>
      <x:c r="R1389" s="8" t="s">
        <x:v>3999</x:v>
      </x:c>
      <x:c r="S1389" s="8"/>
      <x:c r="T1389" s="8" t="s">
        <x:v>27</x:v>
      </x:c>
      <x:c r="U1389" s="8" t="s">
        <x:v>3474</x:v>
      </x:c>
      <x:c r="V1389" s="8" t="s">
        <x:v>4000</x:v>
      </x:c>
    </x:row>
    <x:row r="1390" ht="60" hidden="0" customHeight="1">
      <x:c r="A1390" s="8" t="s">
        <x:v>4075</x:v>
      </x:c>
      <x:c r="B1390" s="8" t="s">
        <x:v>4068</x:v>
      </x:c>
      <x:c r="C1390" s="8"/>
      <x:c r="D1390" s="8" t="s">
        <x:v>4076</x:v>
      </x:c>
      <x:c r="E1390" s="8" t="s">
        <x:v>4077</x:v>
      </x:c>
      <x:c r="F1390" s="8" t="s">
        <x:v>4070</x:v>
      </x:c>
      <x:c r="G1390" s="8" t="s">
        <x:v>109</x:v>
      </x:c>
      <x:c r="H1390" s="8" t="s">
        <x:v>4071</x:v>
      </x:c>
      <x:c r="I1390" s="8" t="s">
        <x:v>4072</x:v>
      </x:c>
      <x:c r="J1390" s="8" t="s">
        <x:v>112</x:v>
      </x:c>
      <x:c r="K1390" s="8" t="s">
        <x:v>3998</x:v>
      </x:c>
      <x:c r="L1390" s="8" t="s">
        <x:v>3998</x:v>
      </x:c>
      <x:c r="M1390" s="8"/>
      <x:c r="N1390" s="8"/>
      <x:c r="O1390" s="8" t="s">
        <x:v>1622</x:v>
      </x:c>
      <x:c r="P1390" s="8" t="s">
        <x:v>115</x:v>
      </x:c>
      <x:c r="Q1390" s="8" t="s">
        <x:v>45</x:v>
      </x:c>
      <x:c r="R1390" s="8" t="s">
        <x:v>3999</x:v>
      </x:c>
      <x:c r="S1390" s="8"/>
      <x:c r="T1390" s="8" t="s">
        <x:v>27</x:v>
      </x:c>
      <x:c r="U1390" s="8" t="s">
        <x:v>3474</x:v>
      </x:c>
      <x:c r="V1390" s="8" t="s">
        <x:v>4000</x:v>
      </x:c>
    </x:row>
    <x:row r="1391" ht="60" hidden="0" customHeight="1">
      <x:c r="A1391" s="8" t="s">
        <x:v>4078</x:v>
      </x:c>
      <x:c r="B1391" s="8" t="s">
        <x:v>4068</x:v>
      </x:c>
      <x:c r="C1391" s="8"/>
      <x:c r="D1391" s="8" t="s">
        <x:v>2588</x:v>
      </x:c>
      <x:c r="E1391" s="8" t="n">
        <x:v>1</x:v>
      </x:c>
      <x:c r="F1391" s="8" t="s">
        <x:v>4070</x:v>
      </x:c>
      <x:c r="G1391" s="8" t="s">
        <x:v>109</x:v>
      </x:c>
      <x:c r="H1391" s="8" t="s">
        <x:v>4071</x:v>
      </x:c>
      <x:c r="I1391" s="8" t="s">
        <x:v>4072</x:v>
      </x:c>
      <x:c r="J1391" s="8" t="s">
        <x:v>112</x:v>
      </x:c>
      <x:c r="K1391" s="8" t="s">
        <x:v>3998</x:v>
      </x:c>
      <x:c r="L1391" s="8" t="s">
        <x:v>3998</x:v>
      </x:c>
      <x:c r="M1391" s="8"/>
      <x:c r="N1391" s="8"/>
      <x:c r="O1391" s="8" t="s">
        <x:v>1622</x:v>
      </x:c>
      <x:c r="P1391" s="8" t="s">
        <x:v>115</x:v>
      </x:c>
      <x:c r="Q1391" s="8" t="s">
        <x:v>45</x:v>
      </x:c>
      <x:c r="R1391" s="8" t="s">
        <x:v>3999</x:v>
      </x:c>
      <x:c r="S1391" s="8" t="s">
        <x:v>911</x:v>
      </x:c>
      <x:c r="T1391" s="8" t="s">
        <x:v>27</x:v>
      </x:c>
      <x:c r="U1391" s="8" t="s">
        <x:v>3474</x:v>
      </x:c>
      <x:c r="V1391" s="8" t="s">
        <x:v>4000</x:v>
      </x:c>
    </x:row>
    <x:row r="1392" ht="60" hidden="0" customHeight="1">
      <x:c r="A1392" s="8" t="s">
        <x:v>4079</x:v>
      </x:c>
      <x:c r="B1392" s="8" t="s">
        <x:v>4068</x:v>
      </x:c>
      <x:c r="C1392" s="8"/>
      <x:c r="D1392" s="8" t="s">
        <x:v>2161</x:v>
      </x:c>
      <x:c r="E1392" s="8" t="s">
        <x:v>4080</x:v>
      </x:c>
      <x:c r="F1392" s="8" t="s">
        <x:v>4070</x:v>
      </x:c>
      <x:c r="G1392" s="8" t="s">
        <x:v>109</x:v>
      </x:c>
      <x:c r="H1392" s="8" t="s">
        <x:v>4071</x:v>
      </x:c>
      <x:c r="I1392" s="8" t="s">
        <x:v>4072</x:v>
      </x:c>
      <x:c r="J1392" s="8" t="s">
        <x:v>112</x:v>
      </x:c>
      <x:c r="K1392" s="8" t="s">
        <x:v>4081</x:v>
      </x:c>
      <x:c r="L1392" s="8" t="s">
        <x:v>4081</x:v>
      </x:c>
      <x:c r="M1392" s="8"/>
      <x:c r="N1392" s="8"/>
      <x:c r="O1392" s="8" t="s">
        <x:v>1622</x:v>
      </x:c>
      <x:c r="P1392" s="8" t="s">
        <x:v>115</x:v>
      </x:c>
      <x:c r="Q1392" s="8" t="s">
        <x:v>45</x:v>
      </x:c>
      <x:c r="R1392" s="8" t="s">
        <x:v>3999</x:v>
      </x:c>
      <x:c r="S1392" s="8"/>
      <x:c r="T1392" s="8" t="s">
        <x:v>27</x:v>
      </x:c>
      <x:c r="U1392" s="8" t="s">
        <x:v>3474</x:v>
      </x:c>
      <x:c r="V1392" s="8" t="s">
        <x:v>4000</x:v>
      </x:c>
    </x:row>
    <x:row r="1393" ht="60" hidden="0" customHeight="1">
      <x:c r="A1393" s="8" t="s">
        <x:v>4082</x:v>
      </x:c>
      <x:c r="B1393" s="8" t="s">
        <x:v>4068</x:v>
      </x:c>
      <x:c r="C1393" s="8"/>
      <x:c r="D1393" s="8" t="s">
        <x:v>2911</x:v>
      </x:c>
      <x:c r="E1393" s="8" t="s">
        <x:v>4083</x:v>
      </x:c>
      <x:c r="F1393" s="8" t="s">
        <x:v>4070</x:v>
      </x:c>
      <x:c r="G1393" s="8" t="s">
        <x:v>109</x:v>
      </x:c>
      <x:c r="H1393" s="8" t="s">
        <x:v>4071</x:v>
      </x:c>
      <x:c r="I1393" s="8" t="s">
        <x:v>4072</x:v>
      </x:c>
      <x:c r="J1393" s="8" t="s">
        <x:v>112</x:v>
      </x:c>
      <x:c r="K1393" s="8" t="s">
        <x:v>4081</x:v>
      </x:c>
      <x:c r="L1393" s="8" t="s">
        <x:v>4081</x:v>
      </x:c>
      <x:c r="M1393" s="8"/>
      <x:c r="N1393" s="8"/>
      <x:c r="O1393" s="8" t="s">
        <x:v>1622</x:v>
      </x:c>
      <x:c r="P1393" s="8" t="s">
        <x:v>115</x:v>
      </x:c>
      <x:c r="Q1393" s="8" t="s">
        <x:v>45</x:v>
      </x:c>
      <x:c r="R1393" s="8" t="s">
        <x:v>3999</x:v>
      </x:c>
      <x:c r="S1393" s="8"/>
      <x:c r="T1393" s="8" t="s">
        <x:v>27</x:v>
      </x:c>
      <x:c r="U1393" s="8" t="s">
        <x:v>3474</x:v>
      </x:c>
      <x:c r="V1393" s="8" t="s">
        <x:v>4000</x:v>
      </x:c>
    </x:row>
    <x:row r="1394" ht="60" hidden="0" customHeight="1">
      <x:c r="A1394" s="8" t="s">
        <x:v>4084</x:v>
      </x:c>
      <x:c r="B1394" s="8" t="s">
        <x:v>4068</x:v>
      </x:c>
      <x:c r="C1394" s="8"/>
      <x:c r="D1394" s="8" t="s">
        <x:v>3619</x:v>
      </x:c>
      <x:c r="E1394" s="8" t="n">
        <x:v>8</x:v>
      </x:c>
      <x:c r="F1394" s="8" t="s">
        <x:v>4070</x:v>
      </x:c>
      <x:c r="G1394" s="8" t="s">
        <x:v>109</x:v>
      </x:c>
      <x:c r="H1394" s="8" t="s">
        <x:v>4071</x:v>
      </x:c>
      <x:c r="I1394" s="8" t="s">
        <x:v>4072</x:v>
      </x:c>
      <x:c r="J1394" s="8" t="s">
        <x:v>112</x:v>
      </x:c>
      <x:c r="K1394" s="8" t="s">
        <x:v>4081</x:v>
      </x:c>
      <x:c r="L1394" s="8" t="s">
        <x:v>4081</x:v>
      </x:c>
      <x:c r="M1394" s="8"/>
      <x:c r="N1394" s="8"/>
      <x:c r="O1394" s="8" t="s">
        <x:v>1622</x:v>
      </x:c>
      <x:c r="P1394" s="8" t="s">
        <x:v>115</x:v>
      </x:c>
      <x:c r="Q1394" s="8" t="s">
        <x:v>45</x:v>
      </x:c>
      <x:c r="R1394" s="8" t="s">
        <x:v>3999</x:v>
      </x:c>
      <x:c r="S1394" s="8"/>
      <x:c r="T1394" s="8" t="s">
        <x:v>27</x:v>
      </x:c>
      <x:c r="U1394" s="8" t="s">
        <x:v>3474</x:v>
      </x:c>
      <x:c r="V1394" s="8" t="s">
        <x:v>4000</x:v>
      </x:c>
    </x:row>
    <x:row r="1395" ht="60" hidden="0" customHeight="1">
      <x:c r="A1395" s="8" t="s">
        <x:v>4085</x:v>
      </x:c>
      <x:c r="B1395" s="8" t="s">
        <x:v>4068</x:v>
      </x:c>
      <x:c r="C1395" s="8"/>
      <x:c r="D1395" s="8" t="s">
        <x:v>4086</x:v>
      </x:c>
      <x:c r="E1395" s="8" t="n">
        <x:v>2</x:v>
      </x:c>
      <x:c r="F1395" s="8" t="s">
        <x:v>4070</x:v>
      </x:c>
      <x:c r="G1395" s="8" t="s">
        <x:v>109</x:v>
      </x:c>
      <x:c r="H1395" s="8" t="s">
        <x:v>4071</x:v>
      </x:c>
      <x:c r="I1395" s="8" t="s">
        <x:v>4072</x:v>
      </x:c>
      <x:c r="J1395" s="8" t="s">
        <x:v>112</x:v>
      </x:c>
      <x:c r="K1395" s="8" t="s">
        <x:v>4081</x:v>
      </x:c>
      <x:c r="L1395" s="8" t="s">
        <x:v>4081</x:v>
      </x:c>
      <x:c r="M1395" s="8"/>
      <x:c r="N1395" s="8"/>
      <x:c r="O1395" s="8" t="s">
        <x:v>1622</x:v>
      </x:c>
      <x:c r="P1395" s="8" t="s">
        <x:v>115</x:v>
      </x:c>
      <x:c r="Q1395" s="8" t="s">
        <x:v>45</x:v>
      </x:c>
      <x:c r="R1395" s="8" t="s">
        <x:v>3999</x:v>
      </x:c>
      <x:c r="S1395" s="8"/>
      <x:c r="T1395" s="8" t="s">
        <x:v>27</x:v>
      </x:c>
      <x:c r="U1395" s="8" t="s">
        <x:v>3474</x:v>
      </x:c>
      <x:c r="V1395" s="8" t="s">
        <x:v>4000</x:v>
      </x:c>
    </x:row>
    <x:row r="1396" ht="60" hidden="0" customHeight="1">
      <x:c r="A1396" s="8" t="s">
        <x:v>4087</x:v>
      </x:c>
      <x:c r="B1396" s="8" t="s">
        <x:v>4068</x:v>
      </x:c>
      <x:c r="C1396" s="8"/>
      <x:c r="D1396" s="8" t="s">
        <x:v>4088</x:v>
      </x:c>
      <x:c r="E1396" s="8" t="n">
        <x:v>4</x:v>
      </x:c>
      <x:c r="F1396" s="8" t="s">
        <x:v>4070</x:v>
      </x:c>
      <x:c r="G1396" s="8" t="s">
        <x:v>109</x:v>
      </x:c>
      <x:c r="H1396" s="8" t="s">
        <x:v>4071</x:v>
      </x:c>
      <x:c r="I1396" s="8" t="s">
        <x:v>4072</x:v>
      </x:c>
      <x:c r="J1396" s="8" t="s">
        <x:v>112</x:v>
      </x:c>
      <x:c r="K1396" s="8" t="s">
        <x:v>4081</x:v>
      </x:c>
      <x:c r="L1396" s="8" t="s">
        <x:v>4081</x:v>
      </x:c>
      <x:c r="M1396" s="8"/>
      <x:c r="N1396" s="8"/>
      <x:c r="O1396" s="8" t="s">
        <x:v>1622</x:v>
      </x:c>
      <x:c r="P1396" s="8" t="s">
        <x:v>115</x:v>
      </x:c>
      <x:c r="Q1396" s="8" t="s">
        <x:v>45</x:v>
      </x:c>
      <x:c r="R1396" s="8" t="s">
        <x:v>3999</x:v>
      </x:c>
      <x:c r="S1396" s="8"/>
      <x:c r="T1396" s="8" t="s">
        <x:v>27</x:v>
      </x:c>
      <x:c r="U1396" s="8" t="s">
        <x:v>3474</x:v>
      </x:c>
      <x:c r="V1396" s="8" t="s">
        <x:v>4000</x:v>
      </x:c>
    </x:row>
    <x:row r="1397" ht="60" hidden="0" customHeight="1">
      <x:c r="A1397" s="8" t="s">
        <x:v>4089</x:v>
      </x:c>
      <x:c r="B1397" s="8" t="s">
        <x:v>4068</x:v>
      </x:c>
      <x:c r="C1397" s="8"/>
      <x:c r="D1397" s="8" t="s">
        <x:v>4090</x:v>
      </x:c>
      <x:c r="E1397" s="8" t="s">
        <x:v>446</x:v>
      </x:c>
      <x:c r="F1397" s="8" t="s">
        <x:v>4070</x:v>
      </x:c>
      <x:c r="G1397" s="8" t="s">
        <x:v>109</x:v>
      </x:c>
      <x:c r="H1397" s="8" t="s">
        <x:v>4071</x:v>
      </x:c>
      <x:c r="I1397" s="8" t="s">
        <x:v>4072</x:v>
      </x:c>
      <x:c r="J1397" s="8" t="s">
        <x:v>112</x:v>
      </x:c>
      <x:c r="K1397" s="8" t="s">
        <x:v>4081</x:v>
      </x:c>
      <x:c r="L1397" s="8" t="s">
        <x:v>4081</x:v>
      </x:c>
      <x:c r="M1397" s="8"/>
      <x:c r="N1397" s="8"/>
      <x:c r="O1397" s="8" t="s">
        <x:v>1622</x:v>
      </x:c>
      <x:c r="P1397" s="8" t="s">
        <x:v>115</x:v>
      </x:c>
      <x:c r="Q1397" s="8" t="s">
        <x:v>45</x:v>
      </x:c>
      <x:c r="R1397" s="8" t="s">
        <x:v>3999</x:v>
      </x:c>
      <x:c r="S1397" s="8"/>
      <x:c r="T1397" s="8" t="s">
        <x:v>27</x:v>
      </x:c>
      <x:c r="U1397" s="8" t="s">
        <x:v>3474</x:v>
      </x:c>
      <x:c r="V1397" s="8" t="s">
        <x:v>4000</x:v>
      </x:c>
    </x:row>
    <x:row r="1398" ht="60" hidden="0" customHeight="1">
      <x:c r="A1398" s="8" t="s">
        <x:v>4091</x:v>
      </x:c>
      <x:c r="B1398" s="8" t="s">
        <x:v>4068</x:v>
      </x:c>
      <x:c r="C1398" s="8"/>
      <x:c r="D1398" s="8" t="s">
        <x:v>4092</x:v>
      </x:c>
      <x:c r="E1398" s="8" t="s">
        <x:v>4093</x:v>
      </x:c>
      <x:c r="F1398" s="8" t="s">
        <x:v>4070</x:v>
      </x:c>
      <x:c r="G1398" s="8" t="s">
        <x:v>109</x:v>
      </x:c>
      <x:c r="H1398" s="8" t="s">
        <x:v>4071</x:v>
      </x:c>
      <x:c r="I1398" s="8" t="s">
        <x:v>4072</x:v>
      </x:c>
      <x:c r="J1398" s="8" t="s">
        <x:v>112</x:v>
      </x:c>
      <x:c r="K1398" s="8" t="s">
        <x:v>4081</x:v>
      </x:c>
      <x:c r="L1398" s="8" t="s">
        <x:v>4081</x:v>
      </x:c>
      <x:c r="M1398" s="8"/>
      <x:c r="N1398" s="8"/>
      <x:c r="O1398" s="8" t="s">
        <x:v>1622</x:v>
      </x:c>
      <x:c r="P1398" s="8" t="s">
        <x:v>115</x:v>
      </x:c>
      <x:c r="Q1398" s="8" t="s">
        <x:v>45</x:v>
      </x:c>
      <x:c r="R1398" s="8" t="s">
        <x:v>3999</x:v>
      </x:c>
      <x:c r="S1398" s="8"/>
      <x:c r="T1398" s="8" t="s">
        <x:v>27</x:v>
      </x:c>
      <x:c r="U1398" s="8" t="s">
        <x:v>3474</x:v>
      </x:c>
      <x:c r="V1398" s="8" t="s">
        <x:v>4000</x:v>
      </x:c>
    </x:row>
    <x:row r="1399" ht="60" hidden="0" customHeight="1">
      <x:c r="A1399" s="8" t="s">
        <x:v>4094</x:v>
      </x:c>
      <x:c r="B1399" s="8" t="s">
        <x:v>4068</x:v>
      </x:c>
      <x:c r="C1399" s="8"/>
      <x:c r="D1399" s="8" t="s">
        <x:v>4095</x:v>
      </x:c>
      <x:c r="E1399" s="8" t="s">
        <x:v>4096</x:v>
      </x:c>
      <x:c r="F1399" s="8" t="s">
        <x:v>4070</x:v>
      </x:c>
      <x:c r="G1399" s="8" t="s">
        <x:v>109</x:v>
      </x:c>
      <x:c r="H1399" s="8" t="s">
        <x:v>4071</x:v>
      </x:c>
      <x:c r="I1399" s="8" t="s">
        <x:v>4072</x:v>
      </x:c>
      <x:c r="J1399" s="8" t="s">
        <x:v>112</x:v>
      </x:c>
      <x:c r="K1399" s="8" t="s">
        <x:v>4081</x:v>
      </x:c>
      <x:c r="L1399" s="8" t="s">
        <x:v>4081</x:v>
      </x:c>
      <x:c r="M1399" s="8"/>
      <x:c r="N1399" s="8"/>
      <x:c r="O1399" s="8" t="s">
        <x:v>1622</x:v>
      </x:c>
      <x:c r="P1399" s="8" t="s">
        <x:v>115</x:v>
      </x:c>
      <x:c r="Q1399" s="8" t="s">
        <x:v>45</x:v>
      </x:c>
      <x:c r="R1399" s="8" t="s">
        <x:v>3999</x:v>
      </x:c>
      <x:c r="S1399" s="8"/>
      <x:c r="T1399" s="8" t="s">
        <x:v>27</x:v>
      </x:c>
      <x:c r="U1399" s="8" t="s">
        <x:v>3474</x:v>
      </x:c>
      <x:c r="V1399" s="8" t="s">
        <x:v>4000</x:v>
      </x:c>
    </x:row>
    <x:row r="1400" ht="60" hidden="0" customHeight="1">
      <x:c r="A1400" s="8" t="s">
        <x:v>4097</x:v>
      </x:c>
      <x:c r="B1400" s="8" t="s">
        <x:v>4068</x:v>
      </x:c>
      <x:c r="C1400" s="8"/>
      <x:c r="D1400" s="8" t="s">
        <x:v>3629</x:v>
      </x:c>
      <x:c r="E1400" s="8" t="s">
        <x:v>4098</x:v>
      </x:c>
      <x:c r="F1400" s="8" t="s">
        <x:v>4070</x:v>
      </x:c>
      <x:c r="G1400" s="8" t="s">
        <x:v>109</x:v>
      </x:c>
      <x:c r="H1400" s="8" t="s">
        <x:v>4071</x:v>
      </x:c>
      <x:c r="I1400" s="8" t="s">
        <x:v>4072</x:v>
      </x:c>
      <x:c r="J1400" s="8" t="s">
        <x:v>112</x:v>
      </x:c>
      <x:c r="K1400" s="8" t="s">
        <x:v>4081</x:v>
      </x:c>
      <x:c r="L1400" s="8" t="s">
        <x:v>4081</x:v>
      </x:c>
      <x:c r="M1400" s="8"/>
      <x:c r="N1400" s="8"/>
      <x:c r="O1400" s="8" t="s">
        <x:v>1622</x:v>
      </x:c>
      <x:c r="P1400" s="8" t="s">
        <x:v>115</x:v>
      </x:c>
      <x:c r="Q1400" s="8" t="s">
        <x:v>45</x:v>
      </x:c>
      <x:c r="R1400" s="8" t="s">
        <x:v>3999</x:v>
      </x:c>
      <x:c r="S1400" s="8"/>
      <x:c r="T1400" s="8" t="s">
        <x:v>27</x:v>
      </x:c>
      <x:c r="U1400" s="8" t="s">
        <x:v>3474</x:v>
      </x:c>
      <x:c r="V1400" s="8" t="s">
        <x:v>4000</x:v>
      </x:c>
    </x:row>
    <x:row r="1401" ht="60" hidden="0" customHeight="1">
      <x:c r="A1401" s="8" t="s">
        <x:v>4099</x:v>
      </x:c>
      <x:c r="B1401" s="8" t="s">
        <x:v>4068</x:v>
      </x:c>
      <x:c r="C1401" s="8"/>
      <x:c r="D1401" s="8" t="s">
        <x:v>4100</x:v>
      </x:c>
      <x:c r="E1401" s="8" t="n">
        <x:v>5</x:v>
      </x:c>
      <x:c r="F1401" s="8" t="s">
        <x:v>4070</x:v>
      </x:c>
      <x:c r="G1401" s="8" t="s">
        <x:v>109</x:v>
      </x:c>
      <x:c r="H1401" s="8" t="s">
        <x:v>4101</x:v>
      </x:c>
      <x:c r="I1401" s="8" t="s">
        <x:v>4072</x:v>
      </x:c>
      <x:c r="J1401" s="8" t="s">
        <x:v>3471</x:v>
      </x:c>
      <x:c r="K1401" s="8" t="s">
        <x:v>4102</x:v>
      </x:c>
      <x:c r="L1401" s="8" t="s">
        <x:v>4102</x:v>
      </x:c>
      <x:c r="M1401" s="8"/>
      <x:c r="N1401" s="8" t="s">
        <x:v>4103</x:v>
      </x:c>
      <x:c r="O1401" s="8" t="s">
        <x:v>1622</x:v>
      </x:c>
      <x:c r="P1401" s="8" t="s">
        <x:v>115</x:v>
      </x:c>
      <x:c r="Q1401" s="8" t="s">
        <x:v>45</x:v>
      </x:c>
      <x:c r="R1401" s="8" t="s">
        <x:v>3999</x:v>
      </x:c>
      <x:c r="S1401" s="8"/>
      <x:c r="T1401" s="8" t="s">
        <x:v>27</x:v>
      </x:c>
      <x:c r="U1401" s="8" t="s">
        <x:v>3474</x:v>
      </x:c>
      <x:c r="V1401" s="8" t="s">
        <x:v>4000</x:v>
      </x:c>
    </x:row>
    <x:row r="1402" ht="60" hidden="0" customHeight="1">
      <x:c r="A1402" s="8" t="s">
        <x:v>4104</x:v>
      </x:c>
      <x:c r="B1402" s="8" t="s">
        <x:v>4068</x:v>
      </x:c>
      <x:c r="C1402" s="8"/>
      <x:c r="D1402" s="8" t="s">
        <x:v>4105</x:v>
      </x:c>
      <x:c r="E1402" s="8" t="n">
        <x:v>3</x:v>
      </x:c>
      <x:c r="F1402" s="8" t="s">
        <x:v>4070</x:v>
      </x:c>
      <x:c r="G1402" s="8" t="s">
        <x:v>109</x:v>
      </x:c>
      <x:c r="H1402" s="8" t="s">
        <x:v>4101</x:v>
      </x:c>
      <x:c r="I1402" s="8" t="s">
        <x:v>4072</x:v>
      </x:c>
      <x:c r="J1402" s="8" t="s">
        <x:v>3471</x:v>
      </x:c>
      <x:c r="K1402" s="8" t="s">
        <x:v>4102</x:v>
      </x:c>
      <x:c r="L1402" s="8" t="s">
        <x:v>4102</x:v>
      </x:c>
      <x:c r="M1402" s="8"/>
      <x:c r="N1402" s="8" t="s">
        <x:v>4103</x:v>
      </x:c>
      <x:c r="O1402" s="8" t="s">
        <x:v>1622</x:v>
      </x:c>
      <x:c r="P1402" s="8" t="s">
        <x:v>115</x:v>
      </x:c>
      <x:c r="Q1402" s="8" t="s">
        <x:v>45</x:v>
      </x:c>
      <x:c r="R1402" s="8" t="s">
        <x:v>3999</x:v>
      </x:c>
      <x:c r="S1402" s="8"/>
      <x:c r="T1402" s="8" t="s">
        <x:v>27</x:v>
      </x:c>
      <x:c r="U1402" s="8" t="s">
        <x:v>3474</x:v>
      </x:c>
      <x:c r="V1402" s="8" t="s">
        <x:v>4000</x:v>
      </x:c>
    </x:row>
    <x:row r="1403" ht="60" hidden="0" customHeight="1">
      <x:c r="A1403" s="8" t="s">
        <x:v>4106</x:v>
      </x:c>
      <x:c r="B1403" s="8" t="s">
        <x:v>4068</x:v>
      </x:c>
      <x:c r="C1403" s="8"/>
      <x:c r="D1403" s="8" t="s">
        <x:v>1864</x:v>
      </x:c>
      <x:c r="E1403" s="8" t="s">
        <x:v>4107</x:v>
      </x:c>
      <x:c r="F1403" s="8" t="s">
        <x:v>4070</x:v>
      </x:c>
      <x:c r="G1403" s="8" t="s">
        <x:v>109</x:v>
      </x:c>
      <x:c r="H1403" s="8" t="s">
        <x:v>4071</x:v>
      </x:c>
      <x:c r="I1403" s="8" t="s">
        <x:v>4072</x:v>
      </x:c>
      <x:c r="J1403" s="8" t="s">
        <x:v>112</x:v>
      </x:c>
      <x:c r="K1403" s="8" t="s">
        <x:v>4108</x:v>
      </x:c>
      <x:c r="L1403" s="8" t="s">
        <x:v>4108</x:v>
      </x:c>
      <x:c r="M1403" s="8"/>
      <x:c r="N1403" s="8"/>
      <x:c r="O1403" s="8" t="s">
        <x:v>1622</x:v>
      </x:c>
      <x:c r="P1403" s="8" t="s">
        <x:v>115</x:v>
      </x:c>
      <x:c r="Q1403" s="8" t="s">
        <x:v>45</x:v>
      </x:c>
      <x:c r="R1403" s="8" t="s">
        <x:v>3999</x:v>
      </x:c>
      <x:c r="S1403" s="8"/>
      <x:c r="T1403" s="8" t="s">
        <x:v>27</x:v>
      </x:c>
      <x:c r="U1403" s="8" t="s">
        <x:v>3474</x:v>
      </x:c>
      <x:c r="V1403" s="8" t="s">
        <x:v>4000</x:v>
      </x:c>
    </x:row>
    <x:row r="1404" ht="60" hidden="0" customHeight="1">
      <x:c r="A1404" s="8" t="s">
        <x:v>4109</x:v>
      </x:c>
      <x:c r="B1404" s="8" t="s">
        <x:v>4068</x:v>
      </x:c>
      <x:c r="C1404" s="8"/>
      <x:c r="D1404" s="8" t="s">
        <x:v>4110</x:v>
      </x:c>
      <x:c r="E1404" s="8" t="s">
        <x:v>4111</x:v>
      </x:c>
      <x:c r="F1404" s="8" t="s">
        <x:v>4070</x:v>
      </x:c>
      <x:c r="G1404" s="8" t="s">
        <x:v>109</x:v>
      </x:c>
      <x:c r="H1404" s="8" t="s">
        <x:v>4071</x:v>
      </x:c>
      <x:c r="I1404" s="8" t="s">
        <x:v>4072</x:v>
      </x:c>
      <x:c r="J1404" s="8" t="s">
        <x:v>112</x:v>
      </x:c>
      <x:c r="K1404" s="8" t="s">
        <x:v>4112</x:v>
      </x:c>
      <x:c r="L1404" s="8" t="s">
        <x:v>4112</x:v>
      </x:c>
      <x:c r="M1404" s="8"/>
      <x:c r="N1404" s="8"/>
      <x:c r="O1404" s="8" t="s">
        <x:v>1622</x:v>
      </x:c>
      <x:c r="P1404" s="8" t="s">
        <x:v>115</x:v>
      </x:c>
      <x:c r="Q1404" s="8" t="s">
        <x:v>45</x:v>
      </x:c>
      <x:c r="R1404" s="8" t="s">
        <x:v>3999</x:v>
      </x:c>
      <x:c r="S1404" s="8"/>
      <x:c r="T1404" s="8" t="s">
        <x:v>27</x:v>
      </x:c>
      <x:c r="U1404" s="8" t="s">
        <x:v>3474</x:v>
      </x:c>
      <x:c r="V1404" s="8" t="s">
        <x:v>4000</x:v>
      </x:c>
    </x:row>
    <x:row r="1405" ht="60" hidden="0" customHeight="1">
      <x:c r="A1405" s="8" t="s">
        <x:v>4113</x:v>
      </x:c>
      <x:c r="B1405" s="8" t="s">
        <x:v>4068</x:v>
      </x:c>
      <x:c r="C1405" s="8"/>
      <x:c r="D1405" s="8" t="s">
        <x:v>1948</x:v>
      </x:c>
      <x:c r="E1405" s="8" t="s">
        <x:v>4114</x:v>
      </x:c>
      <x:c r="F1405" s="8" t="s">
        <x:v>4070</x:v>
      </x:c>
      <x:c r="G1405" s="8" t="s">
        <x:v>109</x:v>
      </x:c>
      <x:c r="H1405" s="8" t="s">
        <x:v>4071</x:v>
      </x:c>
      <x:c r="I1405" s="8" t="s">
        <x:v>4072</x:v>
      </x:c>
      <x:c r="J1405" s="8" t="s">
        <x:v>112</x:v>
      </x:c>
      <x:c r="K1405" s="8" t="s">
        <x:v>4112</x:v>
      </x:c>
      <x:c r="L1405" s="8" t="s">
        <x:v>4112</x:v>
      </x:c>
      <x:c r="M1405" s="8"/>
      <x:c r="N1405" s="8"/>
      <x:c r="O1405" s="8" t="s">
        <x:v>1622</x:v>
      </x:c>
      <x:c r="P1405" s="8" t="s">
        <x:v>115</x:v>
      </x:c>
      <x:c r="Q1405" s="8" t="s">
        <x:v>45</x:v>
      </x:c>
      <x:c r="R1405" s="8" t="s">
        <x:v>3999</x:v>
      </x:c>
      <x:c r="S1405" s="8"/>
      <x:c r="T1405" s="8" t="s">
        <x:v>27</x:v>
      </x:c>
      <x:c r="U1405" s="8" t="s">
        <x:v>3474</x:v>
      </x:c>
      <x:c r="V1405" s="8" t="s">
        <x:v>4000</x:v>
      </x:c>
    </x:row>
    <x:row r="1406" ht="60" hidden="0" customHeight="1">
      <x:c r="A1406" s="8" t="s">
        <x:v>4115</x:v>
      </x:c>
      <x:c r="B1406" s="8" t="s">
        <x:v>4068</x:v>
      </x:c>
      <x:c r="C1406" s="8"/>
      <x:c r="D1406" s="8" t="s">
        <x:v>4116</x:v>
      </x:c>
      <x:c r="E1406" s="8" t="s">
        <x:v>4117</x:v>
      </x:c>
      <x:c r="F1406" s="8" t="s">
        <x:v>4070</x:v>
      </x:c>
      <x:c r="G1406" s="8" t="s">
        <x:v>109</x:v>
      </x:c>
      <x:c r="H1406" s="8" t="s">
        <x:v>4071</x:v>
      </x:c>
      <x:c r="I1406" s="8" t="s">
        <x:v>4072</x:v>
      </x:c>
      <x:c r="J1406" s="8" t="s">
        <x:v>112</x:v>
      </x:c>
      <x:c r="K1406" s="8" t="s">
        <x:v>4112</x:v>
      </x:c>
      <x:c r="L1406" s="8" t="s">
        <x:v>4112</x:v>
      </x:c>
      <x:c r="M1406" s="8"/>
      <x:c r="N1406" s="8"/>
      <x:c r="O1406" s="8" t="s">
        <x:v>1622</x:v>
      </x:c>
      <x:c r="P1406" s="8" t="s">
        <x:v>115</x:v>
      </x:c>
      <x:c r="Q1406" s="8" t="s">
        <x:v>45</x:v>
      </x:c>
      <x:c r="R1406" s="8" t="s">
        <x:v>3999</x:v>
      </x:c>
      <x:c r="S1406" s="8"/>
      <x:c r="T1406" s="8" t="s">
        <x:v>27</x:v>
      </x:c>
      <x:c r="U1406" s="8" t="s">
        <x:v>3474</x:v>
      </x:c>
      <x:c r="V1406" s="8" t="s">
        <x:v>4000</x:v>
      </x:c>
    </x:row>
    <x:row r="1407" ht="60" hidden="0" customHeight="1">
      <x:c r="A1407" s="8" t="s">
        <x:v>4118</x:v>
      </x:c>
      <x:c r="B1407" s="8" t="s">
        <x:v>4068</x:v>
      </x:c>
      <x:c r="C1407" s="8"/>
      <x:c r="D1407" s="8" t="s">
        <x:v>164</x:v>
      </x:c>
      <x:c r="E1407" s="8" t="s">
        <x:v>165</x:v>
      </x:c>
      <x:c r="F1407" s="8" t="s">
        <x:v>4070</x:v>
      </x:c>
      <x:c r="G1407" s="8" t="s">
        <x:v>109</x:v>
      </x:c>
      <x:c r="H1407" s="8" t="s">
        <x:v>4071</x:v>
      </x:c>
      <x:c r="I1407" s="8" t="s">
        <x:v>4072</x:v>
      </x:c>
      <x:c r="J1407" s="8" t="s">
        <x:v>112</x:v>
      </x:c>
      <x:c r="K1407" s="8" t="s">
        <x:v>4112</x:v>
      </x:c>
      <x:c r="L1407" s="8" t="s">
        <x:v>4112</x:v>
      </x:c>
      <x:c r="M1407" s="8"/>
      <x:c r="N1407" s="8"/>
      <x:c r="O1407" s="8" t="s">
        <x:v>1622</x:v>
      </x:c>
      <x:c r="P1407" s="8" t="s">
        <x:v>115</x:v>
      </x:c>
      <x:c r="Q1407" s="8" t="s">
        <x:v>45</x:v>
      </x:c>
      <x:c r="R1407" s="8" t="s">
        <x:v>3999</x:v>
      </x:c>
      <x:c r="S1407" s="8"/>
      <x:c r="T1407" s="8" t="s">
        <x:v>27</x:v>
      </x:c>
      <x:c r="U1407" s="8" t="s">
        <x:v>3474</x:v>
      </x:c>
      <x:c r="V1407" s="8" t="s">
        <x:v>4000</x:v>
      </x:c>
    </x:row>
    <x:row r="1408" ht="60" hidden="0" customHeight="1">
      <x:c r="A1408" s="8" t="s">
        <x:v>4119</x:v>
      </x:c>
      <x:c r="B1408" s="8" t="s">
        <x:v>4068</x:v>
      </x:c>
      <x:c r="C1408" s="8"/>
      <x:c r="D1408" s="8" t="s">
        <x:v>992</x:v>
      </x:c>
      <x:c r="E1408" s="8" t="s">
        <x:v>4120</x:v>
      </x:c>
      <x:c r="F1408" s="8" t="s">
        <x:v>4070</x:v>
      </x:c>
      <x:c r="G1408" s="8" t="s">
        <x:v>109</x:v>
      </x:c>
      <x:c r="H1408" s="8" t="s">
        <x:v>4071</x:v>
      </x:c>
      <x:c r="I1408" s="8" t="s">
        <x:v>4072</x:v>
      </x:c>
      <x:c r="J1408" s="8" t="s">
        <x:v>112</x:v>
      </x:c>
      <x:c r="K1408" s="8" t="s">
        <x:v>4112</x:v>
      </x:c>
      <x:c r="L1408" s="8" t="s">
        <x:v>4112</x:v>
      </x:c>
      <x:c r="M1408" s="8"/>
      <x:c r="N1408" s="8"/>
      <x:c r="O1408" s="8" t="s">
        <x:v>1622</x:v>
      </x:c>
      <x:c r="P1408" s="8" t="s">
        <x:v>115</x:v>
      </x:c>
      <x:c r="Q1408" s="8" t="s">
        <x:v>45</x:v>
      </x:c>
      <x:c r="R1408" s="8" t="s">
        <x:v>3999</x:v>
      </x:c>
      <x:c r="S1408" s="8"/>
      <x:c r="T1408" s="8" t="s">
        <x:v>27</x:v>
      </x:c>
      <x:c r="U1408" s="8" t="s">
        <x:v>3474</x:v>
      </x:c>
      <x:c r="V1408" s="8" t="s">
        <x:v>4000</x:v>
      </x:c>
    </x:row>
    <x:row r="1409" ht="60" hidden="0" customHeight="1">
      <x:c r="A1409" s="8" t="s">
        <x:v>4121</x:v>
      </x:c>
      <x:c r="B1409" s="8" t="s">
        <x:v>4068</x:v>
      </x:c>
      <x:c r="C1409" s="8"/>
      <x:c r="D1409" s="8" t="s">
        <x:v>167</x:v>
      </x:c>
      <x:c r="E1409" s="8" t="n">
        <x:v>4</x:v>
      </x:c>
      <x:c r="F1409" s="8" t="s">
        <x:v>4070</x:v>
      </x:c>
      <x:c r="G1409" s="8" t="s">
        <x:v>109</x:v>
      </x:c>
      <x:c r="H1409" s="8" t="s">
        <x:v>4101</x:v>
      </x:c>
      <x:c r="I1409" s="8" t="s">
        <x:v>4072</x:v>
      </x:c>
      <x:c r="J1409" s="8" t="s">
        <x:v>3471</x:v>
      </x:c>
      <x:c r="K1409" s="8" t="s">
        <x:v>4102</x:v>
      </x:c>
      <x:c r="L1409" s="8" t="s">
        <x:v>4102</x:v>
      </x:c>
      <x:c r="M1409" s="8"/>
      <x:c r="N1409" s="8" t="s">
        <x:v>4103</x:v>
      </x:c>
      <x:c r="O1409" s="8" t="s">
        <x:v>1622</x:v>
      </x:c>
      <x:c r="P1409" s="8" t="s">
        <x:v>115</x:v>
      </x:c>
      <x:c r="Q1409" s="8" t="s">
        <x:v>45</x:v>
      </x:c>
      <x:c r="R1409" s="8" t="s">
        <x:v>3999</x:v>
      </x:c>
      <x:c r="S1409" s="8"/>
      <x:c r="T1409" s="8" t="s">
        <x:v>27</x:v>
      </x:c>
      <x:c r="U1409" s="8" t="s">
        <x:v>3474</x:v>
      </x:c>
      <x:c r="V1409" s="8" t="s">
        <x:v>4000</x:v>
      </x:c>
    </x:row>
    <x:row r="1410" ht="60" hidden="0" customHeight="1">
      <x:c r="A1410" s="8" t="s">
        <x:v>4122</x:v>
      </x:c>
      <x:c r="B1410" s="8" t="s">
        <x:v>4068</x:v>
      </x:c>
      <x:c r="C1410" s="8"/>
      <x:c r="D1410" s="8" t="s">
        <x:v>3707</x:v>
      </x:c>
      <x:c r="E1410" s="8" t="n">
        <x:v>100</x:v>
      </x:c>
      <x:c r="F1410" s="8" t="s">
        <x:v>4070</x:v>
      </x:c>
      <x:c r="G1410" s="8" t="s">
        <x:v>109</x:v>
      </x:c>
      <x:c r="H1410" s="8" t="s">
        <x:v>4101</x:v>
      </x:c>
      <x:c r="I1410" s="8" t="s">
        <x:v>4072</x:v>
      </x:c>
      <x:c r="J1410" s="8" t="s">
        <x:v>3471</x:v>
      </x:c>
      <x:c r="K1410" s="8" t="s">
        <x:v>4102</x:v>
      </x:c>
      <x:c r="L1410" s="8" t="s">
        <x:v>4102</x:v>
      </x:c>
      <x:c r="M1410" s="8"/>
      <x:c r="N1410" s="8" t="s">
        <x:v>4103</x:v>
      </x:c>
      <x:c r="O1410" s="8" t="s">
        <x:v>1622</x:v>
      </x:c>
      <x:c r="P1410" s="8" t="s">
        <x:v>115</x:v>
      </x:c>
      <x:c r="Q1410" s="8" t="s">
        <x:v>45</x:v>
      </x:c>
      <x:c r="R1410" s="8" t="s">
        <x:v>3999</x:v>
      </x:c>
      <x:c r="S1410" s="8"/>
      <x:c r="T1410" s="8" t="s">
        <x:v>27</x:v>
      </x:c>
      <x:c r="U1410" s="8" t="s">
        <x:v>3474</x:v>
      </x:c>
      <x:c r="V1410" s="8" t="s">
        <x:v>4000</x:v>
      </x:c>
    </x:row>
    <x:row r="1411" ht="60" hidden="0" customHeight="1">
      <x:c r="A1411" s="8" t="s">
        <x:v>4123</x:v>
      </x:c>
      <x:c r="B1411" s="8" t="s">
        <x:v>4068</x:v>
      </x:c>
      <x:c r="C1411" s="8"/>
      <x:c r="D1411" s="8" t="s">
        <x:v>1648</x:v>
      </x:c>
      <x:c r="E1411" s="8" t="n">
        <x:v>0.0005</x:v>
      </x:c>
      <x:c r="F1411" s="8" t="s">
        <x:v>4070</x:v>
      </x:c>
      <x:c r="G1411" s="8" t="s">
        <x:v>109</x:v>
      </x:c>
      <x:c r="H1411" s="8" t="s">
        <x:v>4101</x:v>
      </x:c>
      <x:c r="I1411" s="8" t="s">
        <x:v>4072</x:v>
      </x:c>
      <x:c r="J1411" s="8" t="s">
        <x:v>3471</x:v>
      </x:c>
      <x:c r="K1411" s="8" t="s">
        <x:v>4102</x:v>
      </x:c>
      <x:c r="L1411" s="8" t="s">
        <x:v>4102</x:v>
      </x:c>
      <x:c r="M1411" s="8"/>
      <x:c r="N1411" s="8" t="s">
        <x:v>4103</x:v>
      </x:c>
      <x:c r="O1411" s="8" t="s">
        <x:v>1622</x:v>
      </x:c>
      <x:c r="P1411" s="8" t="s">
        <x:v>115</x:v>
      </x:c>
      <x:c r="Q1411" s="8" t="s">
        <x:v>45</x:v>
      </x:c>
      <x:c r="R1411" s="8" t="s">
        <x:v>3999</x:v>
      </x:c>
      <x:c r="S1411" s="8"/>
      <x:c r="T1411" s="8" t="s">
        <x:v>27</x:v>
      </x:c>
      <x:c r="U1411" s="8" t="s">
        <x:v>3474</x:v>
      </x:c>
      <x:c r="V1411" s="8" t="s">
        <x:v>4000</x:v>
      </x:c>
    </x:row>
    <x:row r="1412" ht="60" hidden="0" customHeight="1">
      <x:c r="A1412" s="8" t="s">
        <x:v>4124</x:v>
      </x:c>
      <x:c r="B1412" s="8" t="s">
        <x:v>4068</x:v>
      </x:c>
      <x:c r="C1412" s="8"/>
      <x:c r="D1412" s="8" t="s">
        <x:v>1652</x:v>
      </x:c>
      <x:c r="E1412" s="8" t="s">
        <x:v>4125</x:v>
      </x:c>
      <x:c r="F1412" s="8" t="s">
        <x:v>4070</x:v>
      </x:c>
      <x:c r="G1412" s="8" t="s">
        <x:v>109</x:v>
      </x:c>
      <x:c r="H1412" s="8" t="s">
        <x:v>4101</x:v>
      </x:c>
      <x:c r="I1412" s="8" t="s">
        <x:v>4072</x:v>
      </x:c>
      <x:c r="J1412" s="8" t="s">
        <x:v>3471</x:v>
      </x:c>
      <x:c r="K1412" s="8" t="s">
        <x:v>4102</x:v>
      </x:c>
      <x:c r="L1412" s="8" t="s">
        <x:v>4102</x:v>
      </x:c>
      <x:c r="M1412" s="8"/>
      <x:c r="N1412" s="8" t="s">
        <x:v>4103</x:v>
      </x:c>
      <x:c r="O1412" s="8" t="s">
        <x:v>1622</x:v>
      </x:c>
      <x:c r="P1412" s="8" t="s">
        <x:v>115</x:v>
      </x:c>
      <x:c r="Q1412" s="8" t="s">
        <x:v>45</x:v>
      </x:c>
      <x:c r="R1412" s="8" t="s">
        <x:v>3999</x:v>
      </x:c>
      <x:c r="S1412" s="8"/>
      <x:c r="T1412" s="8" t="s">
        <x:v>27</x:v>
      </x:c>
      <x:c r="U1412" s="8" t="s">
        <x:v>3474</x:v>
      </x:c>
      <x:c r="V1412" s="8" t="s">
        <x:v>4000</x:v>
      </x:c>
    </x:row>
    <x:row r="1413" ht="60" hidden="0" customHeight="1">
      <x:c r="A1413" s="8" t="s">
        <x:v>4126</x:v>
      </x:c>
      <x:c r="B1413" s="8" t="s">
        <x:v>4068</x:v>
      </x:c>
      <x:c r="C1413" s="8"/>
      <x:c r="D1413" s="8" t="s">
        <x:v>4127</x:v>
      </x:c>
      <x:c r="E1413" s="8" t="s">
        <x:v>4128</x:v>
      </x:c>
      <x:c r="F1413" s="8" t="s">
        <x:v>4070</x:v>
      </x:c>
      <x:c r="G1413" s="8" t="s">
        <x:v>109</x:v>
      </x:c>
      <x:c r="H1413" s="8" t="s">
        <x:v>4101</x:v>
      </x:c>
      <x:c r="I1413" s="8" t="s">
        <x:v>4072</x:v>
      </x:c>
      <x:c r="J1413" s="8" t="s">
        <x:v>3471</x:v>
      </x:c>
      <x:c r="K1413" s="8" t="s">
        <x:v>4129</x:v>
      </x:c>
      <x:c r="L1413" s="8" t="s">
        <x:v>4129</x:v>
      </x:c>
      <x:c r="M1413" s="8"/>
      <x:c r="N1413" s="8"/>
      <x:c r="O1413" s="8" t="s">
        <x:v>1622</x:v>
      </x:c>
      <x:c r="P1413" s="8" t="s">
        <x:v>115</x:v>
      </x:c>
      <x:c r="Q1413" s="8" t="s">
        <x:v>45</x:v>
      </x:c>
      <x:c r="R1413" s="8" t="s">
        <x:v>3999</x:v>
      </x:c>
      <x:c r="S1413" s="8"/>
      <x:c r="T1413" s="8" t="s">
        <x:v>27</x:v>
      </x:c>
      <x:c r="U1413" s="8" t="s">
        <x:v>3474</x:v>
      </x:c>
      <x:c r="V1413" s="8" t="s">
        <x:v>4000</x:v>
      </x:c>
    </x:row>
    <x:row r="1414" ht="60" hidden="0" customHeight="1">
      <x:c r="A1414" s="8" t="s">
        <x:v>4130</x:v>
      </x:c>
      <x:c r="B1414" s="8" t="s">
        <x:v>4068</x:v>
      </x:c>
      <x:c r="C1414" s="8"/>
      <x:c r="D1414" s="8" t="s">
        <x:v>4131</x:v>
      </x:c>
      <x:c r="E1414" s="8" t="s">
        <x:v>4132</x:v>
      </x:c>
      <x:c r="F1414" s="8" t="s">
        <x:v>4070</x:v>
      </x:c>
      <x:c r="G1414" s="8" t="s">
        <x:v>187</x:v>
      </x:c>
      <x:c r="H1414" s="8" t="s">
        <x:v>4101</x:v>
      </x:c>
      <x:c r="I1414" s="8" t="s">
        <x:v>4072</x:v>
      </x:c>
      <x:c r="J1414" s="8" t="s">
        <x:v>3471</x:v>
      </x:c>
      <x:c r="K1414" s="8" t="s">
        <x:v>4133</x:v>
      </x:c>
      <x:c r="L1414" s="8" t="s">
        <x:v>4133</x:v>
      </x:c>
      <x:c r="M1414" s="8"/>
      <x:c r="N1414" s="8"/>
      <x:c r="O1414" s="8" t="s">
        <x:v>1622</x:v>
      </x:c>
      <x:c r="P1414" s="8" t="s">
        <x:v>115</x:v>
      </x:c>
      <x:c r="Q1414" s="8" t="s">
        <x:v>45</x:v>
      </x:c>
      <x:c r="R1414" s="8" t="s">
        <x:v>3999</x:v>
      </x:c>
      <x:c r="S1414" s="8"/>
      <x:c r="T1414" s="8" t="s">
        <x:v>27</x:v>
      </x:c>
      <x:c r="U1414" s="8" t="s">
        <x:v>3474</x:v>
      </x:c>
      <x:c r="V1414" s="8" t="s">
        <x:v>4000</x:v>
      </x:c>
    </x:row>
    <x:row r="1415" ht="60" hidden="0" customHeight="1">
      <x:c r="A1415" s="8" t="s">
        <x:v>4134</x:v>
      </x:c>
      <x:c r="B1415" s="8" t="s">
        <x:v>4068</x:v>
      </x:c>
      <x:c r="C1415" s="8"/>
      <x:c r="D1415" s="8" t="s">
        <x:v>4135</x:v>
      </x:c>
      <x:c r="E1415" s="8" t="s">
        <x:v>4136</x:v>
      </x:c>
      <x:c r="F1415" s="8" t="s">
        <x:v>4070</x:v>
      </x:c>
      <x:c r="G1415" s="8" t="s">
        <x:v>109</x:v>
      </x:c>
      <x:c r="H1415" s="8" t="s">
        <x:v>4101</x:v>
      </x:c>
      <x:c r="I1415" s="8" t="s">
        <x:v>4072</x:v>
      </x:c>
      <x:c r="J1415" s="8" t="s">
        <x:v>3471</x:v>
      </x:c>
      <x:c r="K1415" s="8" t="s">
        <x:v>4133</x:v>
      </x:c>
      <x:c r="L1415" s="8" t="s">
        <x:v>4133</x:v>
      </x:c>
      <x:c r="M1415" s="8"/>
      <x:c r="N1415" s="8"/>
      <x:c r="O1415" s="8" t="s">
        <x:v>1622</x:v>
      </x:c>
      <x:c r="P1415" s="8" t="s">
        <x:v>115</x:v>
      </x:c>
      <x:c r="Q1415" s="8" t="s">
        <x:v>45</x:v>
      </x:c>
      <x:c r="R1415" s="8" t="s">
        <x:v>3999</x:v>
      </x:c>
      <x:c r="S1415" s="8"/>
      <x:c r="T1415" s="8" t="s">
        <x:v>27</x:v>
      </x:c>
      <x:c r="U1415" s="8" t="s">
        <x:v>3474</x:v>
      </x:c>
      <x:c r="V1415" s="8" t="s">
        <x:v>4000</x:v>
      </x:c>
    </x:row>
    <x:row r="1416" ht="60" hidden="0" customHeight="1">
      <x:c r="A1416" s="8" t="s">
        <x:v>4137</x:v>
      </x:c>
      <x:c r="B1416" s="8" t="s">
        <x:v>4068</x:v>
      </x:c>
      <x:c r="C1416" s="8"/>
      <x:c r="D1416" s="8" t="s">
        <x:v>4138</x:v>
      </x:c>
      <x:c r="E1416" s="8" t="s">
        <x:v>4139</x:v>
      </x:c>
      <x:c r="F1416" s="8" t="s">
        <x:v>4070</x:v>
      </x:c>
      <x:c r="G1416" s="8" t="s">
        <x:v>109</x:v>
      </x:c>
      <x:c r="H1416" s="8" t="s">
        <x:v>4101</x:v>
      </x:c>
      <x:c r="I1416" s="8" t="s">
        <x:v>4072</x:v>
      </x:c>
      <x:c r="J1416" s="8" t="s">
        <x:v>3471</x:v>
      </x:c>
      <x:c r="K1416" s="8" t="s">
        <x:v>1068</x:v>
      </x:c>
      <x:c r="L1416" s="8" t="s">
        <x:v>1068</x:v>
      </x:c>
      <x:c r="M1416" s="8"/>
      <x:c r="N1416" s="8"/>
      <x:c r="O1416" s="8" t="s">
        <x:v>1622</x:v>
      </x:c>
      <x:c r="P1416" s="8" t="s">
        <x:v>115</x:v>
      </x:c>
      <x:c r="Q1416" s="8" t="s">
        <x:v>45</x:v>
      </x:c>
      <x:c r="R1416" s="8" t="s">
        <x:v>3999</x:v>
      </x:c>
      <x:c r="S1416" s="8"/>
      <x:c r="T1416" s="8" t="s">
        <x:v>27</x:v>
      </x:c>
      <x:c r="U1416" s="8" t="s">
        <x:v>3474</x:v>
      </x:c>
      <x:c r="V1416" s="8" t="s">
        <x:v>4000</x:v>
      </x:c>
    </x:row>
    <x:row r="1417" ht="60" hidden="0" customHeight="1">
      <x:c r="A1417" s="8" t="s">
        <x:v>4140</x:v>
      </x:c>
      <x:c r="B1417" s="8" t="s">
        <x:v>4068</x:v>
      </x:c>
      <x:c r="C1417" s="8"/>
      <x:c r="D1417" s="8" t="s">
        <x:v>4141</x:v>
      </x:c>
      <x:c r="E1417" s="8" t="s">
        <x:v>4142</x:v>
      </x:c>
      <x:c r="F1417" s="8" t="s">
        <x:v>4070</x:v>
      </x:c>
      <x:c r="G1417" s="8" t="s">
        <x:v>109</x:v>
      </x:c>
      <x:c r="H1417" s="8" t="s">
        <x:v>4101</x:v>
      </x:c>
      <x:c r="I1417" s="8" t="s">
        <x:v>4072</x:v>
      </x:c>
      <x:c r="J1417" s="8" t="s">
        <x:v>3471</x:v>
      </x:c>
      <x:c r="K1417" s="8" t="s">
        <x:v>1068</x:v>
      </x:c>
      <x:c r="L1417" s="8" t="s">
        <x:v>1068</x:v>
      </x:c>
      <x:c r="M1417" s="8"/>
      <x:c r="N1417" s="8"/>
      <x:c r="O1417" s="8" t="s">
        <x:v>1622</x:v>
      </x:c>
      <x:c r="P1417" s="8" t="s">
        <x:v>115</x:v>
      </x:c>
      <x:c r="Q1417" s="8" t="s">
        <x:v>45</x:v>
      </x:c>
      <x:c r="R1417" s="8" t="s">
        <x:v>3999</x:v>
      </x:c>
      <x:c r="S1417" s="8"/>
      <x:c r="T1417" s="8" t="s">
        <x:v>27</x:v>
      </x:c>
      <x:c r="U1417" s="8" t="s">
        <x:v>3474</x:v>
      </x:c>
      <x:c r="V1417" s="8" t="s">
        <x:v>4000</x:v>
      </x:c>
    </x:row>
    <x:row r="1418" ht="36" hidden="0" customHeight="1">
      <x:c r="A1418" s="8" t="s">
        <x:v>4143</x:v>
      </x:c>
      <x:c r="B1418" s="8" t="s">
        <x:v>4144</x:v>
      </x:c>
      <x:c r="C1418" s="8"/>
      <x:c r="D1418" s="8" t="s">
        <x:v>1704</x:v>
      </x:c>
      <x:c r="E1418" s="8" t="s">
        <x:v>4145</x:v>
      </x:c>
      <x:c r="F1418" s="8" t="s">
        <x:v>4146</x:v>
      </x:c>
      <x:c r="G1418" s="8" t="s">
        <x:v>109</x:v>
      </x:c>
      <x:c r="H1418" s="8" t="s">
        <x:v>4147</x:v>
      </x:c>
      <x:c r="I1418" s="8" t="s">
        <x:v>4148</x:v>
      </x:c>
      <x:c r="J1418" s="8" t="s">
        <x:v>112</x:v>
      </x:c>
      <x:c r="K1418" s="8" t="s">
        <x:v>1356</x:v>
      </x:c>
      <x:c r="L1418" s="8" t="s">
        <x:v>1356</x:v>
      </x:c>
      <x:c r="M1418" s="8"/>
      <x:c r="N1418" s="8"/>
      <x:c r="O1418" s="8" t="s">
        <x:v>1622</x:v>
      </x:c>
      <x:c r="P1418" s="8" t="s">
        <x:v>115</x:v>
      </x:c>
      <x:c r="Q1418" s="8" t="s">
        <x:v>45</x:v>
      </x:c>
      <x:c r="R1418" s="8" t="s">
        <x:v>3999</x:v>
      </x:c>
      <x:c r="S1418" s="8"/>
      <x:c r="T1418" s="8" t="s">
        <x:v>27</x:v>
      </x:c>
      <x:c r="U1418" s="8" t="s">
        <x:v>3474</x:v>
      </x:c>
      <x:c r="V1418" s="8" t="s">
        <x:v>4000</x:v>
      </x:c>
    </x:row>
    <x:row r="1419" ht="36" hidden="0" customHeight="1">
      <x:c r="A1419" s="8" t="s">
        <x:v>4149</x:v>
      </x:c>
      <x:c r="B1419" s="8" t="s">
        <x:v>4144</x:v>
      </x:c>
      <x:c r="C1419" s="8"/>
      <x:c r="D1419" s="8" t="s">
        <x:v>2161</x:v>
      </x:c>
      <x:c r="E1419" s="8" t="s">
        <x:v>4150</x:v>
      </x:c>
      <x:c r="F1419" s="8" t="s">
        <x:v>4146</x:v>
      </x:c>
      <x:c r="G1419" s="8" t="s">
        <x:v>109</x:v>
      </x:c>
      <x:c r="H1419" s="8" t="s">
        <x:v>4147</x:v>
      </x:c>
      <x:c r="I1419" s="8" t="s">
        <x:v>4148</x:v>
      </x:c>
      <x:c r="J1419" s="8" t="s">
        <x:v>112</x:v>
      </x:c>
      <x:c r="K1419" s="8" t="s">
        <x:v>1356</x:v>
      </x:c>
      <x:c r="L1419" s="8" t="s">
        <x:v>1356</x:v>
      </x:c>
      <x:c r="M1419" s="8"/>
      <x:c r="N1419" s="8"/>
      <x:c r="O1419" s="8" t="s">
        <x:v>1622</x:v>
      </x:c>
      <x:c r="P1419" s="8" t="s">
        <x:v>115</x:v>
      </x:c>
      <x:c r="Q1419" s="8" t="s">
        <x:v>45</x:v>
      </x:c>
      <x:c r="R1419" s="8" t="s">
        <x:v>3999</x:v>
      </x:c>
      <x:c r="S1419" s="8"/>
      <x:c r="T1419" s="8" t="s">
        <x:v>27</x:v>
      </x:c>
      <x:c r="U1419" s="8" t="s">
        <x:v>3474</x:v>
      </x:c>
      <x:c r="V1419" s="8" t="s">
        <x:v>4000</x:v>
      </x:c>
    </x:row>
    <x:row r="1420" ht="36" hidden="0" customHeight="1">
      <x:c r="A1420" s="8" t="s">
        <x:v>4151</x:v>
      </x:c>
      <x:c r="B1420" s="8" t="s">
        <x:v>4144</x:v>
      </x:c>
      <x:c r="C1420" s="8"/>
      <x:c r="D1420" s="8" t="s">
        <x:v>2911</x:v>
      </x:c>
      <x:c r="E1420" s="8" t="s">
        <x:v>4152</x:v>
      </x:c>
      <x:c r="F1420" s="8" t="s">
        <x:v>4146</x:v>
      </x:c>
      <x:c r="G1420" s="8" t="s">
        <x:v>109</x:v>
      </x:c>
      <x:c r="H1420" s="8" t="s">
        <x:v>4147</x:v>
      </x:c>
      <x:c r="I1420" s="8" t="s">
        <x:v>4148</x:v>
      </x:c>
      <x:c r="J1420" s="8" t="s">
        <x:v>112</x:v>
      </x:c>
      <x:c r="K1420" s="8" t="s">
        <x:v>1356</x:v>
      </x:c>
      <x:c r="L1420" s="8" t="s">
        <x:v>1356</x:v>
      </x:c>
      <x:c r="M1420" s="8"/>
      <x:c r="N1420" s="8"/>
      <x:c r="O1420" s="8" t="s">
        <x:v>1622</x:v>
      </x:c>
      <x:c r="P1420" s="8" t="s">
        <x:v>115</x:v>
      </x:c>
      <x:c r="Q1420" s="8" t="s">
        <x:v>45</x:v>
      </x:c>
      <x:c r="R1420" s="8" t="s">
        <x:v>3999</x:v>
      </x:c>
      <x:c r="S1420" s="8"/>
      <x:c r="T1420" s="8" t="s">
        <x:v>27</x:v>
      </x:c>
      <x:c r="U1420" s="8" t="s">
        <x:v>3474</x:v>
      </x:c>
      <x:c r="V1420" s="8" t="s">
        <x:v>4000</x:v>
      </x:c>
    </x:row>
    <x:row r="1421" ht="36" hidden="0" customHeight="1">
      <x:c r="A1421" s="8" t="s">
        <x:v>4153</x:v>
      </x:c>
      <x:c r="B1421" s="8" t="s">
        <x:v>4144</x:v>
      </x:c>
      <x:c r="C1421" s="8"/>
      <x:c r="D1421" s="8" t="s">
        <x:v>1615</x:v>
      </x:c>
      <x:c r="E1421" s="8" t="s">
        <x:v>4154</x:v>
      </x:c>
      <x:c r="F1421" s="8" t="s">
        <x:v>4146</x:v>
      </x:c>
      <x:c r="G1421" s="8" t="s">
        <x:v>109</x:v>
      </x:c>
      <x:c r="H1421" s="8" t="s">
        <x:v>4147</x:v>
      </x:c>
      <x:c r="I1421" s="8" t="s">
        <x:v>4148</x:v>
      </x:c>
      <x:c r="J1421" s="8" t="s">
        <x:v>112</x:v>
      </x:c>
      <x:c r="K1421" s="8" t="s">
        <x:v>497</x:v>
      </x:c>
      <x:c r="L1421" s="8" t="s">
        <x:v>497</x:v>
      </x:c>
      <x:c r="M1421" s="8"/>
      <x:c r="N1421" s="8"/>
      <x:c r="O1421" s="8" t="s">
        <x:v>1622</x:v>
      </x:c>
      <x:c r="P1421" s="8" t="s">
        <x:v>115</x:v>
      </x:c>
      <x:c r="Q1421" s="8" t="s">
        <x:v>45</x:v>
      </x:c>
      <x:c r="R1421" s="8" t="s">
        <x:v>3999</x:v>
      </x:c>
      <x:c r="S1421" s="8"/>
      <x:c r="T1421" s="8" t="s">
        <x:v>27</x:v>
      </x:c>
      <x:c r="U1421" s="8" t="s">
        <x:v>3474</x:v>
      </x:c>
      <x:c r="V1421" s="8" t="s">
        <x:v>4000</x:v>
      </x:c>
    </x:row>
    <x:row r="1422" ht="36" hidden="0" customHeight="1">
      <x:c r="A1422" s="8" t="s">
        <x:v>4155</x:v>
      </x:c>
      <x:c r="B1422" s="8" t="s">
        <x:v>4144</x:v>
      </x:c>
      <x:c r="C1422" s="8"/>
      <x:c r="D1422" s="8" t="s">
        <x:v>2307</x:v>
      </x:c>
      <x:c r="E1422" s="8" t="n">
        <x:v>2</x:v>
      </x:c>
      <x:c r="F1422" s="8" t="s">
        <x:v>4146</x:v>
      </x:c>
      <x:c r="G1422" s="8" t="s">
        <x:v>109</x:v>
      </x:c>
      <x:c r="H1422" s="8" t="s">
        <x:v>4147</x:v>
      </x:c>
      <x:c r="I1422" s="8" t="s">
        <x:v>4148</x:v>
      </x:c>
      <x:c r="J1422" s="8" t="s">
        <x:v>112</x:v>
      </x:c>
      <x:c r="K1422" s="8" t="s">
        <x:v>497</x:v>
      </x:c>
      <x:c r="L1422" s="8" t="s">
        <x:v>497</x:v>
      </x:c>
      <x:c r="M1422" s="8"/>
      <x:c r="N1422" s="8"/>
      <x:c r="O1422" s="8" t="s">
        <x:v>1622</x:v>
      </x:c>
      <x:c r="P1422" s="8" t="s">
        <x:v>115</x:v>
      </x:c>
      <x:c r="Q1422" s="8" t="s">
        <x:v>45</x:v>
      </x:c>
      <x:c r="R1422" s="8" t="s">
        <x:v>3999</x:v>
      </x:c>
      <x:c r="S1422" s="8"/>
      <x:c r="T1422" s="8" t="s">
        <x:v>27</x:v>
      </x:c>
      <x:c r="U1422" s="8" t="s">
        <x:v>3474</x:v>
      </x:c>
      <x:c r="V1422" s="8" t="s">
        <x:v>4000</x:v>
      </x:c>
    </x:row>
    <x:row r="1423" ht="36" hidden="0" customHeight="1">
      <x:c r="A1423" s="8" t="s">
        <x:v>4156</x:v>
      </x:c>
      <x:c r="B1423" s="8" t="s">
        <x:v>4144</x:v>
      </x:c>
      <x:c r="C1423" s="8"/>
      <x:c r="D1423" s="8" t="s">
        <x:v>450</x:v>
      </x:c>
      <x:c r="E1423" s="8" t="n">
        <x:v>16</x:v>
      </x:c>
      <x:c r="F1423" s="8" t="s">
        <x:v>4146</x:v>
      </x:c>
      <x:c r="G1423" s="8" t="s">
        <x:v>109</x:v>
      </x:c>
      <x:c r="H1423" s="8" t="s">
        <x:v>4147</x:v>
      </x:c>
      <x:c r="I1423" s="8" t="s">
        <x:v>4148</x:v>
      </x:c>
      <x:c r="J1423" s="8" t="s">
        <x:v>112</x:v>
      </x:c>
      <x:c r="K1423" s="8" t="s">
        <x:v>497</x:v>
      </x:c>
      <x:c r="L1423" s="8" t="s">
        <x:v>497</x:v>
      </x:c>
      <x:c r="M1423" s="8"/>
      <x:c r="N1423" s="8"/>
      <x:c r="O1423" s="8" t="s">
        <x:v>1622</x:v>
      </x:c>
      <x:c r="P1423" s="8" t="s">
        <x:v>115</x:v>
      </x:c>
      <x:c r="Q1423" s="8" t="s">
        <x:v>45</x:v>
      </x:c>
      <x:c r="R1423" s="8" t="s">
        <x:v>3999</x:v>
      </x:c>
      <x:c r="S1423" s="8"/>
      <x:c r="T1423" s="8" t="s">
        <x:v>27</x:v>
      </x:c>
      <x:c r="U1423" s="8" t="s">
        <x:v>3474</x:v>
      </x:c>
      <x:c r="V1423" s="8" t="s">
        <x:v>4000</x:v>
      </x:c>
    </x:row>
    <x:row r="1424" ht="36" hidden="0" customHeight="1">
      <x:c r="A1424" s="8" t="s">
        <x:v>4157</x:v>
      </x:c>
      <x:c r="B1424" s="8" t="s">
        <x:v>4144</x:v>
      </x:c>
      <x:c r="C1424" s="8"/>
      <x:c r="D1424" s="8" t="s">
        <x:v>445</x:v>
      </x:c>
      <x:c r="E1424" s="8" t="s">
        <x:v>446</x:v>
      </x:c>
      <x:c r="F1424" s="8" t="s">
        <x:v>4146</x:v>
      </x:c>
      <x:c r="G1424" s="8" t="s">
        <x:v>109</x:v>
      </x:c>
      <x:c r="H1424" s="8" t="s">
        <x:v>4147</x:v>
      </x:c>
      <x:c r="I1424" s="8" t="s">
        <x:v>4148</x:v>
      </x:c>
      <x:c r="J1424" s="8" t="s">
        <x:v>112</x:v>
      </x:c>
      <x:c r="K1424" s="8" t="s">
        <x:v>497</x:v>
      </x:c>
      <x:c r="L1424" s="8" t="s">
        <x:v>497</x:v>
      </x:c>
      <x:c r="M1424" s="8"/>
      <x:c r="N1424" s="8"/>
      <x:c r="O1424" s="8" t="s">
        <x:v>1622</x:v>
      </x:c>
      <x:c r="P1424" s="8" t="s">
        <x:v>115</x:v>
      </x:c>
      <x:c r="Q1424" s="8" t="s">
        <x:v>45</x:v>
      </x:c>
      <x:c r="R1424" s="8" t="s">
        <x:v>3999</x:v>
      </x:c>
      <x:c r="S1424" s="8"/>
      <x:c r="T1424" s="8" t="s">
        <x:v>27</x:v>
      </x:c>
      <x:c r="U1424" s="8" t="s">
        <x:v>3474</x:v>
      </x:c>
      <x:c r="V1424" s="8" t="s">
        <x:v>4000</x:v>
      </x:c>
    </x:row>
    <x:row r="1425" ht="36" hidden="0" customHeight="1">
      <x:c r="A1425" s="8" t="s">
        <x:v>4158</x:v>
      </x:c>
      <x:c r="B1425" s="8" t="s">
        <x:v>4144</x:v>
      </x:c>
      <x:c r="C1425" s="8"/>
      <x:c r="D1425" s="8" t="s">
        <x:v>1864</x:v>
      </x:c>
      <x:c r="E1425" s="8" t="s">
        <x:v>4159</x:v>
      </x:c>
      <x:c r="F1425" s="8" t="s">
        <x:v>4146</x:v>
      </x:c>
      <x:c r="G1425" s="8" t="s">
        <x:v>109</x:v>
      </x:c>
      <x:c r="H1425" s="8" t="s">
        <x:v>4147</x:v>
      </x:c>
      <x:c r="I1425" s="8" t="s">
        <x:v>4148</x:v>
      </x:c>
      <x:c r="J1425" s="8" t="s">
        <x:v>112</x:v>
      </x:c>
      <x:c r="K1425" s="8" t="s">
        <x:v>497</x:v>
      </x:c>
      <x:c r="L1425" s="8" t="s">
        <x:v>497</x:v>
      </x:c>
      <x:c r="M1425" s="8"/>
      <x:c r="N1425" s="8"/>
      <x:c r="O1425" s="8" t="s">
        <x:v>1622</x:v>
      </x:c>
      <x:c r="P1425" s="8" t="s">
        <x:v>115</x:v>
      </x:c>
      <x:c r="Q1425" s="8" t="s">
        <x:v>45</x:v>
      </x:c>
      <x:c r="R1425" s="8" t="s">
        <x:v>3999</x:v>
      </x:c>
      <x:c r="S1425" s="8"/>
      <x:c r="T1425" s="8" t="s">
        <x:v>27</x:v>
      </x:c>
      <x:c r="U1425" s="8" t="s">
        <x:v>3474</x:v>
      </x:c>
      <x:c r="V1425" s="8" t="s">
        <x:v>4000</x:v>
      </x:c>
    </x:row>
    <x:row r="1426" ht="36" hidden="0" customHeight="1">
      <x:c r="A1426" s="8" t="s">
        <x:v>4160</x:v>
      </x:c>
      <x:c r="B1426" s="8" t="s">
        <x:v>4144</x:v>
      </x:c>
      <x:c r="C1426" s="8"/>
      <x:c r="D1426" s="8" t="s">
        <x:v>4161</x:v>
      </x:c>
      <x:c r="E1426" s="8" t="s">
        <x:v>969</x:v>
      </x:c>
      <x:c r="F1426" s="8" t="s">
        <x:v>4146</x:v>
      </x:c>
      <x:c r="G1426" s="8" t="s">
        <x:v>109</x:v>
      </x:c>
      <x:c r="H1426" s="8" t="s">
        <x:v>4147</x:v>
      </x:c>
      <x:c r="I1426" s="8" t="s">
        <x:v>4148</x:v>
      </x:c>
      <x:c r="J1426" s="8" t="s">
        <x:v>112</x:v>
      </x:c>
      <x:c r="K1426" s="8" t="s">
        <x:v>497</x:v>
      </x:c>
      <x:c r="L1426" s="8" t="s">
        <x:v>497</x:v>
      </x:c>
      <x:c r="M1426" s="8"/>
      <x:c r="N1426" s="8"/>
      <x:c r="O1426" s="8" t="s">
        <x:v>1622</x:v>
      </x:c>
      <x:c r="P1426" s="8" t="s">
        <x:v>115</x:v>
      </x:c>
      <x:c r="Q1426" s="8" t="s">
        <x:v>45</x:v>
      </x:c>
      <x:c r="R1426" s="8" t="s">
        <x:v>3999</x:v>
      </x:c>
      <x:c r="S1426" s="8"/>
      <x:c r="T1426" s="8" t="s">
        <x:v>27</x:v>
      </x:c>
      <x:c r="U1426" s="8" t="s">
        <x:v>3474</x:v>
      </x:c>
      <x:c r="V1426" s="8" t="s">
        <x:v>4000</x:v>
      </x:c>
    </x:row>
    <x:row r="1427" ht="36" hidden="0" customHeight="1">
      <x:c r="A1427" s="8" t="s">
        <x:v>4162</x:v>
      </x:c>
      <x:c r="B1427" s="8" t="s">
        <x:v>4144</x:v>
      </x:c>
      <x:c r="C1427" s="8"/>
      <x:c r="D1427" s="8" t="s">
        <x:v>4163</x:v>
      </x:c>
      <x:c r="E1427" s="8" t="s">
        <x:v>4164</x:v>
      </x:c>
      <x:c r="F1427" s="8" t="s">
        <x:v>4146</x:v>
      </x:c>
      <x:c r="G1427" s="8" t="s">
        <x:v>109</x:v>
      </x:c>
      <x:c r="H1427" s="8" t="s">
        <x:v>4147</x:v>
      </x:c>
      <x:c r="I1427" s="8" t="s">
        <x:v>4148</x:v>
      </x:c>
      <x:c r="J1427" s="8" t="s">
        <x:v>112</x:v>
      </x:c>
      <x:c r="K1427" s="8" t="s">
        <x:v>497</x:v>
      </x:c>
      <x:c r="L1427" s="8" t="s">
        <x:v>497</x:v>
      </x:c>
      <x:c r="M1427" s="8"/>
      <x:c r="N1427" s="8"/>
      <x:c r="O1427" s="8" t="s">
        <x:v>1622</x:v>
      </x:c>
      <x:c r="P1427" s="8" t="s">
        <x:v>115</x:v>
      </x:c>
      <x:c r="Q1427" s="8" t="s">
        <x:v>45</x:v>
      </x:c>
      <x:c r="R1427" s="8" t="s">
        <x:v>3999</x:v>
      </x:c>
      <x:c r="S1427" s="8"/>
      <x:c r="T1427" s="8" t="s">
        <x:v>27</x:v>
      </x:c>
      <x:c r="U1427" s="8" t="s">
        <x:v>3474</x:v>
      </x:c>
      <x:c r="V1427" s="8" t="s">
        <x:v>4000</x:v>
      </x:c>
    </x:row>
    <x:row r="1428" ht="36" hidden="0" customHeight="1">
      <x:c r="A1428" s="8" t="s">
        <x:v>4165</x:v>
      </x:c>
      <x:c r="B1428" s="8" t="s">
        <x:v>4144</x:v>
      </x:c>
      <x:c r="C1428" s="8"/>
      <x:c r="D1428" s="8" t="s">
        <x:v>4166</x:v>
      </x:c>
      <x:c r="E1428" s="8" t="n">
        <x:v>0.0001</x:v>
      </x:c>
      <x:c r="F1428" s="8" t="s">
        <x:v>4146</x:v>
      </x:c>
      <x:c r="G1428" s="8" t="s">
        <x:v>109</x:v>
      </x:c>
      <x:c r="H1428" s="8" t="s">
        <x:v>4147</x:v>
      </x:c>
      <x:c r="I1428" s="8" t="s">
        <x:v>4148</x:v>
      </x:c>
      <x:c r="J1428" s="8" t="s">
        <x:v>112</x:v>
      </x:c>
      <x:c r="K1428" s="8" t="s">
        <x:v>497</x:v>
      </x:c>
      <x:c r="L1428" s="8" t="s">
        <x:v>497</x:v>
      </x:c>
      <x:c r="M1428" s="8"/>
      <x:c r="N1428" s="8"/>
      <x:c r="O1428" s="8" t="s">
        <x:v>1622</x:v>
      </x:c>
      <x:c r="P1428" s="8" t="s">
        <x:v>115</x:v>
      </x:c>
      <x:c r="Q1428" s="8" t="s">
        <x:v>45</x:v>
      </x:c>
      <x:c r="R1428" s="8" t="s">
        <x:v>3999</x:v>
      </x:c>
      <x:c r="S1428" s="8"/>
      <x:c r="T1428" s="8" t="s">
        <x:v>27</x:v>
      </x:c>
      <x:c r="U1428" s="8" t="s">
        <x:v>3474</x:v>
      </x:c>
      <x:c r="V1428" s="8" t="s">
        <x:v>4000</x:v>
      </x:c>
    </x:row>
    <x:row r="1429" ht="36" hidden="0" customHeight="1">
      <x:c r="A1429" s="8" t="s">
        <x:v>4167</x:v>
      </x:c>
      <x:c r="B1429" s="8" t="s">
        <x:v>4144</x:v>
      </x:c>
      <x:c r="C1429" s="8"/>
      <x:c r="D1429" s="8" t="s">
        <x:v>164</x:v>
      </x:c>
      <x:c r="E1429" s="8" t="s">
        <x:v>165</x:v>
      </x:c>
      <x:c r="F1429" s="8" t="s">
        <x:v>4146</x:v>
      </x:c>
      <x:c r="G1429" s="8" t="s">
        <x:v>109</x:v>
      </x:c>
      <x:c r="H1429" s="8" t="s">
        <x:v>4147</x:v>
      </x:c>
      <x:c r="I1429" s="8" t="s">
        <x:v>4148</x:v>
      </x:c>
      <x:c r="J1429" s="8" t="s">
        <x:v>112</x:v>
      </x:c>
      <x:c r="K1429" s="8" t="s">
        <x:v>497</x:v>
      </x:c>
      <x:c r="L1429" s="8" t="s">
        <x:v>497</x:v>
      </x:c>
      <x:c r="M1429" s="8"/>
      <x:c r="N1429" s="8"/>
      <x:c r="O1429" s="8" t="s">
        <x:v>1622</x:v>
      </x:c>
      <x:c r="P1429" s="8" t="s">
        <x:v>115</x:v>
      </x:c>
      <x:c r="Q1429" s="8" t="s">
        <x:v>45</x:v>
      </x:c>
      <x:c r="R1429" s="8" t="s">
        <x:v>3999</x:v>
      </x:c>
      <x:c r="S1429" s="8"/>
      <x:c r="T1429" s="8" t="s">
        <x:v>27</x:v>
      </x:c>
      <x:c r="U1429" s="8" t="s">
        <x:v>3474</x:v>
      </x:c>
      <x:c r="V1429" s="8" t="s">
        <x:v>4000</x:v>
      </x:c>
    </x:row>
    <x:row r="1430" ht="36" hidden="0" customHeight="1">
      <x:c r="A1430" s="8" t="s">
        <x:v>4168</x:v>
      </x:c>
      <x:c r="B1430" s="8" t="s">
        <x:v>4144</x:v>
      </x:c>
      <x:c r="C1430" s="8"/>
      <x:c r="D1430" s="8" t="s">
        <x:v>1648</x:v>
      </x:c>
      <x:c r="E1430" s="8" t="n">
        <x:v>0.0005</x:v>
      </x:c>
      <x:c r="F1430" s="8" t="s">
        <x:v>4146</x:v>
      </x:c>
      <x:c r="G1430" s="8" t="s">
        <x:v>109</x:v>
      </x:c>
      <x:c r="H1430" s="8" t="s">
        <x:v>4147</x:v>
      </x:c>
      <x:c r="I1430" s="8" t="s">
        <x:v>4148</x:v>
      </x:c>
      <x:c r="J1430" s="8" t="s">
        <x:v>112</x:v>
      </x:c>
      <x:c r="K1430" s="8" t="s">
        <x:v>497</x:v>
      </x:c>
      <x:c r="L1430" s="8" t="s">
        <x:v>497</x:v>
      </x:c>
      <x:c r="M1430" s="8"/>
      <x:c r="N1430" s="8"/>
      <x:c r="O1430" s="8" t="s">
        <x:v>1622</x:v>
      </x:c>
      <x:c r="P1430" s="8" t="s">
        <x:v>115</x:v>
      </x:c>
      <x:c r="Q1430" s="8" t="s">
        <x:v>45</x:v>
      </x:c>
      <x:c r="R1430" s="8" t="s">
        <x:v>3999</x:v>
      </x:c>
      <x:c r="S1430" s="8"/>
      <x:c r="T1430" s="8" t="s">
        <x:v>27</x:v>
      </x:c>
      <x:c r="U1430" s="8" t="s">
        <x:v>3474</x:v>
      </x:c>
      <x:c r="V1430" s="8" t="s">
        <x:v>4000</x:v>
      </x:c>
    </x:row>
    <x:row r="1431" ht="36" hidden="0" customHeight="1">
      <x:c r="A1431" s="8" t="s">
        <x:v>4169</x:v>
      </x:c>
      <x:c r="B1431" s="8" t="s">
        <x:v>4144</x:v>
      </x:c>
      <x:c r="C1431" s="8"/>
      <x:c r="D1431" s="8" t="s">
        <x:v>1652</x:v>
      </x:c>
      <x:c r="E1431" s="8" t="s">
        <x:v>4170</x:v>
      </x:c>
      <x:c r="F1431" s="8" t="s">
        <x:v>4146</x:v>
      </x:c>
      <x:c r="G1431" s="8" t="s">
        <x:v>109</x:v>
      </x:c>
      <x:c r="H1431" s="8" t="s">
        <x:v>4147</x:v>
      </x:c>
      <x:c r="I1431" s="8" t="s">
        <x:v>4148</x:v>
      </x:c>
      <x:c r="J1431" s="8" t="s">
        <x:v>112</x:v>
      </x:c>
      <x:c r="K1431" s="8" t="s">
        <x:v>497</x:v>
      </x:c>
      <x:c r="L1431" s="8" t="s">
        <x:v>497</x:v>
      </x:c>
      <x:c r="M1431" s="8"/>
      <x:c r="N1431" s="8"/>
      <x:c r="O1431" s="8" t="s">
        <x:v>1622</x:v>
      </x:c>
      <x:c r="P1431" s="8" t="s">
        <x:v>115</x:v>
      </x:c>
      <x:c r="Q1431" s="8" t="s">
        <x:v>45</x:v>
      </x:c>
      <x:c r="R1431" s="8" t="s">
        <x:v>3999</x:v>
      </x:c>
      <x:c r="S1431" s="8"/>
      <x:c r="T1431" s="8" t="s">
        <x:v>27</x:v>
      </x:c>
      <x:c r="U1431" s="8" t="s">
        <x:v>3474</x:v>
      </x:c>
      <x:c r="V1431" s="8" t="s">
        <x:v>4000</x:v>
      </x:c>
    </x:row>
    <x:row r="1432" ht="36" hidden="0" customHeight="1">
      <x:c r="A1432" s="8" t="s">
        <x:v>4171</x:v>
      </x:c>
      <x:c r="B1432" s="8" t="s">
        <x:v>4144</x:v>
      </x:c>
      <x:c r="C1432" s="8"/>
      <x:c r="D1432" s="8" t="s">
        <x:v>167</x:v>
      </x:c>
      <x:c r="E1432" s="8" t="n">
        <x:v>8192</x:v>
      </x:c>
      <x:c r="F1432" s="8" t="s">
        <x:v>4146</x:v>
      </x:c>
      <x:c r="G1432" s="8" t="s">
        <x:v>109</x:v>
      </x:c>
      <x:c r="H1432" s="8" t="s">
        <x:v>4147</x:v>
      </x:c>
      <x:c r="I1432" s="8" t="s">
        <x:v>4148</x:v>
      </x:c>
      <x:c r="J1432" s="8" t="s">
        <x:v>112</x:v>
      </x:c>
      <x:c r="K1432" s="8" t="s">
        <x:v>497</x:v>
      </x:c>
      <x:c r="L1432" s="8" t="s">
        <x:v>497</x:v>
      </x:c>
      <x:c r="M1432" s="8"/>
      <x:c r="N1432" s="8"/>
      <x:c r="O1432" s="8" t="s">
        <x:v>1622</x:v>
      </x:c>
      <x:c r="P1432" s="8" t="s">
        <x:v>115</x:v>
      </x:c>
      <x:c r="Q1432" s="8" t="s">
        <x:v>45</x:v>
      </x:c>
      <x:c r="R1432" s="8" t="s">
        <x:v>3999</x:v>
      </x:c>
      <x:c r="S1432" s="8"/>
      <x:c r="T1432" s="8" t="s">
        <x:v>27</x:v>
      </x:c>
      <x:c r="U1432" s="8" t="s">
        <x:v>3474</x:v>
      </x:c>
      <x:c r="V1432" s="8" t="s">
        <x:v>4000</x:v>
      </x:c>
    </x:row>
    <x:row r="1433" ht="36" hidden="0" customHeight="1">
      <x:c r="A1433" s="8" t="s">
        <x:v>4172</x:v>
      </x:c>
      <x:c r="B1433" s="8" t="s">
        <x:v>4144</x:v>
      </x:c>
      <x:c r="C1433" s="8"/>
      <x:c r="D1433" s="8" t="s">
        <x:v>170</x:v>
      </x:c>
      <x:c r="E1433" s="8" t="n">
        <x:v>50</x:v>
      </x:c>
      <x:c r="F1433" s="8" t="s">
        <x:v>4146</x:v>
      </x:c>
      <x:c r="G1433" s="8" t="s">
        <x:v>109</x:v>
      </x:c>
      <x:c r="H1433" s="8" t="s">
        <x:v>4147</x:v>
      </x:c>
      <x:c r="I1433" s="8" t="s">
        <x:v>4148</x:v>
      </x:c>
      <x:c r="J1433" s="8" t="s">
        <x:v>112</x:v>
      </x:c>
      <x:c r="K1433" s="8" t="s">
        <x:v>497</x:v>
      </x:c>
      <x:c r="L1433" s="8" t="s">
        <x:v>497</x:v>
      </x:c>
      <x:c r="M1433" s="8"/>
      <x:c r="N1433" s="8"/>
      <x:c r="O1433" s="8" t="s">
        <x:v>1622</x:v>
      </x:c>
      <x:c r="P1433" s="8" t="s">
        <x:v>115</x:v>
      </x:c>
      <x:c r="Q1433" s="8" t="s">
        <x:v>45</x:v>
      </x:c>
      <x:c r="R1433" s="8" t="s">
        <x:v>3999</x:v>
      </x:c>
      <x:c r="S1433" s="8"/>
      <x:c r="T1433" s="8" t="s">
        <x:v>27</x:v>
      </x:c>
      <x:c r="U1433" s="8" t="s">
        <x:v>3474</x:v>
      </x:c>
      <x:c r="V1433" s="8" t="s">
        <x:v>4000</x:v>
      </x:c>
    </x:row>
    <x:row r="1434" ht="36" hidden="0" customHeight="1">
      <x:c r="A1434" s="8" t="s">
        <x:v>4173</x:v>
      </x:c>
      <x:c r="B1434" s="8" t="s">
        <x:v>4144</x:v>
      </x:c>
      <x:c r="C1434" s="8"/>
      <x:c r="D1434" s="8" t="s">
        <x:v>4174</x:v>
      </x:c>
      <x:c r="E1434" s="8" t="s">
        <x:v>4175</x:v>
      </x:c>
      <x:c r="F1434" s="8" t="s">
        <x:v>4146</x:v>
      </x:c>
      <x:c r="G1434" s="8" t="s">
        <x:v>109</x:v>
      </x:c>
      <x:c r="H1434" s="8" t="s">
        <x:v>4147</x:v>
      </x:c>
      <x:c r="I1434" s="8" t="s">
        <x:v>4148</x:v>
      </x:c>
      <x:c r="J1434" s="8" t="s">
        <x:v>112</x:v>
      </x:c>
      <x:c r="K1434" s="8" t="s">
        <x:v>497</x:v>
      </x:c>
      <x:c r="L1434" s="8" t="s">
        <x:v>497</x:v>
      </x:c>
      <x:c r="M1434" s="8"/>
      <x:c r="N1434" s="8"/>
      <x:c r="O1434" s="8" t="s">
        <x:v>1622</x:v>
      </x:c>
      <x:c r="P1434" s="8" t="s">
        <x:v>115</x:v>
      </x:c>
      <x:c r="Q1434" s="8" t="s">
        <x:v>45</x:v>
      </x:c>
      <x:c r="R1434" s="8" t="s">
        <x:v>3999</x:v>
      </x:c>
      <x:c r="S1434" s="8"/>
      <x:c r="T1434" s="8" t="s">
        <x:v>27</x:v>
      </x:c>
      <x:c r="U1434" s="8" t="s">
        <x:v>3474</x:v>
      </x:c>
      <x:c r="V1434" s="8" t="s">
        <x:v>4000</x:v>
      </x:c>
    </x:row>
    <x:row r="1435" ht="36" hidden="0" customHeight="1">
      <x:c r="A1435" s="8" t="s">
        <x:v>4176</x:v>
      </x:c>
      <x:c r="B1435" s="8" t="s">
        <x:v>4144</x:v>
      </x:c>
      <x:c r="C1435" s="8"/>
      <x:c r="D1435" s="8" t="s">
        <x:v>4177</x:v>
      </x:c>
      <x:c r="E1435" s="8" t="s">
        <x:v>2159</x:v>
      </x:c>
      <x:c r="F1435" s="8" t="s">
        <x:v>4146</x:v>
      </x:c>
      <x:c r="G1435" s="8" t="s">
        <x:v>109</x:v>
      </x:c>
      <x:c r="H1435" s="8" t="s">
        <x:v>4147</x:v>
      </x:c>
      <x:c r="I1435" s="8" t="s">
        <x:v>4148</x:v>
      </x:c>
      <x:c r="J1435" s="8" t="s">
        <x:v>112</x:v>
      </x:c>
      <x:c r="K1435" s="8" t="s">
        <x:v>497</x:v>
      </x:c>
      <x:c r="L1435" s="8" t="s">
        <x:v>497</x:v>
      </x:c>
      <x:c r="M1435" s="8"/>
      <x:c r="N1435" s="8"/>
      <x:c r="O1435" s="8" t="s">
        <x:v>1622</x:v>
      </x:c>
      <x:c r="P1435" s="8" t="s">
        <x:v>115</x:v>
      </x:c>
      <x:c r="Q1435" s="8" t="s">
        <x:v>45</x:v>
      </x:c>
      <x:c r="R1435" s="8" t="s">
        <x:v>3999</x:v>
      </x:c>
      <x:c r="S1435" s="8"/>
      <x:c r="T1435" s="8" t="s">
        <x:v>27</x:v>
      </x:c>
      <x:c r="U1435" s="8" t="s">
        <x:v>3474</x:v>
      </x:c>
      <x:c r="V1435" s="8" t="s">
        <x:v>4000</x:v>
      </x:c>
    </x:row>
    <x:row r="1436" ht="36" hidden="0" customHeight="1">
      <x:c r="A1436" s="8" t="s">
        <x:v>4178</x:v>
      </x:c>
      <x:c r="B1436" s="8" t="s">
        <x:v>4144</x:v>
      </x:c>
      <x:c r="C1436" s="8"/>
      <x:c r="D1436" s="8" t="s">
        <x:v>4179</x:v>
      </x:c>
      <x:c r="E1436" s="8" t="s">
        <x:v>4180</x:v>
      </x:c>
      <x:c r="F1436" s="8" t="s">
        <x:v>4146</x:v>
      </x:c>
      <x:c r="G1436" s="8" t="s">
        <x:v>109</x:v>
      </x:c>
      <x:c r="H1436" s="8" t="s">
        <x:v>4147</x:v>
      </x:c>
      <x:c r="I1436" s="8" t="s">
        <x:v>4148</x:v>
      </x:c>
      <x:c r="J1436" s="8" t="s">
        <x:v>112</x:v>
      </x:c>
      <x:c r="K1436" s="8" t="s">
        <x:v>497</x:v>
      </x:c>
      <x:c r="L1436" s="8" t="s">
        <x:v>497</x:v>
      </x:c>
      <x:c r="M1436" s="8"/>
      <x:c r="N1436" s="8"/>
      <x:c r="O1436" s="8" t="s">
        <x:v>1622</x:v>
      </x:c>
      <x:c r="P1436" s="8" t="s">
        <x:v>115</x:v>
      </x:c>
      <x:c r="Q1436" s="8" t="s">
        <x:v>45</x:v>
      </x:c>
      <x:c r="R1436" s="8" t="s">
        <x:v>3999</x:v>
      </x:c>
      <x:c r="S1436" s="8"/>
      <x:c r="T1436" s="8" t="s">
        <x:v>27</x:v>
      </x:c>
      <x:c r="U1436" s="8" t="s">
        <x:v>3474</x:v>
      </x:c>
      <x:c r="V1436" s="8" t="s">
        <x:v>4000</x:v>
      </x:c>
    </x:row>
    <x:row r="1437" ht="36" hidden="0" customHeight="1">
      <x:c r="A1437" s="8" t="s">
        <x:v>4181</x:v>
      </x:c>
      <x:c r="B1437" s="8" t="s">
        <x:v>4144</x:v>
      </x:c>
      <x:c r="C1437" s="8"/>
      <x:c r="D1437" s="8" t="s">
        <x:v>1945</x:v>
      </x:c>
      <x:c r="E1437" s="8" t="s">
        <x:v>4182</x:v>
      </x:c>
      <x:c r="F1437" s="8" t="s">
        <x:v>4146</x:v>
      </x:c>
      <x:c r="G1437" s="8" t="s">
        <x:v>109</x:v>
      </x:c>
      <x:c r="H1437" s="8" t="s">
        <x:v>4147</x:v>
      </x:c>
      <x:c r="I1437" s="8" t="s">
        <x:v>4148</x:v>
      </x:c>
      <x:c r="J1437" s="8" t="s">
        <x:v>112</x:v>
      </x:c>
      <x:c r="K1437" s="8" t="s">
        <x:v>497</x:v>
      </x:c>
      <x:c r="L1437" s="8" t="s">
        <x:v>497</x:v>
      </x:c>
      <x:c r="M1437" s="8"/>
      <x:c r="N1437" s="8"/>
      <x:c r="O1437" s="8" t="s">
        <x:v>1622</x:v>
      </x:c>
      <x:c r="P1437" s="8" t="s">
        <x:v>115</x:v>
      </x:c>
      <x:c r="Q1437" s="8" t="s">
        <x:v>45</x:v>
      </x:c>
      <x:c r="R1437" s="8" t="s">
        <x:v>3999</x:v>
      </x:c>
      <x:c r="S1437" s="8"/>
      <x:c r="T1437" s="8" t="s">
        <x:v>27</x:v>
      </x:c>
      <x:c r="U1437" s="8" t="s">
        <x:v>3474</x:v>
      </x:c>
      <x:c r="V1437" s="8" t="s">
        <x:v>4000</x:v>
      </x:c>
    </x:row>
    <x:row r="1438" ht="36" hidden="0" customHeight="1">
      <x:c r="A1438" s="8" t="s">
        <x:v>4183</x:v>
      </x:c>
      <x:c r="B1438" s="8" t="s">
        <x:v>4144</x:v>
      </x:c>
      <x:c r="C1438" s="8"/>
      <x:c r="D1438" s="8" t="s">
        <x:v>4184</x:v>
      </x:c>
      <x:c r="E1438" s="8" t="n">
        <x:v>2</x:v>
      </x:c>
      <x:c r="F1438" s="8" t="s">
        <x:v>4146</x:v>
      </x:c>
      <x:c r="G1438" s="8" t="s">
        <x:v>109</x:v>
      </x:c>
      <x:c r="H1438" s="8" t="s">
        <x:v>4147</x:v>
      </x:c>
      <x:c r="I1438" s="8" t="s">
        <x:v>4148</x:v>
      </x:c>
      <x:c r="J1438" s="8" t="s">
        <x:v>112</x:v>
      </x:c>
      <x:c r="K1438" s="8" t="s">
        <x:v>1301</x:v>
      </x:c>
      <x:c r="L1438" s="8" t="s">
        <x:v>1301</x:v>
      </x:c>
      <x:c r="M1438" s="8"/>
      <x:c r="N1438" s="8"/>
      <x:c r="O1438" s="8" t="s">
        <x:v>1622</x:v>
      </x:c>
      <x:c r="P1438" s="8" t="s">
        <x:v>115</x:v>
      </x:c>
      <x:c r="Q1438" s="8" t="s">
        <x:v>45</x:v>
      </x:c>
      <x:c r="R1438" s="8" t="s">
        <x:v>3999</x:v>
      </x:c>
      <x:c r="S1438" s="8" t="s">
        <x:v>1684</x:v>
      </x:c>
      <x:c r="T1438" s="8" t="s">
        <x:v>27</x:v>
      </x:c>
      <x:c r="U1438" s="8" t="s">
        <x:v>3474</x:v>
      </x:c>
      <x:c r="V1438" s="8" t="s">
        <x:v>4000</x:v>
      </x:c>
    </x:row>
    <x:row r="1439" ht="36" hidden="0" customHeight="1">
      <x:c r="A1439" s="8" t="s">
        <x:v>4185</x:v>
      </x:c>
      <x:c r="B1439" s="8" t="s">
        <x:v>4144</x:v>
      </x:c>
      <x:c r="C1439" s="8"/>
      <x:c r="D1439" s="8" t="s">
        <x:v>4186</x:v>
      </x:c>
      <x:c r="E1439" s="8" t="n">
        <x:v>3</x:v>
      </x:c>
      <x:c r="F1439" s="8" t="s">
        <x:v>4146</x:v>
      </x:c>
      <x:c r="G1439" s="8" t="s">
        <x:v>109</x:v>
      </x:c>
      <x:c r="H1439" s="8" t="s">
        <x:v>4147</x:v>
      </x:c>
      <x:c r="I1439" s="8" t="s">
        <x:v>4148</x:v>
      </x:c>
      <x:c r="J1439" s="8" t="s">
        <x:v>112</x:v>
      </x:c>
      <x:c r="K1439" s="8" t="s">
        <x:v>1301</x:v>
      </x:c>
      <x:c r="L1439" s="8" t="s">
        <x:v>1301</x:v>
      </x:c>
      <x:c r="M1439" s="8"/>
      <x:c r="N1439" s="8"/>
      <x:c r="O1439" s="8" t="s">
        <x:v>1622</x:v>
      </x:c>
      <x:c r="P1439" s="8" t="s">
        <x:v>115</x:v>
      </x:c>
      <x:c r="Q1439" s="8" t="s">
        <x:v>45</x:v>
      </x:c>
      <x:c r="R1439" s="8" t="s">
        <x:v>3999</x:v>
      </x:c>
      <x:c r="S1439" s="8" t="s">
        <x:v>911</x:v>
      </x:c>
      <x:c r="T1439" s="8" t="s">
        <x:v>27</x:v>
      </x:c>
      <x:c r="U1439" s="8" t="s">
        <x:v>3474</x:v>
      </x:c>
      <x:c r="V1439" s="8" t="s">
        <x:v>4000</x:v>
      </x:c>
    </x:row>
    <x:row r="1440" ht="48" hidden="0" customHeight="1">
      <x:c r="A1440" s="8" t="s">
        <x:v>4187</x:v>
      </x:c>
      <x:c r="B1440" s="8" t="s">
        <x:v>4188</x:v>
      </x:c>
      <x:c r="C1440" s="8"/>
      <x:c r="D1440" s="8" t="s">
        <x:v>1704</x:v>
      </x:c>
      <x:c r="E1440" s="8" t="s">
        <x:v>4189</x:v>
      </x:c>
      <x:c r="F1440" s="8" t="s">
        <x:v>4190</x:v>
      </x:c>
      <x:c r="G1440" s="8" t="s">
        <x:v>109</x:v>
      </x:c>
      <x:c r="H1440" s="8" t="s">
        <x:v>4191</x:v>
      </x:c>
      <x:c r="I1440" s="8" t="s">
        <x:v>4192</x:v>
      </x:c>
      <x:c r="J1440" s="8" t="s">
        <x:v>3471</x:v>
      </x:c>
      <x:c r="K1440" s="8" t="s">
        <x:v>3998</x:v>
      </x:c>
      <x:c r="L1440" s="8" t="s">
        <x:v>3998</x:v>
      </x:c>
      <x:c r="M1440" s="8"/>
      <x:c r="N1440" s="8"/>
      <x:c r="O1440" s="8" t="s">
        <x:v>1622</x:v>
      </x:c>
      <x:c r="P1440" s="8" t="s">
        <x:v>115</x:v>
      </x:c>
      <x:c r="Q1440" s="8" t="s">
        <x:v>45</x:v>
      </x:c>
      <x:c r="R1440" s="8" t="s">
        <x:v>3999</x:v>
      </x:c>
      <x:c r="S1440" s="8"/>
      <x:c r="T1440" s="8" t="s">
        <x:v>27</x:v>
      </x:c>
      <x:c r="U1440" s="8" t="s">
        <x:v>3474</x:v>
      </x:c>
      <x:c r="V1440" s="8" t="s">
        <x:v>4000</x:v>
      </x:c>
    </x:row>
    <x:row r="1441" ht="48" hidden="0" customHeight="1">
      <x:c r="A1441" s="8" t="s">
        <x:v>4193</x:v>
      </x:c>
      <x:c r="B1441" s="8" t="s">
        <x:v>4188</x:v>
      </x:c>
      <x:c r="C1441" s="8"/>
      <x:c r="D1441" s="8" t="s">
        <x:v>4002</x:v>
      </x:c>
      <x:c r="E1441" s="8" t="s">
        <x:v>4194</x:v>
      </x:c>
      <x:c r="F1441" s="8" t="s">
        <x:v>4190</x:v>
      </x:c>
      <x:c r="G1441" s="8" t="s">
        <x:v>109</x:v>
      </x:c>
      <x:c r="H1441" s="8" t="s">
        <x:v>4191</x:v>
      </x:c>
      <x:c r="I1441" s="8" t="s">
        <x:v>4192</x:v>
      </x:c>
      <x:c r="J1441" s="8" t="s">
        <x:v>3471</x:v>
      </x:c>
      <x:c r="K1441" s="8" t="s">
        <x:v>3998</x:v>
      </x:c>
      <x:c r="L1441" s="8" t="s">
        <x:v>3998</x:v>
      </x:c>
      <x:c r="M1441" s="8"/>
      <x:c r="N1441" s="8"/>
      <x:c r="O1441" s="8" t="s">
        <x:v>1622</x:v>
      </x:c>
      <x:c r="P1441" s="8" t="s">
        <x:v>115</x:v>
      </x:c>
      <x:c r="Q1441" s="8" t="s">
        <x:v>45</x:v>
      </x:c>
      <x:c r="R1441" s="8" t="s">
        <x:v>3999</x:v>
      </x:c>
      <x:c r="S1441" s="8"/>
      <x:c r="T1441" s="8" t="s">
        <x:v>27</x:v>
      </x:c>
      <x:c r="U1441" s="8" t="s">
        <x:v>3474</x:v>
      </x:c>
      <x:c r="V1441" s="8" t="s">
        <x:v>4000</x:v>
      </x:c>
    </x:row>
    <x:row r="1442" ht="48" hidden="0" customHeight="1">
      <x:c r="A1442" s="8" t="s">
        <x:v>4195</x:v>
      </x:c>
      <x:c r="B1442" s="8" t="s">
        <x:v>4188</x:v>
      </x:c>
      <x:c r="C1442" s="8"/>
      <x:c r="D1442" s="8" t="s">
        <x:v>4196</x:v>
      </x:c>
      <x:c r="E1442" s="8" t="s">
        <x:v>4197</x:v>
      </x:c>
      <x:c r="F1442" s="8" t="s">
        <x:v>4190</x:v>
      </x:c>
      <x:c r="G1442" s="8" t="s">
        <x:v>109</x:v>
      </x:c>
      <x:c r="H1442" s="8" t="s">
        <x:v>4191</x:v>
      </x:c>
      <x:c r="I1442" s="8" t="s">
        <x:v>4192</x:v>
      </x:c>
      <x:c r="J1442" s="8" t="s">
        <x:v>3471</x:v>
      </x:c>
      <x:c r="K1442" s="8" t="s">
        <x:v>3998</x:v>
      </x:c>
      <x:c r="L1442" s="8" t="s">
        <x:v>3998</x:v>
      </x:c>
      <x:c r="M1442" s="8"/>
      <x:c r="N1442" s="8"/>
      <x:c r="O1442" s="8" t="s">
        <x:v>1622</x:v>
      </x:c>
      <x:c r="P1442" s="8" t="s">
        <x:v>115</x:v>
      </x:c>
      <x:c r="Q1442" s="8" t="s">
        <x:v>45</x:v>
      </x:c>
      <x:c r="R1442" s="8" t="s">
        <x:v>3999</x:v>
      </x:c>
      <x:c r="S1442" s="8"/>
      <x:c r="T1442" s="8" t="s">
        <x:v>27</x:v>
      </x:c>
      <x:c r="U1442" s="8" t="s">
        <x:v>3474</x:v>
      </x:c>
      <x:c r="V1442" s="8" t="s">
        <x:v>4000</x:v>
      </x:c>
    </x:row>
    <x:row r="1443" ht="48" hidden="0" customHeight="1">
      <x:c r="A1443" s="8" t="s">
        <x:v>4198</x:v>
      </x:c>
      <x:c r="B1443" s="8" t="s">
        <x:v>4188</x:v>
      </x:c>
      <x:c r="C1443" s="8"/>
      <x:c r="D1443" s="8" t="s">
        <x:v>4199</x:v>
      </x:c>
      <x:c r="E1443" s="8" t="n">
        <x:v>30</x:v>
      </x:c>
      <x:c r="F1443" s="8" t="s">
        <x:v>4190</x:v>
      </x:c>
      <x:c r="G1443" s="8" t="s">
        <x:v>109</x:v>
      </x:c>
      <x:c r="H1443" s="8" t="s">
        <x:v>4191</x:v>
      </x:c>
      <x:c r="I1443" s="8" t="s">
        <x:v>4192</x:v>
      </x:c>
      <x:c r="J1443" s="8" t="s">
        <x:v>3471</x:v>
      </x:c>
      <x:c r="K1443" s="8" t="s">
        <x:v>3998</x:v>
      </x:c>
      <x:c r="L1443" s="8" t="s">
        <x:v>3998</x:v>
      </x:c>
      <x:c r="M1443" s="8"/>
      <x:c r="N1443" s="8"/>
      <x:c r="O1443" s="8" t="s">
        <x:v>1622</x:v>
      </x:c>
      <x:c r="P1443" s="8" t="s">
        <x:v>115</x:v>
      </x:c>
      <x:c r="Q1443" s="8" t="s">
        <x:v>45</x:v>
      </x:c>
      <x:c r="R1443" s="8" t="s">
        <x:v>3999</x:v>
      </x:c>
      <x:c r="S1443" s="8"/>
      <x:c r="T1443" s="8" t="s">
        <x:v>27</x:v>
      </x:c>
      <x:c r="U1443" s="8" t="s">
        <x:v>3474</x:v>
      </x:c>
      <x:c r="V1443" s="8" t="s">
        <x:v>4000</x:v>
      </x:c>
    </x:row>
    <x:row r="1444" ht="48" hidden="0" customHeight="1">
      <x:c r="A1444" s="8" t="s">
        <x:v>4200</x:v>
      </x:c>
      <x:c r="B1444" s="8" t="s">
        <x:v>4188</x:v>
      </x:c>
      <x:c r="C1444" s="8"/>
      <x:c r="D1444" s="8" t="s">
        <x:v>4201</x:v>
      </x:c>
      <x:c r="E1444" s="8" t="s">
        <x:v>4202</x:v>
      </x:c>
      <x:c r="F1444" s="8" t="s">
        <x:v>4190</x:v>
      </x:c>
      <x:c r="G1444" s="8" t="s">
        <x:v>109</x:v>
      </x:c>
      <x:c r="H1444" s="8" t="s">
        <x:v>4191</x:v>
      </x:c>
      <x:c r="I1444" s="8" t="s">
        <x:v>4192</x:v>
      </x:c>
      <x:c r="J1444" s="8" t="s">
        <x:v>3471</x:v>
      </x:c>
      <x:c r="K1444" s="8" t="s">
        <x:v>1356</x:v>
      </x:c>
      <x:c r="L1444" s="8" t="s">
        <x:v>1356</x:v>
      </x:c>
      <x:c r="M1444" s="8"/>
      <x:c r="N1444" s="8"/>
      <x:c r="O1444" s="8" t="s">
        <x:v>1622</x:v>
      </x:c>
      <x:c r="P1444" s="8" t="s">
        <x:v>115</x:v>
      </x:c>
      <x:c r="Q1444" s="8" t="s">
        <x:v>45</x:v>
      </x:c>
      <x:c r="R1444" s="8" t="s">
        <x:v>3999</x:v>
      </x:c>
      <x:c r="S1444" s="8"/>
      <x:c r="T1444" s="8" t="s">
        <x:v>27</x:v>
      </x:c>
      <x:c r="U1444" s="8" t="s">
        <x:v>3474</x:v>
      </x:c>
      <x:c r="V1444" s="8" t="s">
        <x:v>4000</x:v>
      </x:c>
    </x:row>
    <x:row r="1445" ht="48" hidden="0" customHeight="1">
      <x:c r="A1445" s="8" t="s">
        <x:v>4203</x:v>
      </x:c>
      <x:c r="B1445" s="8" t="s">
        <x:v>4188</x:v>
      </x:c>
      <x:c r="C1445" s="8"/>
      <x:c r="D1445" s="8" t="s">
        <x:v>4204</x:v>
      </x:c>
      <x:c r="E1445" s="8" t="s">
        <x:v>4205</x:v>
      </x:c>
      <x:c r="F1445" s="8" t="s">
        <x:v>4190</x:v>
      </x:c>
      <x:c r="G1445" s="8" t="s">
        <x:v>109</x:v>
      </x:c>
      <x:c r="H1445" s="8" t="s">
        <x:v>4191</x:v>
      </x:c>
      <x:c r="I1445" s="8" t="s">
        <x:v>4192</x:v>
      </x:c>
      <x:c r="J1445" s="8" t="s">
        <x:v>3471</x:v>
      </x:c>
      <x:c r="K1445" s="8" t="s">
        <x:v>1356</x:v>
      </x:c>
      <x:c r="L1445" s="8" t="s">
        <x:v>1356</x:v>
      </x:c>
      <x:c r="M1445" s="8"/>
      <x:c r="N1445" s="8"/>
      <x:c r="O1445" s="8" t="s">
        <x:v>1622</x:v>
      </x:c>
      <x:c r="P1445" s="8" t="s">
        <x:v>115</x:v>
      </x:c>
      <x:c r="Q1445" s="8" t="s">
        <x:v>45</x:v>
      </x:c>
      <x:c r="R1445" s="8" t="s">
        <x:v>3999</x:v>
      </x:c>
      <x:c r="S1445" s="8"/>
      <x:c r="T1445" s="8" t="s">
        <x:v>27</x:v>
      </x:c>
      <x:c r="U1445" s="8" t="s">
        <x:v>3474</x:v>
      </x:c>
      <x:c r="V1445" s="8" t="s">
        <x:v>4000</x:v>
      </x:c>
    </x:row>
    <x:row r="1446" ht="48" hidden="0" customHeight="1">
      <x:c r="A1446" s="8" t="s">
        <x:v>4206</x:v>
      </x:c>
      <x:c r="B1446" s="8" t="s">
        <x:v>4188</x:v>
      </x:c>
      <x:c r="C1446" s="8"/>
      <x:c r="D1446" s="8" t="s">
        <x:v>2911</x:v>
      </x:c>
      <x:c r="E1446" s="8" t="s">
        <x:v>4207</x:v>
      </x:c>
      <x:c r="F1446" s="8" t="s">
        <x:v>4190</x:v>
      </x:c>
      <x:c r="G1446" s="8" t="s">
        <x:v>109</x:v>
      </x:c>
      <x:c r="H1446" s="8" t="s">
        <x:v>4191</x:v>
      </x:c>
      <x:c r="I1446" s="8" t="s">
        <x:v>4192</x:v>
      </x:c>
      <x:c r="J1446" s="8" t="s">
        <x:v>3471</x:v>
      </x:c>
      <x:c r="K1446" s="8" t="s">
        <x:v>1356</x:v>
      </x:c>
      <x:c r="L1446" s="8" t="s">
        <x:v>1356</x:v>
      </x:c>
      <x:c r="M1446" s="8"/>
      <x:c r="N1446" s="8"/>
      <x:c r="O1446" s="8" t="s">
        <x:v>1622</x:v>
      </x:c>
      <x:c r="P1446" s="8" t="s">
        <x:v>115</x:v>
      </x:c>
      <x:c r="Q1446" s="8" t="s">
        <x:v>45</x:v>
      </x:c>
      <x:c r="R1446" s="8" t="s">
        <x:v>3999</x:v>
      </x:c>
      <x:c r="S1446" s="8"/>
      <x:c r="T1446" s="8" t="s">
        <x:v>27</x:v>
      </x:c>
      <x:c r="U1446" s="8" t="s">
        <x:v>3474</x:v>
      </x:c>
      <x:c r="V1446" s="8" t="s">
        <x:v>4000</x:v>
      </x:c>
    </x:row>
    <x:row r="1447" ht="48" hidden="0" customHeight="1">
      <x:c r="A1447" s="8" t="s">
        <x:v>4208</x:v>
      </x:c>
      <x:c r="B1447" s="8" t="s">
        <x:v>4188</x:v>
      </x:c>
      <x:c r="C1447" s="8"/>
      <x:c r="D1447" s="8" t="s">
        <x:v>4209</x:v>
      </x:c>
      <x:c r="E1447" s="8" t="s">
        <x:v>4210</x:v>
      </x:c>
      <x:c r="F1447" s="8" t="s">
        <x:v>4190</x:v>
      </x:c>
      <x:c r="G1447" s="8" t="s">
        <x:v>109</x:v>
      </x:c>
      <x:c r="H1447" s="8" t="s">
        <x:v>4191</x:v>
      </x:c>
      <x:c r="I1447" s="8" t="s">
        <x:v>4192</x:v>
      </x:c>
      <x:c r="J1447" s="8" t="s">
        <x:v>3471</x:v>
      </x:c>
      <x:c r="K1447" s="8" t="s">
        <x:v>1356</x:v>
      </x:c>
      <x:c r="L1447" s="8" t="s">
        <x:v>1356</x:v>
      </x:c>
      <x:c r="M1447" s="8"/>
      <x:c r="N1447" s="8"/>
      <x:c r="O1447" s="8" t="s">
        <x:v>1622</x:v>
      </x:c>
      <x:c r="P1447" s="8" t="s">
        <x:v>115</x:v>
      </x:c>
      <x:c r="Q1447" s="8" t="s">
        <x:v>45</x:v>
      </x:c>
      <x:c r="R1447" s="8" t="s">
        <x:v>3999</x:v>
      </x:c>
      <x:c r="S1447" s="8"/>
      <x:c r="T1447" s="8" t="s">
        <x:v>27</x:v>
      </x:c>
      <x:c r="U1447" s="8" t="s">
        <x:v>3474</x:v>
      </x:c>
      <x:c r="V1447" s="8" t="s">
        <x:v>4000</x:v>
      </x:c>
    </x:row>
    <x:row r="1448" ht="48" hidden="0" customHeight="1">
      <x:c r="A1448" s="8" t="s">
        <x:v>4211</x:v>
      </x:c>
      <x:c r="B1448" s="8" t="s">
        <x:v>4188</x:v>
      </x:c>
      <x:c r="C1448" s="8"/>
      <x:c r="D1448" s="8" t="s">
        <x:v>230</x:v>
      </x:c>
      <x:c r="E1448" s="8" t="n">
        <x:v>8463</x:v>
      </x:c>
      <x:c r="F1448" s="8" t="s">
        <x:v>4190</x:v>
      </x:c>
      <x:c r="G1448" s="8" t="s">
        <x:v>109</x:v>
      </x:c>
      <x:c r="H1448" s="8" t="s">
        <x:v>4191</x:v>
      </x:c>
      <x:c r="I1448" s="8" t="s">
        <x:v>4192</x:v>
      </x:c>
      <x:c r="J1448" s="8" t="s">
        <x:v>3471</x:v>
      </x:c>
      <x:c r="K1448" s="8" t="s">
        <x:v>1356</x:v>
      </x:c>
      <x:c r="L1448" s="8" t="s">
        <x:v>1356</x:v>
      </x:c>
      <x:c r="M1448" s="8"/>
      <x:c r="N1448" s="8"/>
      <x:c r="O1448" s="8" t="s">
        <x:v>1622</x:v>
      </x:c>
      <x:c r="P1448" s="8" t="s">
        <x:v>115</x:v>
      </x:c>
      <x:c r="Q1448" s="8" t="s">
        <x:v>45</x:v>
      </x:c>
      <x:c r="R1448" s="8" t="s">
        <x:v>3999</x:v>
      </x:c>
      <x:c r="S1448" s="8"/>
      <x:c r="T1448" s="8" t="s">
        <x:v>27</x:v>
      </x:c>
      <x:c r="U1448" s="8" t="s">
        <x:v>3474</x:v>
      </x:c>
      <x:c r="V1448" s="8" t="s">
        <x:v>4000</x:v>
      </x:c>
    </x:row>
    <x:row r="1449" ht="48" hidden="0" customHeight="1">
      <x:c r="A1449" s="8" t="s">
        <x:v>4212</x:v>
      </x:c>
      <x:c r="B1449" s="8" t="s">
        <x:v>4188</x:v>
      </x:c>
      <x:c r="C1449" s="8"/>
      <x:c r="D1449" s="8" t="s">
        <x:v>167</x:v>
      </x:c>
      <x:c r="E1449" s="8" t="n">
        <x:v>1000</x:v>
      </x:c>
      <x:c r="F1449" s="8" t="s">
        <x:v>4190</x:v>
      </x:c>
      <x:c r="G1449" s="8" t="s">
        <x:v>109</x:v>
      </x:c>
      <x:c r="H1449" s="8" t="s">
        <x:v>4191</x:v>
      </x:c>
      <x:c r="I1449" s="8" t="s">
        <x:v>4192</x:v>
      </x:c>
      <x:c r="J1449" s="8" t="s">
        <x:v>3471</x:v>
      </x:c>
      <x:c r="K1449" s="8" t="s">
        <x:v>1356</x:v>
      </x:c>
      <x:c r="L1449" s="8" t="s">
        <x:v>1356</x:v>
      </x:c>
      <x:c r="M1449" s="8"/>
      <x:c r="N1449" s="8"/>
      <x:c r="O1449" s="8" t="s">
        <x:v>1622</x:v>
      </x:c>
      <x:c r="P1449" s="8" t="s">
        <x:v>115</x:v>
      </x:c>
      <x:c r="Q1449" s="8" t="s">
        <x:v>45</x:v>
      </x:c>
      <x:c r="R1449" s="8" t="s">
        <x:v>3999</x:v>
      </x:c>
      <x:c r="S1449" s="8"/>
      <x:c r="T1449" s="8" t="s">
        <x:v>27</x:v>
      </x:c>
      <x:c r="U1449" s="8" t="s">
        <x:v>3474</x:v>
      </x:c>
      <x:c r="V1449" s="8" t="s">
        <x:v>4000</x:v>
      </x:c>
    </x:row>
    <x:row r="1450" ht="48" hidden="0" customHeight="1">
      <x:c r="A1450" s="8" t="s">
        <x:v>4213</x:v>
      </x:c>
      <x:c r="B1450" s="8" t="s">
        <x:v>4188</x:v>
      </x:c>
      <x:c r="C1450" s="8"/>
      <x:c r="D1450" s="8" t="s">
        <x:v>170</x:v>
      </x:c>
      <x:c r="E1450" s="8" t="n">
        <x:v>120</x:v>
      </x:c>
      <x:c r="F1450" s="8" t="s">
        <x:v>4190</x:v>
      </x:c>
      <x:c r="G1450" s="8" t="s">
        <x:v>109</x:v>
      </x:c>
      <x:c r="H1450" s="8" t="s">
        <x:v>4191</x:v>
      </x:c>
      <x:c r="I1450" s="8" t="s">
        <x:v>4192</x:v>
      </x:c>
      <x:c r="J1450" s="8" t="s">
        <x:v>3471</x:v>
      </x:c>
      <x:c r="K1450" s="8" t="s">
        <x:v>1356</x:v>
      </x:c>
      <x:c r="L1450" s="8" t="s">
        <x:v>1356</x:v>
      </x:c>
      <x:c r="M1450" s="8"/>
      <x:c r="N1450" s="8"/>
      <x:c r="O1450" s="8" t="s">
        <x:v>1622</x:v>
      </x:c>
      <x:c r="P1450" s="8" t="s">
        <x:v>115</x:v>
      </x:c>
      <x:c r="Q1450" s="8" t="s">
        <x:v>45</x:v>
      </x:c>
      <x:c r="R1450" s="8" t="s">
        <x:v>3999</x:v>
      </x:c>
      <x:c r="S1450" s="8"/>
      <x:c r="T1450" s="8" t="s">
        <x:v>27</x:v>
      </x:c>
      <x:c r="U1450" s="8" t="s">
        <x:v>3474</x:v>
      </x:c>
      <x:c r="V1450" s="8" t="s">
        <x:v>4000</x:v>
      </x:c>
    </x:row>
    <x:row r="1451" ht="48" hidden="0" customHeight="1">
      <x:c r="A1451" s="8" t="s">
        <x:v>4214</x:v>
      </x:c>
      <x:c r="B1451" s="8" t="s">
        <x:v>4188</x:v>
      </x:c>
      <x:c r="C1451" s="8"/>
      <x:c r="D1451" s="8" t="s">
        <x:v>4215</x:v>
      </x:c>
      <x:c r="E1451" s="8" t="n">
        <x:v>116</x:v>
      </x:c>
      <x:c r="F1451" s="8" t="s">
        <x:v>4190</x:v>
      </x:c>
      <x:c r="G1451" s="8" t="s">
        <x:v>109</x:v>
      </x:c>
      <x:c r="H1451" s="8" t="s">
        <x:v>4191</x:v>
      </x:c>
      <x:c r="I1451" s="8" t="s">
        <x:v>4192</x:v>
      </x:c>
      <x:c r="J1451" s="8" t="s">
        <x:v>3471</x:v>
      </x:c>
      <x:c r="K1451" s="8" t="s">
        <x:v>1356</x:v>
      </x:c>
      <x:c r="L1451" s="8" t="s">
        <x:v>1356</x:v>
      </x:c>
      <x:c r="M1451" s="8"/>
      <x:c r="N1451" s="8"/>
      <x:c r="O1451" s="8" t="s">
        <x:v>1622</x:v>
      </x:c>
      <x:c r="P1451" s="8" t="s">
        <x:v>115</x:v>
      </x:c>
      <x:c r="Q1451" s="8" t="s">
        <x:v>45</x:v>
      </x:c>
      <x:c r="R1451" s="8" t="s">
        <x:v>3999</x:v>
      </x:c>
      <x:c r="S1451" s="8"/>
      <x:c r="T1451" s="8" t="s">
        <x:v>27</x:v>
      </x:c>
      <x:c r="U1451" s="8" t="s">
        <x:v>3474</x:v>
      </x:c>
      <x:c r="V1451" s="8" t="s">
        <x:v>4000</x:v>
      </x:c>
    </x:row>
    <x:row r="1452" ht="48" hidden="0" customHeight="1">
      <x:c r="A1452" s="8" t="s">
        <x:v>4216</x:v>
      </x:c>
      <x:c r="B1452" s="8" t="s">
        <x:v>4188</x:v>
      </x:c>
      <x:c r="C1452" s="8"/>
      <x:c r="D1452" s="8" t="s">
        <x:v>4217</x:v>
      </x:c>
      <x:c r="E1452" s="8" t="n">
        <x:v>4</x:v>
      </x:c>
      <x:c r="F1452" s="8" t="s">
        <x:v>4190</x:v>
      </x:c>
      <x:c r="G1452" s="8" t="s">
        <x:v>109</x:v>
      </x:c>
      <x:c r="H1452" s="8" t="s">
        <x:v>4191</x:v>
      </x:c>
      <x:c r="I1452" s="8" t="s">
        <x:v>4192</x:v>
      </x:c>
      <x:c r="J1452" s="8" t="s">
        <x:v>3471</x:v>
      </x:c>
      <x:c r="K1452" s="8" t="s">
        <x:v>4218</x:v>
      </x:c>
      <x:c r="L1452" s="8" t="s">
        <x:v>4218</x:v>
      </x:c>
      <x:c r="M1452" s="8"/>
      <x:c r="N1452" s="8" t="s">
        <x:v>4219</x:v>
      </x:c>
      <x:c r="O1452" s="8" t="s">
        <x:v>1622</x:v>
      </x:c>
      <x:c r="P1452" s="8" t="s">
        <x:v>115</x:v>
      </x:c>
      <x:c r="Q1452" s="8" t="s">
        <x:v>45</x:v>
      </x:c>
      <x:c r="R1452" s="8" t="s">
        <x:v>3999</x:v>
      </x:c>
      <x:c r="S1452" s="8"/>
      <x:c r="T1452" s="8" t="s">
        <x:v>27</x:v>
      </x:c>
      <x:c r="U1452" s="8" t="s">
        <x:v>3474</x:v>
      </x:c>
      <x:c r="V1452" s="8" t="s">
        <x:v>4000</x:v>
      </x:c>
    </x:row>
    <x:row r="1453" ht="48" hidden="0" customHeight="1">
      <x:c r="A1453" s="8" t="s">
        <x:v>4220</x:v>
      </x:c>
      <x:c r="B1453" s="8" t="s">
        <x:v>4188</x:v>
      </x:c>
      <x:c r="C1453" s="8"/>
      <x:c r="D1453" s="8" t="s">
        <x:v>4221</x:v>
      </x:c>
      <x:c r="E1453" s="8" t="s">
        <x:v>4222</x:v>
      </x:c>
      <x:c r="F1453" s="8" t="s">
        <x:v>4190</x:v>
      </x:c>
      <x:c r="G1453" s="8" t="s">
        <x:v>109</x:v>
      </x:c>
      <x:c r="H1453" s="8" t="s">
        <x:v>4191</x:v>
      </x:c>
      <x:c r="I1453" s="8" t="s">
        <x:v>4192</x:v>
      </x:c>
      <x:c r="J1453" s="8" t="s">
        <x:v>3471</x:v>
      </x:c>
      <x:c r="K1453" s="8" t="s">
        <x:v>4218</x:v>
      </x:c>
      <x:c r="L1453" s="8" t="s">
        <x:v>4218</x:v>
      </x:c>
      <x:c r="M1453" s="8"/>
      <x:c r="N1453" s="8" t="s">
        <x:v>4219</x:v>
      </x:c>
      <x:c r="O1453" s="8" t="s">
        <x:v>1622</x:v>
      </x:c>
      <x:c r="P1453" s="8" t="s">
        <x:v>115</x:v>
      </x:c>
      <x:c r="Q1453" s="8" t="s">
        <x:v>45</x:v>
      </x:c>
      <x:c r="R1453" s="8" t="s">
        <x:v>3999</x:v>
      </x:c>
      <x:c r="S1453" s="8"/>
      <x:c r="T1453" s="8" t="s">
        <x:v>27</x:v>
      </x:c>
      <x:c r="U1453" s="8" t="s">
        <x:v>3474</x:v>
      </x:c>
      <x:c r="V1453" s="8" t="s">
        <x:v>4000</x:v>
      </x:c>
    </x:row>
    <x:row r="1454" ht="48" hidden="0" customHeight="1">
      <x:c r="A1454" s="8" t="s">
        <x:v>4223</x:v>
      </x:c>
      <x:c r="B1454" s="8" t="s">
        <x:v>4188</x:v>
      </x:c>
      <x:c r="C1454" s="8"/>
      <x:c r="D1454" s="8" t="s">
        <x:v>4224</x:v>
      </x:c>
      <x:c r="E1454" s="8" t="s">
        <x:v>4225</x:v>
      </x:c>
      <x:c r="F1454" s="8" t="s">
        <x:v>4190</x:v>
      </x:c>
      <x:c r="G1454" s="8" t="s">
        <x:v>109</x:v>
      </x:c>
      <x:c r="H1454" s="8" t="s">
        <x:v>4191</x:v>
      </x:c>
      <x:c r="I1454" s="8" t="s">
        <x:v>4192</x:v>
      </x:c>
      <x:c r="J1454" s="8" t="s">
        <x:v>3471</x:v>
      </x:c>
      <x:c r="K1454" s="8" t="s">
        <x:v>4218</x:v>
      </x:c>
      <x:c r="L1454" s="8" t="s">
        <x:v>4218</x:v>
      </x:c>
      <x:c r="M1454" s="8"/>
      <x:c r="N1454" s="8" t="s">
        <x:v>4219</x:v>
      </x:c>
      <x:c r="O1454" s="8" t="s">
        <x:v>1622</x:v>
      </x:c>
      <x:c r="P1454" s="8" t="s">
        <x:v>115</x:v>
      </x:c>
      <x:c r="Q1454" s="8" t="s">
        <x:v>45</x:v>
      </x:c>
      <x:c r="R1454" s="8" t="s">
        <x:v>3999</x:v>
      </x:c>
      <x:c r="S1454" s="8"/>
      <x:c r="T1454" s="8" t="s">
        <x:v>27</x:v>
      </x:c>
      <x:c r="U1454" s="8" t="s">
        <x:v>3474</x:v>
      </x:c>
      <x:c r="V1454" s="8" t="s">
        <x:v>4000</x:v>
      </x:c>
    </x:row>
    <x:row r="1455" ht="48" hidden="0" customHeight="1">
      <x:c r="A1455" s="8" t="s">
        <x:v>4226</x:v>
      </x:c>
      <x:c r="B1455" s="8" t="s">
        <x:v>4188</x:v>
      </x:c>
      <x:c r="C1455" s="8"/>
      <x:c r="D1455" s="8" t="s">
        <x:v>4227</x:v>
      </x:c>
      <x:c r="E1455" s="8" t="s">
        <x:v>4228</x:v>
      </x:c>
      <x:c r="F1455" s="8" t="s">
        <x:v>4190</x:v>
      </x:c>
      <x:c r="G1455" s="8" t="s">
        <x:v>109</x:v>
      </x:c>
      <x:c r="H1455" s="8" t="s">
        <x:v>4191</x:v>
      </x:c>
      <x:c r="I1455" s="8" t="s">
        <x:v>4192</x:v>
      </x:c>
      <x:c r="J1455" s="8" t="s">
        <x:v>3471</x:v>
      </x:c>
      <x:c r="K1455" s="8" t="s">
        <x:v>4218</x:v>
      </x:c>
      <x:c r="L1455" s="8" t="s">
        <x:v>4218</x:v>
      </x:c>
      <x:c r="M1455" s="8"/>
      <x:c r="N1455" s="8" t="s">
        <x:v>4219</x:v>
      </x:c>
      <x:c r="O1455" s="8" t="s">
        <x:v>1622</x:v>
      </x:c>
      <x:c r="P1455" s="8" t="s">
        <x:v>115</x:v>
      </x:c>
      <x:c r="Q1455" s="8" t="s">
        <x:v>45</x:v>
      </x:c>
      <x:c r="R1455" s="8" t="s">
        <x:v>3999</x:v>
      </x:c>
      <x:c r="S1455" s="8"/>
      <x:c r="T1455" s="8" t="s">
        <x:v>27</x:v>
      </x:c>
      <x:c r="U1455" s="8" t="s">
        <x:v>3474</x:v>
      </x:c>
      <x:c r="V1455" s="8" t="s">
        <x:v>4000</x:v>
      </x:c>
    </x:row>
    <x:row r="1456" ht="48" hidden="0" customHeight="1">
      <x:c r="A1456" s="8" t="s">
        <x:v>4229</x:v>
      </x:c>
      <x:c r="B1456" s="8" t="s">
        <x:v>4188</x:v>
      </x:c>
      <x:c r="C1456" s="8"/>
      <x:c r="D1456" s="8" t="s">
        <x:v>4230</x:v>
      </x:c>
      <x:c r="E1456" s="8" t="s">
        <x:v>4231</x:v>
      </x:c>
      <x:c r="F1456" s="8" t="s">
        <x:v>4190</x:v>
      </x:c>
      <x:c r="G1456" s="8" t="s">
        <x:v>109</x:v>
      </x:c>
      <x:c r="H1456" s="8" t="s">
        <x:v>4191</x:v>
      </x:c>
      <x:c r="I1456" s="8" t="s">
        <x:v>4192</x:v>
      </x:c>
      <x:c r="J1456" s="8" t="s">
        <x:v>3471</x:v>
      </x:c>
      <x:c r="K1456" s="8" t="s">
        <x:v>4218</x:v>
      </x:c>
      <x:c r="L1456" s="8" t="s">
        <x:v>4218</x:v>
      </x:c>
      <x:c r="M1456" s="8"/>
      <x:c r="N1456" s="8" t="s">
        <x:v>4219</x:v>
      </x:c>
      <x:c r="O1456" s="8" t="s">
        <x:v>1622</x:v>
      </x:c>
      <x:c r="P1456" s="8" t="s">
        <x:v>115</x:v>
      </x:c>
      <x:c r="Q1456" s="8" t="s">
        <x:v>45</x:v>
      </x:c>
      <x:c r="R1456" s="8" t="s">
        <x:v>3999</x:v>
      </x:c>
      <x:c r="S1456" s="8"/>
      <x:c r="T1456" s="8" t="s">
        <x:v>27</x:v>
      </x:c>
      <x:c r="U1456" s="8" t="s">
        <x:v>3474</x:v>
      </x:c>
      <x:c r="V1456" s="8" t="s">
        <x:v>4000</x:v>
      </x:c>
    </x:row>
    <x:row r="1457" ht="48" hidden="0" customHeight="1">
      <x:c r="A1457" s="8" t="s">
        <x:v>4232</x:v>
      </x:c>
      <x:c r="B1457" s="8" t="s">
        <x:v>4188</x:v>
      </x:c>
      <x:c r="C1457" s="8"/>
      <x:c r="D1457" s="8" t="s">
        <x:v>2059</x:v>
      </x:c>
      <x:c r="E1457" s="8" t="s">
        <x:v>4233</x:v>
      </x:c>
      <x:c r="F1457" s="8" t="s">
        <x:v>4190</x:v>
      </x:c>
      <x:c r="G1457" s="8" t="s">
        <x:v>109</x:v>
      </x:c>
      <x:c r="H1457" s="8" t="s">
        <x:v>4191</x:v>
      </x:c>
      <x:c r="I1457" s="8" t="s">
        <x:v>4192</x:v>
      </x:c>
      <x:c r="J1457" s="8" t="s">
        <x:v>3471</x:v>
      </x:c>
      <x:c r="K1457" s="8" t="s">
        <x:v>4218</x:v>
      </x:c>
      <x:c r="L1457" s="8" t="s">
        <x:v>4218</x:v>
      </x:c>
      <x:c r="M1457" s="8"/>
      <x:c r="N1457" s="8" t="s">
        <x:v>4219</x:v>
      </x:c>
      <x:c r="O1457" s="8" t="s">
        <x:v>1622</x:v>
      </x:c>
      <x:c r="P1457" s="8" t="s">
        <x:v>115</x:v>
      </x:c>
      <x:c r="Q1457" s="8" t="s">
        <x:v>45</x:v>
      </x:c>
      <x:c r="R1457" s="8" t="s">
        <x:v>3999</x:v>
      </x:c>
      <x:c r="S1457" s="8"/>
      <x:c r="T1457" s="8" t="s">
        <x:v>27</x:v>
      </x:c>
      <x:c r="U1457" s="8" t="s">
        <x:v>3474</x:v>
      </x:c>
      <x:c r="V1457" s="8" t="s">
        <x:v>4000</x:v>
      </x:c>
    </x:row>
    <x:row r="1458" ht="48" hidden="0" customHeight="1">
      <x:c r="A1458" s="8" t="s">
        <x:v>4234</x:v>
      </x:c>
      <x:c r="B1458" s="8" t="s">
        <x:v>4188</x:v>
      </x:c>
      <x:c r="C1458" s="8"/>
      <x:c r="D1458" s="8" t="s">
        <x:v>4235</x:v>
      </x:c>
      <x:c r="E1458" s="8" t="s">
        <x:v>4236</x:v>
      </x:c>
      <x:c r="F1458" s="8" t="s">
        <x:v>4190</x:v>
      </x:c>
      <x:c r="G1458" s="8" t="s">
        <x:v>109</x:v>
      </x:c>
      <x:c r="H1458" s="8" t="s">
        <x:v>4191</x:v>
      </x:c>
      <x:c r="I1458" s="8" t="s">
        <x:v>4192</x:v>
      </x:c>
      <x:c r="J1458" s="8" t="s">
        <x:v>3471</x:v>
      </x:c>
      <x:c r="K1458" s="8" t="s">
        <x:v>4218</x:v>
      </x:c>
      <x:c r="L1458" s="8" t="s">
        <x:v>4218</x:v>
      </x:c>
      <x:c r="M1458" s="8"/>
      <x:c r="N1458" s="8" t="s">
        <x:v>4219</x:v>
      </x:c>
      <x:c r="O1458" s="8" t="s">
        <x:v>1622</x:v>
      </x:c>
      <x:c r="P1458" s="8" t="s">
        <x:v>115</x:v>
      </x:c>
      <x:c r="Q1458" s="8" t="s">
        <x:v>45</x:v>
      </x:c>
      <x:c r="R1458" s="8" t="s">
        <x:v>3999</x:v>
      </x:c>
      <x:c r="S1458" s="8"/>
      <x:c r="T1458" s="8" t="s">
        <x:v>27</x:v>
      </x:c>
      <x:c r="U1458" s="8" t="s">
        <x:v>3474</x:v>
      </x:c>
      <x:c r="V1458" s="8" t="s">
        <x:v>4000</x:v>
      </x:c>
    </x:row>
    <x:row r="1459" ht="48" hidden="0" customHeight="1">
      <x:c r="A1459" s="8" t="s">
        <x:v>4237</x:v>
      </x:c>
      <x:c r="B1459" s="8" t="s">
        <x:v>4188</x:v>
      </x:c>
      <x:c r="C1459" s="8"/>
      <x:c r="D1459" s="8" t="s">
        <x:v>4238</x:v>
      </x:c>
      <x:c r="E1459" s="8" t="n">
        <x:v>8</x:v>
      </x:c>
      <x:c r="F1459" s="8" t="s">
        <x:v>4190</x:v>
      </x:c>
      <x:c r="G1459" s="8" t="s">
        <x:v>109</x:v>
      </x:c>
      <x:c r="H1459" s="8" t="s">
        <x:v>4191</x:v>
      </x:c>
      <x:c r="I1459" s="8" t="s">
        <x:v>4192</x:v>
      </x:c>
      <x:c r="J1459" s="8" t="s">
        <x:v>3471</x:v>
      </x:c>
      <x:c r="K1459" s="8" t="s">
        <x:v>4218</x:v>
      </x:c>
      <x:c r="L1459" s="8" t="s">
        <x:v>4218</x:v>
      </x:c>
      <x:c r="M1459" s="8"/>
      <x:c r="N1459" s="8" t="s">
        <x:v>4219</x:v>
      </x:c>
      <x:c r="O1459" s="8" t="s">
        <x:v>1622</x:v>
      </x:c>
      <x:c r="P1459" s="8" t="s">
        <x:v>115</x:v>
      </x:c>
      <x:c r="Q1459" s="8" t="s">
        <x:v>45</x:v>
      </x:c>
      <x:c r="R1459" s="8" t="s">
        <x:v>3999</x:v>
      </x:c>
      <x:c r="S1459" s="8"/>
      <x:c r="T1459" s="8" t="s">
        <x:v>27</x:v>
      </x:c>
      <x:c r="U1459" s="8" t="s">
        <x:v>3474</x:v>
      </x:c>
      <x:c r="V1459" s="8" t="s">
        <x:v>4000</x:v>
      </x:c>
    </x:row>
    <x:row r="1460" ht="48" hidden="0" customHeight="1">
      <x:c r="A1460" s="8" t="s">
        <x:v>4239</x:v>
      </x:c>
      <x:c r="B1460" s="8" t="s">
        <x:v>4188</x:v>
      </x:c>
      <x:c r="C1460" s="8"/>
      <x:c r="D1460" s="8" t="s">
        <x:v>237</x:v>
      </x:c>
      <x:c r="E1460" s="8" t="s">
        <x:v>4240</x:v>
      </x:c>
      <x:c r="F1460" s="8" t="s">
        <x:v>4190</x:v>
      </x:c>
      <x:c r="G1460" s="8" t="s">
        <x:v>109</x:v>
      </x:c>
      <x:c r="H1460" s="8" t="s">
        <x:v>4191</x:v>
      </x:c>
      <x:c r="I1460" s="8" t="s">
        <x:v>4192</x:v>
      </x:c>
      <x:c r="J1460" s="8" t="s">
        <x:v>3471</x:v>
      </x:c>
      <x:c r="K1460" s="8" t="s">
        <x:v>4241</x:v>
      </x:c>
      <x:c r="L1460" s="8" t="s">
        <x:v>4241</x:v>
      </x:c>
      <x:c r="M1460" s="8"/>
      <x:c r="N1460" s="8" t="s">
        <x:v>2654</x:v>
      </x:c>
      <x:c r="O1460" s="8" t="s">
        <x:v>1622</x:v>
      </x:c>
      <x:c r="P1460" s="8" t="s">
        <x:v>115</x:v>
      </x:c>
      <x:c r="Q1460" s="8" t="s">
        <x:v>45</x:v>
      </x:c>
      <x:c r="R1460" s="8" t="s">
        <x:v>3999</x:v>
      </x:c>
      <x:c r="S1460" s="8"/>
      <x:c r="T1460" s="8" t="s">
        <x:v>27</x:v>
      </x:c>
      <x:c r="U1460" s="8" t="s">
        <x:v>3474</x:v>
      </x:c>
      <x:c r="V1460" s="8" t="s">
        <x:v>4000</x:v>
      </x:c>
    </x:row>
    <x:row r="1461" ht="48" hidden="0" customHeight="1">
      <x:c r="A1461" s="8" t="s">
        <x:v>4242</x:v>
      </x:c>
      <x:c r="B1461" s="8" t="s">
        <x:v>4188</x:v>
      </x:c>
      <x:c r="C1461" s="8"/>
      <x:c r="D1461" s="8" t="s">
        <x:v>4243</x:v>
      </x:c>
      <x:c r="E1461" s="8" t="s">
        <x:v>4244</x:v>
      </x:c>
      <x:c r="F1461" s="8" t="s">
        <x:v>4190</x:v>
      </x:c>
      <x:c r="G1461" s="8" t="s">
        <x:v>109</x:v>
      </x:c>
      <x:c r="H1461" s="8" t="s">
        <x:v>4191</x:v>
      </x:c>
      <x:c r="I1461" s="8" t="s">
        <x:v>4192</x:v>
      </x:c>
      <x:c r="J1461" s="8" t="s">
        <x:v>3471</x:v>
      </x:c>
      <x:c r="K1461" s="8" t="s">
        <x:v>4241</x:v>
      </x:c>
      <x:c r="L1461" s="8" t="s">
        <x:v>4241</x:v>
      </x:c>
      <x:c r="M1461" s="8"/>
      <x:c r="N1461" s="8" t="s">
        <x:v>2654</x:v>
      </x:c>
      <x:c r="O1461" s="8" t="s">
        <x:v>1622</x:v>
      </x:c>
      <x:c r="P1461" s="8" t="s">
        <x:v>115</x:v>
      </x:c>
      <x:c r="Q1461" s="8" t="s">
        <x:v>45</x:v>
      </x:c>
      <x:c r="R1461" s="8" t="s">
        <x:v>3999</x:v>
      </x:c>
      <x:c r="S1461" s="8"/>
      <x:c r="T1461" s="8" t="s">
        <x:v>27</x:v>
      </x:c>
      <x:c r="U1461" s="8" t="s">
        <x:v>3474</x:v>
      </x:c>
      <x:c r="V1461" s="8" t="s">
        <x:v>4000</x:v>
      </x:c>
    </x:row>
    <x:row r="1462" ht="48" hidden="0" customHeight="1">
      <x:c r="A1462" s="8" t="s">
        <x:v>4245</x:v>
      </x:c>
      <x:c r="B1462" s="8" t="s">
        <x:v>4188</x:v>
      </x:c>
      <x:c r="C1462" s="8"/>
      <x:c r="D1462" s="8" t="s">
        <x:v>4246</x:v>
      </x:c>
      <x:c r="E1462" s="8" t="n">
        <x:v>16</x:v>
      </x:c>
      <x:c r="F1462" s="8" t="s">
        <x:v>4190</x:v>
      </x:c>
      <x:c r="G1462" s="8" t="s">
        <x:v>109</x:v>
      </x:c>
      <x:c r="H1462" s="8" t="s">
        <x:v>4191</x:v>
      </x:c>
      <x:c r="I1462" s="8" t="s">
        <x:v>4192</x:v>
      </x:c>
      <x:c r="J1462" s="8" t="s">
        <x:v>3471</x:v>
      </x:c>
      <x:c r="K1462" s="8" t="s">
        <x:v>4241</x:v>
      </x:c>
      <x:c r="L1462" s="8" t="s">
        <x:v>4241</x:v>
      </x:c>
      <x:c r="M1462" s="8"/>
      <x:c r="N1462" s="8" t="s">
        <x:v>2654</x:v>
      </x:c>
      <x:c r="O1462" s="8" t="s">
        <x:v>1622</x:v>
      </x:c>
      <x:c r="P1462" s="8" t="s">
        <x:v>115</x:v>
      </x:c>
      <x:c r="Q1462" s="8" t="s">
        <x:v>45</x:v>
      </x:c>
      <x:c r="R1462" s="8" t="s">
        <x:v>3999</x:v>
      </x:c>
      <x:c r="S1462" s="8"/>
      <x:c r="T1462" s="8" t="s">
        <x:v>27</x:v>
      </x:c>
      <x:c r="U1462" s="8" t="s">
        <x:v>3474</x:v>
      </x:c>
      <x:c r="V1462" s="8" t="s">
        <x:v>4000</x:v>
      </x:c>
    </x:row>
    <x:row r="1463" ht="48" hidden="0" customHeight="1">
      <x:c r="A1463" s="8" t="s">
        <x:v>4247</x:v>
      </x:c>
      <x:c r="B1463" s="8" t="s">
        <x:v>4188</x:v>
      </x:c>
      <x:c r="C1463" s="8"/>
      <x:c r="D1463" s="8" t="s">
        <x:v>4248</x:v>
      </x:c>
      <x:c r="E1463" s="8" t="s">
        <x:v>4249</x:v>
      </x:c>
      <x:c r="F1463" s="8" t="s">
        <x:v>4190</x:v>
      </x:c>
      <x:c r="G1463" s="8" t="s">
        <x:v>109</x:v>
      </x:c>
      <x:c r="H1463" s="8" t="s">
        <x:v>4191</x:v>
      </x:c>
      <x:c r="I1463" s="8" t="s">
        <x:v>4192</x:v>
      </x:c>
      <x:c r="J1463" s="8" t="s">
        <x:v>3471</x:v>
      </x:c>
      <x:c r="K1463" s="8" t="s">
        <x:v>4241</x:v>
      </x:c>
      <x:c r="L1463" s="8" t="s">
        <x:v>4241</x:v>
      </x:c>
      <x:c r="M1463" s="8"/>
      <x:c r="N1463" s="8" t="s">
        <x:v>2654</x:v>
      </x:c>
      <x:c r="O1463" s="8" t="s">
        <x:v>1622</x:v>
      </x:c>
      <x:c r="P1463" s="8" t="s">
        <x:v>115</x:v>
      </x:c>
      <x:c r="Q1463" s="8" t="s">
        <x:v>45</x:v>
      </x:c>
      <x:c r="R1463" s="8" t="s">
        <x:v>3999</x:v>
      </x:c>
      <x:c r="S1463" s="8"/>
      <x:c r="T1463" s="8" t="s">
        <x:v>27</x:v>
      </x:c>
      <x:c r="U1463" s="8" t="s">
        <x:v>3474</x:v>
      </x:c>
      <x:c r="V1463" s="8" t="s">
        <x:v>4000</x:v>
      </x:c>
    </x:row>
    <x:row r="1464" ht="48" hidden="0" customHeight="1">
      <x:c r="A1464" s="8" t="s">
        <x:v>4250</x:v>
      </x:c>
      <x:c r="B1464" s="8" t="s">
        <x:v>4188</x:v>
      </x:c>
      <x:c r="C1464" s="8"/>
      <x:c r="D1464" s="8" t="s">
        <x:v>1864</x:v>
      </x:c>
      <x:c r="E1464" s="8" t="s">
        <x:v>4251</x:v>
      </x:c>
      <x:c r="F1464" s="8" t="s">
        <x:v>4190</x:v>
      </x:c>
      <x:c r="G1464" s="8" t="s">
        <x:v>109</x:v>
      </x:c>
      <x:c r="H1464" s="8" t="s">
        <x:v>4191</x:v>
      </x:c>
      <x:c r="I1464" s="8" t="s">
        <x:v>4192</x:v>
      </x:c>
      <x:c r="J1464" s="8" t="s">
        <x:v>3471</x:v>
      </x:c>
      <x:c r="K1464" s="8" t="s">
        <x:v>4252</x:v>
      </x:c>
      <x:c r="L1464" s="8" t="s">
        <x:v>4252</x:v>
      </x:c>
      <x:c r="M1464" s="8"/>
      <x:c r="N1464" s="8" t="s">
        <x:v>2650</x:v>
      </x:c>
      <x:c r="O1464" s="8" t="s">
        <x:v>1622</x:v>
      </x:c>
      <x:c r="P1464" s="8" t="s">
        <x:v>115</x:v>
      </x:c>
      <x:c r="Q1464" s="8" t="s">
        <x:v>45</x:v>
      </x:c>
      <x:c r="R1464" s="8" t="s">
        <x:v>3999</x:v>
      </x:c>
      <x:c r="S1464" s="8"/>
      <x:c r="T1464" s="8" t="s">
        <x:v>27</x:v>
      </x:c>
      <x:c r="U1464" s="8" t="s">
        <x:v>3474</x:v>
      </x:c>
      <x:c r="V1464" s="8" t="s">
        <x:v>4000</x:v>
      </x:c>
    </x:row>
    <x:row r="1465" ht="48" hidden="0" customHeight="1">
      <x:c r="A1465" s="8" t="s">
        <x:v>4253</x:v>
      </x:c>
      <x:c r="B1465" s="8" t="s">
        <x:v>4188</x:v>
      </x:c>
      <x:c r="C1465" s="8"/>
      <x:c r="D1465" s="8" t="s">
        <x:v>4161</x:v>
      </x:c>
      <x:c r="E1465" s="8" t="s">
        <x:v>4254</x:v>
      </x:c>
      <x:c r="F1465" s="8" t="s">
        <x:v>4190</x:v>
      </x:c>
      <x:c r="G1465" s="8" t="s">
        <x:v>109</x:v>
      </x:c>
      <x:c r="H1465" s="8" t="s">
        <x:v>4191</x:v>
      </x:c>
      <x:c r="I1465" s="8" t="s">
        <x:v>4192</x:v>
      </x:c>
      <x:c r="J1465" s="8" t="s">
        <x:v>3471</x:v>
      </x:c>
      <x:c r="K1465" s="8" t="s">
        <x:v>4252</x:v>
      </x:c>
      <x:c r="L1465" s="8" t="s">
        <x:v>4252</x:v>
      </x:c>
      <x:c r="M1465" s="8"/>
      <x:c r="N1465" s="8" t="s">
        <x:v>2650</x:v>
      </x:c>
      <x:c r="O1465" s="8" t="s">
        <x:v>1622</x:v>
      </x:c>
      <x:c r="P1465" s="8" t="s">
        <x:v>115</x:v>
      </x:c>
      <x:c r="Q1465" s="8" t="s">
        <x:v>45</x:v>
      </x:c>
      <x:c r="R1465" s="8" t="s">
        <x:v>3999</x:v>
      </x:c>
      <x:c r="S1465" s="8"/>
      <x:c r="T1465" s="8" t="s">
        <x:v>27</x:v>
      </x:c>
      <x:c r="U1465" s="8" t="s">
        <x:v>3474</x:v>
      </x:c>
      <x:c r="V1465" s="8" t="s">
        <x:v>4000</x:v>
      </x:c>
    </x:row>
    <x:row r="1466" ht="48" hidden="0" customHeight="1">
      <x:c r="A1466" s="8" t="s">
        <x:v>4255</x:v>
      </x:c>
      <x:c r="B1466" s="8" t="s">
        <x:v>4188</x:v>
      </x:c>
      <x:c r="C1466" s="8"/>
      <x:c r="D1466" s="8" t="s">
        <x:v>4256</x:v>
      </x:c>
      <x:c r="E1466" s="8" t="s">
        <x:v>4257</x:v>
      </x:c>
      <x:c r="F1466" s="8" t="s">
        <x:v>4190</x:v>
      </x:c>
      <x:c r="G1466" s="8" t="s">
        <x:v>109</x:v>
      </x:c>
      <x:c r="H1466" s="8" t="s">
        <x:v>4191</x:v>
      </x:c>
      <x:c r="I1466" s="8" t="s">
        <x:v>4192</x:v>
      </x:c>
      <x:c r="J1466" s="8" t="s">
        <x:v>3471</x:v>
      </x:c>
      <x:c r="K1466" s="8" t="s">
        <x:v>4252</x:v>
      </x:c>
      <x:c r="L1466" s="8" t="s">
        <x:v>4252</x:v>
      </x:c>
      <x:c r="M1466" s="8"/>
      <x:c r="N1466" s="8" t="s">
        <x:v>2650</x:v>
      </x:c>
      <x:c r="O1466" s="8" t="s">
        <x:v>1622</x:v>
      </x:c>
      <x:c r="P1466" s="8" t="s">
        <x:v>115</x:v>
      </x:c>
      <x:c r="Q1466" s="8" t="s">
        <x:v>45</x:v>
      </x:c>
      <x:c r="R1466" s="8" t="s">
        <x:v>3999</x:v>
      </x:c>
      <x:c r="S1466" s="8"/>
      <x:c r="T1466" s="8" t="s">
        <x:v>27</x:v>
      </x:c>
      <x:c r="U1466" s="8" t="s">
        <x:v>3474</x:v>
      </x:c>
      <x:c r="V1466" s="8" t="s">
        <x:v>4000</x:v>
      </x:c>
    </x:row>
    <x:row r="1467" ht="48" hidden="0" customHeight="1">
      <x:c r="A1467" s="8" t="s">
        <x:v>4258</x:v>
      </x:c>
      <x:c r="B1467" s="8" t="s">
        <x:v>4188</x:v>
      </x:c>
      <x:c r="C1467" s="8"/>
      <x:c r="D1467" s="8" t="s">
        <x:v>4259</x:v>
      </x:c>
      <x:c r="E1467" s="8" t="n">
        <x:v>0.01</x:v>
      </x:c>
      <x:c r="F1467" s="8" t="s">
        <x:v>4190</x:v>
      </x:c>
      <x:c r="G1467" s="8" t="s">
        <x:v>109</x:v>
      </x:c>
      <x:c r="H1467" s="8" t="s">
        <x:v>4191</x:v>
      </x:c>
      <x:c r="I1467" s="8" t="s">
        <x:v>4192</x:v>
      </x:c>
      <x:c r="J1467" s="8" t="s">
        <x:v>3471</x:v>
      </x:c>
      <x:c r="K1467" s="8" t="s">
        <x:v>4260</x:v>
      </x:c>
      <x:c r="L1467" s="8" t="s">
        <x:v>4260</x:v>
      </x:c>
      <x:c r="M1467" s="8"/>
      <x:c r="N1467" s="8" t="s">
        <x:v>2664</x:v>
      </x:c>
      <x:c r="O1467" s="8" t="s">
        <x:v>1622</x:v>
      </x:c>
      <x:c r="P1467" s="8" t="s">
        <x:v>115</x:v>
      </x:c>
      <x:c r="Q1467" s="8" t="s">
        <x:v>45</x:v>
      </x:c>
      <x:c r="R1467" s="8" t="s">
        <x:v>3999</x:v>
      </x:c>
      <x:c r="S1467" s="8"/>
      <x:c r="T1467" s="8" t="s">
        <x:v>27</x:v>
      </x:c>
      <x:c r="U1467" s="8" t="s">
        <x:v>3474</x:v>
      </x:c>
      <x:c r="V1467" s="8" t="s">
        <x:v>4000</x:v>
      </x:c>
    </x:row>
    <x:row r="1468" ht="48" hidden="0" customHeight="1">
      <x:c r="A1468" s="8" t="s">
        <x:v>4261</x:v>
      </x:c>
      <x:c r="B1468" s="8" t="s">
        <x:v>4188</x:v>
      </x:c>
      <x:c r="C1468" s="8"/>
      <x:c r="D1468" s="8" t="s">
        <x:v>164</x:v>
      </x:c>
      <x:c r="E1468" s="8" t="s">
        <x:v>165</x:v>
      </x:c>
      <x:c r="F1468" s="8" t="s">
        <x:v>4190</x:v>
      </x:c>
      <x:c r="G1468" s="8" t="s">
        <x:v>109</x:v>
      </x:c>
      <x:c r="H1468" s="8" t="s">
        <x:v>4191</x:v>
      </x:c>
      <x:c r="I1468" s="8" t="s">
        <x:v>4192</x:v>
      </x:c>
      <x:c r="J1468" s="8" t="s">
        <x:v>3471</x:v>
      </x:c>
      <x:c r="K1468" s="8" t="s">
        <x:v>4260</x:v>
      </x:c>
      <x:c r="L1468" s="8" t="s">
        <x:v>4260</x:v>
      </x:c>
      <x:c r="M1468" s="8"/>
      <x:c r="N1468" s="8" t="s">
        <x:v>2664</x:v>
      </x:c>
      <x:c r="O1468" s="8" t="s">
        <x:v>1622</x:v>
      </x:c>
      <x:c r="P1468" s="8" t="s">
        <x:v>115</x:v>
      </x:c>
      <x:c r="Q1468" s="8" t="s">
        <x:v>45</x:v>
      </x:c>
      <x:c r="R1468" s="8" t="s">
        <x:v>3999</x:v>
      </x:c>
      <x:c r="S1468" s="8"/>
      <x:c r="T1468" s="8" t="s">
        <x:v>27</x:v>
      </x:c>
      <x:c r="U1468" s="8" t="s">
        <x:v>3474</x:v>
      </x:c>
      <x:c r="V1468" s="8" t="s">
        <x:v>4000</x:v>
      </x:c>
    </x:row>
    <x:row r="1469" ht="48" hidden="0" customHeight="1">
      <x:c r="A1469" s="8" t="s">
        <x:v>4262</x:v>
      </x:c>
      <x:c r="B1469" s="8" t="s">
        <x:v>4188</x:v>
      </x:c>
      <x:c r="C1469" s="8"/>
      <x:c r="D1469" s="8" t="s">
        <x:v>1648</x:v>
      </x:c>
      <x:c r="E1469" s="8" t="n">
        <x:v>0.001</x:v>
      </x:c>
      <x:c r="F1469" s="8" t="s">
        <x:v>4190</x:v>
      </x:c>
      <x:c r="G1469" s="8" t="s">
        <x:v>109</x:v>
      </x:c>
      <x:c r="H1469" s="8" t="s">
        <x:v>4191</x:v>
      </x:c>
      <x:c r="I1469" s="8" t="s">
        <x:v>4192</x:v>
      </x:c>
      <x:c r="J1469" s="8" t="s">
        <x:v>3471</x:v>
      </x:c>
      <x:c r="K1469" s="8" t="s">
        <x:v>4260</x:v>
      </x:c>
      <x:c r="L1469" s="8" t="s">
        <x:v>4260</x:v>
      </x:c>
      <x:c r="M1469" s="8"/>
      <x:c r="N1469" s="8" t="s">
        <x:v>2664</x:v>
      </x:c>
      <x:c r="O1469" s="8" t="s">
        <x:v>1622</x:v>
      </x:c>
      <x:c r="P1469" s="8" t="s">
        <x:v>115</x:v>
      </x:c>
      <x:c r="Q1469" s="8" t="s">
        <x:v>45</x:v>
      </x:c>
      <x:c r="R1469" s="8" t="s">
        <x:v>3999</x:v>
      </x:c>
      <x:c r="S1469" s="8"/>
      <x:c r="T1469" s="8" t="s">
        <x:v>27</x:v>
      </x:c>
      <x:c r="U1469" s="8" t="s">
        <x:v>3474</x:v>
      </x:c>
      <x:c r="V1469" s="8" t="s">
        <x:v>4000</x:v>
      </x:c>
    </x:row>
    <x:row r="1470" ht="48" hidden="0" customHeight="1">
      <x:c r="A1470" s="8" t="s">
        <x:v>4263</x:v>
      </x:c>
      <x:c r="B1470" s="8" t="s">
        <x:v>4188</x:v>
      </x:c>
      <x:c r="C1470" s="8"/>
      <x:c r="D1470" s="8" t="s">
        <x:v>1652</x:v>
      </x:c>
      <x:c r="E1470" s="8" t="s">
        <x:v>4264</x:v>
      </x:c>
      <x:c r="F1470" s="8" t="s">
        <x:v>4190</x:v>
      </x:c>
      <x:c r="G1470" s="8" t="s">
        <x:v>109</x:v>
      </x:c>
      <x:c r="H1470" s="8" t="s">
        <x:v>4191</x:v>
      </x:c>
      <x:c r="I1470" s="8" t="s">
        <x:v>4192</x:v>
      </x:c>
      <x:c r="J1470" s="8" t="s">
        <x:v>3471</x:v>
      </x:c>
      <x:c r="K1470" s="8" t="s">
        <x:v>4260</x:v>
      </x:c>
      <x:c r="L1470" s="8" t="s">
        <x:v>4260</x:v>
      </x:c>
      <x:c r="M1470" s="8"/>
      <x:c r="N1470" s="8" t="s">
        <x:v>2664</x:v>
      </x:c>
      <x:c r="O1470" s="8" t="s">
        <x:v>1622</x:v>
      </x:c>
      <x:c r="P1470" s="8" t="s">
        <x:v>115</x:v>
      </x:c>
      <x:c r="Q1470" s="8" t="s">
        <x:v>45</x:v>
      </x:c>
      <x:c r="R1470" s="8" t="s">
        <x:v>3999</x:v>
      </x:c>
      <x:c r="S1470" s="8"/>
      <x:c r="T1470" s="8" t="s">
        <x:v>27</x:v>
      </x:c>
      <x:c r="U1470" s="8" t="s">
        <x:v>3474</x:v>
      </x:c>
      <x:c r="V1470" s="8" t="s">
        <x:v>4000</x:v>
      </x:c>
    </x:row>
    <x:row r="1471" ht="48" hidden="0" customHeight="1">
      <x:c r="A1471" s="8" t="s">
        <x:v>4265</x:v>
      </x:c>
      <x:c r="B1471" s="8" t="s">
        <x:v>4188</x:v>
      </x:c>
      <x:c r="C1471" s="8"/>
      <x:c r="D1471" s="8" t="s">
        <x:v>4266</x:v>
      </x:c>
      <x:c r="E1471" s="8" t="s">
        <x:v>4267</x:v>
      </x:c>
      <x:c r="F1471" s="8" t="s">
        <x:v>4190</x:v>
      </x:c>
      <x:c r="G1471" s="8" t="s">
        <x:v>187</x:v>
      </x:c>
      <x:c r="H1471" s="8" t="s">
        <x:v>4191</x:v>
      </x:c>
      <x:c r="I1471" s="8" t="s">
        <x:v>4192</x:v>
      </x:c>
      <x:c r="J1471" s="8" t="s">
        <x:v>3471</x:v>
      </x:c>
      <x:c r="K1471" s="8" t="s">
        <x:v>4268</x:v>
      </x:c>
      <x:c r="L1471" s="8" t="s">
        <x:v>4268</x:v>
      </x:c>
      <x:c r="M1471" s="8"/>
      <x:c r="N1471" s="8"/>
      <x:c r="O1471" s="8" t="s">
        <x:v>1622</x:v>
      </x:c>
      <x:c r="P1471" s="8" t="s">
        <x:v>115</x:v>
      </x:c>
      <x:c r="Q1471" s="8" t="s">
        <x:v>45</x:v>
      </x:c>
      <x:c r="R1471" s="8" t="s">
        <x:v>3999</x:v>
      </x:c>
      <x:c r="S1471" s="8"/>
      <x:c r="T1471" s="8" t="s">
        <x:v>27</x:v>
      </x:c>
      <x:c r="U1471" s="8" t="s">
        <x:v>3474</x:v>
      </x:c>
      <x:c r="V1471" s="8" t="s">
        <x:v>4000</x:v>
      </x:c>
    </x:row>
    <x:row r="1472" ht="48" hidden="0" customHeight="1">
      <x:c r="A1472" s="8" t="s">
        <x:v>4269</x:v>
      </x:c>
      <x:c r="B1472" s="8" t="s">
        <x:v>4188</x:v>
      </x:c>
      <x:c r="C1472" s="8"/>
      <x:c r="D1472" s="8" t="s">
        <x:v>4270</x:v>
      </x:c>
      <x:c r="E1472" s="8" t="s">
        <x:v>4271</x:v>
      </x:c>
      <x:c r="F1472" s="8" t="s">
        <x:v>4190</x:v>
      </x:c>
      <x:c r="G1472" s="8" t="s">
        <x:v>109</x:v>
      </x:c>
      <x:c r="H1472" s="8" t="s">
        <x:v>4191</x:v>
      </x:c>
      <x:c r="I1472" s="8" t="s">
        <x:v>4192</x:v>
      </x:c>
      <x:c r="J1472" s="8" t="s">
        <x:v>3471</x:v>
      </x:c>
      <x:c r="K1472" s="8" t="s">
        <x:v>4272</x:v>
      </x:c>
      <x:c r="L1472" s="8" t="s">
        <x:v>4272</x:v>
      </x:c>
      <x:c r="M1472" s="8"/>
      <x:c r="N1472" s="8"/>
      <x:c r="O1472" s="8" t="s">
        <x:v>1622</x:v>
      </x:c>
      <x:c r="P1472" s="8" t="s">
        <x:v>115</x:v>
      </x:c>
      <x:c r="Q1472" s="8" t="s">
        <x:v>45</x:v>
      </x:c>
      <x:c r="R1472" s="8" t="s">
        <x:v>3999</x:v>
      </x:c>
      <x:c r="S1472" s="8"/>
      <x:c r="T1472" s="8" t="s">
        <x:v>27</x:v>
      </x:c>
      <x:c r="U1472" s="8" t="s">
        <x:v>3474</x:v>
      </x:c>
      <x:c r="V1472" s="8" t="s">
        <x:v>4000</x:v>
      </x:c>
    </x:row>
    <x:row r="1473" ht="48" hidden="0" customHeight="1">
      <x:c r="A1473" s="8" t="s">
        <x:v>4273</x:v>
      </x:c>
      <x:c r="B1473" s="8" t="s">
        <x:v>4188</x:v>
      </x:c>
      <x:c r="C1473" s="8"/>
      <x:c r="D1473" s="8" t="s">
        <x:v>4274</x:v>
      </x:c>
      <x:c r="E1473" s="8" t="s">
        <x:v>4275</x:v>
      </x:c>
      <x:c r="F1473" s="8" t="s">
        <x:v>4190</x:v>
      </x:c>
      <x:c r="G1473" s="8" t="s">
        <x:v>109</x:v>
      </x:c>
      <x:c r="H1473" s="8" t="s">
        <x:v>4191</x:v>
      </x:c>
      <x:c r="I1473" s="8" t="s">
        <x:v>4192</x:v>
      </x:c>
      <x:c r="J1473" s="8" t="s">
        <x:v>3471</x:v>
      </x:c>
      <x:c r="K1473" s="8" t="s">
        <x:v>4276</x:v>
      </x:c>
      <x:c r="L1473" s="8" t="s">
        <x:v>4276</x:v>
      </x:c>
      <x:c r="M1473" s="8"/>
      <x:c r="N1473" s="8"/>
      <x:c r="O1473" s="8" t="s">
        <x:v>1622</x:v>
      </x:c>
      <x:c r="P1473" s="8" t="s">
        <x:v>115</x:v>
      </x:c>
      <x:c r="Q1473" s="8" t="s">
        <x:v>45</x:v>
      </x:c>
      <x:c r="R1473" s="8" t="s">
        <x:v>3999</x:v>
      </x:c>
      <x:c r="S1473" s="8"/>
      <x:c r="T1473" s="8" t="s">
        <x:v>27</x:v>
      </x:c>
      <x:c r="U1473" s="8" t="s">
        <x:v>3474</x:v>
      </x:c>
      <x:c r="V1473" s="8" t="s">
        <x:v>4000</x:v>
      </x:c>
    </x:row>
    <x:row r="1474" ht="36" hidden="0" customHeight="1">
      <x:c r="A1474" s="8" t="s">
        <x:v>4277</x:v>
      </x:c>
      <x:c r="B1474" s="8" t="s">
        <x:v>4278</x:v>
      </x:c>
      <x:c r="C1474" s="8"/>
      <x:c r="D1474" s="8" t="s">
        <x:v>1704</x:v>
      </x:c>
      <x:c r="E1474" s="8" t="s">
        <x:v>4279</x:v>
      </x:c>
      <x:c r="F1474" s="8" t="s">
        <x:v>4280</x:v>
      </x:c>
      <x:c r="G1474" s="8" t="s">
        <x:v>109</x:v>
      </x:c>
      <x:c r="H1474" s="8" t="s">
        <x:v>4281</x:v>
      </x:c>
      <x:c r="I1474" s="8" t="s">
        <x:v>4282</x:v>
      </x:c>
      <x:c r="J1474" s="8" t="s">
        <x:v>3471</x:v>
      </x:c>
      <x:c r="K1474" s="8" t="s">
        <x:v>1132</x:v>
      </x:c>
      <x:c r="L1474" s="8" t="s">
        <x:v>1132</x:v>
      </x:c>
      <x:c r="M1474" s="8"/>
      <x:c r="N1474" s="8"/>
      <x:c r="O1474" s="8" t="s">
        <x:v>1622</x:v>
      </x:c>
      <x:c r="P1474" s="8" t="s">
        <x:v>115</x:v>
      </x:c>
      <x:c r="Q1474" s="8" t="s">
        <x:v>45</x:v>
      </x:c>
      <x:c r="R1474" s="8" t="s">
        <x:v>3999</x:v>
      </x:c>
      <x:c r="S1474" s="8"/>
      <x:c r="T1474" s="8" t="s">
        <x:v>27</x:v>
      </x:c>
      <x:c r="U1474" s="8" t="s">
        <x:v>3474</x:v>
      </x:c>
      <x:c r="V1474" s="8" t="s">
        <x:v>4000</x:v>
      </x:c>
    </x:row>
    <x:row r="1475" ht="36" hidden="0" customHeight="1">
      <x:c r="A1475" s="8" t="s">
        <x:v>4283</x:v>
      </x:c>
      <x:c r="B1475" s="8" t="s">
        <x:v>4278</x:v>
      </x:c>
      <x:c r="C1475" s="8"/>
      <x:c r="D1475" s="8" t="s">
        <x:v>1775</x:v>
      </x:c>
      <x:c r="E1475" s="8" t="s">
        <x:v>1220</x:v>
      </x:c>
      <x:c r="F1475" s="8" t="s">
        <x:v>4280</x:v>
      </x:c>
      <x:c r="G1475" s="8" t="s">
        <x:v>109</x:v>
      </x:c>
      <x:c r="H1475" s="8" t="s">
        <x:v>4281</x:v>
      </x:c>
      <x:c r="I1475" s="8" t="s">
        <x:v>4282</x:v>
      </x:c>
      <x:c r="J1475" s="8" t="s">
        <x:v>3471</x:v>
      </x:c>
      <x:c r="K1475" s="8" t="s">
        <x:v>1132</x:v>
      </x:c>
      <x:c r="L1475" s="8" t="s">
        <x:v>1132</x:v>
      </x:c>
      <x:c r="M1475" s="8"/>
      <x:c r="N1475" s="8"/>
      <x:c r="O1475" s="8" t="s">
        <x:v>1622</x:v>
      </x:c>
      <x:c r="P1475" s="8" t="s">
        <x:v>115</x:v>
      </x:c>
      <x:c r="Q1475" s="8" t="s">
        <x:v>45</x:v>
      </x:c>
      <x:c r="R1475" s="8" t="s">
        <x:v>3999</x:v>
      </x:c>
      <x:c r="S1475" s="8"/>
      <x:c r="T1475" s="8" t="s">
        <x:v>27</x:v>
      </x:c>
      <x:c r="U1475" s="8" t="s">
        <x:v>3474</x:v>
      </x:c>
      <x:c r="V1475" s="8" t="s">
        <x:v>4000</x:v>
      </x:c>
    </x:row>
    <x:row r="1476" ht="36" hidden="0" customHeight="1">
      <x:c r="A1476" s="8" t="s">
        <x:v>4284</x:v>
      </x:c>
      <x:c r="B1476" s="8" t="s">
        <x:v>4278</x:v>
      </x:c>
      <x:c r="C1476" s="8"/>
      <x:c r="D1476" s="8" t="s">
        <x:v>4285</x:v>
      </x:c>
      <x:c r="E1476" s="8" t="s">
        <x:v>4286</x:v>
      </x:c>
      <x:c r="F1476" s="8" t="s">
        <x:v>4280</x:v>
      </x:c>
      <x:c r="G1476" s="8" t="s">
        <x:v>109</x:v>
      </x:c>
      <x:c r="H1476" s="8" t="s">
        <x:v>4281</x:v>
      </x:c>
      <x:c r="I1476" s="8" t="s">
        <x:v>4282</x:v>
      </x:c>
      <x:c r="J1476" s="8" t="s">
        <x:v>3471</x:v>
      </x:c>
      <x:c r="K1476" s="8" t="s">
        <x:v>1132</x:v>
      </x:c>
      <x:c r="L1476" s="8" t="s">
        <x:v>1132</x:v>
      </x:c>
      <x:c r="M1476" s="8"/>
      <x:c r="N1476" s="8"/>
      <x:c r="O1476" s="8" t="s">
        <x:v>1622</x:v>
      </x:c>
      <x:c r="P1476" s="8" t="s">
        <x:v>115</x:v>
      </x:c>
      <x:c r="Q1476" s="8" t="s">
        <x:v>45</x:v>
      </x:c>
      <x:c r="R1476" s="8" t="s">
        <x:v>3999</x:v>
      </x:c>
      <x:c r="S1476" s="8"/>
      <x:c r="T1476" s="8" t="s">
        <x:v>27</x:v>
      </x:c>
      <x:c r="U1476" s="8" t="s">
        <x:v>3474</x:v>
      </x:c>
      <x:c r="V1476" s="8" t="s">
        <x:v>4000</x:v>
      </x:c>
    </x:row>
    <x:row r="1477" ht="36" hidden="0" customHeight="1">
      <x:c r="A1477" s="8" t="s">
        <x:v>4287</x:v>
      </x:c>
      <x:c r="B1477" s="8" t="s">
        <x:v>4278</x:v>
      </x:c>
      <x:c r="C1477" s="8"/>
      <x:c r="D1477" s="8" t="s">
        <x:v>4288</x:v>
      </x:c>
      <x:c r="E1477" s="8" t="s">
        <x:v>4289</x:v>
      </x:c>
      <x:c r="F1477" s="8" t="s">
        <x:v>4280</x:v>
      </x:c>
      <x:c r="G1477" s="8" t="s">
        <x:v>109</x:v>
      </x:c>
      <x:c r="H1477" s="8" t="s">
        <x:v>4281</x:v>
      </x:c>
      <x:c r="I1477" s="8" t="s">
        <x:v>4282</x:v>
      </x:c>
      <x:c r="J1477" s="8" t="s">
        <x:v>3471</x:v>
      </x:c>
      <x:c r="K1477" s="8" t="s">
        <x:v>1145</x:v>
      </x:c>
      <x:c r="L1477" s="8" t="s">
        <x:v>1145</x:v>
      </x:c>
      <x:c r="M1477" s="8"/>
      <x:c r="N1477" s="8"/>
      <x:c r="O1477" s="8" t="s">
        <x:v>1622</x:v>
      </x:c>
      <x:c r="P1477" s="8" t="s">
        <x:v>115</x:v>
      </x:c>
      <x:c r="Q1477" s="8" t="s">
        <x:v>45</x:v>
      </x:c>
      <x:c r="R1477" s="8" t="s">
        <x:v>3999</x:v>
      </x:c>
      <x:c r="S1477" s="8"/>
      <x:c r="T1477" s="8" t="s">
        <x:v>27</x:v>
      </x:c>
      <x:c r="U1477" s="8" t="s">
        <x:v>3474</x:v>
      </x:c>
      <x:c r="V1477" s="8" t="s">
        <x:v>4000</x:v>
      </x:c>
    </x:row>
    <x:row r="1478" ht="36" hidden="0" customHeight="1">
      <x:c r="A1478" s="8" t="s">
        <x:v>4290</x:v>
      </x:c>
      <x:c r="B1478" s="8" t="s">
        <x:v>4278</x:v>
      </x:c>
      <x:c r="C1478" s="8"/>
      <x:c r="D1478" s="8" t="s">
        <x:v>4291</x:v>
      </x:c>
      <x:c r="E1478" s="8" t="n">
        <x:v>10</x:v>
      </x:c>
      <x:c r="F1478" s="8" t="s">
        <x:v>4280</x:v>
      </x:c>
      <x:c r="G1478" s="8" t="s">
        <x:v>109</x:v>
      </x:c>
      <x:c r="H1478" s="8" t="s">
        <x:v>4281</x:v>
      </x:c>
      <x:c r="I1478" s="8" t="s">
        <x:v>4282</x:v>
      </x:c>
      <x:c r="J1478" s="8" t="s">
        <x:v>3471</x:v>
      </x:c>
      <x:c r="K1478" s="8" t="s">
        <x:v>4292</x:v>
      </x:c>
      <x:c r="L1478" s="8" t="s">
        <x:v>4292</x:v>
      </x:c>
      <x:c r="M1478" s="8"/>
      <x:c r="N1478" s="8"/>
      <x:c r="O1478" s="8" t="s">
        <x:v>1622</x:v>
      </x:c>
      <x:c r="P1478" s="8" t="s">
        <x:v>115</x:v>
      </x:c>
      <x:c r="Q1478" s="8" t="s">
        <x:v>45</x:v>
      </x:c>
      <x:c r="R1478" s="8" t="s">
        <x:v>3999</x:v>
      </x:c>
      <x:c r="S1478" s="8"/>
      <x:c r="T1478" s="8" t="s">
        <x:v>27</x:v>
      </x:c>
      <x:c r="U1478" s="8" t="s">
        <x:v>3474</x:v>
      </x:c>
      <x:c r="V1478" s="8" t="s">
        <x:v>4000</x:v>
      </x:c>
    </x:row>
    <x:row r="1479" ht="36" hidden="0" customHeight="1">
      <x:c r="A1479" s="8" t="s">
        <x:v>4293</x:v>
      </x:c>
      <x:c r="B1479" s="8" t="s">
        <x:v>4278</x:v>
      </x:c>
      <x:c r="C1479" s="8"/>
      <x:c r="D1479" s="8" t="s">
        <x:v>164</x:v>
      </x:c>
      <x:c r="E1479" s="8" t="s">
        <x:v>165</x:v>
      </x:c>
      <x:c r="F1479" s="8" t="s">
        <x:v>4280</x:v>
      </x:c>
      <x:c r="G1479" s="8" t="s">
        <x:v>109</x:v>
      </x:c>
      <x:c r="H1479" s="8" t="s">
        <x:v>4281</x:v>
      </x:c>
      <x:c r="I1479" s="8" t="s">
        <x:v>4282</x:v>
      </x:c>
      <x:c r="J1479" s="8" t="s">
        <x:v>3471</x:v>
      </x:c>
      <x:c r="K1479" s="8" t="s">
        <x:v>4292</x:v>
      </x:c>
      <x:c r="L1479" s="8" t="s">
        <x:v>4292</x:v>
      </x:c>
      <x:c r="M1479" s="8"/>
      <x:c r="N1479" s="8"/>
      <x:c r="O1479" s="8" t="s">
        <x:v>1622</x:v>
      </x:c>
      <x:c r="P1479" s="8" t="s">
        <x:v>115</x:v>
      </x:c>
      <x:c r="Q1479" s="8" t="s">
        <x:v>45</x:v>
      </x:c>
      <x:c r="R1479" s="8" t="s">
        <x:v>3999</x:v>
      </x:c>
      <x:c r="S1479" s="8"/>
      <x:c r="T1479" s="8" t="s">
        <x:v>27</x:v>
      </x:c>
      <x:c r="U1479" s="8" t="s">
        <x:v>3474</x:v>
      </x:c>
      <x:c r="V1479" s="8" t="s">
        <x:v>4000</x:v>
      </x:c>
    </x:row>
    <x:row r="1480" ht="36" hidden="0" customHeight="1">
      <x:c r="A1480" s="8" t="s">
        <x:v>4294</x:v>
      </x:c>
      <x:c r="B1480" s="8" t="s">
        <x:v>4278</x:v>
      </x:c>
      <x:c r="C1480" s="8"/>
      <x:c r="D1480" s="8" t="s">
        <x:v>167</x:v>
      </x:c>
      <x:c r="E1480" s="8" t="n">
        <x:v>128</x:v>
      </x:c>
      <x:c r="F1480" s="8" t="s">
        <x:v>4280</x:v>
      </x:c>
      <x:c r="G1480" s="8" t="s">
        <x:v>109</x:v>
      </x:c>
      <x:c r="H1480" s="8" t="s">
        <x:v>4281</x:v>
      </x:c>
      <x:c r="I1480" s="8" t="s">
        <x:v>4282</x:v>
      </x:c>
      <x:c r="J1480" s="8" t="s">
        <x:v>3471</x:v>
      </x:c>
      <x:c r="K1480" s="8" t="s">
        <x:v>4292</x:v>
      </x:c>
      <x:c r="L1480" s="8" t="s">
        <x:v>4292</x:v>
      </x:c>
      <x:c r="M1480" s="8"/>
      <x:c r="N1480" s="8"/>
      <x:c r="O1480" s="8" t="s">
        <x:v>1622</x:v>
      </x:c>
      <x:c r="P1480" s="8" t="s">
        <x:v>115</x:v>
      </x:c>
      <x:c r="Q1480" s="8" t="s">
        <x:v>45</x:v>
      </x:c>
      <x:c r="R1480" s="8" t="s">
        <x:v>3999</x:v>
      </x:c>
      <x:c r="S1480" s="8"/>
      <x:c r="T1480" s="8" t="s">
        <x:v>27</x:v>
      </x:c>
      <x:c r="U1480" s="8" t="s">
        <x:v>3474</x:v>
      </x:c>
      <x:c r="V1480" s="8" t="s">
        <x:v>4000</x:v>
      </x:c>
    </x:row>
    <x:row r="1481" ht="36" hidden="0" customHeight="1">
      <x:c r="A1481" s="8" t="s">
        <x:v>4295</x:v>
      </x:c>
      <x:c r="B1481" s="8" t="s">
        <x:v>4278</x:v>
      </x:c>
      <x:c r="C1481" s="8"/>
      <x:c r="D1481" s="8" t="s">
        <x:v>170</x:v>
      </x:c>
      <x:c r="E1481" s="8" t="n">
        <x:v>450</x:v>
      </x:c>
      <x:c r="F1481" s="8" t="s">
        <x:v>4280</x:v>
      </x:c>
      <x:c r="G1481" s="8" t="s">
        <x:v>109</x:v>
      </x:c>
      <x:c r="H1481" s="8" t="s">
        <x:v>4281</x:v>
      </x:c>
      <x:c r="I1481" s="8" t="s">
        <x:v>4282</x:v>
      </x:c>
      <x:c r="J1481" s="8" t="s">
        <x:v>3471</x:v>
      </x:c>
      <x:c r="K1481" s="8" t="s">
        <x:v>4292</x:v>
      </x:c>
      <x:c r="L1481" s="8" t="s">
        <x:v>4292</x:v>
      </x:c>
      <x:c r="M1481" s="8"/>
      <x:c r="N1481" s="8"/>
      <x:c r="O1481" s="8" t="s">
        <x:v>1622</x:v>
      </x:c>
      <x:c r="P1481" s="8" t="s">
        <x:v>115</x:v>
      </x:c>
      <x:c r="Q1481" s="8" t="s">
        <x:v>45</x:v>
      </x:c>
      <x:c r="R1481" s="8" t="s">
        <x:v>3999</x:v>
      </x:c>
      <x:c r="S1481" s="8"/>
      <x:c r="T1481" s="8" t="s">
        <x:v>27</x:v>
      </x:c>
      <x:c r="U1481" s="8" t="s">
        <x:v>3474</x:v>
      </x:c>
      <x:c r="V1481" s="8" t="s">
        <x:v>4000</x:v>
      </x:c>
    </x:row>
    <x:row r="1482" ht="36" hidden="0" customHeight="1">
      <x:c r="A1482" s="8" t="s">
        <x:v>4296</x:v>
      </x:c>
      <x:c r="B1482" s="8" t="s">
        <x:v>4278</x:v>
      </x:c>
      <x:c r="C1482" s="8"/>
      <x:c r="D1482" s="8" t="s">
        <x:v>4297</x:v>
      </x:c>
      <x:c r="E1482" s="8" t="s">
        <x:v>4298</x:v>
      </x:c>
      <x:c r="F1482" s="8" t="s">
        <x:v>4280</x:v>
      </x:c>
      <x:c r="G1482" s="8" t="s">
        <x:v>109</x:v>
      </x:c>
      <x:c r="H1482" s="8" t="s">
        <x:v>4281</x:v>
      </x:c>
      <x:c r="I1482" s="8" t="s">
        <x:v>4282</x:v>
      </x:c>
      <x:c r="J1482" s="8" t="s">
        <x:v>3471</x:v>
      </x:c>
      <x:c r="K1482" s="8" t="s">
        <x:v>4292</x:v>
      </x:c>
      <x:c r="L1482" s="8" t="s">
        <x:v>4292</x:v>
      </x:c>
      <x:c r="M1482" s="8"/>
      <x:c r="N1482" s="8"/>
      <x:c r="O1482" s="8" t="s">
        <x:v>1622</x:v>
      </x:c>
      <x:c r="P1482" s="8" t="s">
        <x:v>115</x:v>
      </x:c>
      <x:c r="Q1482" s="8" t="s">
        <x:v>45</x:v>
      </x:c>
      <x:c r="R1482" s="8" t="s">
        <x:v>3999</x:v>
      </x:c>
      <x:c r="S1482" s="8"/>
      <x:c r="T1482" s="8" t="s">
        <x:v>27</x:v>
      </x:c>
      <x:c r="U1482" s="8" t="s">
        <x:v>3474</x:v>
      </x:c>
      <x:c r="V1482" s="8" t="s">
        <x:v>4000</x:v>
      </x:c>
    </x:row>
    <x:row r="1483" ht="36" hidden="0" customHeight="1">
      <x:c r="A1483" s="8" t="s">
        <x:v>4299</x:v>
      </x:c>
      <x:c r="B1483" s="8" t="s">
        <x:v>4278</x:v>
      </x:c>
      <x:c r="C1483" s="8"/>
      <x:c r="D1483" s="8" t="s">
        <x:v>2199</x:v>
      </x:c>
      <x:c r="E1483" s="8" t="n">
        <x:v>0.2</x:v>
      </x:c>
      <x:c r="F1483" s="8" t="s">
        <x:v>4280</x:v>
      </x:c>
      <x:c r="G1483" s="8" t="s">
        <x:v>109</x:v>
      </x:c>
      <x:c r="H1483" s="8" t="s">
        <x:v>4281</x:v>
      </x:c>
      <x:c r="I1483" s="8" t="s">
        <x:v>4282</x:v>
      </x:c>
      <x:c r="J1483" s="8" t="s">
        <x:v>3471</x:v>
      </x:c>
      <x:c r="K1483" s="8" t="s">
        <x:v>4292</x:v>
      </x:c>
      <x:c r="L1483" s="8" t="s">
        <x:v>4292</x:v>
      </x:c>
      <x:c r="M1483" s="8"/>
      <x:c r="N1483" s="8"/>
      <x:c r="O1483" s="8" t="s">
        <x:v>1622</x:v>
      </x:c>
      <x:c r="P1483" s="8" t="s">
        <x:v>115</x:v>
      </x:c>
      <x:c r="Q1483" s="8" t="s">
        <x:v>45</x:v>
      </x:c>
      <x:c r="R1483" s="8" t="s">
        <x:v>3999</x:v>
      </x:c>
      <x:c r="S1483" s="8"/>
      <x:c r="T1483" s="8" t="s">
        <x:v>27</x:v>
      </x:c>
      <x:c r="U1483" s="8" t="s">
        <x:v>3474</x:v>
      </x:c>
      <x:c r="V1483" s="8" t="s">
        <x:v>4000</x:v>
      </x:c>
    </x:row>
    <x:row r="1484" ht="36" hidden="0" customHeight="1">
      <x:c r="A1484" s="8" t="s">
        <x:v>4300</x:v>
      </x:c>
      <x:c r="B1484" s="8" t="s">
        <x:v>4278</x:v>
      </x:c>
      <x:c r="C1484" s="8"/>
      <x:c r="D1484" s="8" t="s">
        <x:v>4301</x:v>
      </x:c>
      <x:c r="E1484" s="8" t="n">
        <x:v>10</x:v>
      </x:c>
      <x:c r="F1484" s="8" t="s">
        <x:v>4280</x:v>
      </x:c>
      <x:c r="G1484" s="8" t="s">
        <x:v>109</x:v>
      </x:c>
      <x:c r="H1484" s="8" t="s">
        <x:v>4281</x:v>
      </x:c>
      <x:c r="I1484" s="8" t="s">
        <x:v>4282</x:v>
      </x:c>
      <x:c r="J1484" s="8" t="s">
        <x:v>3471</x:v>
      </x:c>
      <x:c r="K1484" s="8" t="s">
        <x:v>4292</x:v>
      </x:c>
      <x:c r="L1484" s="8" t="s">
        <x:v>4292</x:v>
      </x:c>
      <x:c r="M1484" s="8"/>
      <x:c r="N1484" s="8"/>
      <x:c r="O1484" s="8" t="s">
        <x:v>1622</x:v>
      </x:c>
      <x:c r="P1484" s="8" t="s">
        <x:v>115</x:v>
      </x:c>
      <x:c r="Q1484" s="8" t="s">
        <x:v>45</x:v>
      </x:c>
      <x:c r="R1484" s="8" t="s">
        <x:v>3999</x:v>
      </x:c>
      <x:c r="S1484" s="8" t="s">
        <x:v>3016</x:v>
      </x:c>
      <x:c r="T1484" s="8" t="s">
        <x:v>27</x:v>
      </x:c>
      <x:c r="U1484" s="8" t="s">
        <x:v>3474</x:v>
      </x:c>
      <x:c r="V1484" s="8" t="s">
        <x:v>4000</x:v>
      </x:c>
    </x:row>
    <x:row r="1485" ht="36" hidden="0" customHeight="1">
      <x:c r="A1485" s="8" t="s">
        <x:v>4302</x:v>
      </x:c>
      <x:c r="B1485" s="8" t="s">
        <x:v>4278</x:v>
      </x:c>
      <x:c r="C1485" s="8"/>
      <x:c r="D1485" s="8" t="s">
        <x:v>1864</x:v>
      </x:c>
      <x:c r="E1485" s="8" t="s">
        <x:v>4303</x:v>
      </x:c>
      <x:c r="F1485" s="8" t="s">
        <x:v>4280</x:v>
      </x:c>
      <x:c r="G1485" s="8" t="s">
        <x:v>109</x:v>
      </x:c>
      <x:c r="H1485" s="8" t="s">
        <x:v>4281</x:v>
      </x:c>
      <x:c r="I1485" s="8" t="s">
        <x:v>4282</x:v>
      </x:c>
      <x:c r="J1485" s="8" t="s">
        <x:v>3471</x:v>
      </x:c>
      <x:c r="K1485" s="8" t="s">
        <x:v>4304</x:v>
      </x:c>
      <x:c r="L1485" s="8" t="s">
        <x:v>4304</x:v>
      </x:c>
      <x:c r="M1485" s="8"/>
      <x:c r="N1485" s="8"/>
      <x:c r="O1485" s="8" t="s">
        <x:v>1622</x:v>
      </x:c>
      <x:c r="P1485" s="8" t="s">
        <x:v>115</x:v>
      </x:c>
      <x:c r="Q1485" s="8" t="s">
        <x:v>45</x:v>
      </x:c>
      <x:c r="R1485" s="8" t="s">
        <x:v>3999</x:v>
      </x:c>
      <x:c r="S1485" s="8"/>
      <x:c r="T1485" s="8" t="s">
        <x:v>27</x:v>
      </x:c>
      <x:c r="U1485" s="8" t="s">
        <x:v>3474</x:v>
      </x:c>
      <x:c r="V1485" s="8" t="s">
        <x:v>4000</x:v>
      </x:c>
    </x:row>
    <x:row r="1486" ht="36" hidden="0" customHeight="1">
      <x:c r="A1486" s="8" t="s">
        <x:v>4305</x:v>
      </x:c>
      <x:c r="B1486" s="8" t="s">
        <x:v>4278</x:v>
      </x:c>
      <x:c r="C1486" s="8"/>
      <x:c r="D1486" s="8" t="s">
        <x:v>4306</x:v>
      </x:c>
      <x:c r="E1486" s="8" t="s">
        <x:v>4307</x:v>
      </x:c>
      <x:c r="F1486" s="8" t="s">
        <x:v>4280</x:v>
      </x:c>
      <x:c r="G1486" s="8" t="s">
        <x:v>109</x:v>
      </x:c>
      <x:c r="H1486" s="8" t="s">
        <x:v>4281</x:v>
      </x:c>
      <x:c r="I1486" s="8" t="s">
        <x:v>4282</x:v>
      </x:c>
      <x:c r="J1486" s="8" t="s">
        <x:v>3471</x:v>
      </x:c>
      <x:c r="K1486" s="8" t="s">
        <x:v>4304</x:v>
      </x:c>
      <x:c r="L1486" s="8" t="s">
        <x:v>4304</x:v>
      </x:c>
      <x:c r="M1486" s="8"/>
      <x:c r="N1486" s="8"/>
      <x:c r="O1486" s="8" t="s">
        <x:v>1622</x:v>
      </x:c>
      <x:c r="P1486" s="8" t="s">
        <x:v>115</x:v>
      </x:c>
      <x:c r="Q1486" s="8" t="s">
        <x:v>45</x:v>
      </x:c>
      <x:c r="R1486" s="8" t="s">
        <x:v>3999</x:v>
      </x:c>
      <x:c r="S1486" s="8"/>
      <x:c r="T1486" s="8" t="s">
        <x:v>27</x:v>
      </x:c>
      <x:c r="U1486" s="8" t="s">
        <x:v>3474</x:v>
      </x:c>
      <x:c r="V1486" s="8" t="s">
        <x:v>4000</x:v>
      </x:c>
    </x:row>
    <x:row r="1487" ht="36" hidden="0" customHeight="1">
      <x:c r="A1487" s="8" t="s">
        <x:v>4308</x:v>
      </x:c>
      <x:c r="B1487" s="8" t="s">
        <x:v>4278</x:v>
      </x:c>
      <x:c r="C1487" s="8"/>
      <x:c r="D1487" s="8" t="s">
        <x:v>4309</x:v>
      </x:c>
      <x:c r="E1487" s="8" t="s">
        <x:v>4310</x:v>
      </x:c>
      <x:c r="F1487" s="8" t="s">
        <x:v>4280</x:v>
      </x:c>
      <x:c r="G1487" s="8" t="s">
        <x:v>109</x:v>
      </x:c>
      <x:c r="H1487" s="8" t="s">
        <x:v>4281</x:v>
      </x:c>
      <x:c r="I1487" s="8" t="s">
        <x:v>4282</x:v>
      </x:c>
      <x:c r="J1487" s="8" t="s">
        <x:v>3471</x:v>
      </x:c>
      <x:c r="K1487" s="8" t="s">
        <x:v>4304</x:v>
      </x:c>
      <x:c r="L1487" s="8" t="s">
        <x:v>4304</x:v>
      </x:c>
      <x:c r="M1487" s="8"/>
      <x:c r="N1487" s="8"/>
      <x:c r="O1487" s="8" t="s">
        <x:v>1622</x:v>
      </x:c>
      <x:c r="P1487" s="8" t="s">
        <x:v>115</x:v>
      </x:c>
      <x:c r="Q1487" s="8" t="s">
        <x:v>45</x:v>
      </x:c>
      <x:c r="R1487" s="8" t="s">
        <x:v>3999</x:v>
      </x:c>
      <x:c r="S1487" s="8"/>
      <x:c r="T1487" s="8" t="s">
        <x:v>27</x:v>
      </x:c>
      <x:c r="U1487" s="8" t="s">
        <x:v>3474</x:v>
      </x:c>
      <x:c r="V1487" s="8" t="s">
        <x:v>4000</x:v>
      </x:c>
    </x:row>
    <x:row r="1488" ht="36" hidden="0" customHeight="1">
      <x:c r="A1488" s="8" t="s">
        <x:v>4311</x:v>
      </x:c>
      <x:c r="B1488" s="8" t="s">
        <x:v>4278</x:v>
      </x:c>
      <x:c r="C1488" s="8"/>
      <x:c r="D1488" s="8" t="s">
        <x:v>4312</x:v>
      </x:c>
      <x:c r="E1488" s="8" t="s">
        <x:v>4313</x:v>
      </x:c>
      <x:c r="F1488" s="8" t="s">
        <x:v>4280</x:v>
      </x:c>
      <x:c r="G1488" s="8" t="s">
        <x:v>109</x:v>
      </x:c>
      <x:c r="H1488" s="8" t="s">
        <x:v>4281</x:v>
      </x:c>
      <x:c r="I1488" s="8" t="s">
        <x:v>4282</x:v>
      </x:c>
      <x:c r="J1488" s="8" t="s">
        <x:v>3471</x:v>
      </x:c>
      <x:c r="K1488" s="8" t="s">
        <x:v>4304</x:v>
      </x:c>
      <x:c r="L1488" s="8" t="s">
        <x:v>4304</x:v>
      </x:c>
      <x:c r="M1488" s="8"/>
      <x:c r="N1488" s="8"/>
      <x:c r="O1488" s="8" t="s">
        <x:v>1622</x:v>
      </x:c>
      <x:c r="P1488" s="8" t="s">
        <x:v>115</x:v>
      </x:c>
      <x:c r="Q1488" s="8" t="s">
        <x:v>45</x:v>
      </x:c>
      <x:c r="R1488" s="8" t="s">
        <x:v>3999</x:v>
      </x:c>
      <x:c r="S1488" s="8"/>
      <x:c r="T1488" s="8" t="s">
        <x:v>27</x:v>
      </x:c>
      <x:c r="U1488" s="8" t="s">
        <x:v>3474</x:v>
      </x:c>
      <x:c r="V1488" s="8" t="s">
        <x:v>4000</x:v>
      </x:c>
    </x:row>
    <x:row r="1489" ht="36" hidden="0" customHeight="1">
      <x:c r="A1489" s="8" t="s">
        <x:v>4314</x:v>
      </x:c>
      <x:c r="B1489" s="8" t="s">
        <x:v>4278</x:v>
      </x:c>
      <x:c r="C1489" s="8"/>
      <x:c r="D1489" s="8" t="s">
        <x:v>4315</x:v>
      </x:c>
      <x:c r="E1489" s="8" t="n">
        <x:v>100</x:v>
      </x:c>
      <x:c r="F1489" s="8" t="s">
        <x:v>4280</x:v>
      </x:c>
      <x:c r="G1489" s="8" t="s">
        <x:v>109</x:v>
      </x:c>
      <x:c r="H1489" s="8" t="s">
        <x:v>4281</x:v>
      </x:c>
      <x:c r="I1489" s="8" t="s">
        <x:v>4282</x:v>
      </x:c>
      <x:c r="J1489" s="8" t="s">
        <x:v>3471</x:v>
      </x:c>
      <x:c r="K1489" s="8" t="s">
        <x:v>1581</x:v>
      </x:c>
      <x:c r="L1489" s="8" t="s">
        <x:v>1581</x:v>
      </x:c>
      <x:c r="M1489" s="8"/>
      <x:c r="N1489" s="8"/>
      <x:c r="O1489" s="8" t="s">
        <x:v>1622</x:v>
      </x:c>
      <x:c r="P1489" s="8" t="s">
        <x:v>115</x:v>
      </x:c>
      <x:c r="Q1489" s="8" t="s">
        <x:v>45</x:v>
      </x:c>
      <x:c r="R1489" s="8" t="s">
        <x:v>3999</x:v>
      </x:c>
      <x:c r="S1489" s="8"/>
      <x:c r="T1489" s="8" t="s">
        <x:v>27</x:v>
      </x:c>
      <x:c r="U1489" s="8" t="s">
        <x:v>3474</x:v>
      </x:c>
      <x:c r="V1489" s="8" t="s">
        <x:v>4000</x:v>
      </x:c>
    </x:row>
    <x:row r="1490" ht="36" hidden="0" customHeight="1">
      <x:c r="A1490" s="8" t="s">
        <x:v>4316</x:v>
      </x:c>
      <x:c r="B1490" s="8" t="s">
        <x:v>4278</x:v>
      </x:c>
      <x:c r="C1490" s="8"/>
      <x:c r="D1490" s="8" t="s">
        <x:v>3607</x:v>
      </x:c>
      <x:c r="E1490" s="8" t="n">
        <x:v>100000</x:v>
      </x:c>
      <x:c r="F1490" s="8" t="s">
        <x:v>4280</x:v>
      </x:c>
      <x:c r="G1490" s="8" t="s">
        <x:v>109</x:v>
      </x:c>
      <x:c r="H1490" s="8" t="s">
        <x:v>4281</x:v>
      </x:c>
      <x:c r="I1490" s="8" t="s">
        <x:v>4282</x:v>
      </x:c>
      <x:c r="J1490" s="8" t="s">
        <x:v>3471</x:v>
      </x:c>
      <x:c r="K1490" s="8" t="s">
        <x:v>1581</x:v>
      </x:c>
      <x:c r="L1490" s="8" t="s">
        <x:v>1581</x:v>
      </x:c>
      <x:c r="M1490" s="8"/>
      <x:c r="N1490" s="8"/>
      <x:c r="O1490" s="8" t="s">
        <x:v>1622</x:v>
      </x:c>
      <x:c r="P1490" s="8" t="s">
        <x:v>115</x:v>
      </x:c>
      <x:c r="Q1490" s="8" t="s">
        <x:v>45</x:v>
      </x:c>
      <x:c r="R1490" s="8" t="s">
        <x:v>3999</x:v>
      </x:c>
      <x:c r="S1490" s="8" t="s">
        <x:v>3016</x:v>
      </x:c>
      <x:c r="T1490" s="8" t="s">
        <x:v>27</x:v>
      </x:c>
      <x:c r="U1490" s="8" t="s">
        <x:v>3474</x:v>
      </x:c>
      <x:c r="V1490" s="8" t="s">
        <x:v>4000</x:v>
      </x:c>
    </x:row>
    <x:row r="1491" ht="36" hidden="0" customHeight="1">
      <x:c r="A1491" s="8" t="s">
        <x:v>4317</x:v>
      </x:c>
      <x:c r="B1491" s="8" t="s">
        <x:v>4278</x:v>
      </x:c>
      <x:c r="C1491" s="8"/>
      <x:c r="D1491" s="8" t="s">
        <x:v>4318</x:v>
      </x:c>
      <x:c r="E1491" s="8" t="s">
        <x:v>4319</x:v>
      </x:c>
      <x:c r="F1491" s="8" t="s">
        <x:v>4280</x:v>
      </x:c>
      <x:c r="G1491" s="8" t="s">
        <x:v>109</x:v>
      </x:c>
      <x:c r="H1491" s="8" t="s">
        <x:v>4281</x:v>
      </x:c>
      <x:c r="I1491" s="8" t="s">
        <x:v>4282</x:v>
      </x:c>
      <x:c r="J1491" s="8" t="s">
        <x:v>3471</x:v>
      </x:c>
      <x:c r="K1491" s="8" t="s">
        <x:v>1581</x:v>
      </x:c>
      <x:c r="L1491" s="8" t="s">
        <x:v>1581</x:v>
      </x:c>
      <x:c r="M1491" s="8"/>
      <x:c r="N1491" s="8"/>
      <x:c r="O1491" s="8" t="s">
        <x:v>1622</x:v>
      </x:c>
      <x:c r="P1491" s="8" t="s">
        <x:v>115</x:v>
      </x:c>
      <x:c r="Q1491" s="8" t="s">
        <x:v>45</x:v>
      </x:c>
      <x:c r="R1491" s="8" t="s">
        <x:v>3999</x:v>
      </x:c>
      <x:c r="S1491" s="8"/>
      <x:c r="T1491" s="8" t="s">
        <x:v>27</x:v>
      </x:c>
      <x:c r="U1491" s="8" t="s">
        <x:v>3474</x:v>
      </x:c>
      <x:c r="V1491" s="8" t="s">
        <x:v>4000</x:v>
      </x:c>
    </x:row>
    <x:row r="1492" ht="36" hidden="0" customHeight="1">
      <x:c r="A1492" s="8" t="s">
        <x:v>4320</x:v>
      </x:c>
      <x:c r="B1492" s="8" t="s">
        <x:v>4278</x:v>
      </x:c>
      <x:c r="C1492" s="8"/>
      <x:c r="D1492" s="8" t="s">
        <x:v>4321</x:v>
      </x:c>
      <x:c r="E1492" s="8" t="n">
        <x:v>5000</x:v>
      </x:c>
      <x:c r="F1492" s="8" t="s">
        <x:v>4280</x:v>
      </x:c>
      <x:c r="G1492" s="8" t="s">
        <x:v>109</x:v>
      </x:c>
      <x:c r="H1492" s="8" t="s">
        <x:v>4281</x:v>
      </x:c>
      <x:c r="I1492" s="8" t="s">
        <x:v>4282</x:v>
      </x:c>
      <x:c r="J1492" s="8" t="s">
        <x:v>3471</x:v>
      </x:c>
      <x:c r="K1492" s="8" t="s">
        <x:v>1581</x:v>
      </x:c>
      <x:c r="L1492" s="8" t="s">
        <x:v>1581</x:v>
      </x:c>
      <x:c r="M1492" s="8"/>
      <x:c r="N1492" s="8"/>
      <x:c r="O1492" s="8" t="s">
        <x:v>1622</x:v>
      </x:c>
      <x:c r="P1492" s="8" t="s">
        <x:v>115</x:v>
      </x:c>
      <x:c r="Q1492" s="8" t="s">
        <x:v>45</x:v>
      </x:c>
      <x:c r="R1492" s="8" t="s">
        <x:v>3999</x:v>
      </x:c>
      <x:c r="S1492" s="8"/>
      <x:c r="T1492" s="8" t="s">
        <x:v>27</x:v>
      </x:c>
      <x:c r="U1492" s="8" t="s">
        <x:v>3474</x:v>
      </x:c>
      <x:c r="V1492" s="8" t="s">
        <x:v>4000</x:v>
      </x:c>
    </x:row>
    <x:row r="1493" ht="36" hidden="0" customHeight="1">
      <x:c r="A1493" s="8" t="s">
        <x:v>4322</x:v>
      </x:c>
      <x:c r="B1493" s="8" t="s">
        <x:v>4278</x:v>
      </x:c>
      <x:c r="C1493" s="8"/>
      <x:c r="D1493" s="8" t="s">
        <x:v>4323</x:v>
      </x:c>
      <x:c r="E1493" s="8" t="n">
        <x:v>0.1</x:v>
      </x:c>
      <x:c r="F1493" s="8" t="s">
        <x:v>4280</x:v>
      </x:c>
      <x:c r="G1493" s="8" t="s">
        <x:v>109</x:v>
      </x:c>
      <x:c r="H1493" s="8" t="s">
        <x:v>4281</x:v>
      </x:c>
      <x:c r="I1493" s="8" t="s">
        <x:v>4282</x:v>
      </x:c>
      <x:c r="J1493" s="8" t="s">
        <x:v>3471</x:v>
      </x:c>
      <x:c r="K1493" s="8" t="s">
        <x:v>1581</x:v>
      </x:c>
      <x:c r="L1493" s="8" t="s">
        <x:v>1581</x:v>
      </x:c>
      <x:c r="M1493" s="8"/>
      <x:c r="N1493" s="8"/>
      <x:c r="O1493" s="8" t="s">
        <x:v>1622</x:v>
      </x:c>
      <x:c r="P1493" s="8" t="s">
        <x:v>115</x:v>
      </x:c>
      <x:c r="Q1493" s="8" t="s">
        <x:v>45</x:v>
      </x:c>
      <x:c r="R1493" s="8" t="s">
        <x:v>3999</x:v>
      </x:c>
      <x:c r="S1493" s="8"/>
      <x:c r="T1493" s="8" t="s">
        <x:v>27</x:v>
      </x:c>
      <x:c r="U1493" s="8" t="s">
        <x:v>3474</x:v>
      </x:c>
      <x:c r="V1493" s="8" t="s">
        <x:v>4000</x:v>
      </x:c>
    </x:row>
    <x:row r="1494" ht="36" hidden="0" customHeight="1">
      <x:c r="A1494" s="8" t="s">
        <x:v>4324</x:v>
      </x:c>
      <x:c r="B1494" s="8" t="s">
        <x:v>4278</x:v>
      </x:c>
      <x:c r="C1494" s="8"/>
      <x:c r="D1494" s="8" t="s">
        <x:v>4325</x:v>
      </x:c>
      <x:c r="E1494" s="8" t="n">
        <x:v>100</x:v>
      </x:c>
      <x:c r="F1494" s="8" t="s">
        <x:v>4280</x:v>
      </x:c>
      <x:c r="G1494" s="8" t="s">
        <x:v>109</x:v>
      </x:c>
      <x:c r="H1494" s="8" t="s">
        <x:v>4281</x:v>
      </x:c>
      <x:c r="I1494" s="8" t="s">
        <x:v>4282</x:v>
      </x:c>
      <x:c r="J1494" s="8" t="s">
        <x:v>3471</x:v>
      </x:c>
      <x:c r="K1494" s="8" t="s">
        <x:v>1581</x:v>
      </x:c>
      <x:c r="L1494" s="8" t="s">
        <x:v>1581</x:v>
      </x:c>
      <x:c r="M1494" s="8"/>
      <x:c r="N1494" s="8"/>
      <x:c r="O1494" s="8" t="s">
        <x:v>1622</x:v>
      </x:c>
      <x:c r="P1494" s="8" t="s">
        <x:v>115</x:v>
      </x:c>
      <x:c r="Q1494" s="8" t="s">
        <x:v>45</x:v>
      </x:c>
      <x:c r="R1494" s="8" t="s">
        <x:v>3999</x:v>
      </x:c>
      <x:c r="S1494" s="8"/>
      <x:c r="T1494" s="8" t="s">
        <x:v>27</x:v>
      </x:c>
      <x:c r="U1494" s="8" t="s">
        <x:v>3474</x:v>
      </x:c>
      <x:c r="V1494" s="8" t="s">
        <x:v>4000</x:v>
      </x:c>
    </x:row>
    <x:row r="1495" ht="36" hidden="0" customHeight="1">
      <x:c r="A1495" s="8" t="s">
        <x:v>4326</x:v>
      </x:c>
      <x:c r="B1495" s="8" t="s">
        <x:v>4278</x:v>
      </x:c>
      <x:c r="C1495" s="8"/>
      <x:c r="D1495" s="8" t="s">
        <x:v>4327</x:v>
      </x:c>
      <x:c r="E1495" s="8" t="n">
        <x:v>2500</x:v>
      </x:c>
      <x:c r="F1495" s="8" t="s">
        <x:v>4280</x:v>
      </x:c>
      <x:c r="G1495" s="8" t="s">
        <x:v>109</x:v>
      </x:c>
      <x:c r="H1495" s="8" t="s">
        <x:v>4281</x:v>
      </x:c>
      <x:c r="I1495" s="8" t="s">
        <x:v>4282</x:v>
      </x:c>
      <x:c r="J1495" s="8" t="s">
        <x:v>3471</x:v>
      </x:c>
      <x:c r="K1495" s="8" t="s">
        <x:v>1581</x:v>
      </x:c>
      <x:c r="L1495" s="8" t="s">
        <x:v>1581</x:v>
      </x:c>
      <x:c r="M1495" s="8"/>
      <x:c r="N1495" s="8"/>
      <x:c r="O1495" s="8" t="s">
        <x:v>1622</x:v>
      </x:c>
      <x:c r="P1495" s="8" t="s">
        <x:v>115</x:v>
      </x:c>
      <x:c r="Q1495" s="8" t="s">
        <x:v>45</x:v>
      </x:c>
      <x:c r="R1495" s="8" t="s">
        <x:v>3999</x:v>
      </x:c>
      <x:c r="S1495" s="8" t="s">
        <x:v>3016</x:v>
      </x:c>
      <x:c r="T1495" s="8" t="s">
        <x:v>27</x:v>
      </x:c>
      <x:c r="U1495" s="8" t="s">
        <x:v>3474</x:v>
      </x:c>
      <x:c r="V1495" s="8" t="s">
        <x:v>4000</x:v>
      </x:c>
    </x:row>
    <x:row r="1496" ht="36" hidden="0" customHeight="1">
      <x:c r="A1496" s="8" t="s">
        <x:v>4328</x:v>
      </x:c>
      <x:c r="B1496" s="8" t="s">
        <x:v>4278</x:v>
      </x:c>
      <x:c r="C1496" s="8"/>
      <x:c r="D1496" s="8" t="s">
        <x:v>4329</x:v>
      </x:c>
      <x:c r="E1496" s="8" t="s">
        <x:v>4330</x:v>
      </x:c>
      <x:c r="F1496" s="8" t="s">
        <x:v>4280</x:v>
      </x:c>
      <x:c r="G1496" s="8" t="s">
        <x:v>109</x:v>
      </x:c>
      <x:c r="H1496" s="8" t="s">
        <x:v>4281</x:v>
      </x:c>
      <x:c r="I1496" s="8" t="s">
        <x:v>4282</x:v>
      </x:c>
      <x:c r="J1496" s="8" t="s">
        <x:v>3471</x:v>
      </x:c>
      <x:c r="K1496" s="8" t="s">
        <x:v>1581</x:v>
      </x:c>
      <x:c r="L1496" s="8" t="s">
        <x:v>1581</x:v>
      </x:c>
      <x:c r="M1496" s="8"/>
      <x:c r="N1496" s="8"/>
      <x:c r="O1496" s="8" t="s">
        <x:v>1622</x:v>
      </x:c>
      <x:c r="P1496" s="8" t="s">
        <x:v>115</x:v>
      </x:c>
      <x:c r="Q1496" s="8" t="s">
        <x:v>45</x:v>
      </x:c>
      <x:c r="R1496" s="8" t="s">
        <x:v>3999</x:v>
      </x:c>
      <x:c r="S1496" s="8"/>
      <x:c r="T1496" s="8" t="s">
        <x:v>27</x:v>
      </x:c>
      <x:c r="U1496" s="8" t="s">
        <x:v>3474</x:v>
      </x:c>
      <x:c r="V1496" s="8" t="s">
        <x:v>4000</x:v>
      </x:c>
    </x:row>
    <x:row r="1497" ht="36" hidden="0" customHeight="1">
      <x:c r="A1497" s="8" t="s">
        <x:v>4331</x:v>
      </x:c>
      <x:c r="B1497" s="8" t="s">
        <x:v>4278</x:v>
      </x:c>
      <x:c r="C1497" s="8"/>
      <x:c r="D1497" s="8" t="s">
        <x:v>3837</x:v>
      </x:c>
      <x:c r="E1497" s="8" t="s">
        <x:v>4332</x:v>
      </x:c>
      <x:c r="F1497" s="8" t="s">
        <x:v>4280</x:v>
      </x:c>
      <x:c r="G1497" s="8" t="s">
        <x:v>109</x:v>
      </x:c>
      <x:c r="H1497" s="8" t="s">
        <x:v>4281</x:v>
      </x:c>
      <x:c r="I1497" s="8" t="s">
        <x:v>4282</x:v>
      </x:c>
      <x:c r="J1497" s="8" t="s">
        <x:v>3471</x:v>
      </x:c>
      <x:c r="K1497" s="8" t="s">
        <x:v>4292</x:v>
      </x:c>
      <x:c r="L1497" s="8" t="s">
        <x:v>4292</x:v>
      </x:c>
      <x:c r="M1497" s="8"/>
      <x:c r="N1497" s="8"/>
      <x:c r="O1497" s="8" t="s">
        <x:v>1622</x:v>
      </x:c>
      <x:c r="P1497" s="8" t="s">
        <x:v>115</x:v>
      </x:c>
      <x:c r="Q1497" s="8" t="s">
        <x:v>45</x:v>
      </x:c>
      <x:c r="R1497" s="8" t="s">
        <x:v>3999</x:v>
      </x:c>
      <x:c r="S1497" s="8"/>
      <x:c r="T1497" s="8" t="s">
        <x:v>27</x:v>
      </x:c>
      <x:c r="U1497" s="8" t="s">
        <x:v>3474</x:v>
      </x:c>
      <x:c r="V1497" s="8" t="s">
        <x:v>4000</x:v>
      </x:c>
    </x:row>
    <x:row r="1498" ht="36" hidden="0" customHeight="1">
      <x:c r="A1498" s="8" t="s">
        <x:v>4333</x:v>
      </x:c>
      <x:c r="B1498" s="8" t="s">
        <x:v>4278</x:v>
      </x:c>
      <x:c r="C1498" s="8"/>
      <x:c r="D1498" s="8" t="s">
        <x:v>871</x:v>
      </x:c>
      <x:c r="E1498" s="8" t="s">
        <x:v>4334</x:v>
      </x:c>
      <x:c r="F1498" s="8" t="s">
        <x:v>4280</x:v>
      </x:c>
      <x:c r="G1498" s="8" t="s">
        <x:v>109</x:v>
      </x:c>
      <x:c r="H1498" s="8" t="s">
        <x:v>4281</x:v>
      </x:c>
      <x:c r="I1498" s="8" t="s">
        <x:v>4282</x:v>
      </x:c>
      <x:c r="J1498" s="8" t="s">
        <x:v>3471</x:v>
      </x:c>
      <x:c r="K1498" s="8" t="s">
        <x:v>4292</x:v>
      </x:c>
      <x:c r="L1498" s="8" t="s">
        <x:v>4292</x:v>
      </x:c>
      <x:c r="M1498" s="8"/>
      <x:c r="N1498" s="8"/>
      <x:c r="O1498" s="8" t="s">
        <x:v>1622</x:v>
      </x:c>
      <x:c r="P1498" s="8" t="s">
        <x:v>115</x:v>
      </x:c>
      <x:c r="Q1498" s="8" t="s">
        <x:v>45</x:v>
      </x:c>
      <x:c r="R1498" s="8" t="s">
        <x:v>3999</x:v>
      </x:c>
      <x:c r="S1498" s="8"/>
      <x:c r="T1498" s="8" t="s">
        <x:v>27</x:v>
      </x:c>
      <x:c r="U1498" s="8" t="s">
        <x:v>3474</x:v>
      </x:c>
      <x:c r="V1498" s="8" t="s">
        <x:v>4000</x:v>
      </x:c>
    </x:row>
    <x:row r="1499" ht="15" hidden="0" customHeight="1">
      <x:c r="A1499" s="1" t="s">
        <x:v>4335</x:v>
      </x:c>
      <x:c r="B1499" s="1" t="s">
        <x:v>4336</x:v>
      </x:c>
      <x:c r="C1499" s="1" t="s">
        <x:v>4337</x:v>
      </x:c>
      <x:c r="D1499" s="1" t="s">
        <x:v>1704</x:v>
      </x:c>
      <x:c r="E1499" s="1" t="s">
        <x:v>4338</x:v>
      </x:c>
      <x:c r="F1499" s="1" t="s">
        <x:v>108</x:v>
      </x:c>
      <x:c r="G1499" s="1" t="s">
        <x:v>109</x:v>
      </x:c>
      <x:c r="H1499" s="1" t="s">
        <x:v>4339</x:v>
      </x:c>
      <x:c r="I1499" s="1" t="s">
        <x:v>4340</x:v>
      </x:c>
      <x:c r="J1499" s="1" t="s">
        <x:v>4341</x:v>
      </x:c>
      <x:c r="K1499" s="1" t="s">
        <x:v>113</x:v>
      </x:c>
      <x:c r="L1499" s="1" t="s">
        <x:v>113</x:v>
      </x:c>
      <x:c r="N1499" s="1" t="n">
        <x:v>1</x:v>
      </x:c>
      <x:c r="O1499" s="1" t="s">
        <x:v>1204</x:v>
      </x:c>
      <x:c r="P1499" s="1" t="s">
        <x:v>115</x:v>
      </x:c>
      <x:c r="Q1499" s="1" t="s">
        <x:v>45</x:v>
      </x:c>
      <x:c r="T1499" s="1" t="s">
        <x:v>27</x:v>
      </x:c>
      <x:c r="U1499" s="1" t="s">
        <x:v>3474</x:v>
      </x:c>
      <x:c r="V1499" s="1" t="s">
        <x:v>4342</x:v>
      </x:c>
    </x:row>
    <x:row r="1500" ht="15" hidden="0" customHeight="1">
      <x:c r="A1500" s="1" t="s">
        <x:v>4343</x:v>
      </x:c>
      <x:c r="B1500" s="1" t="s">
        <x:v>4336</x:v>
      </x:c>
      <x:c r="C1500" s="1" t="s">
        <x:v>4337</x:v>
      </x:c>
      <x:c r="D1500" s="1" t="s">
        <x:v>886</x:v>
      </x:c>
      <x:c r="E1500" s="1" t="s">
        <x:v>4344</x:v>
      </x:c>
      <x:c r="F1500" s="1" t="s">
        <x:v>108</x:v>
      </x:c>
      <x:c r="G1500" s="1" t="s">
        <x:v>109</x:v>
      </x:c>
      <x:c r="H1500" s="1" t="s">
        <x:v>4339</x:v>
      </x:c>
      <x:c r="I1500" s="1" t="s">
        <x:v>4340</x:v>
      </x:c>
      <x:c r="J1500" s="1" t="s">
        <x:v>4341</x:v>
      </x:c>
      <x:c r="K1500" s="1" t="s">
        <x:v>4345</x:v>
      </x:c>
      <x:c r="L1500" s="1" t="s">
        <x:v>4345</x:v>
      </x:c>
      <x:c r="N1500" s="1" t="n">
        <x:v>1</x:v>
      </x:c>
      <x:c r="O1500" s="1" t="s">
        <x:v>1204</x:v>
      </x:c>
      <x:c r="P1500" s="1" t="s">
        <x:v>115</x:v>
      </x:c>
      <x:c r="Q1500" s="1" t="s">
        <x:v>45</x:v>
      </x:c>
      <x:c r="T1500" s="1" t="s">
        <x:v>27</x:v>
      </x:c>
      <x:c r="U1500" s="1" t="s">
        <x:v>3474</x:v>
      </x:c>
      <x:c r="V1500" s="1" t="s">
        <x:v>4342</x:v>
      </x:c>
    </x:row>
    <x:row r="1501" ht="15" hidden="0" customHeight="1">
      <x:c r="A1501" s="1" t="s">
        <x:v>4346</x:v>
      </x:c>
      <x:c r="B1501" s="1" t="s">
        <x:v>4336</x:v>
      </x:c>
      <x:c r="C1501" s="1" t="s">
        <x:v>4337</x:v>
      </x:c>
      <x:c r="D1501" s="1" t="s">
        <x:v>4347</x:v>
      </x:c>
      <x:c r="E1501" s="1" t="s">
        <x:v>4348</x:v>
      </x:c>
      <x:c r="F1501" s="1" t="s">
        <x:v>108</x:v>
      </x:c>
      <x:c r="G1501" s="1" t="s">
        <x:v>109</x:v>
      </x:c>
      <x:c r="H1501" s="1" t="s">
        <x:v>4339</x:v>
      </x:c>
      <x:c r="I1501" s="1" t="s">
        <x:v>4340</x:v>
      </x:c>
      <x:c r="J1501" s="1" t="s">
        <x:v>4341</x:v>
      </x:c>
      <x:c r="K1501" s="1" t="s">
        <x:v>4349</x:v>
      </x:c>
      <x:c r="L1501" s="1" t="s">
        <x:v>4349</x:v>
      </x:c>
      <x:c r="N1501" s="1" t="n">
        <x:v>3</x:v>
      </x:c>
      <x:c r="O1501" s="1" t="s">
        <x:v>1204</x:v>
      </x:c>
      <x:c r="P1501" s="1" t="s">
        <x:v>115</x:v>
      </x:c>
      <x:c r="Q1501" s="1" t="s">
        <x:v>45</x:v>
      </x:c>
      <x:c r="T1501" s="1" t="s">
        <x:v>27</x:v>
      </x:c>
      <x:c r="U1501" s="1" t="s">
        <x:v>3474</x:v>
      </x:c>
      <x:c r="V1501" s="1" t="s">
        <x:v>4342</x:v>
      </x:c>
    </x:row>
    <x:row r="1502" ht="15" hidden="0" customHeight="1">
      <x:c r="A1502" s="1" t="s">
        <x:v>4350</x:v>
      </x:c>
      <x:c r="B1502" s="1" t="s">
        <x:v>4336</x:v>
      </x:c>
      <x:c r="C1502" s="1" t="s">
        <x:v>4337</x:v>
      </x:c>
      <x:c r="D1502" s="1" t="s">
        <x:v>4351</x:v>
      </x:c>
      <x:c r="E1502" s="1" t="s">
        <x:v>4352</x:v>
      </x:c>
      <x:c r="F1502" s="1" t="s">
        <x:v>108</x:v>
      </x:c>
      <x:c r="G1502" s="1" t="s">
        <x:v>109</x:v>
      </x:c>
      <x:c r="H1502" s="1" t="s">
        <x:v>4339</x:v>
      </x:c>
      <x:c r="I1502" s="1" t="s">
        <x:v>4340</x:v>
      </x:c>
      <x:c r="J1502" s="1" t="s">
        <x:v>4341</x:v>
      </x:c>
      <x:c r="K1502" s="1" t="s">
        <x:v>4353</x:v>
      </x:c>
      <x:c r="L1502" s="1" t="s">
        <x:v>4353</x:v>
      </x:c>
      <x:c r="N1502" s="1" t="n">
        <x:v>3</x:v>
      </x:c>
      <x:c r="O1502" s="1" t="s">
        <x:v>1204</x:v>
      </x:c>
      <x:c r="P1502" s="1" t="s">
        <x:v>115</x:v>
      </x:c>
      <x:c r="Q1502" s="1" t="s">
        <x:v>45</x:v>
      </x:c>
      <x:c r="T1502" s="1" t="s">
        <x:v>27</x:v>
      </x:c>
      <x:c r="U1502" s="1" t="s">
        <x:v>3474</x:v>
      </x:c>
      <x:c r="V1502" s="1" t="s">
        <x:v>4342</x:v>
      </x:c>
    </x:row>
    <x:row r="1503" ht="15" hidden="0" customHeight="1">
      <x:c r="A1503" s="1" t="s">
        <x:v>4354</x:v>
      </x:c>
      <x:c r="B1503" s="1" t="s">
        <x:v>4336</x:v>
      </x:c>
      <x:c r="C1503" s="1" t="s">
        <x:v>4337</x:v>
      </x:c>
      <x:c r="D1503" s="1" t="s">
        <x:v>4355</x:v>
      </x:c>
      <x:c r="E1503" s="1" t="s">
        <x:v>4356</x:v>
      </x:c>
      <x:c r="F1503" s="1" t="s">
        <x:v>108</x:v>
      </x:c>
      <x:c r="G1503" s="1" t="s">
        <x:v>109</x:v>
      </x:c>
      <x:c r="H1503" s="1" t="s">
        <x:v>4339</x:v>
      </x:c>
      <x:c r="I1503" s="1" t="s">
        <x:v>4340</x:v>
      </x:c>
      <x:c r="J1503" s="1" t="s">
        <x:v>4341</x:v>
      </x:c>
      <x:c r="K1503" s="1" t="s">
        <x:v>4357</x:v>
      </x:c>
      <x:c r="L1503" s="1" t="s">
        <x:v>4357</x:v>
      </x:c>
      <x:c r="N1503" s="1" t="n">
        <x:v>4</x:v>
      </x:c>
      <x:c r="O1503" s="1" t="s">
        <x:v>1204</x:v>
      </x:c>
      <x:c r="P1503" s="1" t="s">
        <x:v>115</x:v>
      </x:c>
      <x:c r="Q1503" s="1" t="s">
        <x:v>45</x:v>
      </x:c>
      <x:c r="T1503" s="1" t="s">
        <x:v>27</x:v>
      </x:c>
      <x:c r="U1503" s="1" t="s">
        <x:v>3474</x:v>
      </x:c>
      <x:c r="V1503" s="1" t="s">
        <x:v>4342</x:v>
      </x:c>
    </x:row>
    <x:row r="1504" ht="15" hidden="0" customHeight="1">
      <x:c r="A1504" s="1" t="s">
        <x:v>4358</x:v>
      </x:c>
      <x:c r="B1504" s="1" t="s">
        <x:v>4336</x:v>
      </x:c>
      <x:c r="C1504" s="1" t="s">
        <x:v>4337</x:v>
      </x:c>
      <x:c r="D1504" s="1" t="s">
        <x:v>4359</x:v>
      </x:c>
      <x:c r="E1504" s="1" t="s">
        <x:v>4360</x:v>
      </x:c>
      <x:c r="F1504" s="1" t="s">
        <x:v>108</x:v>
      </x:c>
      <x:c r="G1504" s="1" t="s">
        <x:v>109</x:v>
      </x:c>
      <x:c r="H1504" s="1" t="s">
        <x:v>4339</x:v>
      </x:c>
      <x:c r="I1504" s="1" t="s">
        <x:v>4340</x:v>
      </x:c>
      <x:c r="J1504" s="1" t="s">
        <x:v>4341</x:v>
      </x:c>
      <x:c r="K1504" s="1" t="s">
        <x:v>497</x:v>
      </x:c>
      <x:c r="L1504" s="1" t="s">
        <x:v>497</x:v>
      </x:c>
      <x:c r="N1504" s="1" t="n">
        <x:v>4</x:v>
      </x:c>
      <x:c r="O1504" s="1" t="s">
        <x:v>1204</x:v>
      </x:c>
      <x:c r="P1504" s="1" t="s">
        <x:v>115</x:v>
      </x:c>
      <x:c r="Q1504" s="1" t="s">
        <x:v>45</x:v>
      </x:c>
      <x:c r="T1504" s="1" t="s">
        <x:v>27</x:v>
      </x:c>
      <x:c r="U1504" s="1" t="s">
        <x:v>3474</x:v>
      </x:c>
      <x:c r="V1504" s="1" t="s">
        <x:v>4342</x:v>
      </x:c>
    </x:row>
    <x:row r="1505" ht="15" hidden="0" customHeight="1">
      <x:c r="A1505" s="1" t="s">
        <x:v>4361</x:v>
      </x:c>
      <x:c r="B1505" s="1" t="s">
        <x:v>4336</x:v>
      </x:c>
      <x:c r="C1505" s="1" t="s">
        <x:v>4337</x:v>
      </x:c>
      <x:c r="D1505" s="1" t="s">
        <x:v>4362</x:v>
      </x:c>
      <x:c r="E1505" s="1" t="s">
        <x:v>4363</x:v>
      </x:c>
      <x:c r="F1505" s="1" t="s">
        <x:v>108</x:v>
      </x:c>
      <x:c r="G1505" s="1" t="s">
        <x:v>109</x:v>
      </x:c>
      <x:c r="H1505" s="1" t="s">
        <x:v>4339</x:v>
      </x:c>
      <x:c r="I1505" s="1" t="s">
        <x:v>4340</x:v>
      </x:c>
      <x:c r="J1505" s="1" t="s">
        <x:v>4341</x:v>
      </x:c>
      <x:c r="K1505" s="1" t="s">
        <x:v>4364</x:v>
      </x:c>
      <x:c r="L1505" s="1" t="s">
        <x:v>4364</x:v>
      </x:c>
      <x:c r="N1505" s="1" t="n">
        <x:v>4</x:v>
      </x:c>
      <x:c r="O1505" s="1" t="s">
        <x:v>1204</x:v>
      </x:c>
      <x:c r="P1505" s="1" t="s">
        <x:v>115</x:v>
      </x:c>
      <x:c r="Q1505" s="1" t="s">
        <x:v>45</x:v>
      </x:c>
      <x:c r="T1505" s="1" t="s">
        <x:v>27</x:v>
      </x:c>
      <x:c r="U1505" s="1" t="s">
        <x:v>3474</x:v>
      </x:c>
      <x:c r="V1505" s="1" t="s">
        <x:v>4342</x:v>
      </x:c>
    </x:row>
    <x:row r="1506" ht="15" hidden="0" customHeight="1">
      <x:c r="A1506" s="1" t="s">
        <x:v>4365</x:v>
      </x:c>
      <x:c r="B1506" s="1" t="s">
        <x:v>4336</x:v>
      </x:c>
      <x:c r="C1506" s="1" t="s">
        <x:v>4337</x:v>
      </x:c>
      <x:c r="D1506" s="1" t="s">
        <x:v>4366</x:v>
      </x:c>
      <x:c r="E1506" s="1" t="s">
        <x:v>4367</x:v>
      </x:c>
      <x:c r="F1506" s="1" t="s">
        <x:v>108</x:v>
      </x:c>
      <x:c r="G1506" s="1" t="s">
        <x:v>109</x:v>
      </x:c>
      <x:c r="H1506" s="1" t="s">
        <x:v>4339</x:v>
      </x:c>
      <x:c r="I1506" s="1" t="s">
        <x:v>4340</x:v>
      </x:c>
      <x:c r="J1506" s="1" t="s">
        <x:v>4341</x:v>
      </x:c>
      <x:c r="K1506" s="1" t="s">
        <x:v>497</x:v>
      </x:c>
      <x:c r="L1506" s="1" t="s">
        <x:v>497</x:v>
      </x:c>
      <x:c r="N1506" s="1" t="n">
        <x:v>4</x:v>
      </x:c>
      <x:c r="O1506" s="1" t="s">
        <x:v>1204</x:v>
      </x:c>
      <x:c r="P1506" s="1" t="s">
        <x:v>115</x:v>
      </x:c>
      <x:c r="Q1506" s="1" t="s">
        <x:v>45</x:v>
      </x:c>
      <x:c r="T1506" s="1" t="s">
        <x:v>27</x:v>
      </x:c>
      <x:c r="U1506" s="1" t="s">
        <x:v>3474</x:v>
      </x:c>
      <x:c r="V1506" s="1" t="s">
        <x:v>4342</x:v>
      </x:c>
    </x:row>
    <x:row r="1507" ht="15" hidden="0" customHeight="1">
      <x:c r="A1507" s="1" t="s">
        <x:v>4368</x:v>
      </x:c>
      <x:c r="B1507" s="1" t="s">
        <x:v>4336</x:v>
      </x:c>
      <x:c r="C1507" s="1" t="s">
        <x:v>4337</x:v>
      </x:c>
      <x:c r="D1507" s="1" t="s">
        <x:v>4369</x:v>
      </x:c>
      <x:c r="E1507" s="1" t="s">
        <x:v>4370</x:v>
      </x:c>
      <x:c r="F1507" s="1" t="s">
        <x:v>108</x:v>
      </x:c>
      <x:c r="G1507" s="1" t="s">
        <x:v>109</x:v>
      </x:c>
      <x:c r="H1507" s="1" t="s">
        <x:v>4339</x:v>
      </x:c>
      <x:c r="I1507" s="1" t="s">
        <x:v>4340</x:v>
      </x:c>
      <x:c r="J1507" s="1" t="s">
        <x:v>4341</x:v>
      </x:c>
      <x:c r="K1507" s="1" t="s">
        <x:v>4349</x:v>
      </x:c>
      <x:c r="L1507" s="1" t="s">
        <x:v>4349</x:v>
      </x:c>
      <x:c r="N1507" s="1" t="n">
        <x:v>4</x:v>
      </x:c>
      <x:c r="O1507" s="1" t="s">
        <x:v>1204</x:v>
      </x:c>
      <x:c r="P1507" s="1" t="s">
        <x:v>115</x:v>
      </x:c>
      <x:c r="Q1507" s="1" t="s">
        <x:v>45</x:v>
      </x:c>
      <x:c r="S1507" s="1" t="s">
        <x:v>905</x:v>
      </x:c>
      <x:c r="T1507" s="1" t="s">
        <x:v>27</x:v>
      </x:c>
      <x:c r="U1507" s="1" t="s">
        <x:v>3474</x:v>
      </x:c>
      <x:c r="V1507" s="1" t="s">
        <x:v>4342</x:v>
      </x:c>
    </x:row>
    <x:row r="1508" ht="15" hidden="0" customHeight="1">
      <x:c r="A1508" s="1" t="s">
        <x:v>4371</x:v>
      </x:c>
      <x:c r="B1508" s="1" t="s">
        <x:v>4336</x:v>
      </x:c>
      <x:c r="C1508" s="1" t="s">
        <x:v>4337</x:v>
      </x:c>
      <x:c r="D1508" s="1" t="s">
        <x:v>4372</x:v>
      </x:c>
      <x:c r="E1508" s="1" t="s">
        <x:v>4373</x:v>
      </x:c>
      <x:c r="F1508" s="1" t="s">
        <x:v>108</x:v>
      </x:c>
      <x:c r="G1508" s="1" t="s">
        <x:v>109</x:v>
      </x:c>
      <x:c r="H1508" s="1" t="s">
        <x:v>4339</x:v>
      </x:c>
      <x:c r="I1508" s="1" t="s">
        <x:v>4340</x:v>
      </x:c>
      <x:c r="J1508" s="1" t="s">
        <x:v>4341</x:v>
      </x:c>
      <x:c r="K1508" s="1" t="s">
        <x:v>4374</x:v>
      </x:c>
      <x:c r="L1508" s="1" t="s">
        <x:v>4374</x:v>
      </x:c>
      <x:c r="N1508" s="1" t="n">
        <x:v>4</x:v>
      </x:c>
      <x:c r="O1508" s="1" t="s">
        <x:v>1204</x:v>
      </x:c>
      <x:c r="P1508" s="1" t="s">
        <x:v>115</x:v>
      </x:c>
      <x:c r="Q1508" s="1" t="s">
        <x:v>45</x:v>
      </x:c>
      <x:c r="T1508" s="1" t="s">
        <x:v>27</x:v>
      </x:c>
      <x:c r="U1508" s="1" t="s">
        <x:v>3474</x:v>
      </x:c>
      <x:c r="V1508" s="1" t="s">
        <x:v>4342</x:v>
      </x:c>
    </x:row>
    <x:row r="1509" ht="15" hidden="0" customHeight="1">
      <x:c r="A1509" s="1" t="s">
        <x:v>4375</x:v>
      </x:c>
      <x:c r="B1509" s="1" t="s">
        <x:v>4336</x:v>
      </x:c>
      <x:c r="C1509" s="1" t="s">
        <x:v>4337</x:v>
      </x:c>
      <x:c r="D1509" s="1" t="s">
        <x:v>1948</x:v>
      </x:c>
      <x:c r="E1509" s="1" t="s">
        <x:v>4376</x:v>
      </x:c>
      <x:c r="F1509" s="1" t="s">
        <x:v>108</x:v>
      </x:c>
      <x:c r="G1509" s="1" t="s">
        <x:v>109</x:v>
      </x:c>
      <x:c r="H1509" s="1" t="s">
        <x:v>4339</x:v>
      </x:c>
      <x:c r="I1509" s="1" t="s">
        <x:v>4340</x:v>
      </x:c>
      <x:c r="J1509" s="1" t="s">
        <x:v>4341</x:v>
      </x:c>
      <x:c r="K1509" s="1" t="s">
        <x:v>4377</x:v>
      </x:c>
      <x:c r="L1509" s="1" t="s">
        <x:v>4377</x:v>
      </x:c>
      <x:c r="N1509" s="1" t="n">
        <x:v>5</x:v>
      </x:c>
      <x:c r="O1509" s="1" t="s">
        <x:v>1204</x:v>
      </x:c>
      <x:c r="P1509" s="1" t="s">
        <x:v>115</x:v>
      </x:c>
      <x:c r="Q1509" s="1" t="s">
        <x:v>45</x:v>
      </x:c>
      <x:c r="T1509" s="1" t="s">
        <x:v>27</x:v>
      </x:c>
      <x:c r="U1509" s="1" t="s">
        <x:v>3474</x:v>
      </x:c>
      <x:c r="V1509" s="1" t="s">
        <x:v>4342</x:v>
      </x:c>
    </x:row>
    <x:row r="1510" ht="15" hidden="0" customHeight="1">
      <x:c r="A1510" s="1" t="s">
        <x:v>4378</x:v>
      </x:c>
      <x:c r="B1510" s="1" t="s">
        <x:v>4336</x:v>
      </x:c>
      <x:c r="C1510" s="1" t="s">
        <x:v>4337</x:v>
      </x:c>
      <x:c r="D1510" s="1" t="s">
        <x:v>1945</x:v>
      </x:c>
      <x:c r="E1510" s="1" t="s">
        <x:v>4379</x:v>
      </x:c>
      <x:c r="F1510" s="1" t="s">
        <x:v>108</x:v>
      </x:c>
      <x:c r="G1510" s="1" t="s">
        <x:v>109</x:v>
      </x:c>
      <x:c r="H1510" s="1" t="s">
        <x:v>4339</x:v>
      </x:c>
      <x:c r="I1510" s="1" t="s">
        <x:v>4340</x:v>
      </x:c>
      <x:c r="J1510" s="1" t="s">
        <x:v>4341</x:v>
      </x:c>
      <x:c r="K1510" s="1" t="s">
        <x:v>4377</x:v>
      </x:c>
      <x:c r="L1510" s="1" t="s">
        <x:v>4377</x:v>
      </x:c>
      <x:c r="N1510" s="1" t="n">
        <x:v>5</x:v>
      </x:c>
      <x:c r="O1510" s="1" t="s">
        <x:v>1204</x:v>
      </x:c>
      <x:c r="P1510" s="1" t="s">
        <x:v>115</x:v>
      </x:c>
      <x:c r="Q1510" s="1" t="s">
        <x:v>45</x:v>
      </x:c>
      <x:c r="T1510" s="1" t="s">
        <x:v>27</x:v>
      </x:c>
      <x:c r="U1510" s="1" t="s">
        <x:v>3474</x:v>
      </x:c>
      <x:c r="V1510" s="1" t="s">
        <x:v>4342</x:v>
      </x:c>
    </x:row>
    <x:row r="1511" ht="15" hidden="0" customHeight="1">
      <x:c r="A1511" s="1" t="s">
        <x:v>4380</x:v>
      </x:c>
      <x:c r="B1511" s="1" t="s">
        <x:v>4336</x:v>
      </x:c>
      <x:c r="C1511" s="1" t="s">
        <x:v>4337</x:v>
      </x:c>
      <x:c r="D1511" s="1" t="s">
        <x:v>4381</x:v>
      </x:c>
      <x:c r="E1511" s="1" t="s">
        <x:v>4382</x:v>
      </x:c>
      <x:c r="F1511" s="1" t="s">
        <x:v>108</x:v>
      </x:c>
      <x:c r="G1511" s="1" t="s">
        <x:v>109</x:v>
      </x:c>
      <x:c r="H1511" s="1" t="s">
        <x:v>4339</x:v>
      </x:c>
      <x:c r="I1511" s="1" t="s">
        <x:v>4340</x:v>
      </x:c>
      <x:c r="J1511" s="1" t="s">
        <x:v>4341</x:v>
      </x:c>
      <x:c r="K1511" s="1" t="s">
        <x:v>4377</x:v>
      </x:c>
      <x:c r="L1511" s="1" t="s">
        <x:v>4377</x:v>
      </x:c>
      <x:c r="N1511" s="1" t="n">
        <x:v>5</x:v>
      </x:c>
      <x:c r="O1511" s="1" t="s">
        <x:v>1204</x:v>
      </x:c>
      <x:c r="P1511" s="1" t="s">
        <x:v>115</x:v>
      </x:c>
      <x:c r="Q1511" s="1" t="s">
        <x:v>45</x:v>
      </x:c>
      <x:c r="T1511" s="1" t="s">
        <x:v>27</x:v>
      </x:c>
      <x:c r="U1511" s="1" t="s">
        <x:v>3474</x:v>
      </x:c>
      <x:c r="V1511" s="1" t="s">
        <x:v>4342</x:v>
      </x:c>
    </x:row>
    <x:row r="1512" ht="15" hidden="0" customHeight="1">
      <x:c r="A1512" s="1" t="s">
        <x:v>4383</x:v>
      </x:c>
      <x:c r="B1512" s="1" t="s">
        <x:v>4336</x:v>
      </x:c>
      <x:c r="C1512" s="1" t="s">
        <x:v>4384</x:v>
      </x:c>
      <x:c r="D1512" s="1" t="s">
        <x:v>2671</x:v>
      </x:c>
      <x:c r="E1512" s="1" t="s">
        <x:v>4385</x:v>
      </x:c>
      <x:c r="F1512" s="1" t="s">
        <x:v>108</x:v>
      </x:c>
      <x:c r="G1512" s="1" t="s">
        <x:v>109</x:v>
      </x:c>
      <x:c r="H1512" s="1" t="s">
        <x:v>4339</x:v>
      </x:c>
      <x:c r="I1512" s="1" t="s">
        <x:v>4340</x:v>
      </x:c>
      <x:c r="J1512" s="1" t="s">
        <x:v>4341</x:v>
      </x:c>
      <x:c r="K1512" s="1" t="s">
        <x:v>4377</x:v>
      </x:c>
      <x:c r="L1512" s="1" t="s">
        <x:v>4377</x:v>
      </x:c>
      <x:c r="N1512" s="1" t="n">
        <x:v>5</x:v>
      </x:c>
      <x:c r="O1512" s="1" t="s">
        <x:v>1204</x:v>
      </x:c>
      <x:c r="P1512" s="1" t="s">
        <x:v>115</x:v>
      </x:c>
      <x:c r="Q1512" s="1" t="s">
        <x:v>45</x:v>
      </x:c>
      <x:c r="T1512" s="1" t="s">
        <x:v>27</x:v>
      </x:c>
      <x:c r="U1512" s="1" t="s">
        <x:v>3474</x:v>
      </x:c>
      <x:c r="V1512" s="1" t="s">
        <x:v>4342</x:v>
      </x:c>
    </x:row>
    <x:row r="1513" ht="15" hidden="0" customHeight="1">
      <x:c r="A1513" s="1" t="s">
        <x:v>4386</x:v>
      </x:c>
      <x:c r="B1513" s="1" t="s">
        <x:v>4336</x:v>
      </x:c>
      <x:c r="C1513" s="1" t="s">
        <x:v>4337</x:v>
      </x:c>
      <x:c r="D1513" s="1" t="s">
        <x:v>4387</x:v>
      </x:c>
      <x:c r="E1513" s="1" t="s">
        <x:v>4388</x:v>
      </x:c>
      <x:c r="F1513" s="1" t="s">
        <x:v>108</x:v>
      </x:c>
      <x:c r="G1513" s="1" t="s">
        <x:v>109</x:v>
      </x:c>
      <x:c r="H1513" s="1" t="s">
        <x:v>4339</x:v>
      </x:c>
      <x:c r="I1513" s="1" t="s">
        <x:v>4340</x:v>
      </x:c>
      <x:c r="J1513" s="1" t="s">
        <x:v>4341</x:v>
      </x:c>
      <x:c r="K1513" s="1" t="s">
        <x:v>4389</x:v>
      </x:c>
      <x:c r="L1513" s="1" t="s">
        <x:v>4389</x:v>
      </x:c>
      <x:c r="N1513" s="1" t="n">
        <x:v>5</x:v>
      </x:c>
      <x:c r="O1513" s="1" t="s">
        <x:v>1204</x:v>
      </x:c>
      <x:c r="P1513" s="1" t="s">
        <x:v>115</x:v>
      </x:c>
      <x:c r="Q1513" s="1" t="s">
        <x:v>45</x:v>
      </x:c>
      <x:c r="T1513" s="1" t="s">
        <x:v>27</x:v>
      </x:c>
      <x:c r="U1513" s="1" t="s">
        <x:v>3474</x:v>
      </x:c>
      <x:c r="V1513" s="1" t="s">
        <x:v>4342</x:v>
      </x:c>
    </x:row>
    <x:row r="1514" ht="15" hidden="0" customHeight="1">
      <x:c r="A1514" s="1" t="s">
        <x:v>4390</x:v>
      </x:c>
      <x:c r="B1514" s="1" t="s">
        <x:v>4336</x:v>
      </x:c>
      <x:c r="C1514" s="1" t="s">
        <x:v>4337</x:v>
      </x:c>
      <x:c r="D1514" s="1" t="s">
        <x:v>4391</x:v>
      </x:c>
      <x:c r="E1514" s="1" t="s">
        <x:v>4392</x:v>
      </x:c>
      <x:c r="F1514" s="1" t="s">
        <x:v>108</x:v>
      </x:c>
      <x:c r="G1514" s="1" t="s">
        <x:v>109</x:v>
      </x:c>
      <x:c r="H1514" s="1" t="s">
        <x:v>4339</x:v>
      </x:c>
      <x:c r="I1514" s="1" t="s">
        <x:v>4340</x:v>
      </x:c>
      <x:c r="J1514" s="1" t="s">
        <x:v>4341</x:v>
      </x:c>
      <x:c r="K1514" s="1" t="s">
        <x:v>4393</x:v>
      </x:c>
      <x:c r="L1514" s="1" t="s">
        <x:v>4393</x:v>
      </x:c>
      <x:c r="N1514" s="1" t="n">
        <x:v>5</x:v>
      </x:c>
      <x:c r="O1514" s="1" t="s">
        <x:v>1204</x:v>
      </x:c>
      <x:c r="P1514" s="1" t="s">
        <x:v>115</x:v>
      </x:c>
      <x:c r="Q1514" s="1" t="s">
        <x:v>45</x:v>
      </x:c>
      <x:c r="T1514" s="1" t="s">
        <x:v>27</x:v>
      </x:c>
      <x:c r="U1514" s="1" t="s">
        <x:v>3474</x:v>
      </x:c>
      <x:c r="V1514" s="1" t="s">
        <x:v>4342</x:v>
      </x:c>
    </x:row>
    <x:row r="1515" ht="15" hidden="0" customHeight="1">
      <x:c r="A1515" s="1" t="s">
        <x:v>4394</x:v>
      </x:c>
      <x:c r="B1515" s="1" t="s">
        <x:v>4336</x:v>
      </x:c>
      <x:c r="C1515" s="1" t="s">
        <x:v>4337</x:v>
      </x:c>
      <x:c r="D1515" s="1" t="s">
        <x:v>4395</x:v>
      </x:c>
      <x:c r="E1515" s="1" t="s">
        <x:v>4396</x:v>
      </x:c>
      <x:c r="F1515" s="1" t="s">
        <x:v>108</x:v>
      </x:c>
      <x:c r="G1515" s="1" t="s">
        <x:v>109</x:v>
      </x:c>
      <x:c r="H1515" s="1" t="s">
        <x:v>4339</x:v>
      </x:c>
      <x:c r="I1515" s="1" t="s">
        <x:v>4340</x:v>
      </x:c>
      <x:c r="J1515" s="1" t="s">
        <x:v>4341</x:v>
      </x:c>
      <x:c r="K1515" s="1" t="s">
        <x:v>4393</x:v>
      </x:c>
      <x:c r="L1515" s="1" t="s">
        <x:v>4393</x:v>
      </x:c>
      <x:c r="N1515" s="1" t="n">
        <x:v>5</x:v>
      </x:c>
      <x:c r="O1515" s="1" t="s">
        <x:v>1204</x:v>
      </x:c>
      <x:c r="P1515" s="1" t="s">
        <x:v>115</x:v>
      </x:c>
      <x:c r="Q1515" s="1" t="s">
        <x:v>45</x:v>
      </x:c>
      <x:c r="T1515" s="1" t="s">
        <x:v>27</x:v>
      </x:c>
      <x:c r="U1515" s="1" t="s">
        <x:v>3474</x:v>
      </x:c>
      <x:c r="V1515" s="1" t="s">
        <x:v>4342</x:v>
      </x:c>
    </x:row>
    <x:row r="1516" ht="15" hidden="0" customHeight="1">
      <x:c r="A1516" s="1" t="s">
        <x:v>4397</x:v>
      </x:c>
      <x:c r="B1516" s="1" t="s">
        <x:v>4336</x:v>
      </x:c>
      <x:c r="C1516" s="1" t="s">
        <x:v>4337</x:v>
      </x:c>
      <x:c r="D1516" s="1" t="s">
        <x:v>3700</x:v>
      </x:c>
      <x:c r="E1516" s="1" t="s">
        <x:v>4398</x:v>
      </x:c>
      <x:c r="F1516" s="1" t="s">
        <x:v>108</x:v>
      </x:c>
      <x:c r="G1516" s="1" t="s">
        <x:v>109</x:v>
      </x:c>
      <x:c r="H1516" s="1" t="s">
        <x:v>4339</x:v>
      </x:c>
      <x:c r="I1516" s="1" t="s">
        <x:v>4340</x:v>
      </x:c>
      <x:c r="J1516" s="1" t="s">
        <x:v>4341</x:v>
      </x:c>
      <x:c r="K1516" s="1" t="s">
        <x:v>4389</x:v>
      </x:c>
      <x:c r="L1516" s="1" t="s">
        <x:v>4389</x:v>
      </x:c>
      <x:c r="N1516" s="1" t="n">
        <x:v>5</x:v>
      </x:c>
      <x:c r="O1516" s="1" t="s">
        <x:v>1204</x:v>
      </x:c>
      <x:c r="P1516" s="1" t="s">
        <x:v>115</x:v>
      </x:c>
      <x:c r="Q1516" s="1" t="s">
        <x:v>45</x:v>
      </x:c>
      <x:c r="T1516" s="1" t="s">
        <x:v>27</x:v>
      </x:c>
      <x:c r="U1516" s="1" t="s">
        <x:v>3474</x:v>
      </x:c>
      <x:c r="V1516" s="1" t="s">
        <x:v>4342</x:v>
      </x:c>
    </x:row>
    <x:row r="1517" ht="15" hidden="0" customHeight="1">
      <x:c r="A1517" s="1" t="s">
        <x:v>4399</x:v>
      </x:c>
      <x:c r="B1517" s="1" t="s">
        <x:v>4336</x:v>
      </x:c>
      <x:c r="C1517" s="1" t="s">
        <x:v>4337</x:v>
      </x:c>
      <x:c r="D1517" s="1" t="s">
        <x:v>227</x:v>
      </x:c>
      <x:c r="E1517" s="1" t="s">
        <x:v>4400</x:v>
      </x:c>
      <x:c r="F1517" s="1" t="s">
        <x:v>108</x:v>
      </x:c>
      <x:c r="G1517" s="1" t="s">
        <x:v>109</x:v>
      </x:c>
      <x:c r="H1517" s="1" t="s">
        <x:v>4339</x:v>
      </x:c>
      <x:c r="I1517" s="1" t="s">
        <x:v>4340</x:v>
      </x:c>
      <x:c r="J1517" s="1" t="s">
        <x:v>4341</x:v>
      </x:c>
      <x:c r="K1517" s="1" t="s">
        <x:v>4393</x:v>
      </x:c>
      <x:c r="L1517" s="1" t="s">
        <x:v>4393</x:v>
      </x:c>
      <x:c r="N1517" s="1" t="n">
        <x:v>5</x:v>
      </x:c>
      <x:c r="O1517" s="1" t="s">
        <x:v>1204</x:v>
      </x:c>
      <x:c r="P1517" s="1" t="s">
        <x:v>115</x:v>
      </x:c>
      <x:c r="Q1517" s="1" t="s">
        <x:v>45</x:v>
      </x:c>
      <x:c r="T1517" s="1" t="s">
        <x:v>27</x:v>
      </x:c>
      <x:c r="U1517" s="1" t="s">
        <x:v>3474</x:v>
      </x:c>
      <x:c r="V1517" s="1" t="s">
        <x:v>4342</x:v>
      </x:c>
    </x:row>
    <x:row r="1518" ht="15" hidden="0" customHeight="1">
      <x:c r="A1518" s="1" t="s">
        <x:v>4401</x:v>
      </x:c>
      <x:c r="B1518" s="1" t="s">
        <x:v>4336</x:v>
      </x:c>
      <x:c r="C1518" s="1" t="s">
        <x:v>4337</x:v>
      </x:c>
      <x:c r="D1518" s="1" t="s">
        <x:v>4402</x:v>
      </x:c>
      <x:c r="E1518" s="1" t="s">
        <x:v>4403</x:v>
      </x:c>
      <x:c r="F1518" s="1" t="s">
        <x:v>108</x:v>
      </x:c>
      <x:c r="G1518" s="1" t="s">
        <x:v>109</x:v>
      </x:c>
      <x:c r="H1518" s="1" t="s">
        <x:v>4339</x:v>
      </x:c>
      <x:c r="I1518" s="1" t="s">
        <x:v>4340</x:v>
      </x:c>
      <x:c r="J1518" s="1" t="s">
        <x:v>4341</x:v>
      </x:c>
      <x:c r="K1518" s="1" t="s">
        <x:v>4404</x:v>
      </x:c>
      <x:c r="L1518" s="1" t="s">
        <x:v>4404</x:v>
      </x:c>
      <x:c r="N1518" s="1" t="n">
        <x:v>6</x:v>
      </x:c>
      <x:c r="O1518" s="1" t="s">
        <x:v>1204</x:v>
      </x:c>
      <x:c r="P1518" s="1" t="s">
        <x:v>115</x:v>
      </x:c>
      <x:c r="Q1518" s="1" t="s">
        <x:v>45</x:v>
      </x:c>
      <x:c r="T1518" s="1" t="s">
        <x:v>27</x:v>
      </x:c>
      <x:c r="U1518" s="1" t="s">
        <x:v>3474</x:v>
      </x:c>
      <x:c r="V1518" s="1" t="s">
        <x:v>4342</x:v>
      </x:c>
    </x:row>
    <x:row r="1519" ht="15" hidden="0" customHeight="1">
      <x:c r="A1519" s="1" t="s">
        <x:v>4405</x:v>
      </x:c>
      <x:c r="B1519" s="1" t="s">
        <x:v>4336</x:v>
      </x:c>
      <x:c r="C1519" s="1" t="s">
        <x:v>4337</x:v>
      </x:c>
      <x:c r="D1519" s="1" t="s">
        <x:v>4406</x:v>
      </x:c>
      <x:c r="E1519" s="1" t="s">
        <x:v>4407</x:v>
      </x:c>
      <x:c r="F1519" s="1" t="s">
        <x:v>108</x:v>
      </x:c>
      <x:c r="G1519" s="1" t="s">
        <x:v>109</x:v>
      </x:c>
      <x:c r="H1519" s="1" t="s">
        <x:v>4339</x:v>
      </x:c>
      <x:c r="I1519" s="1" t="s">
        <x:v>4340</x:v>
      </x:c>
      <x:c r="J1519" s="1" t="s">
        <x:v>4341</x:v>
      </x:c>
      <x:c r="K1519" s="1" t="s">
        <x:v>4408</x:v>
      </x:c>
      <x:c r="L1519" s="1" t="s">
        <x:v>4408</x:v>
      </x:c>
      <x:c r="N1519" s="1" t="n">
        <x:v>6</x:v>
      </x:c>
      <x:c r="O1519" s="1" t="s">
        <x:v>1204</x:v>
      </x:c>
      <x:c r="P1519" s="1" t="s">
        <x:v>115</x:v>
      </x:c>
      <x:c r="Q1519" s="1" t="s">
        <x:v>45</x:v>
      </x:c>
      <x:c r="T1519" s="1" t="s">
        <x:v>27</x:v>
      </x:c>
      <x:c r="U1519" s="1" t="s">
        <x:v>3474</x:v>
      </x:c>
      <x:c r="V1519" s="1" t="s">
        <x:v>4342</x:v>
      </x:c>
    </x:row>
    <x:row r="1520" ht="15" hidden="0" customHeight="1">
      <x:c r="A1520" s="1" t="s">
        <x:v>4409</x:v>
      </x:c>
      <x:c r="B1520" s="1" t="s">
        <x:v>4336</x:v>
      </x:c>
      <x:c r="C1520" s="1" t="s">
        <x:v>4337</x:v>
      </x:c>
      <x:c r="D1520" s="1" t="s">
        <x:v>4410</x:v>
      </x:c>
      <x:c r="E1520" s="1" t="s">
        <x:v>4411</x:v>
      </x:c>
      <x:c r="F1520" s="1" t="s">
        <x:v>108</x:v>
      </x:c>
      <x:c r="G1520" s="1" t="s">
        <x:v>109</x:v>
      </x:c>
      <x:c r="H1520" s="1" t="s">
        <x:v>4339</x:v>
      </x:c>
      <x:c r="I1520" s="1" t="s">
        <x:v>4340</x:v>
      </x:c>
      <x:c r="J1520" s="1" t="s">
        <x:v>4341</x:v>
      </x:c>
      <x:c r="K1520" s="1" t="s">
        <x:v>4393</x:v>
      </x:c>
      <x:c r="L1520" s="1" t="s">
        <x:v>4393</x:v>
      </x:c>
      <x:c r="N1520" s="1" t="n">
        <x:v>5</x:v>
      </x:c>
      <x:c r="O1520" s="1" t="s">
        <x:v>1204</x:v>
      </x:c>
      <x:c r="P1520" s="1" t="s">
        <x:v>115</x:v>
      </x:c>
      <x:c r="Q1520" s="1" t="s">
        <x:v>45</x:v>
      </x:c>
      <x:c r="T1520" s="1" t="s">
        <x:v>27</x:v>
      </x:c>
      <x:c r="U1520" s="1" t="s">
        <x:v>3474</x:v>
      </x:c>
      <x:c r="V1520" s="1" t="s">
        <x:v>4342</x:v>
      </x:c>
    </x:row>
    <x:row r="1521" ht="15" hidden="0" customHeight="1">
      <x:c r="A1521" s="1" t="s">
        <x:v>4412</x:v>
      </x:c>
      <x:c r="B1521" s="1" t="s">
        <x:v>4336</x:v>
      </x:c>
      <x:c r="C1521" s="1" t="s">
        <x:v>4384</x:v>
      </x:c>
      <x:c r="D1521" s="1" t="s">
        <x:v>3703</x:v>
      </x:c>
      <x:c r="E1521" s="1" t="s">
        <x:v>4413</x:v>
      </x:c>
      <x:c r="F1521" s="1" t="s">
        <x:v>108</x:v>
      </x:c>
      <x:c r="G1521" s="1" t="s">
        <x:v>109</x:v>
      </x:c>
      <x:c r="H1521" s="1" t="s">
        <x:v>4339</x:v>
      </x:c>
      <x:c r="I1521" s="1" t="s">
        <x:v>4340</x:v>
      </x:c>
      <x:c r="J1521" s="1" t="s">
        <x:v>4341</x:v>
      </x:c>
      <x:c r="K1521" s="1" t="s">
        <x:v>4393</x:v>
      </x:c>
      <x:c r="L1521" s="1" t="s">
        <x:v>4393</x:v>
      </x:c>
      <x:c r="N1521" s="1" t="n">
        <x:v>5</x:v>
      </x:c>
      <x:c r="O1521" s="1" t="s">
        <x:v>1204</x:v>
      </x:c>
      <x:c r="P1521" s="1" t="s">
        <x:v>115</x:v>
      </x:c>
      <x:c r="Q1521" s="1" t="s">
        <x:v>45</x:v>
      </x:c>
      <x:c r="T1521" s="1" t="s">
        <x:v>27</x:v>
      </x:c>
      <x:c r="U1521" s="1" t="s">
        <x:v>3474</x:v>
      </x:c>
      <x:c r="V1521" s="1" t="s">
        <x:v>4342</x:v>
      </x:c>
    </x:row>
    <x:row r="1522" ht="15" hidden="0" customHeight="1">
      <x:c r="A1522" s="1" t="s">
        <x:v>4414</x:v>
      </x:c>
      <x:c r="B1522" s="1" t="s">
        <x:v>4336</x:v>
      </x:c>
      <x:c r="C1522" s="1" t="s">
        <x:v>4415</x:v>
      </x:c>
      <x:c r="D1522" s="1" t="s">
        <x:v>4416</x:v>
      </x:c>
      <x:c r="E1522" s="1" t="s">
        <x:v>4417</x:v>
      </x:c>
      <x:c r="F1522" s="1" t="s">
        <x:v>108</x:v>
      </x:c>
      <x:c r="G1522" s="1" t="s">
        <x:v>109</x:v>
      </x:c>
      <x:c r="H1522" s="1" t="s">
        <x:v>4339</x:v>
      </x:c>
      <x:c r="I1522" s="1" t="s">
        <x:v>4340</x:v>
      </x:c>
      <x:c r="J1522" s="1" t="s">
        <x:v>4341</x:v>
      </x:c>
      <x:c r="K1522" s="1" t="s">
        <x:v>4393</x:v>
      </x:c>
      <x:c r="L1522" s="1" t="s">
        <x:v>4393</x:v>
      </x:c>
      <x:c r="N1522" s="1" t="n">
        <x:v>5</x:v>
      </x:c>
      <x:c r="O1522" s="1" t="s">
        <x:v>1204</x:v>
      </x:c>
      <x:c r="P1522" s="1" t="s">
        <x:v>115</x:v>
      </x:c>
      <x:c r="Q1522" s="1" t="s">
        <x:v>45</x:v>
      </x:c>
      <x:c r="R1522" s="1" t="s">
        <x:v>4418</x:v>
      </x:c>
      <x:c r="T1522" s="1" t="s">
        <x:v>27</x:v>
      </x:c>
      <x:c r="U1522" s="1" t="s">
        <x:v>3474</x:v>
      </x:c>
      <x:c r="V1522" s="1" t="s">
        <x:v>4342</x:v>
      </x:c>
    </x:row>
    <x:row r="1523" ht="15" hidden="0" customHeight="1">
      <x:c r="A1523" s="1" t="s">
        <x:v>4419</x:v>
      </x:c>
      <x:c r="B1523" s="1" t="s">
        <x:v>4336</x:v>
      </x:c>
      <x:c r="C1523" s="1" t="s">
        <x:v>4384</x:v>
      </x:c>
      <x:c r="D1523" s="1" t="s">
        <x:v>164</x:v>
      </x:c>
      <x:c r="E1523" s="1" t="s">
        <x:v>4420</x:v>
      </x:c>
      <x:c r="F1523" s="1" t="s">
        <x:v>108</x:v>
      </x:c>
      <x:c r="G1523" s="1" t="s">
        <x:v>109</x:v>
      </x:c>
      <x:c r="H1523" s="1" t="s">
        <x:v>4339</x:v>
      </x:c>
      <x:c r="I1523" s="1" t="s">
        <x:v>4340</x:v>
      </x:c>
      <x:c r="J1523" s="1" t="s">
        <x:v>4341</x:v>
      </x:c>
      <x:c r="K1523" s="1" t="s">
        <x:v>4421</x:v>
      </x:c>
      <x:c r="L1523" s="1" t="s">
        <x:v>4421</x:v>
      </x:c>
      <x:c r="N1523" s="1" t="n">
        <x:v>6</x:v>
      </x:c>
      <x:c r="O1523" s="1" t="s">
        <x:v>1204</x:v>
      </x:c>
      <x:c r="P1523" s="1" t="s">
        <x:v>115</x:v>
      </x:c>
      <x:c r="Q1523" s="1" t="s">
        <x:v>45</x:v>
      </x:c>
      <x:c r="T1523" s="1" t="s">
        <x:v>27</x:v>
      </x:c>
      <x:c r="U1523" s="1" t="s">
        <x:v>3474</x:v>
      </x:c>
      <x:c r="V1523" s="1" t="s">
        <x:v>4342</x:v>
      </x:c>
    </x:row>
    <x:row r="1524" ht="15" hidden="0" customHeight="1">
      <x:c r="A1524" s="1" t="s">
        <x:v>4422</x:v>
      </x:c>
      <x:c r="B1524" s="1" t="s">
        <x:v>4336</x:v>
      </x:c>
      <x:c r="C1524" s="1" t="s">
        <x:v>4384</x:v>
      </x:c>
      <x:c r="D1524" s="1" t="s">
        <x:v>318</x:v>
      </x:c>
      <x:c r="E1524" s="1" t="s">
        <x:v>4423</x:v>
      </x:c>
      <x:c r="F1524" s="1" t="s">
        <x:v>108</x:v>
      </x:c>
      <x:c r="G1524" s="1" t="s">
        <x:v>109</x:v>
      </x:c>
      <x:c r="H1524" s="1" t="s">
        <x:v>4339</x:v>
      </x:c>
      <x:c r="I1524" s="1" t="s">
        <x:v>4340</x:v>
      </x:c>
      <x:c r="J1524" s="1" t="s">
        <x:v>4341</x:v>
      </x:c>
      <x:c r="K1524" s="1" t="s">
        <x:v>4421</x:v>
      </x:c>
      <x:c r="L1524" s="1" t="s">
        <x:v>4421</x:v>
      </x:c>
      <x:c r="N1524" s="1" t="n">
        <x:v>6</x:v>
      </x:c>
      <x:c r="O1524" s="1" t="s">
        <x:v>1204</x:v>
      </x:c>
      <x:c r="P1524" s="1" t="s">
        <x:v>115</x:v>
      </x:c>
      <x:c r="Q1524" s="1" t="s">
        <x:v>45</x:v>
      </x:c>
      <x:c r="T1524" s="1" t="s">
        <x:v>27</x:v>
      </x:c>
      <x:c r="U1524" s="1" t="s">
        <x:v>3474</x:v>
      </x:c>
      <x:c r="V1524" s="1" t="s">
        <x:v>4342</x:v>
      </x:c>
    </x:row>
    <x:row r="1525" ht="15" hidden="0" customHeight="1">
      <x:c r="A1525" s="1" t="s">
        <x:v>4424</x:v>
      </x:c>
      <x:c r="B1525" s="1" t="s">
        <x:v>4336</x:v>
      </x:c>
      <x:c r="C1525" s="1" t="s">
        <x:v>4384</x:v>
      </x:c>
      <x:c r="D1525" s="1" t="s">
        <x:v>167</x:v>
      </x:c>
      <x:c r="E1525" s="1" t="s">
        <x:v>4425</x:v>
      </x:c>
      <x:c r="F1525" s="1" t="s">
        <x:v>108</x:v>
      </x:c>
      <x:c r="G1525" s="1" t="s">
        <x:v>109</x:v>
      </x:c>
      <x:c r="H1525" s="1" t="s">
        <x:v>4339</x:v>
      </x:c>
      <x:c r="I1525" s="1" t="s">
        <x:v>4340</x:v>
      </x:c>
      <x:c r="J1525" s="1" t="s">
        <x:v>4341</x:v>
      </x:c>
      <x:c r="K1525" s="1" t="s">
        <x:v>4421</x:v>
      </x:c>
      <x:c r="L1525" s="1" t="s">
        <x:v>4421</x:v>
      </x:c>
      <x:c r="N1525" s="1" t="n">
        <x:v>6</x:v>
      </x:c>
      <x:c r="O1525" s="1" t="s">
        <x:v>1204</x:v>
      </x:c>
      <x:c r="P1525" s="1" t="s">
        <x:v>115</x:v>
      </x:c>
      <x:c r="Q1525" s="1" t="s">
        <x:v>45</x:v>
      </x:c>
      <x:c r="T1525" s="1" t="s">
        <x:v>27</x:v>
      </x:c>
      <x:c r="U1525" s="1" t="s">
        <x:v>3474</x:v>
      </x:c>
      <x:c r="V1525" s="1" t="s">
        <x:v>4342</x:v>
      </x:c>
    </x:row>
    <x:row r="1526" ht="15" hidden="0" customHeight="1">
      <x:c r="A1526" s="1" t="s">
        <x:v>4426</x:v>
      </x:c>
      <x:c r="B1526" s="1" t="s">
        <x:v>4336</x:v>
      </x:c>
      <x:c r="C1526" s="1" t="s">
        <x:v>4384</x:v>
      </x:c>
      <x:c r="D1526" s="1" t="s">
        <x:v>170</x:v>
      </x:c>
      <x:c r="E1526" s="1" t="s">
        <x:v>4427</x:v>
      </x:c>
      <x:c r="F1526" s="1" t="s">
        <x:v>108</x:v>
      </x:c>
      <x:c r="G1526" s="1" t="s">
        <x:v>109</x:v>
      </x:c>
      <x:c r="H1526" s="1" t="s">
        <x:v>4339</x:v>
      </x:c>
      <x:c r="I1526" s="1" t="s">
        <x:v>4340</x:v>
      </x:c>
      <x:c r="J1526" s="1" t="s">
        <x:v>4341</x:v>
      </x:c>
      <x:c r="K1526" s="1" t="s">
        <x:v>4421</x:v>
      </x:c>
      <x:c r="L1526" s="1" t="s">
        <x:v>4421</x:v>
      </x:c>
      <x:c r="N1526" s="1" t="n">
        <x:v>6</x:v>
      </x:c>
      <x:c r="O1526" s="1" t="s">
        <x:v>1204</x:v>
      </x:c>
      <x:c r="P1526" s="1" t="s">
        <x:v>115</x:v>
      </x:c>
      <x:c r="Q1526" s="1" t="s">
        <x:v>45</x:v>
      </x:c>
      <x:c r="T1526" s="1" t="s">
        <x:v>27</x:v>
      </x:c>
      <x:c r="U1526" s="1" t="s">
        <x:v>3474</x:v>
      </x:c>
      <x:c r="V1526" s="1" t="s">
        <x:v>4342</x:v>
      </x:c>
    </x:row>
    <x:row r="1527" ht="15" hidden="0" customHeight="1">
      <x:c r="A1527" s="1" t="s">
        <x:v>4428</x:v>
      </x:c>
      <x:c r="B1527" s="1" t="s">
        <x:v>4336</x:v>
      </x:c>
      <x:c r="C1527" s="1" t="s">
        <x:v>4415</x:v>
      </x:c>
      <x:c r="D1527" s="1" t="s">
        <x:v>170</x:v>
      </x:c>
      <x:c r="E1527" s="1" t="s">
        <x:v>4429</x:v>
      </x:c>
      <x:c r="F1527" s="1" t="s">
        <x:v>108</x:v>
      </x:c>
      <x:c r="G1527" s="1" t="s">
        <x:v>109</x:v>
      </x:c>
      <x:c r="H1527" s="1" t="s">
        <x:v>4339</x:v>
      </x:c>
      <x:c r="I1527" s="1" t="s">
        <x:v>4340</x:v>
      </x:c>
      <x:c r="J1527" s="1" t="s">
        <x:v>4341</x:v>
      </x:c>
      <x:c r="K1527" s="1" t="s">
        <x:v>4421</x:v>
      </x:c>
      <x:c r="L1527" s="1" t="s">
        <x:v>4421</x:v>
      </x:c>
      <x:c r="N1527" s="1" t="n">
        <x:v>6</x:v>
      </x:c>
      <x:c r="O1527" s="1" t="s">
        <x:v>1204</x:v>
      </x:c>
      <x:c r="P1527" s="1" t="s">
        <x:v>115</x:v>
      </x:c>
      <x:c r="Q1527" s="1" t="s">
        <x:v>45</x:v>
      </x:c>
      <x:c r="T1527" s="1" t="s">
        <x:v>27</x:v>
      </x:c>
      <x:c r="U1527" s="1" t="s">
        <x:v>3474</x:v>
      </x:c>
      <x:c r="V1527" s="1" t="s">
        <x:v>4342</x:v>
      </x:c>
    </x:row>
    <x:row r="1528" ht="15" hidden="0" customHeight="1">
      <x:c r="A1528" s="1" t="s">
        <x:v>4430</x:v>
      </x:c>
      <x:c r="B1528" s="1" t="s">
        <x:v>4336</x:v>
      </x:c>
      <x:c r="C1528" s="1" t="s">
        <x:v>4337</x:v>
      </x:c>
      <x:c r="D1528" s="1" t="s">
        <x:v>1864</x:v>
      </x:c>
      <x:c r="E1528" s="1" t="s">
        <x:v>4431</x:v>
      </x:c>
      <x:c r="F1528" s="1" t="s">
        <x:v>108</x:v>
      </x:c>
      <x:c r="G1528" s="1" t="s">
        <x:v>109</x:v>
      </x:c>
      <x:c r="H1528" s="1" t="s">
        <x:v>4339</x:v>
      </x:c>
      <x:c r="I1528" s="1" t="s">
        <x:v>4340</x:v>
      </x:c>
      <x:c r="J1528" s="1" t="s">
        <x:v>4341</x:v>
      </x:c>
      <x:c r="K1528" s="1" t="s">
        <x:v>4421</x:v>
      </x:c>
      <x:c r="L1528" s="1" t="s">
        <x:v>4421</x:v>
      </x:c>
      <x:c r="N1528" s="1" t="n">
        <x:v>6</x:v>
      </x:c>
      <x:c r="O1528" s="1" t="s">
        <x:v>1204</x:v>
      </x:c>
      <x:c r="P1528" s="1" t="s">
        <x:v>115</x:v>
      </x:c>
      <x:c r="Q1528" s="1" t="s">
        <x:v>45</x:v>
      </x:c>
      <x:c r="T1528" s="1" t="s">
        <x:v>27</x:v>
      </x:c>
      <x:c r="U1528" s="1" t="s">
        <x:v>3474</x:v>
      </x:c>
      <x:c r="V1528" s="1" t="s">
        <x:v>4342</x:v>
      </x:c>
    </x:row>
    <x:row r="1529" ht="15" hidden="0" customHeight="1">
      <x:c r="A1529" s="1" t="s">
        <x:v>4432</x:v>
      </x:c>
      <x:c r="B1529" s="1" t="s">
        <x:v>4336</x:v>
      </x:c>
      <x:c r="C1529" s="1" t="s">
        <x:v>4337</x:v>
      </x:c>
      <x:c r="D1529" s="1" t="s">
        <x:v>1889</x:v>
      </x:c>
      <x:c r="E1529" s="1" t="s">
        <x:v>4433</x:v>
      </x:c>
      <x:c r="F1529" s="1" t="s">
        <x:v>108</x:v>
      </x:c>
      <x:c r="G1529" s="1" t="s">
        <x:v>109</x:v>
      </x:c>
      <x:c r="H1529" s="1" t="s">
        <x:v>4339</x:v>
      </x:c>
      <x:c r="I1529" s="1" t="s">
        <x:v>4340</x:v>
      </x:c>
      <x:c r="J1529" s="1" t="s">
        <x:v>4341</x:v>
      </x:c>
      <x:c r="K1529" s="1" t="s">
        <x:v>4421</x:v>
      </x:c>
      <x:c r="L1529" s="1" t="s">
        <x:v>4421</x:v>
      </x:c>
      <x:c r="N1529" s="1" t="n">
        <x:v>6</x:v>
      </x:c>
      <x:c r="O1529" s="1" t="s">
        <x:v>1204</x:v>
      </x:c>
      <x:c r="P1529" s="1" t="s">
        <x:v>115</x:v>
      </x:c>
      <x:c r="Q1529" s="1" t="s">
        <x:v>45</x:v>
      </x:c>
      <x:c r="R1529" s="1" t="s">
        <x:v>4434</x:v>
      </x:c>
      <x:c r="T1529" s="1" t="s">
        <x:v>27</x:v>
      </x:c>
      <x:c r="U1529" s="1" t="s">
        <x:v>3474</x:v>
      </x:c>
      <x:c r="V1529" s="1" t="s">
        <x:v>4342</x:v>
      </x:c>
    </x:row>
    <x:row r="1530" ht="15" hidden="0" customHeight="1">
      <x:c r="A1530" s="1" t="s">
        <x:v>4435</x:v>
      </x:c>
      <x:c r="B1530" s="1" t="s">
        <x:v>4336</x:v>
      </x:c>
      <x:c r="C1530" s="1" t="s">
        <x:v>4384</x:v>
      </x:c>
      <x:c r="D1530" s="1" t="s">
        <x:v>176</x:v>
      </x:c>
      <x:c r="E1530" s="1" t="s">
        <x:v>4436</x:v>
      </x:c>
      <x:c r="F1530" s="1" t="s">
        <x:v>108</x:v>
      </x:c>
      <x:c r="G1530" s="1" t="s">
        <x:v>109</x:v>
      </x:c>
      <x:c r="H1530" s="1" t="s">
        <x:v>4339</x:v>
      </x:c>
      <x:c r="I1530" s="1" t="s">
        <x:v>4340</x:v>
      </x:c>
      <x:c r="J1530" s="1" t="s">
        <x:v>4341</x:v>
      </x:c>
      <x:c r="K1530" s="1" t="s">
        <x:v>4421</x:v>
      </x:c>
      <x:c r="L1530" s="1" t="s">
        <x:v>4421</x:v>
      </x:c>
      <x:c r="N1530" s="1" t="n">
        <x:v>6</x:v>
      </x:c>
      <x:c r="O1530" s="1" t="s">
        <x:v>1204</x:v>
      </x:c>
      <x:c r="P1530" s="1" t="s">
        <x:v>115</x:v>
      </x:c>
      <x:c r="Q1530" s="1" t="s">
        <x:v>45</x:v>
      </x:c>
      <x:c r="S1530" s="1" t="s">
        <x:v>1293</x:v>
      </x:c>
      <x:c r="T1530" s="1" t="s">
        <x:v>27</x:v>
      </x:c>
      <x:c r="U1530" s="1" t="s">
        <x:v>3474</x:v>
      </x:c>
      <x:c r="V1530" s="1" t="s">
        <x:v>4342</x:v>
      </x:c>
    </x:row>
    <x:row r="1531" ht="15" hidden="0" customHeight="1">
      <x:c r="A1531" s="1" t="s">
        <x:v>4437</x:v>
      </x:c>
      <x:c r="B1531" s="1" t="s">
        <x:v>4336</x:v>
      </x:c>
      <x:c r="C1531" s="1" t="s">
        <x:v>4415</x:v>
      </x:c>
      <x:c r="D1531" s="1" t="s">
        <x:v>176</x:v>
      </x:c>
      <x:c r="E1531" s="1" t="s">
        <x:v>4438</x:v>
      </x:c>
      <x:c r="F1531" s="1" t="s">
        <x:v>108</x:v>
      </x:c>
      <x:c r="G1531" s="1" t="s">
        <x:v>109</x:v>
      </x:c>
      <x:c r="H1531" s="1" t="s">
        <x:v>4339</x:v>
      </x:c>
      <x:c r="I1531" s="1" t="s">
        <x:v>4340</x:v>
      </x:c>
      <x:c r="J1531" s="1" t="s">
        <x:v>4341</x:v>
      </x:c>
      <x:c r="K1531" s="1" t="s">
        <x:v>4421</x:v>
      </x:c>
      <x:c r="L1531" s="1" t="s">
        <x:v>4421</x:v>
      </x:c>
      <x:c r="N1531" s="1" t="n">
        <x:v>6</x:v>
      </x:c>
      <x:c r="O1531" s="1" t="s">
        <x:v>1204</x:v>
      </x:c>
      <x:c r="P1531" s="1" t="s">
        <x:v>115</x:v>
      </x:c>
      <x:c r="Q1531" s="1" t="s">
        <x:v>45</x:v>
      </x:c>
      <x:c r="S1531" s="1" t="s">
        <x:v>1293</x:v>
      </x:c>
      <x:c r="T1531" s="1" t="s">
        <x:v>27</x:v>
      </x:c>
      <x:c r="U1531" s="1" t="s">
        <x:v>3474</x:v>
      </x:c>
      <x:c r="V1531" s="1" t="s">
        <x:v>4342</x:v>
      </x:c>
    </x:row>
    <x:row r="1532" ht="15" hidden="0" customHeight="1">
      <x:c r="A1532" s="1" t="s">
        <x:v>4439</x:v>
      </x:c>
      <x:c r="B1532" s="1" t="s">
        <x:v>4336</x:v>
      </x:c>
      <x:c r="C1532" s="1" t="s">
        <x:v>4384</x:v>
      </x:c>
      <x:c r="D1532" s="1" t="s">
        <x:v>4440</x:v>
      </x:c>
      <x:c r="E1532" s="1" t="s">
        <x:v>4441</x:v>
      </x:c>
      <x:c r="F1532" s="1" t="s">
        <x:v>108</x:v>
      </x:c>
      <x:c r="G1532" s="1" t="s">
        <x:v>109</x:v>
      </x:c>
      <x:c r="H1532" s="1" t="s">
        <x:v>4339</x:v>
      </x:c>
      <x:c r="I1532" s="1" t="s">
        <x:v>4340</x:v>
      </x:c>
      <x:c r="J1532" s="1" t="s">
        <x:v>4341</x:v>
      </x:c>
      <x:c r="K1532" s="1" t="s">
        <x:v>4442</x:v>
      </x:c>
      <x:c r="L1532" s="1" t="s">
        <x:v>4442</x:v>
      </x:c>
      <x:c r="N1532" s="1" t="n">
        <x:v>6</x:v>
      </x:c>
      <x:c r="O1532" s="1" t="s">
        <x:v>1204</x:v>
      </x:c>
      <x:c r="P1532" s="1" t="s">
        <x:v>115</x:v>
      </x:c>
      <x:c r="Q1532" s="1" t="s">
        <x:v>45</x:v>
      </x:c>
      <x:c r="T1532" s="1" t="s">
        <x:v>27</x:v>
      </x:c>
      <x:c r="U1532" s="1" t="s">
        <x:v>3474</x:v>
      </x:c>
      <x:c r="V1532" s="1" t="s">
        <x:v>4342</x:v>
      </x:c>
    </x:row>
    <x:row r="1533" ht="15" hidden="0" customHeight="1">
      <x:c r="A1533" s="1" t="s">
        <x:v>4443</x:v>
      </x:c>
      <x:c r="B1533" s="1" t="s">
        <x:v>4336</x:v>
      </x:c>
      <x:c r="C1533" s="1" t="s">
        <x:v>4415</x:v>
      </x:c>
      <x:c r="D1533" s="1" t="s">
        <x:v>4440</x:v>
      </x:c>
      <x:c r="E1533" s="1" t="s">
        <x:v>4444</x:v>
      </x:c>
      <x:c r="F1533" s="1" t="s">
        <x:v>108</x:v>
      </x:c>
      <x:c r="G1533" s="1" t="s">
        <x:v>187</x:v>
      </x:c>
      <x:c r="H1533" s="1" t="s">
        <x:v>4339</x:v>
      </x:c>
      <x:c r="I1533" s="1" t="s">
        <x:v>4340</x:v>
      </x:c>
      <x:c r="J1533" s="1" t="s">
        <x:v>4341</x:v>
      </x:c>
      <x:c r="K1533" s="1" t="s">
        <x:v>4442</x:v>
      </x:c>
      <x:c r="L1533" s="1" t="s">
        <x:v>4442</x:v>
      </x:c>
      <x:c r="N1533" s="1" t="n">
        <x:v>6</x:v>
      </x:c>
      <x:c r="O1533" s="1" t="s">
        <x:v>1204</x:v>
      </x:c>
      <x:c r="P1533" s="1" t="s">
        <x:v>115</x:v>
      </x:c>
      <x:c r="Q1533" s="1" t="s">
        <x:v>45</x:v>
      </x:c>
      <x:c r="T1533" s="1" t="s">
        <x:v>27</x:v>
      </x:c>
      <x:c r="U1533" s="1" t="s">
        <x:v>3474</x:v>
      </x:c>
      <x:c r="V1533" s="1" t="s">
        <x:v>4342</x:v>
      </x:c>
    </x:row>
    <x:row r="1534" ht="15" hidden="0" customHeight="1">
      <x:c r="A1534" s="1" t="s">
        <x:v>4445</x:v>
      </x:c>
      <x:c r="B1534" s="1" t="s">
        <x:v>4336</x:v>
      </x:c>
      <x:c r="C1534" s="1" t="s">
        <x:v>4337</x:v>
      </x:c>
      <x:c r="D1534" s="1" t="s">
        <x:v>2129</x:v>
      </x:c>
      <x:c r="E1534" s="1" t="s">
        <x:v>4446</x:v>
      </x:c>
      <x:c r="F1534" s="1" t="s">
        <x:v>108</x:v>
      </x:c>
      <x:c r="G1534" s="1" t="s">
        <x:v>109</x:v>
      </x:c>
      <x:c r="H1534" s="1" t="s">
        <x:v>4339</x:v>
      </x:c>
      <x:c r="I1534" s="1" t="s">
        <x:v>4340</x:v>
      </x:c>
      <x:c r="J1534" s="1" t="s">
        <x:v>4341</x:v>
      </x:c>
      <x:c r="K1534" s="1" t="s">
        <x:v>4447</x:v>
      </x:c>
      <x:c r="L1534" s="1" t="s">
        <x:v>4447</x:v>
      </x:c>
      <x:c r="N1534" s="1" t="n">
        <x:v>6</x:v>
      </x:c>
      <x:c r="O1534" s="1" t="s">
        <x:v>1204</x:v>
      </x:c>
      <x:c r="P1534" s="1" t="s">
        <x:v>115</x:v>
      </x:c>
      <x:c r="Q1534" s="1" t="s">
        <x:v>45</x:v>
      </x:c>
      <x:c r="T1534" s="1" t="s">
        <x:v>27</x:v>
      </x:c>
      <x:c r="U1534" s="1" t="s">
        <x:v>3474</x:v>
      </x:c>
      <x:c r="V1534" s="1" t="s">
        <x:v>4342</x:v>
      </x:c>
    </x:row>
    <x:row r="1535" ht="15" hidden="0" customHeight="1">
      <x:c r="A1535" s="1" t="s">
        <x:v>4448</x:v>
      </x:c>
      <x:c r="B1535" s="1" t="s">
        <x:v>4336</x:v>
      </x:c>
      <x:c r="C1535" s="1" t="s">
        <x:v>4337</x:v>
      </x:c>
      <x:c r="D1535" s="1" t="s">
        <x:v>4449</x:v>
      </x:c>
      <x:c r="E1535" s="1" t="s">
        <x:v>4450</x:v>
      </x:c>
      <x:c r="F1535" s="1" t="s">
        <x:v>108</x:v>
      </x:c>
      <x:c r="G1535" s="1" t="s">
        <x:v>109</x:v>
      </x:c>
      <x:c r="H1535" s="1" t="s">
        <x:v>4339</x:v>
      </x:c>
      <x:c r="I1535" s="1" t="s">
        <x:v>4340</x:v>
      </x:c>
      <x:c r="J1535" s="1" t="s">
        <x:v>4341</x:v>
      </x:c>
      <x:c r="K1535" s="1" t="s">
        <x:v>4451</x:v>
      </x:c>
      <x:c r="L1535" s="1" t="s">
        <x:v>4451</x:v>
      </x:c>
      <x:c r="N1535" s="1" t="n">
        <x:v>8</x:v>
      </x:c>
      <x:c r="O1535" s="1" t="s">
        <x:v>1204</x:v>
      </x:c>
      <x:c r="P1535" s="1" t="s">
        <x:v>115</x:v>
      </x:c>
      <x:c r="Q1535" s="1" t="s">
        <x:v>45</x:v>
      </x:c>
      <x:c r="R1535" s="1" t="s">
        <x:v>4452</x:v>
      </x:c>
      <x:c r="T1535" s="1" t="s">
        <x:v>27</x:v>
      </x:c>
      <x:c r="U1535" s="1" t="s">
        <x:v>3474</x:v>
      </x:c>
      <x:c r="V1535" s="1" t="s">
        <x:v>4342</x:v>
      </x:c>
    </x:row>
    <x:row r="1536" ht="15" hidden="0" customHeight="1">
      <x:c r="A1536" s="1" t="s">
        <x:v>4453</x:v>
      </x:c>
      <x:c r="B1536" s="1" t="s">
        <x:v>4336</x:v>
      </x:c>
      <x:c r="C1536" s="1" t="s">
        <x:v>4384</x:v>
      </x:c>
      <x:c r="D1536" s="1" t="s">
        <x:v>4454</x:v>
      </x:c>
      <x:c r="E1536" s="1" t="s">
        <x:v>4455</x:v>
      </x:c>
      <x:c r="F1536" s="1" t="s">
        <x:v>108</x:v>
      </x:c>
      <x:c r="G1536" s="1" t="s">
        <x:v>109</x:v>
      </x:c>
      <x:c r="H1536" s="1" t="s">
        <x:v>4339</x:v>
      </x:c>
      <x:c r="I1536" s="1" t="s">
        <x:v>4340</x:v>
      </x:c>
      <x:c r="J1536" s="1" t="s">
        <x:v>4341</x:v>
      </x:c>
      <x:c r="K1536" s="1" t="s">
        <x:v>4066</x:v>
      </x:c>
      <x:c r="L1536" s="1" t="s">
        <x:v>4066</x:v>
      </x:c>
      <x:c r="N1536" s="1" t="n">
        <x:v>10</x:v>
      </x:c>
      <x:c r="O1536" s="1" t="s">
        <x:v>1204</x:v>
      </x:c>
      <x:c r="P1536" s="1" t="s">
        <x:v>115</x:v>
      </x:c>
      <x:c r="Q1536" s="1" t="s">
        <x:v>45</x:v>
      </x:c>
      <x:c r="T1536" s="1" t="s">
        <x:v>27</x:v>
      </x:c>
      <x:c r="U1536" s="1" t="s">
        <x:v>3474</x:v>
      </x:c>
      <x:c r="V1536" s="1" t="s">
        <x:v>4342</x:v>
      </x:c>
    </x:row>
    <x:row r="1537" ht="15" hidden="0" customHeight="1">
      <x:c r="A1537" s="1" t="s">
        <x:v>4456</x:v>
      </x:c>
      <x:c r="B1537" s="1" t="s">
        <x:v>4336</x:v>
      </x:c>
      <x:c r="C1537" s="1" t="s">
        <x:v>4384</x:v>
      </x:c>
      <x:c r="D1537" s="1" t="s">
        <x:v>4457</x:v>
      </x:c>
      <x:c r="E1537" s="1" t="s">
        <x:v>4458</x:v>
      </x:c>
      <x:c r="F1537" s="1" t="s">
        <x:v>108</x:v>
      </x:c>
      <x:c r="G1537" s="1" t="s">
        <x:v>109</x:v>
      </x:c>
      <x:c r="H1537" s="1" t="s">
        <x:v>4339</x:v>
      </x:c>
      <x:c r="I1537" s="1" t="s">
        <x:v>4340</x:v>
      </x:c>
      <x:c r="J1537" s="1" t="s">
        <x:v>4341</x:v>
      </x:c>
      <x:c r="K1537" s="1" t="s">
        <x:v>4292</x:v>
      </x:c>
      <x:c r="L1537" s="1" t="s">
        <x:v>4292</x:v>
      </x:c>
      <x:c r="N1537" s="1" t="n">
        <x:v>17</x:v>
      </x:c>
      <x:c r="O1537" s="1" t="s">
        <x:v>1204</x:v>
      </x:c>
      <x:c r="P1537" s="1" t="s">
        <x:v>115</x:v>
      </x:c>
      <x:c r="Q1537" s="1" t="s">
        <x:v>45</x:v>
      </x:c>
      <x:c r="T1537" s="1" t="s">
        <x:v>27</x:v>
      </x:c>
      <x:c r="U1537" s="1" t="s">
        <x:v>3474</x:v>
      </x:c>
      <x:c r="V1537" s="1" t="s">
        <x:v>4342</x:v>
      </x:c>
    </x:row>
    <x:row r="1538" ht="15" hidden="0" customHeight="1">
      <x:c r="A1538" s="1" t="s">
        <x:v>4459</x:v>
      </x:c>
      <x:c r="B1538" s="1" t="s">
        <x:v>4336</x:v>
      </x:c>
      <x:c r="C1538" s="1" t="s">
        <x:v>4415</x:v>
      </x:c>
      <x:c r="D1538" s="1" t="s">
        <x:v>4460</x:v>
      </x:c>
      <x:c r="E1538" s="1" t="s">
        <x:v>4461</x:v>
      </x:c>
      <x:c r="F1538" s="1" t="s">
        <x:v>108</x:v>
      </x:c>
      <x:c r="G1538" s="1" t="s">
        <x:v>187</x:v>
      </x:c>
      <x:c r="H1538" s="1" t="s">
        <x:v>4339</x:v>
      </x:c>
      <x:c r="I1538" s="1" t="s">
        <x:v>4340</x:v>
      </x:c>
      <x:c r="J1538" s="1" t="s">
        <x:v>4341</x:v>
      </x:c>
      <x:c r="K1538" s="1" t="s">
        <x:v>4462</x:v>
      </x:c>
      <x:c r="L1538" s="1" t="s">
        <x:v>4462</x:v>
      </x:c>
      <x:c r="N1538" s="1" t="n">
        <x:v>18</x:v>
      </x:c>
      <x:c r="O1538" s="1" t="s">
        <x:v>1204</x:v>
      </x:c>
      <x:c r="P1538" s="1" t="s">
        <x:v>115</x:v>
      </x:c>
      <x:c r="Q1538" s="1" t="s">
        <x:v>45</x:v>
      </x:c>
      <x:c r="T1538" s="1" t="s">
        <x:v>27</x:v>
      </x:c>
      <x:c r="U1538" s="1" t="s">
        <x:v>3474</x:v>
      </x:c>
      <x:c r="V1538" s="1" t="s">
        <x:v>4342</x:v>
      </x:c>
    </x:row>
    <x:row r="1539" ht="15" hidden="0" customHeight="1">
      <x:c r="A1539" s="1" t="s">
        <x:v>4463</x:v>
      </x:c>
      <x:c r="B1539" s="1" t="s">
        <x:v>4336</x:v>
      </x:c>
      <x:c r="C1539" s="1" t="s">
        <x:v>4337</x:v>
      </x:c>
      <x:c r="D1539" s="1" t="s">
        <x:v>4464</x:v>
      </x:c>
      <x:c r="E1539" s="1" t="s">
        <x:v>4465</x:v>
      </x:c>
      <x:c r="F1539" s="1" t="s">
        <x:v>108</x:v>
      </x:c>
      <x:c r="G1539" s="1" t="s">
        <x:v>187</x:v>
      </x:c>
      <x:c r="H1539" s="1" t="s">
        <x:v>4339</x:v>
      </x:c>
      <x:c r="I1539" s="1" t="s">
        <x:v>4340</x:v>
      </x:c>
      <x:c r="J1539" s="1" t="s">
        <x:v>4341</x:v>
      </x:c>
      <x:c r="K1539" s="1" t="s">
        <x:v>4466</x:v>
      </x:c>
      <x:c r="L1539" s="1" t="s">
        <x:v>4466</x:v>
      </x:c>
      <x:c r="N1539" s="1" t="n">
        <x:v>20</x:v>
      </x:c>
      <x:c r="O1539" s="1" t="s">
        <x:v>1204</x:v>
      </x:c>
      <x:c r="P1539" s="1" t="s">
        <x:v>115</x:v>
      </x:c>
      <x:c r="Q1539" s="1" t="s">
        <x:v>45</x:v>
      </x:c>
      <x:c r="T1539" s="1" t="s">
        <x:v>27</x:v>
      </x:c>
      <x:c r="U1539" s="1" t="s">
        <x:v>3474</x:v>
      </x:c>
      <x:c r="V1539" s="1" t="s">
        <x:v>4342</x:v>
      </x:c>
    </x:row>
    <x:row r="1540" ht="15" hidden="0" customHeight="1">
      <x:c r="A1540" s="1" t="s">
        <x:v>4467</x:v>
      </x:c>
      <x:c r="B1540" s="1" t="s">
        <x:v>4336</x:v>
      </x:c>
      <x:c r="C1540" s="1" t="s">
        <x:v>4337</x:v>
      </x:c>
      <x:c r="D1540" s="1" t="s">
        <x:v>4468</x:v>
      </x:c>
      <x:c r="E1540" s="1" t="s">
        <x:v>4469</x:v>
      </x:c>
      <x:c r="F1540" s="1" t="s">
        <x:v>108</x:v>
      </x:c>
      <x:c r="G1540" s="1" t="s">
        <x:v>187</x:v>
      </x:c>
      <x:c r="H1540" s="1" t="s">
        <x:v>4339</x:v>
      </x:c>
      <x:c r="I1540" s="1" t="s">
        <x:v>4340</x:v>
      </x:c>
      <x:c r="J1540" s="1" t="s">
        <x:v>4341</x:v>
      </x:c>
      <x:c r="K1540" s="1" t="s">
        <x:v>4466</x:v>
      </x:c>
      <x:c r="L1540" s="1" t="s">
        <x:v>4466</x:v>
      </x:c>
      <x:c r="N1540" s="1" t="n">
        <x:v>20</x:v>
      </x:c>
      <x:c r="O1540" s="1" t="s">
        <x:v>1204</x:v>
      </x:c>
      <x:c r="P1540" s="1" t="s">
        <x:v>115</x:v>
      </x:c>
      <x:c r="Q1540" s="1" t="s">
        <x:v>45</x:v>
      </x:c>
      <x:c r="T1540" s="1" t="s">
        <x:v>27</x:v>
      </x:c>
      <x:c r="U1540" s="1" t="s">
        <x:v>3474</x:v>
      </x:c>
      <x:c r="V1540" s="1" t="s">
        <x:v>4342</x:v>
      </x:c>
    </x:row>
    <x:row r="1541" ht="15" hidden="0" customHeight="1">
      <x:c r="A1541" s="1" t="s">
        <x:v>4470</x:v>
      </x:c>
      <x:c r="B1541" s="1" t="s">
        <x:v>4336</x:v>
      </x:c>
      <x:c r="C1541" s="1" t="s">
        <x:v>4337</x:v>
      </x:c>
      <x:c r="D1541" s="1" t="s">
        <x:v>4471</x:v>
      </x:c>
      <x:c r="E1541" s="1" t="s">
        <x:v>4472</x:v>
      </x:c>
      <x:c r="F1541" s="1" t="s">
        <x:v>108</x:v>
      </x:c>
      <x:c r="G1541" s="1" t="s">
        <x:v>192</x:v>
      </x:c>
      <x:c r="H1541" s="1" t="s">
        <x:v>4339</x:v>
      </x:c>
      <x:c r="I1541" s="1" t="s">
        <x:v>4340</x:v>
      </x:c>
      <x:c r="J1541" s="1" t="s">
        <x:v>4341</x:v>
      </x:c>
      <x:c r="K1541" s="1" t="s">
        <x:v>4466</x:v>
      </x:c>
      <x:c r="L1541" s="1" t="s">
        <x:v>4466</x:v>
      </x:c>
      <x:c r="N1541" s="1" t="n">
        <x:v>20</x:v>
      </x:c>
      <x:c r="O1541" s="1" t="s">
        <x:v>1204</x:v>
      </x:c>
      <x:c r="P1541" s="1" t="s">
        <x:v>115</x:v>
      </x:c>
      <x:c r="Q1541" s="1" t="s">
        <x:v>45</x:v>
      </x:c>
      <x:c r="T1541" s="1" t="s">
        <x:v>27</x:v>
      </x:c>
      <x:c r="U1541" s="1" t="s">
        <x:v>3474</x:v>
      </x:c>
      <x:c r="V1541" s="1" t="s">
        <x:v>4342</x:v>
      </x:c>
    </x:row>
    <x:row r="1542" ht="15" hidden="0" customHeight="1">
      <x:c r="A1542" s="1" t="s">
        <x:v>4473</x:v>
      </x:c>
      <x:c r="B1542" s="1" t="s">
        <x:v>4336</x:v>
      </x:c>
      <x:c r="C1542" s="1" t="s">
        <x:v>4337</x:v>
      </x:c>
      <x:c r="D1542" s="1" t="s">
        <x:v>871</x:v>
      </x:c>
      <x:c r="E1542" s="1" t="s">
        <x:v>30</x:v>
      </x:c>
      <x:c r="F1542" s="1" t="s">
        <x:v>1070</x:v>
      </x:c>
      <x:c r="G1542" s="1" t="s">
        <x:v>181</x:v>
      </x:c>
      <x:c r="H1542" s="1" t="s">
        <x:v>4339</x:v>
      </x:c>
      <x:c r="I1542" s="1" t="s">
        <x:v>4340</x:v>
      </x:c>
      <x:c r="J1542" s="1" t="s">
        <x:v>4341</x:v>
      </x:c>
      <x:c r="K1542" s="1" t="s">
        <x:v>4474</x:v>
      </x:c>
      <x:c r="L1542" s="1" t="s">
        <x:v>4474</x:v>
      </x:c>
      <x:c r="O1542" s="1" t="s">
        <x:v>1204</x:v>
      </x:c>
      <x:c r="P1542" s="1" t="s">
        <x:v>115</x:v>
      </x:c>
      <x:c r="Q1542" s="1" t="s">
        <x:v>45</x:v>
      </x:c>
      <x:c r="R1542" s="1" t="s">
        <x:v>4475</x:v>
      </x:c>
      <x:c r="T1542" s="1" t="s">
        <x:v>30</x:v>
      </x:c>
      <x:c r="U1542" s="1" t="s">
        <x:v>3474</x:v>
      </x:c>
      <x:c r="V1542" s="1" t="s">
        <x:v>4342</x:v>
      </x:c>
    </x:row>
    <x:row r="1543" ht="15" hidden="0" customHeight="1">
      <x:c r="A1543" s="1" t="s">
        <x:v>4476</x:v>
      </x:c>
      <x:c r="B1543" s="1" t="s">
        <x:v>4336</x:v>
      </x:c>
      <x:c r="C1543" s="1" t="s">
        <x:v>4337</x:v>
      </x:c>
      <x:c r="D1543" s="1" t="s">
        <x:v>4477</x:v>
      </x:c>
      <x:c r="E1543" s="1" t="s">
        <x:v>4478</x:v>
      </x:c>
      <x:c r="F1543" s="1" t="s">
        <x:v>108</x:v>
      </x:c>
      <x:c r="G1543" s="1" t="s">
        <x:v>181</x:v>
      </x:c>
      <x:c r="H1543" s="1" t="s">
        <x:v>4339</x:v>
      </x:c>
      <x:c r="I1543" s="1" t="s">
        <x:v>4340</x:v>
      </x:c>
      <x:c r="J1543" s="1" t="s">
        <x:v>4341</x:v>
      </x:c>
      <x:c r="K1543" s="1" t="s">
        <x:v>4479</x:v>
      </x:c>
      <x:c r="L1543" s="1" t="s">
        <x:v>4479</x:v>
      </x:c>
      <x:c r="O1543" s="1" t="s">
        <x:v>1204</x:v>
      </x:c>
      <x:c r="P1543" s="1" t="s">
        <x:v>115</x:v>
      </x:c>
      <x:c r="Q1543" s="1" t="s">
        <x:v>45</x:v>
      </x:c>
      <x:c r="R1543" s="1" t="s">
        <x:v>4480</x:v>
      </x:c>
      <x:c r="T1543" s="1" t="s">
        <x:v>27</x:v>
      </x:c>
      <x:c r="U1543" s="1" t="s">
        <x:v>3474</x:v>
      </x:c>
      <x:c r="V1543" s="1" t="s">
        <x:v>4342</x:v>
      </x:c>
    </x:row>
    <x:row r="1544" ht="15" hidden="0" customHeight="1">
      <x:c r="A1544" s="1" t="s">
        <x:v>4481</x:v>
      </x:c>
      <x:c r="B1544" s="1" t="s">
        <x:v>4482</x:v>
      </x:c>
      <x:c r="C1544" s="1" t="s">
        <x:v>4483</x:v>
      </x:c>
      <x:c r="D1544" s="1" t="s">
        <x:v>1704</x:v>
      </x:c>
      <x:c r="E1544" s="1" t="s">
        <x:v>4484</x:v>
      </x:c>
      <x:c r="F1544" s="1" t="s">
        <x:v>108</x:v>
      </x:c>
      <x:c r="G1544" s="1" t="s">
        <x:v>109</x:v>
      </x:c>
      <x:c r="H1544" s="1" t="s">
        <x:v>4485</x:v>
      </x:c>
      <x:c r="I1544" s="1" t="s">
        <x:v>4486</x:v>
      </x:c>
      <x:c r="J1544" s="1" t="s">
        <x:v>4487</x:v>
      </x:c>
      <x:c r="K1544" s="1" t="s">
        <x:v>4488</x:v>
      </x:c>
      <x:c r="L1544" s="1" t="s">
        <x:v>4488</x:v>
      </x:c>
      <x:c r="O1544" s="1" t="s">
        <x:v>114</x:v>
      </x:c>
      <x:c r="P1544" s="1" t="s">
        <x:v>115</x:v>
      </x:c>
      <x:c r="Q1544" s="1" t="s">
        <x:v>45</x:v>
      </x:c>
      <x:c r="T1544" s="1" t="s">
        <x:v>27</x:v>
      </x:c>
      <x:c r="U1544" s="1" t="s">
        <x:v>3474</x:v>
      </x:c>
      <x:c r="V1544" s="1" t="s">
        <x:v>4342</x:v>
      </x:c>
    </x:row>
    <x:row r="1545" ht="15" hidden="0" customHeight="1">
      <x:c r="A1545" s="1" t="s">
        <x:v>4489</x:v>
      </x:c>
      <x:c r="B1545" s="1" t="s">
        <x:v>4482</x:v>
      </x:c>
      <x:c r="C1545" s="1" t="s">
        <x:v>4483</x:v>
      </x:c>
      <x:c r="D1545" s="1" t="s">
        <x:v>4490</x:v>
      </x:c>
      <x:c r="E1545" s="1" t="s">
        <x:v>4491</x:v>
      </x:c>
      <x:c r="F1545" s="1" t="s">
        <x:v>108</x:v>
      </x:c>
      <x:c r="G1545" s="1" t="s">
        <x:v>109</x:v>
      </x:c>
      <x:c r="H1545" s="1" t="s">
        <x:v>4485</x:v>
      </x:c>
      <x:c r="I1545" s="1" t="s">
        <x:v>4486</x:v>
      </x:c>
      <x:c r="J1545" s="1" t="s">
        <x:v>4487</x:v>
      </x:c>
      <x:c r="K1545" s="1" t="s">
        <x:v>4492</x:v>
      </x:c>
      <x:c r="L1545" s="1" t="s">
        <x:v>4492</x:v>
      </x:c>
      <x:c r="O1545" s="1" t="s">
        <x:v>114</x:v>
      </x:c>
      <x:c r="P1545" s="1" t="s">
        <x:v>115</x:v>
      </x:c>
      <x:c r="Q1545" s="1" t="s">
        <x:v>45</x:v>
      </x:c>
      <x:c r="T1545" s="1" t="s">
        <x:v>27</x:v>
      </x:c>
      <x:c r="U1545" s="1" t="s">
        <x:v>3474</x:v>
      </x:c>
      <x:c r="V1545" s="1" t="s">
        <x:v>4342</x:v>
      </x:c>
    </x:row>
    <x:row r="1546" ht="15" hidden="0" customHeight="1">
      <x:c r="A1546" s="1" t="s">
        <x:v>4493</x:v>
      </x:c>
      <x:c r="B1546" s="1" t="s">
        <x:v>4482</x:v>
      </x:c>
      <x:c r="C1546" s="1" t="s">
        <x:v>4483</x:v>
      </x:c>
      <x:c r="D1546" s="1" t="s">
        <x:v>4494</x:v>
      </x:c>
      <x:c r="E1546" s="1" t="s">
        <x:v>4495</x:v>
      </x:c>
      <x:c r="F1546" s="1" t="s">
        <x:v>108</x:v>
      </x:c>
      <x:c r="G1546" s="1" t="s">
        <x:v>109</x:v>
      </x:c>
      <x:c r="H1546" s="1" t="s">
        <x:v>4485</x:v>
      </x:c>
      <x:c r="I1546" s="1" t="s">
        <x:v>4486</x:v>
      </x:c>
      <x:c r="J1546" s="1" t="s">
        <x:v>4487</x:v>
      </x:c>
      <x:c r="K1546" s="1" t="s">
        <x:v>4496</x:v>
      </x:c>
      <x:c r="L1546" s="1" t="s">
        <x:v>4496</x:v>
      </x:c>
      <x:c r="O1546" s="1" t="s">
        <x:v>114</x:v>
      </x:c>
      <x:c r="P1546" s="1" t="s">
        <x:v>115</x:v>
      </x:c>
      <x:c r="Q1546" s="1" t="s">
        <x:v>45</x:v>
      </x:c>
      <x:c r="S1546" s="1" t="s">
        <x:v>905</x:v>
      </x:c>
      <x:c r="T1546" s="1" t="s">
        <x:v>27</x:v>
      </x:c>
      <x:c r="U1546" s="1" t="s">
        <x:v>3474</x:v>
      </x:c>
      <x:c r="V1546" s="1" t="s">
        <x:v>4342</x:v>
      </x:c>
    </x:row>
    <x:row r="1547" ht="15" hidden="0" customHeight="1">
      <x:c r="A1547" s="1" t="s">
        <x:v>4497</x:v>
      </x:c>
      <x:c r="B1547" s="1" t="s">
        <x:v>4482</x:v>
      </x:c>
      <x:c r="C1547" s="1" t="s">
        <x:v>4483</x:v>
      </x:c>
      <x:c r="D1547" s="1" t="s">
        <x:v>4498</x:v>
      </x:c>
      <x:c r="E1547" s="1" t="s">
        <x:v>4499</x:v>
      </x:c>
      <x:c r="F1547" s="1" t="s">
        <x:v>108</x:v>
      </x:c>
      <x:c r="G1547" s="1" t="s">
        <x:v>109</x:v>
      </x:c>
      <x:c r="H1547" s="1" t="s">
        <x:v>4485</x:v>
      </x:c>
      <x:c r="I1547" s="1" t="s">
        <x:v>4486</x:v>
      </x:c>
      <x:c r="J1547" s="1" t="s">
        <x:v>4487</x:v>
      </x:c>
      <x:c r="K1547" s="1" t="s">
        <x:v>4500</x:v>
      </x:c>
      <x:c r="L1547" s="1" t="s">
        <x:v>4500</x:v>
      </x:c>
      <x:c r="O1547" s="1" t="s">
        <x:v>114</x:v>
      </x:c>
      <x:c r="P1547" s="1" t="s">
        <x:v>115</x:v>
      </x:c>
      <x:c r="Q1547" s="1" t="s">
        <x:v>45</x:v>
      </x:c>
      <x:c r="T1547" s="1" t="s">
        <x:v>27</x:v>
      </x:c>
      <x:c r="U1547" s="1" t="s">
        <x:v>3474</x:v>
      </x:c>
      <x:c r="V1547" s="1" t="s">
        <x:v>4342</x:v>
      </x:c>
    </x:row>
    <x:row r="1548" ht="15" hidden="0" customHeight="1">
      <x:c r="A1548" s="1" t="s">
        <x:v>4501</x:v>
      </x:c>
      <x:c r="B1548" s="1" t="s">
        <x:v>4482</x:v>
      </x:c>
      <x:c r="C1548" s="1" t="s">
        <x:v>4483</x:v>
      </x:c>
      <x:c r="D1548" s="1" t="s">
        <x:v>4502</x:v>
      </x:c>
      <x:c r="E1548" s="1" t="s">
        <x:v>4503</x:v>
      </x:c>
      <x:c r="F1548" s="1" t="s">
        <x:v>108</x:v>
      </x:c>
      <x:c r="G1548" s="1" t="s">
        <x:v>109</x:v>
      </x:c>
      <x:c r="H1548" s="1" t="s">
        <x:v>4485</x:v>
      </x:c>
      <x:c r="I1548" s="1" t="s">
        <x:v>4486</x:v>
      </x:c>
      <x:c r="J1548" s="1" t="s">
        <x:v>4487</x:v>
      </x:c>
      <x:c r="K1548" s="1" t="s">
        <x:v>4504</x:v>
      </x:c>
      <x:c r="L1548" s="1" t="s">
        <x:v>4504</x:v>
      </x:c>
      <x:c r="O1548" s="1" t="s">
        <x:v>114</x:v>
      </x:c>
      <x:c r="P1548" s="1" t="s">
        <x:v>115</x:v>
      </x:c>
      <x:c r="Q1548" s="1" t="s">
        <x:v>45</x:v>
      </x:c>
      <x:c r="T1548" s="1" t="s">
        <x:v>27</x:v>
      </x:c>
      <x:c r="U1548" s="1" t="s">
        <x:v>3474</x:v>
      </x:c>
      <x:c r="V1548" s="1" t="s">
        <x:v>4342</x:v>
      </x:c>
    </x:row>
    <x:row r="1549" ht="15" hidden="0" customHeight="1">
      <x:c r="A1549" s="1" t="s">
        <x:v>4505</x:v>
      </x:c>
      <x:c r="B1549" s="1" t="s">
        <x:v>4482</x:v>
      </x:c>
      <x:c r="C1549" s="1" t="s">
        <x:v>4506</x:v>
      </x:c>
      <x:c r="D1549" s="1" t="s">
        <x:v>4507</x:v>
      </x:c>
      <x:c r="E1549" s="1" t="s">
        <x:v>4508</x:v>
      </x:c>
      <x:c r="F1549" s="1" t="s">
        <x:v>108</x:v>
      </x:c>
      <x:c r="G1549" s="1" t="s">
        <x:v>109</x:v>
      </x:c>
      <x:c r="H1549" s="1" t="s">
        <x:v>4485</x:v>
      </x:c>
      <x:c r="I1549" s="1" t="s">
        <x:v>4486</x:v>
      </x:c>
      <x:c r="J1549" s="1" t="s">
        <x:v>4487</x:v>
      </x:c>
      <x:c r="K1549" s="1" t="s">
        <x:v>4509</x:v>
      </x:c>
      <x:c r="L1549" s="1" t="s">
        <x:v>4509</x:v>
      </x:c>
      <x:c r="O1549" s="1" t="s">
        <x:v>114</x:v>
      </x:c>
      <x:c r="P1549" s="1" t="s">
        <x:v>115</x:v>
      </x:c>
      <x:c r="Q1549" s="1" t="s">
        <x:v>45</x:v>
      </x:c>
      <x:c r="T1549" s="1" t="s">
        <x:v>27</x:v>
      </x:c>
      <x:c r="U1549" s="1" t="s">
        <x:v>3474</x:v>
      </x:c>
      <x:c r="V1549" s="1" t="s">
        <x:v>4342</x:v>
      </x:c>
    </x:row>
    <x:row r="1550" ht="15" hidden="0" customHeight="1">
      <x:c r="A1550" s="1" t="s">
        <x:v>4510</x:v>
      </x:c>
      <x:c r="B1550" s="1" t="s">
        <x:v>4482</x:v>
      </x:c>
      <x:c r="C1550" s="1" t="s">
        <x:v>4506</x:v>
      </x:c>
      <x:c r="D1550" s="1" t="s">
        <x:v>4511</x:v>
      </x:c>
      <x:c r="E1550" s="1" t="s">
        <x:v>4512</x:v>
      </x:c>
      <x:c r="F1550" s="1" t="s">
        <x:v>108</x:v>
      </x:c>
      <x:c r="G1550" s="1" t="s">
        <x:v>109</x:v>
      </x:c>
      <x:c r="H1550" s="1" t="s">
        <x:v>4485</x:v>
      </x:c>
      <x:c r="I1550" s="1" t="s">
        <x:v>4486</x:v>
      </x:c>
      <x:c r="J1550" s="1" t="s">
        <x:v>4487</x:v>
      </x:c>
      <x:c r="K1550" s="1" t="s">
        <x:v>4509</x:v>
      </x:c>
      <x:c r="L1550" s="1" t="s">
        <x:v>4509</x:v>
      </x:c>
      <x:c r="O1550" s="1" t="s">
        <x:v>114</x:v>
      </x:c>
      <x:c r="P1550" s="1" t="s">
        <x:v>115</x:v>
      </x:c>
      <x:c r="Q1550" s="1" t="s">
        <x:v>45</x:v>
      </x:c>
      <x:c r="T1550" s="1" t="s">
        <x:v>27</x:v>
      </x:c>
      <x:c r="U1550" s="1" t="s">
        <x:v>3474</x:v>
      </x:c>
      <x:c r="V1550" s="1" t="s">
        <x:v>4342</x:v>
      </x:c>
    </x:row>
    <x:row r="1551" ht="15" hidden="0" customHeight="1">
      <x:c r="A1551" s="1" t="s">
        <x:v>4513</x:v>
      </x:c>
      <x:c r="B1551" s="1" t="s">
        <x:v>4482</x:v>
      </x:c>
      <x:c r="C1551" s="1" t="s">
        <x:v>4514</x:v>
      </x:c>
      <x:c r="D1551" s="1" t="s">
        <x:v>4515</x:v>
      </x:c>
      <x:c r="E1551" s="1" t="s">
        <x:v>4516</x:v>
      </x:c>
      <x:c r="F1551" s="1" t="s">
        <x:v>108</x:v>
      </x:c>
      <x:c r="G1551" s="1" t="s">
        <x:v>109</x:v>
      </x:c>
      <x:c r="H1551" s="1" t="s">
        <x:v>4485</x:v>
      </x:c>
      <x:c r="I1551" s="1" t="s">
        <x:v>4486</x:v>
      </x:c>
      <x:c r="J1551" s="1" t="s">
        <x:v>4487</x:v>
      </x:c>
      <x:c r="K1551" s="1" t="s">
        <x:v>4517</x:v>
      </x:c>
      <x:c r="L1551" s="1" t="s">
        <x:v>4517</x:v>
      </x:c>
      <x:c r="O1551" s="1" t="s">
        <x:v>114</x:v>
      </x:c>
      <x:c r="P1551" s="1" t="s">
        <x:v>115</x:v>
      </x:c>
      <x:c r="Q1551" s="1" t="s">
        <x:v>45</x:v>
      </x:c>
      <x:c r="T1551" s="1" t="s">
        <x:v>27</x:v>
      </x:c>
      <x:c r="U1551" s="1" t="s">
        <x:v>3474</x:v>
      </x:c>
      <x:c r="V1551" s="1" t="s">
        <x:v>4342</x:v>
      </x:c>
    </x:row>
    <x:row r="1552" ht="15" hidden="0" customHeight="1">
      <x:c r="A1552" s="1" t="s">
        <x:v>4518</x:v>
      </x:c>
      <x:c r="B1552" s="1" t="s">
        <x:v>4482</x:v>
      </x:c>
      <x:c r="C1552" s="1" t="s">
        <x:v>4514</x:v>
      </x:c>
      <x:c r="D1552" s="1" t="s">
        <x:v>1889</x:v>
      </x:c>
      <x:c r="E1552" s="1" t="s">
        <x:v>4519</x:v>
      </x:c>
      <x:c r="F1552" s="1" t="s">
        <x:v>108</x:v>
      </x:c>
      <x:c r="G1552" s="1" t="s">
        <x:v>109</x:v>
      </x:c>
      <x:c r="H1552" s="1" t="s">
        <x:v>4485</x:v>
      </x:c>
      <x:c r="I1552" s="1" t="s">
        <x:v>4486</x:v>
      </x:c>
      <x:c r="J1552" s="1" t="s">
        <x:v>4487</x:v>
      </x:c>
      <x:c r="K1552" s="1" t="s">
        <x:v>4517</x:v>
      </x:c>
      <x:c r="L1552" s="1" t="s">
        <x:v>4517</x:v>
      </x:c>
      <x:c r="O1552" s="1" t="s">
        <x:v>114</x:v>
      </x:c>
      <x:c r="P1552" s="1" t="s">
        <x:v>115</x:v>
      </x:c>
      <x:c r="Q1552" s="1" t="s">
        <x:v>45</x:v>
      </x:c>
      <x:c r="T1552" s="1" t="s">
        <x:v>27</x:v>
      </x:c>
      <x:c r="U1552" s="1" t="s">
        <x:v>3474</x:v>
      </x:c>
      <x:c r="V1552" s="1" t="s">
        <x:v>4342</x:v>
      </x:c>
    </x:row>
    <x:row r="1553" ht="15" hidden="0" customHeight="1">
      <x:c r="A1553" s="1" t="s">
        <x:v>4520</x:v>
      </x:c>
      <x:c r="B1553" s="1" t="s">
        <x:v>4482</x:v>
      </x:c>
      <x:c r="C1553" s="1" t="s">
        <x:v>4514</x:v>
      </x:c>
      <x:c r="D1553" s="1" t="s">
        <x:v>164</x:v>
      </x:c>
      <x:c r="E1553" s="1" t="s">
        <x:v>30</x:v>
      </x:c>
      <x:c r="F1553" s="1" t="s">
        <x:v>1070</x:v>
      </x:c>
      <x:c r="G1553" s="1" t="s">
        <x:v>181</x:v>
      </x:c>
      <x:c r="H1553" s="1" t="s">
        <x:v>4485</x:v>
      </x:c>
      <x:c r="I1553" s="1" t="s">
        <x:v>4486</x:v>
      </x:c>
      <x:c r="J1553" s="1" t="s">
        <x:v>4487</x:v>
      </x:c>
      <x:c r="K1553" s="1" t="s">
        <x:v>4521</x:v>
      </x:c>
      <x:c r="L1553" s="1" t="s">
        <x:v>4521</x:v>
      </x:c>
      <x:c r="O1553" s="1" t="s">
        <x:v>114</x:v>
      </x:c>
      <x:c r="P1553" s="1" t="s">
        <x:v>115</x:v>
      </x:c>
      <x:c r="Q1553" s="1" t="s">
        <x:v>45</x:v>
      </x:c>
      <x:c r="R1553" s="1" t="s">
        <x:v>4522</x:v>
      </x:c>
      <x:c r="T1553" s="1" t="s">
        <x:v>30</x:v>
      </x:c>
      <x:c r="U1553" s="1" t="s">
        <x:v>3474</x:v>
      </x:c>
      <x:c r="V1553" s="1" t="s">
        <x:v>4342</x:v>
      </x:c>
    </x:row>
    <x:row r="1554" ht="15" hidden="0" customHeight="1">
      <x:c r="A1554" s="1" t="s">
        <x:v>4523</x:v>
      </x:c>
      <x:c r="B1554" s="1" t="s">
        <x:v>4482</x:v>
      </x:c>
      <x:c r="C1554" s="1" t="s">
        <x:v>4514</x:v>
      </x:c>
      <x:c r="D1554" s="1" t="s">
        <x:v>4524</x:v>
      </x:c>
      <x:c r="E1554" s="1" t="s">
        <x:v>4525</x:v>
      </x:c>
      <x:c r="F1554" s="1" t="s">
        <x:v>108</x:v>
      </x:c>
      <x:c r="G1554" s="1" t="s">
        <x:v>109</x:v>
      </x:c>
      <x:c r="H1554" s="1" t="s">
        <x:v>4485</x:v>
      </x:c>
      <x:c r="I1554" s="1" t="s">
        <x:v>4486</x:v>
      </x:c>
      <x:c r="J1554" s="1" t="s">
        <x:v>4487</x:v>
      </x:c>
      <x:c r="K1554" s="1" t="s">
        <x:v>4517</x:v>
      </x:c>
      <x:c r="L1554" s="1" t="s">
        <x:v>4517</x:v>
      </x:c>
      <x:c r="O1554" s="1" t="s">
        <x:v>114</x:v>
      </x:c>
      <x:c r="P1554" s="1" t="s">
        <x:v>115</x:v>
      </x:c>
      <x:c r="Q1554" s="1" t="s">
        <x:v>45</x:v>
      </x:c>
      <x:c r="T1554" s="1" t="s">
        <x:v>27</x:v>
      </x:c>
      <x:c r="U1554" s="1" t="s">
        <x:v>3474</x:v>
      </x:c>
      <x:c r="V1554" s="1" t="s">
        <x:v>4342</x:v>
      </x:c>
    </x:row>
    <x:row r="1555" ht="15" hidden="0" customHeight="1">
      <x:c r="A1555" s="1" t="s">
        <x:v>4526</x:v>
      </x:c>
      <x:c r="B1555" s="1" t="s">
        <x:v>4482</x:v>
      </x:c>
      <x:c r="C1555" s="1" t="s">
        <x:v>4514</x:v>
      </x:c>
      <x:c r="D1555" s="1" t="s">
        <x:v>4527</x:v>
      </x:c>
      <x:c r="E1555" s="1" t="s">
        <x:v>4528</x:v>
      </x:c>
      <x:c r="F1555" s="1" t="s">
        <x:v>108</x:v>
      </x:c>
      <x:c r="G1555" s="1" t="s">
        <x:v>109</x:v>
      </x:c>
      <x:c r="H1555" s="1" t="s">
        <x:v>4485</x:v>
      </x:c>
      <x:c r="I1555" s="1" t="s">
        <x:v>4486</x:v>
      </x:c>
      <x:c r="J1555" s="1" t="s">
        <x:v>4487</x:v>
      </x:c>
      <x:c r="K1555" s="1" t="s">
        <x:v>272</x:v>
      </x:c>
      <x:c r="L1555" s="1" t="s">
        <x:v>272</x:v>
      </x:c>
      <x:c r="O1555" s="1" t="s">
        <x:v>114</x:v>
      </x:c>
      <x:c r="P1555" s="1" t="s">
        <x:v>115</x:v>
      </x:c>
      <x:c r="Q1555" s="1" t="s">
        <x:v>45</x:v>
      </x:c>
      <x:c r="S1555" s="1" t="s">
        <x:v>4529</x:v>
      </x:c>
      <x:c r="T1555" s="1" t="s">
        <x:v>27</x:v>
      </x:c>
      <x:c r="U1555" s="1" t="s">
        <x:v>3474</x:v>
      </x:c>
      <x:c r="V1555" s="1" t="s">
        <x:v>4342</x:v>
      </x:c>
    </x:row>
    <x:row r="1556" ht="15" hidden="0" customHeight="1">
      <x:c r="A1556" s="1" t="s">
        <x:v>4530</x:v>
      </x:c>
      <x:c r="B1556" s="1" t="s">
        <x:v>4482</x:v>
      </x:c>
      <x:c r="C1556" s="1" t="s">
        <x:v>4514</x:v>
      </x:c>
      <x:c r="D1556" s="1" t="s">
        <x:v>4531</x:v>
      </x:c>
      <x:c r="E1556" s="1" t="s">
        <x:v>4532</x:v>
      </x:c>
      <x:c r="F1556" s="1" t="s">
        <x:v>108</x:v>
      </x:c>
      <x:c r="G1556" s="1" t="s">
        <x:v>109</x:v>
      </x:c>
      <x:c r="H1556" s="1" t="s">
        <x:v>4485</x:v>
      </x:c>
      <x:c r="I1556" s="1" t="s">
        <x:v>4486</x:v>
      </x:c>
      <x:c r="J1556" s="1" t="s">
        <x:v>4487</x:v>
      </x:c>
      <x:c r="K1556" s="1" t="s">
        <x:v>4533</x:v>
      </x:c>
      <x:c r="L1556" s="1" t="s">
        <x:v>4533</x:v>
      </x:c>
      <x:c r="O1556" s="1" t="s">
        <x:v>114</x:v>
      </x:c>
      <x:c r="P1556" s="1" t="s">
        <x:v>115</x:v>
      </x:c>
      <x:c r="Q1556" s="1" t="s">
        <x:v>45</x:v>
      </x:c>
      <x:c r="T1556" s="1" t="s">
        <x:v>27</x:v>
      </x:c>
      <x:c r="U1556" s="1" t="s">
        <x:v>3474</x:v>
      </x:c>
      <x:c r="V1556" s="1" t="s">
        <x:v>4342</x:v>
      </x:c>
    </x:row>
    <x:row r="1557" ht="15" hidden="0" customHeight="1">
      <x:c r="A1557" s="1" t="s">
        <x:v>4534</x:v>
      </x:c>
      <x:c r="B1557" s="1" t="s">
        <x:v>4482</x:v>
      </x:c>
      <x:c r="C1557" s="1" t="s">
        <x:v>4483</x:v>
      </x:c>
      <x:c r="D1557" s="1" t="s">
        <x:v>4535</x:v>
      </x:c>
      <x:c r="E1557" s="1" t="s">
        <x:v>4536</x:v>
      </x:c>
      <x:c r="F1557" s="1" t="s">
        <x:v>108</x:v>
      </x:c>
      <x:c r="G1557" s="1" t="s">
        <x:v>109</x:v>
      </x:c>
      <x:c r="H1557" s="1" t="s">
        <x:v>4485</x:v>
      </x:c>
      <x:c r="I1557" s="1" t="s">
        <x:v>4486</x:v>
      </x:c>
      <x:c r="J1557" s="1" t="s">
        <x:v>4487</x:v>
      </x:c>
      <x:c r="K1557" s="1" t="s">
        <x:v>4533</x:v>
      </x:c>
      <x:c r="L1557" s="1" t="s">
        <x:v>4533</x:v>
      </x:c>
      <x:c r="O1557" s="1" t="s">
        <x:v>114</x:v>
      </x:c>
      <x:c r="P1557" s="1" t="s">
        <x:v>115</x:v>
      </x:c>
      <x:c r="Q1557" s="1" t="s">
        <x:v>45</x:v>
      </x:c>
      <x:c r="T1557" s="1" t="s">
        <x:v>27</x:v>
      </x:c>
      <x:c r="U1557" s="1" t="s">
        <x:v>3474</x:v>
      </x:c>
      <x:c r="V1557" s="1" t="s">
        <x:v>4342</x:v>
      </x:c>
    </x:row>
    <x:row r="1558" ht="15" hidden="0" customHeight="1">
      <x:c r="A1558" s="1" t="s">
        <x:v>4537</x:v>
      </x:c>
      <x:c r="B1558" s="1" t="s">
        <x:v>4482</x:v>
      </x:c>
      <x:c r="C1558" s="1" t="s">
        <x:v>4483</x:v>
      </x:c>
      <x:c r="D1558" s="1" t="s">
        <x:v>4538</x:v>
      </x:c>
      <x:c r="E1558" s="1" t="s">
        <x:v>4539</x:v>
      </x:c>
      <x:c r="F1558" s="1" t="s">
        <x:v>108</x:v>
      </x:c>
      <x:c r="G1558" s="1" t="s">
        <x:v>109</x:v>
      </x:c>
      <x:c r="H1558" s="1" t="s">
        <x:v>4485</x:v>
      </x:c>
      <x:c r="I1558" s="1" t="s">
        <x:v>4486</x:v>
      </x:c>
      <x:c r="J1558" s="1" t="s">
        <x:v>4487</x:v>
      </x:c>
      <x:c r="K1558" s="1" t="s">
        <x:v>4540</x:v>
      </x:c>
      <x:c r="L1558" s="1" t="s">
        <x:v>4540</x:v>
      </x:c>
      <x:c r="O1558" s="1" t="s">
        <x:v>114</x:v>
      </x:c>
      <x:c r="P1558" s="1" t="s">
        <x:v>115</x:v>
      </x:c>
      <x:c r="Q1558" s="1" t="s">
        <x:v>45</x:v>
      </x:c>
      <x:c r="T1558" s="1" t="s">
        <x:v>27</x:v>
      </x:c>
      <x:c r="U1558" s="1" t="s">
        <x:v>3474</x:v>
      </x:c>
      <x:c r="V1558" s="1" t="s">
        <x:v>4342</x:v>
      </x:c>
    </x:row>
    <x:row r="1559" ht="15" hidden="0" customHeight="1">
      <x:c r="A1559" s="1" t="s">
        <x:v>4541</x:v>
      </x:c>
      <x:c r="B1559" s="1" t="s">
        <x:v>4482</x:v>
      </x:c>
      <x:c r="C1559" s="1" t="s">
        <x:v>4483</x:v>
      </x:c>
      <x:c r="D1559" s="1" t="s">
        <x:v>4542</x:v>
      </x:c>
      <x:c r="E1559" s="1" t="s">
        <x:v>4543</x:v>
      </x:c>
      <x:c r="F1559" s="1" t="s">
        <x:v>108</x:v>
      </x:c>
      <x:c r="G1559" s="1" t="s">
        <x:v>187</x:v>
      </x:c>
      <x:c r="H1559" s="1" t="s">
        <x:v>4485</x:v>
      </x:c>
      <x:c r="I1559" s="1" t="s">
        <x:v>4486</x:v>
      </x:c>
      <x:c r="J1559" s="1" t="s">
        <x:v>4487</x:v>
      </x:c>
      <x:c r="K1559" s="1" t="s">
        <x:v>272</x:v>
      </x:c>
      <x:c r="L1559" s="1" t="s">
        <x:v>272</x:v>
      </x:c>
      <x:c r="O1559" s="1" t="s">
        <x:v>114</x:v>
      </x:c>
      <x:c r="P1559" s="1" t="s">
        <x:v>115</x:v>
      </x:c>
      <x:c r="Q1559" s="1" t="s">
        <x:v>45</x:v>
      </x:c>
      <x:c r="T1559" s="1" t="s">
        <x:v>27</x:v>
      </x:c>
      <x:c r="U1559" s="1" t="s">
        <x:v>3474</x:v>
      </x:c>
      <x:c r="V1559" s="1" t="s">
        <x:v>4342</x:v>
      </x:c>
    </x:row>
    <x:row r="1560" ht="15" hidden="0" customHeight="1">
      <x:c r="A1560" s="1" t="s">
        <x:v>4544</x:v>
      </x:c>
      <x:c r="B1560" s="1" t="s">
        <x:v>4482</x:v>
      </x:c>
      <x:c r="C1560" s="1" t="s">
        <x:v>4483</x:v>
      </x:c>
      <x:c r="D1560" s="1" t="s">
        <x:v>4545</x:v>
      </x:c>
      <x:c r="E1560" s="1" t="s">
        <x:v>4546</x:v>
      </x:c>
      <x:c r="F1560" s="1" t="s">
        <x:v>108</x:v>
      </x:c>
      <x:c r="G1560" s="1" t="s">
        <x:v>187</x:v>
      </x:c>
      <x:c r="H1560" s="1" t="s">
        <x:v>4485</x:v>
      </x:c>
      <x:c r="I1560" s="1" t="s">
        <x:v>4486</x:v>
      </x:c>
      <x:c r="J1560" s="1" t="s">
        <x:v>4487</x:v>
      </x:c>
      <x:c r="K1560" s="1" t="s">
        <x:v>4547</x:v>
      </x:c>
      <x:c r="L1560" s="1" t="s">
        <x:v>4547</x:v>
      </x:c>
      <x:c r="O1560" s="1" t="s">
        <x:v>114</x:v>
      </x:c>
      <x:c r="P1560" s="1" t="s">
        <x:v>115</x:v>
      </x:c>
      <x:c r="Q1560" s="1" t="s">
        <x:v>45</x:v>
      </x:c>
      <x:c r="T1560" s="1" t="s">
        <x:v>27</x:v>
      </x:c>
      <x:c r="U1560" s="1" t="s">
        <x:v>3474</x:v>
      </x:c>
      <x:c r="V1560" s="1" t="s">
        <x:v>4342</x:v>
      </x:c>
    </x:row>
    <x:row r="1561" ht="15" hidden="0" customHeight="1">
      <x:c r="A1561" s="1" t="s">
        <x:v>4548</x:v>
      </x:c>
      <x:c r="B1561" s="1" t="s">
        <x:v>4482</x:v>
      </x:c>
      <x:c r="C1561" s="1" t="s">
        <x:v>4483</x:v>
      </x:c>
      <x:c r="D1561" s="1" t="s">
        <x:v>1066</x:v>
      </x:c>
      <x:c r="E1561" s="1" t="s">
        <x:v>4549</x:v>
      </x:c>
      <x:c r="F1561" s="1" t="s">
        <x:v>108</x:v>
      </x:c>
      <x:c r="G1561" s="1" t="s">
        <x:v>109</x:v>
      </x:c>
      <x:c r="H1561" s="1" t="s">
        <x:v>4485</x:v>
      </x:c>
      <x:c r="I1561" s="1" t="s">
        <x:v>4486</x:v>
      </x:c>
      <x:c r="J1561" s="1" t="s">
        <x:v>4487</x:v>
      </x:c>
      <x:c r="K1561" s="1" t="s">
        <x:v>1696</x:v>
      </x:c>
      <x:c r="L1561" s="1" t="s">
        <x:v>1696</x:v>
      </x:c>
      <x:c r="O1561" s="1" t="s">
        <x:v>114</x:v>
      </x:c>
      <x:c r="P1561" s="1" t="s">
        <x:v>115</x:v>
      </x:c>
      <x:c r="Q1561" s="1" t="s">
        <x:v>45</x:v>
      </x:c>
      <x:c r="T1561" s="1" t="s">
        <x:v>27</x:v>
      </x:c>
      <x:c r="U1561" s="1" t="s">
        <x:v>3474</x:v>
      </x:c>
      <x:c r="V1561" s="1" t="s">
        <x:v>4342</x:v>
      </x:c>
    </x:row>
    <x:row r="1562" ht="15" hidden="0" customHeight="1">
      <x:c r="A1562" s="1" t="s">
        <x:v>4550</x:v>
      </x:c>
      <x:c r="B1562" s="1" t="s">
        <x:v>4482</x:v>
      </x:c>
      <x:c r="C1562" s="1" t="s">
        <x:v>4483</x:v>
      </x:c>
      <x:c r="D1562" s="1" t="s">
        <x:v>871</x:v>
      </x:c>
      <x:c r="E1562" s="1" t="s">
        <x:v>32</x:v>
      </x:c>
      <x:c r="F1562" s="1" t="s">
        <x:v>1070</x:v>
      </x:c>
      <x:c r="G1562" s="1" t="s">
        <x:v>181</x:v>
      </x:c>
      <x:c r="H1562" s="1" t="s">
        <x:v>4485</x:v>
      </x:c>
      <x:c r="I1562" s="1" t="s">
        <x:v>4486</x:v>
      </x:c>
      <x:c r="J1562" s="1" t="s">
        <x:v>4487</x:v>
      </x:c>
      <x:c r="K1562" s="1" t="s">
        <x:v>4551</x:v>
      </x:c>
      <x:c r="L1562" s="1" t="s">
        <x:v>4551</x:v>
      </x:c>
      <x:c r="O1562" s="1" t="s">
        <x:v>114</x:v>
      </x:c>
      <x:c r="P1562" s="1" t="s">
        <x:v>115</x:v>
      </x:c>
      <x:c r="Q1562" s="1" t="s">
        <x:v>45</x:v>
      </x:c>
      <x:c r="T1562" s="1" t="s">
        <x:v>32</x:v>
      </x:c>
      <x:c r="U1562" s="1" t="s">
        <x:v>3474</x:v>
      </x:c>
      <x:c r="V1562" s="1" t="s">
        <x:v>4342</x:v>
      </x:c>
    </x:row>
    <x:row r="1563" ht="15" hidden="0" customHeight="1">
      <x:c r="A1563" s="1" t="s">
        <x:v>4552</x:v>
      </x:c>
      <x:c r="B1563" s="1" t="s">
        <x:v>4553</x:v>
      </x:c>
      <x:c r="C1563" s="1" t="s">
        <x:v>4554</x:v>
      </x:c>
      <x:c r="D1563" s="1" t="s">
        <x:v>4555</x:v>
      </x:c>
      <x:c r="E1563" s="1" t="s">
        <x:v>4556</x:v>
      </x:c>
      <x:c r="F1563" s="1" t="s">
        <x:v>4557</x:v>
      </x:c>
      <x:c r="G1563" s="1" t="s">
        <x:v>109</x:v>
      </x:c>
      <x:c r="H1563" s="1" t="s">
        <x:v>4558</x:v>
      </x:c>
      <x:c r="I1563" s="1" t="s">
        <x:v>4559</x:v>
      </x:c>
      <x:c r="J1563" s="1" t="s">
        <x:v>112</x:v>
      </x:c>
      <x:c r="K1563" s="1" t="s">
        <x:v>631</x:v>
      </x:c>
      <x:c r="L1563" s="1" t="s">
        <x:v>631</x:v>
      </x:c>
      <x:c r="O1563" s="1" t="s">
        <x:v>114</x:v>
      </x:c>
      <x:c r="P1563" s="1" t="s">
        <x:v>115</x:v>
      </x:c>
      <x:c r="Q1563" s="1" t="s">
        <x:v>45</x:v>
      </x:c>
      <x:c r="R1563" s="1" t="s">
        <x:v>4560</x:v>
      </x:c>
      <x:c r="T1563" s="1" t="s">
        <x:v>27</x:v>
      </x:c>
      <x:c r="U1563" s="1" t="s">
        <x:v>3474</x:v>
      </x:c>
      <x:c r="V1563" s="1" t="s">
        <x:v>4342</x:v>
      </x:c>
    </x:row>
    <x:row r="1564" ht="15" hidden="0" customHeight="1">
      <x:c r="A1564" s="1" t="s">
        <x:v>4561</x:v>
      </x:c>
      <x:c r="B1564" s="1" t="s">
        <x:v>4553</x:v>
      </x:c>
      <x:c r="C1564" s="1" t="s">
        <x:v>4554</x:v>
      </x:c>
      <x:c r="D1564" s="1" t="s">
        <x:v>4562</x:v>
      </x:c>
      <x:c r="E1564" s="1" t="s">
        <x:v>4563</x:v>
      </x:c>
      <x:c r="F1564" s="1" t="s">
        <x:v>4557</x:v>
      </x:c>
      <x:c r="G1564" s="1" t="s">
        <x:v>109</x:v>
      </x:c>
      <x:c r="H1564" s="1" t="s">
        <x:v>4558</x:v>
      </x:c>
      <x:c r="I1564" s="1" t="s">
        <x:v>4559</x:v>
      </x:c>
      <x:c r="J1564" s="1" t="s">
        <x:v>112</x:v>
      </x:c>
      <x:c r="K1564" s="1" t="s">
        <x:v>4564</x:v>
      </x:c>
      <x:c r="L1564" s="1" t="s">
        <x:v>4564</x:v>
      </x:c>
      <x:c r="O1564" s="1" t="s">
        <x:v>114</x:v>
      </x:c>
      <x:c r="P1564" s="1" t="s">
        <x:v>115</x:v>
      </x:c>
      <x:c r="Q1564" s="1" t="s">
        <x:v>45</x:v>
      </x:c>
      <x:c r="R1564" s="1" t="s">
        <x:v>4560</x:v>
      </x:c>
      <x:c r="T1564" s="1" t="s">
        <x:v>27</x:v>
      </x:c>
      <x:c r="U1564" s="1" t="s">
        <x:v>3474</x:v>
      </x:c>
      <x:c r="V1564" s="1" t="s">
        <x:v>4342</x:v>
      </x:c>
    </x:row>
    <x:row r="1565" ht="15" hidden="0" customHeight="1">
      <x:c r="A1565" s="1" t="s">
        <x:v>4565</x:v>
      </x:c>
      <x:c r="B1565" s="1" t="s">
        <x:v>4553</x:v>
      </x:c>
      <x:c r="C1565" s="1" t="s">
        <x:v>4554</x:v>
      </x:c>
      <x:c r="D1565" s="1" t="s">
        <x:v>4566</x:v>
      </x:c>
      <x:c r="E1565" s="1" t="s">
        <x:v>30</x:v>
      </x:c>
      <x:c r="F1565" s="1" t="s">
        <x:v>4557</x:v>
      </x:c>
      <x:c r="G1565" s="1" t="s">
        <x:v>181</x:v>
      </x:c>
      <x:c r="H1565" s="1" t="s">
        <x:v>4558</x:v>
      </x:c>
      <x:c r="I1565" s="1" t="s">
        <x:v>4559</x:v>
      </x:c>
      <x:c r="J1565" s="1" t="s">
        <x:v>112</x:v>
      </x:c>
      <x:c r="K1565" s="1" t="s">
        <x:v>4567</x:v>
      </x:c>
      <x:c r="L1565" s="1" t="s">
        <x:v>4567</x:v>
      </x:c>
      <x:c r="O1565" s="1" t="s">
        <x:v>114</x:v>
      </x:c>
      <x:c r="P1565" s="1" t="s">
        <x:v>115</x:v>
      </x:c>
      <x:c r="Q1565" s="1" t="s">
        <x:v>45</x:v>
      </x:c>
      <x:c r="R1565" s="1" t="s">
        <x:v>4568</x:v>
      </x:c>
      <x:c r="T1565" s="1" t="s">
        <x:v>30</x:v>
      </x:c>
      <x:c r="U1565" s="1" t="s">
        <x:v>3474</x:v>
      </x:c>
      <x:c r="V1565" s="1" t="s">
        <x:v>4342</x:v>
      </x:c>
    </x:row>
    <x:row r="1566" ht="15" hidden="0" customHeight="1">
      <x:c r="A1566" s="1" t="s">
        <x:v>4569</x:v>
      </x:c>
      <x:c r="B1566" s="1" t="s">
        <x:v>4570</x:v>
      </x:c>
      <x:c r="C1566" s="1" t="s">
        <x:v>4571</x:v>
      </x:c>
      <x:c r="D1566" s="1" t="s">
        <x:v>4555</x:v>
      </x:c>
      <x:c r="E1566" s="1" t="s">
        <x:v>4572</x:v>
      </x:c>
      <x:c r="F1566" s="1" t="s">
        <x:v>4557</x:v>
      </x:c>
      <x:c r="G1566" s="1" t="s">
        <x:v>109</x:v>
      </x:c>
      <x:c r="H1566" s="1" t="s">
        <x:v>4573</x:v>
      </x:c>
      <x:c r="I1566" s="1" t="s">
        <x:v>4574</x:v>
      </x:c>
      <x:c r="J1566" s="1" t="s">
        <x:v>112</x:v>
      </x:c>
      <x:c r="K1566" s="1" t="s">
        <x:v>4575</x:v>
      </x:c>
      <x:c r="L1566" s="1" t="s">
        <x:v>4575</x:v>
      </x:c>
      <x:c r="O1566" s="1" t="s">
        <x:v>114</x:v>
      </x:c>
      <x:c r="P1566" s="1" t="s">
        <x:v>115</x:v>
      </x:c>
      <x:c r="Q1566" s="1" t="s">
        <x:v>45</x:v>
      </x:c>
      <x:c r="R1566" s="1" t="s">
        <x:v>4560</x:v>
      </x:c>
      <x:c r="T1566" s="1" t="s">
        <x:v>27</x:v>
      </x:c>
      <x:c r="U1566" s="1" t="s">
        <x:v>3474</x:v>
      </x:c>
      <x:c r="V1566" s="1" t="s">
        <x:v>4342</x:v>
      </x:c>
    </x:row>
    <x:row r="1567" ht="15" hidden="0" customHeight="1">
      <x:c r="A1567" s="1" t="s">
        <x:v>4576</x:v>
      </x:c>
      <x:c r="B1567" s="1" t="s">
        <x:v>4570</x:v>
      </x:c>
      <x:c r="C1567" s="1" t="s">
        <x:v>4571</x:v>
      </x:c>
      <x:c r="D1567" s="1" t="s">
        <x:v>4562</x:v>
      </x:c>
      <x:c r="E1567" s="1" t="s">
        <x:v>4577</x:v>
      </x:c>
      <x:c r="F1567" s="1" t="s">
        <x:v>4557</x:v>
      </x:c>
      <x:c r="G1567" s="1" t="s">
        <x:v>109</x:v>
      </x:c>
      <x:c r="H1567" s="1" t="s">
        <x:v>4573</x:v>
      </x:c>
      <x:c r="I1567" s="1" t="s">
        <x:v>4574</x:v>
      </x:c>
      <x:c r="J1567" s="1" t="s">
        <x:v>112</x:v>
      </x:c>
      <x:c r="K1567" s="1" t="s">
        <x:v>4578</x:v>
      </x:c>
      <x:c r="L1567" s="1" t="s">
        <x:v>4578</x:v>
      </x:c>
      <x:c r="O1567" s="1" t="s">
        <x:v>114</x:v>
      </x:c>
      <x:c r="P1567" s="1" t="s">
        <x:v>115</x:v>
      </x:c>
      <x:c r="Q1567" s="1" t="s">
        <x:v>45</x:v>
      </x:c>
      <x:c r="R1567" s="1" t="s">
        <x:v>4560</x:v>
      </x:c>
      <x:c r="T1567" s="1" t="s">
        <x:v>27</x:v>
      </x:c>
      <x:c r="U1567" s="1" t="s">
        <x:v>3474</x:v>
      </x:c>
      <x:c r="V1567" s="1" t="s">
        <x:v>4342</x:v>
      </x:c>
    </x:row>
    <x:row r="1568" ht="15" hidden="0" customHeight="1">
      <x:c r="A1568" s="1" t="s">
        <x:v>4579</x:v>
      </x:c>
      <x:c r="B1568" s="1" t="s">
        <x:v>4570</x:v>
      </x:c>
      <x:c r="C1568" s="1" t="s">
        <x:v>4571</x:v>
      </x:c>
      <x:c r="D1568" s="1" t="s">
        <x:v>4471</x:v>
      </x:c>
      <x:c r="E1568" s="1" t="s">
        <x:v>4580</x:v>
      </x:c>
      <x:c r="F1568" s="1" t="s">
        <x:v>4557</x:v>
      </x:c>
      <x:c r="G1568" s="1" t="s">
        <x:v>192</x:v>
      </x:c>
      <x:c r="H1568" s="1" t="s">
        <x:v>4573</x:v>
      </x:c>
      <x:c r="I1568" s="1" t="s">
        <x:v>4574</x:v>
      </x:c>
      <x:c r="J1568" s="1" t="s">
        <x:v>112</x:v>
      </x:c>
      <x:c r="K1568" s="1" t="s">
        <x:v>4581</x:v>
      </x:c>
      <x:c r="L1568" s="1" t="s">
        <x:v>4581</x:v>
      </x:c>
      <x:c r="O1568" s="1" t="s">
        <x:v>114</x:v>
      </x:c>
      <x:c r="P1568" s="1" t="s">
        <x:v>115</x:v>
      </x:c>
      <x:c r="Q1568" s="1" t="s">
        <x:v>45</x:v>
      </x:c>
      <x:c r="R1568" s="1" t="s">
        <x:v>4560</x:v>
      </x:c>
      <x:c r="T1568" s="1" t="s">
        <x:v>27</x:v>
      </x:c>
      <x:c r="U1568" s="1" t="s">
        <x:v>3474</x:v>
      </x:c>
      <x:c r="V1568" s="1" t="s">
        <x:v>4342</x:v>
      </x:c>
    </x:row>
    <x:row r="1569" ht="15" hidden="0" customHeight="1">
      <x:c r="A1569" s="1" t="s">
        <x:v>4582</x:v>
      </x:c>
      <x:c r="B1569" s="1" t="s">
        <x:v>4570</x:v>
      </x:c>
      <x:c r="C1569" s="1" t="s">
        <x:v>4571</x:v>
      </x:c>
      <x:c r="D1569" s="1" t="s">
        <x:v>4566</x:v>
      </x:c>
      <x:c r="E1569" s="1" t="s">
        <x:v>32</x:v>
      </x:c>
      <x:c r="F1569" s="1" t="s">
        <x:v>4557</x:v>
      </x:c>
      <x:c r="G1569" s="1" t="s">
        <x:v>181</x:v>
      </x:c>
      <x:c r="H1569" s="1" t="s">
        <x:v>4573</x:v>
      </x:c>
      <x:c r="I1569" s="1" t="s">
        <x:v>4574</x:v>
      </x:c>
      <x:c r="J1569" s="1" t="s">
        <x:v>112</x:v>
      </x:c>
      <x:c r="K1569" s="1" t="s">
        <x:v>4583</x:v>
      </x:c>
      <x:c r="L1569" s="1" t="s">
        <x:v>4583</x:v>
      </x:c>
      <x:c r="O1569" s="1" t="s">
        <x:v>114</x:v>
      </x:c>
      <x:c r="P1569" s="1" t="s">
        <x:v>115</x:v>
      </x:c>
      <x:c r="Q1569" s="1" t="s">
        <x:v>45</x:v>
      </x:c>
      <x:c r="R1569" s="1" t="s">
        <x:v>4560</x:v>
      </x:c>
      <x:c r="T1569" s="1" t="s">
        <x:v>32</x:v>
      </x:c>
      <x:c r="U1569" s="1" t="s">
        <x:v>3474</x:v>
      </x:c>
      <x:c r="V1569" s="1" t="s">
        <x:v>4342</x:v>
      </x:c>
    </x:row>
    <x:row r="1570" ht="15" hidden="0" customHeight="1">
      <x:c r="A1570" s="1" t="s">
        <x:v>4584</x:v>
      </x:c>
      <x:c r="B1570" s="1" t="s">
        <x:v>4585</x:v>
      </x:c>
      <x:c r="C1570" s="1" t="s">
        <x:v>4586</x:v>
      </x:c>
      <x:c r="D1570" s="1" t="s">
        <x:v>1704</x:v>
      </x:c>
      <x:c r="E1570" s="1" t="s">
        <x:v>4587</x:v>
      </x:c>
      <x:c r="F1570" s="1" t="s">
        <x:v>108</x:v>
      </x:c>
      <x:c r="G1570" s="1" t="s">
        <x:v>109</x:v>
      </x:c>
      <x:c r="H1570" s="1" t="s">
        <x:v>4588</x:v>
      </x:c>
      <x:c r="I1570" s="1" t="s">
        <x:v>4589</x:v>
      </x:c>
      <x:c r="J1570" s="1" t="s">
        <x:v>4590</x:v>
      </x:c>
      <x:c r="K1570" s="1" t="s">
        <x:v>113</x:v>
      </x:c>
      <x:c r="L1570" s="1" t="s">
        <x:v>113</x:v>
      </x:c>
      <x:c r="O1570" s="1" t="s">
        <x:v>4591</x:v>
      </x:c>
      <x:c r="P1570" s="1" t="s">
        <x:v>115</x:v>
      </x:c>
      <x:c r="Q1570" s="1" t="s">
        <x:v>45</x:v>
      </x:c>
      <x:c r="R1570" s="1" t="s">
        <x:v>4592</x:v>
      </x:c>
      <x:c r="T1570" s="1" t="s">
        <x:v>27</x:v>
      </x:c>
      <x:c r="U1570" s="1" t="s">
        <x:v>3474</x:v>
      </x:c>
      <x:c r="V1570" s="1" t="s">
        <x:v>4342</x:v>
      </x:c>
    </x:row>
    <x:row r="1571" ht="15" hidden="0" customHeight="1">
      <x:c r="A1571" s="1" t="s">
        <x:v>4593</x:v>
      </x:c>
      <x:c r="B1571" s="1" t="s">
        <x:v>4585</x:v>
      </x:c>
      <x:c r="C1571" s="1" t="s">
        <x:v>4586</x:v>
      </x:c>
      <x:c r="D1571" s="1" t="s">
        <x:v>4387</x:v>
      </x:c>
      <x:c r="E1571" s="1" t="s">
        <x:v>4594</x:v>
      </x:c>
      <x:c r="F1571" s="1" t="s">
        <x:v>108</x:v>
      </x:c>
      <x:c r="G1571" s="1" t="s">
        <x:v>109</x:v>
      </x:c>
      <x:c r="H1571" s="1" t="s">
        <x:v>4588</x:v>
      </x:c>
      <x:c r="I1571" s="1" t="s">
        <x:v>4589</x:v>
      </x:c>
      <x:c r="J1571" s="1" t="s">
        <x:v>4590</x:v>
      </x:c>
      <x:c r="K1571" s="1" t="s">
        <x:v>4595</x:v>
      </x:c>
      <x:c r="L1571" s="1" t="s">
        <x:v>4595</x:v>
      </x:c>
      <x:c r="O1571" s="1" t="s">
        <x:v>4591</x:v>
      </x:c>
      <x:c r="P1571" s="1" t="s">
        <x:v>115</x:v>
      </x:c>
      <x:c r="Q1571" s="1" t="s">
        <x:v>45</x:v>
      </x:c>
      <x:c r="R1571" s="1" t="s">
        <x:v>4596</x:v>
      </x:c>
      <x:c r="T1571" s="1" t="s">
        <x:v>27</x:v>
      </x:c>
      <x:c r="U1571" s="1" t="s">
        <x:v>3474</x:v>
      </x:c>
      <x:c r="V1571" s="1" t="s">
        <x:v>4342</x:v>
      </x:c>
    </x:row>
    <x:row r="1572" ht="15" hidden="0" customHeight="1">
      <x:c r="A1572" s="1" t="s">
        <x:v>4597</x:v>
      </x:c>
      <x:c r="B1572" s="1" t="s">
        <x:v>4585</x:v>
      </x:c>
      <x:c r="C1572" s="1" t="s">
        <x:v>4586</x:v>
      </x:c>
      <x:c r="D1572" s="1" t="s">
        <x:v>3208</x:v>
      </x:c>
      <x:c r="E1572" s="1" t="s">
        <x:v>4598</x:v>
      </x:c>
      <x:c r="F1572" s="1" t="s">
        <x:v>108</x:v>
      </x:c>
      <x:c r="G1572" s="1" t="s">
        <x:v>109</x:v>
      </x:c>
      <x:c r="H1572" s="1" t="s">
        <x:v>4588</x:v>
      </x:c>
      <x:c r="I1572" s="1" t="s">
        <x:v>4589</x:v>
      </x:c>
      <x:c r="J1572" s="1" t="s">
        <x:v>4590</x:v>
      </x:c>
      <x:c r="K1572" s="1" t="s">
        <x:v>4599</x:v>
      </x:c>
      <x:c r="L1572" s="1" t="s">
        <x:v>4599</x:v>
      </x:c>
      <x:c r="O1572" s="1" t="s">
        <x:v>4591</x:v>
      </x:c>
      <x:c r="P1572" s="1" t="s">
        <x:v>115</x:v>
      </x:c>
      <x:c r="Q1572" s="1" t="s">
        <x:v>45</x:v>
      </x:c>
      <x:c r="R1572" s="1" t="s">
        <x:v>4592</x:v>
      </x:c>
      <x:c r="T1572" s="1" t="s">
        <x:v>27</x:v>
      </x:c>
      <x:c r="U1572" s="1" t="s">
        <x:v>3474</x:v>
      </x:c>
      <x:c r="V1572" s="1" t="s">
        <x:v>4342</x:v>
      </x:c>
    </x:row>
    <x:row r="1573" ht="15" hidden="0" customHeight="1">
      <x:c r="A1573" s="1" t="s">
        <x:v>4600</x:v>
      </x:c>
      <x:c r="B1573" s="1" t="s">
        <x:v>4585</x:v>
      </x:c>
      <x:c r="C1573" s="1" t="s">
        <x:v>4586</x:v>
      </x:c>
      <x:c r="D1573" s="1" t="s">
        <x:v>2129</x:v>
      </x:c>
      <x:c r="E1573" s="1" t="s">
        <x:v>4601</x:v>
      </x:c>
      <x:c r="F1573" s="1" t="s">
        <x:v>108</x:v>
      </x:c>
      <x:c r="G1573" s="1" t="s">
        <x:v>109</x:v>
      </x:c>
      <x:c r="H1573" s="1" t="s">
        <x:v>4588</x:v>
      </x:c>
      <x:c r="I1573" s="1" t="s">
        <x:v>4589</x:v>
      </x:c>
      <x:c r="J1573" s="1" t="s">
        <x:v>4590</x:v>
      </x:c>
      <x:c r="K1573" s="1" t="s">
        <x:v>4602</x:v>
      </x:c>
      <x:c r="L1573" s="1" t="s">
        <x:v>4602</x:v>
      </x:c>
      <x:c r="O1573" s="1" t="s">
        <x:v>4591</x:v>
      </x:c>
      <x:c r="P1573" s="1" t="s">
        <x:v>115</x:v>
      </x:c>
      <x:c r="Q1573" s="1" t="s">
        <x:v>45</x:v>
      </x:c>
      <x:c r="R1573" s="1" t="s">
        <x:v>4592</x:v>
      </x:c>
      <x:c r="T1573" s="1" t="s">
        <x:v>27</x:v>
      </x:c>
      <x:c r="U1573" s="1" t="s">
        <x:v>3474</x:v>
      </x:c>
      <x:c r="V1573" s="1" t="s">
        <x:v>4342</x:v>
      </x:c>
    </x:row>
    <x:row r="1574" ht="15" hidden="0" customHeight="1">
      <x:c r="A1574" s="1" t="s">
        <x:v>4603</x:v>
      </x:c>
      <x:c r="B1574" s="1" t="s">
        <x:v>4585</x:v>
      </x:c>
      <x:c r="C1574" s="1" t="s">
        <x:v>4586</x:v>
      </x:c>
      <x:c r="D1574" s="1" t="s">
        <x:v>4604</x:v>
      </x:c>
      <x:c r="E1574" s="1" t="s">
        <x:v>4605</x:v>
      </x:c>
      <x:c r="F1574" s="1" t="s">
        <x:v>108</x:v>
      </x:c>
      <x:c r="G1574" s="1" t="s">
        <x:v>109</x:v>
      </x:c>
      <x:c r="H1574" s="1" t="s">
        <x:v>4588</x:v>
      </x:c>
      <x:c r="I1574" s="1" t="s">
        <x:v>4589</x:v>
      </x:c>
      <x:c r="J1574" s="1" t="s">
        <x:v>4590</x:v>
      </x:c>
      <x:c r="K1574" s="1" t="s">
        <x:v>113</x:v>
      </x:c>
      <x:c r="L1574" s="1" t="s">
        <x:v>113</x:v>
      </x:c>
      <x:c r="O1574" s="1" t="s">
        <x:v>4591</x:v>
      </x:c>
      <x:c r="P1574" s="1" t="s">
        <x:v>115</x:v>
      </x:c>
      <x:c r="Q1574" s="1" t="s">
        <x:v>45</x:v>
      </x:c>
      <x:c r="R1574" s="1" t="s">
        <x:v>4592</x:v>
      </x:c>
      <x:c r="T1574" s="1" t="s">
        <x:v>27</x:v>
      </x:c>
      <x:c r="U1574" s="1" t="s">
        <x:v>3474</x:v>
      </x:c>
      <x:c r="V1574" s="1" t="s">
        <x:v>4342</x:v>
      </x:c>
    </x:row>
    <x:row r="1575" ht="15" hidden="0" customHeight="1">
      <x:c r="A1575" s="1" t="s">
        <x:v>4606</x:v>
      </x:c>
      <x:c r="B1575" s="1" t="s">
        <x:v>4585</x:v>
      </x:c>
      <x:c r="C1575" s="1" t="s">
        <x:v>4586</x:v>
      </x:c>
      <x:c r="D1575" s="1" t="s">
        <x:v>871</x:v>
      </x:c>
      <x:c r="E1575" s="1" t="s">
        <x:v>4607</x:v>
      </x:c>
      <x:c r="F1575" s="1" t="s">
        <x:v>108</x:v>
      </x:c>
      <x:c r="G1575" s="1" t="s">
        <x:v>109</x:v>
      </x:c>
      <x:c r="H1575" s="1" t="s">
        <x:v>4588</x:v>
      </x:c>
      <x:c r="I1575" s="1" t="s">
        <x:v>4589</x:v>
      </x:c>
      <x:c r="J1575" s="1" t="s">
        <x:v>4590</x:v>
      </x:c>
      <x:c r="K1575" s="1" t="s">
        <x:v>1700</x:v>
      </x:c>
      <x:c r="L1575" s="1" t="s">
        <x:v>1700</x:v>
      </x:c>
      <x:c r="O1575" s="1" t="s">
        <x:v>4591</x:v>
      </x:c>
      <x:c r="P1575" s="1" t="s">
        <x:v>115</x:v>
      </x:c>
      <x:c r="Q1575" s="1" t="s">
        <x:v>45</x:v>
      </x:c>
      <x:c r="R1575" s="1" t="s">
        <x:v>4592</x:v>
      </x:c>
      <x:c r="T1575" s="1" t="s">
        <x:v>27</x:v>
      </x:c>
      <x:c r="U1575" s="1" t="s">
        <x:v>3474</x:v>
      </x:c>
      <x:c r="V1575" s="1" t="s">
        <x:v>4342</x:v>
      </x:c>
    </x:row>
    <x:row r="1576" ht="15" hidden="0" customHeight="1">
      <x:c r="A1576" s="1" t="s">
        <x:v>4608</x:v>
      </x:c>
      <x:c r="B1576" s="1" t="s">
        <x:v>4585</x:v>
      </x:c>
      <x:c r="C1576" s="1" t="s">
        <x:v>4586</x:v>
      </x:c>
      <x:c r="D1576" s="1" t="s">
        <x:v>1066</x:v>
      </x:c>
      <x:c r="E1576" s="1" t="s">
        <x:v>4609</x:v>
      </x:c>
      <x:c r="F1576" s="1" t="s">
        <x:v>108</x:v>
      </x:c>
      <x:c r="G1576" s="1" t="s">
        <x:v>109</x:v>
      </x:c>
      <x:c r="H1576" s="1" t="s">
        <x:v>4588</x:v>
      </x:c>
      <x:c r="I1576" s="1" t="s">
        <x:v>4589</x:v>
      </x:c>
      <x:c r="J1576" s="1" t="s">
        <x:v>4590</x:v>
      </x:c>
      <x:c r="K1576" s="1" t="s">
        <x:v>1696</x:v>
      </x:c>
      <x:c r="L1576" s="1" t="s">
        <x:v>1696</x:v>
      </x:c>
      <x:c r="O1576" s="1" t="s">
        <x:v>4591</x:v>
      </x:c>
      <x:c r="P1576" s="1" t="s">
        <x:v>115</x:v>
      </x:c>
      <x:c r="Q1576" s="1" t="s">
        <x:v>45</x:v>
      </x:c>
      <x:c r="R1576" s="1" t="s">
        <x:v>4592</x:v>
      </x:c>
      <x:c r="T1576" s="1" t="s">
        <x:v>27</x:v>
      </x:c>
      <x:c r="U1576" s="1" t="s">
        <x:v>3474</x:v>
      </x:c>
      <x:c r="V1576" s="1" t="s">
        <x:v>4342</x:v>
      </x:c>
    </x:row>
    <x:row r="1577" ht="15" hidden="0" customHeight="1">
      <x:c r="A1577" s="1" t="s">
        <x:v>4610</x:v>
      </x:c>
      <x:c r="B1577" s="1" t="s">
        <x:v>4585</x:v>
      </x:c>
      <x:c r="C1577" s="1" t="s">
        <x:v>4586</x:v>
      </x:c>
      <x:c r="D1577" s="1" t="s">
        <x:v>4611</x:v>
      </x:c>
      <x:c r="E1577" s="1" t="s">
        <x:v>30</x:v>
      </x:c>
      <x:c r="F1577" s="1" t="s">
        <x:v>108</x:v>
      </x:c>
      <x:c r="G1577" s="1" t="s">
        <x:v>181</x:v>
      </x:c>
      <x:c r="H1577" s="1" t="s">
        <x:v>4588</x:v>
      </x:c>
      <x:c r="I1577" s="1" t="s">
        <x:v>4589</x:v>
      </x:c>
      <x:c r="J1577" s="1" t="s">
        <x:v>4590</x:v>
      </x:c>
      <x:c r="K1577" s="1" t="s">
        <x:v>4612</x:v>
      </x:c>
      <x:c r="L1577" s="1" t="s">
        <x:v>4612</x:v>
      </x:c>
      <x:c r="O1577" s="1" t="s">
        <x:v>4591</x:v>
      </x:c>
      <x:c r="P1577" s="1" t="s">
        <x:v>115</x:v>
      </x:c>
      <x:c r="Q1577" s="1" t="s">
        <x:v>45</x:v>
      </x:c>
      <x:c r="R1577" s="1" t="s">
        <x:v>4592</x:v>
      </x:c>
      <x:c r="T1577" s="1" t="s">
        <x:v>30</x:v>
      </x:c>
      <x:c r="U1577" s="1" t="s">
        <x:v>3474</x:v>
      </x:c>
      <x:c r="V1577" s="1" t="s">
        <x:v>4342</x:v>
      </x:c>
    </x:row>
    <x:row r="1578" ht="15" hidden="0" customHeight="1">
      <x:c r="A1578" s="1" t="s">
        <x:v>4613</x:v>
      </x:c>
      <x:c r="B1578" s="1" t="s">
        <x:v>4614</x:v>
      </x:c>
      <x:c r="C1578" s="1" t="s">
        <x:v>4615</x:v>
      </x:c>
      <x:c r="D1578" s="1" t="s">
        <x:v>1704</x:v>
      </x:c>
      <x:c r="E1578" s="1" t="s">
        <x:v>4616</x:v>
      </x:c>
      <x:c r="F1578" s="1" t="s">
        <x:v>4617</x:v>
      </x:c>
      <x:c r="G1578" s="1" t="s">
        <x:v>109</x:v>
      </x:c>
      <x:c r="H1578" s="1" t="s">
        <x:v>4618</x:v>
      </x:c>
      <x:c r="I1578" s="1" t="s">
        <x:v>4619</x:v>
      </x:c>
      <x:c r="J1578" s="1" t="s">
        <x:v>4620</x:v>
      </x:c>
      <x:c r="K1578" s="1" t="s">
        <x:v>113</x:v>
      </x:c>
      <x:c r="L1578" s="1" t="s">
        <x:v>113</x:v>
      </x:c>
      <x:c r="O1578" s="1" t="s">
        <x:v>544</x:v>
      </x:c>
      <x:c r="P1578" s="1" t="s">
        <x:v>115</x:v>
      </x:c>
      <x:c r="Q1578" s="1" t="s">
        <x:v>45</x:v>
      </x:c>
      <x:c r="R1578" s="1" t="s">
        <x:v>4621</x:v>
      </x:c>
      <x:c r="T1578" s="1" t="s">
        <x:v>27</x:v>
      </x:c>
      <x:c r="U1578" s="1" t="s">
        <x:v>3474</x:v>
      </x:c>
      <x:c r="V1578" s="1" t="s">
        <x:v>4342</x:v>
      </x:c>
    </x:row>
    <x:row r="1579" ht="15" hidden="0" customHeight="1">
      <x:c r="A1579" s="1" t="s">
        <x:v>4622</x:v>
      </x:c>
      <x:c r="B1579" s="1" t="s">
        <x:v>4614</x:v>
      </x:c>
      <x:c r="C1579" s="1" t="s">
        <x:v>4615</x:v>
      </x:c>
      <x:c r="D1579" s="1" t="s">
        <x:v>4623</x:v>
      </x:c>
      <x:c r="E1579" s="1" t="s">
        <x:v>4624</x:v>
      </x:c>
      <x:c r="F1579" s="1" t="s">
        <x:v>4617</x:v>
      </x:c>
      <x:c r="G1579" s="1" t="s">
        <x:v>109</x:v>
      </x:c>
      <x:c r="H1579" s="1" t="s">
        <x:v>4618</x:v>
      </x:c>
      <x:c r="I1579" s="1" t="s">
        <x:v>4619</x:v>
      </x:c>
      <x:c r="J1579" s="1" t="s">
        <x:v>4620</x:v>
      </x:c>
      <x:c r="K1579" s="1" t="s">
        <x:v>113</x:v>
      </x:c>
      <x:c r="L1579" s="1" t="s">
        <x:v>113</x:v>
      </x:c>
      <x:c r="O1579" s="1" t="s">
        <x:v>544</x:v>
      </x:c>
      <x:c r="P1579" s="1" t="s">
        <x:v>115</x:v>
      </x:c>
      <x:c r="Q1579" s="1" t="s">
        <x:v>45</x:v>
      </x:c>
      <x:c r="R1579" s="1" t="s">
        <x:v>4621</x:v>
      </x:c>
      <x:c r="T1579" s="1" t="s">
        <x:v>27</x:v>
      </x:c>
      <x:c r="U1579" s="1" t="s">
        <x:v>3474</x:v>
      </x:c>
      <x:c r="V1579" s="1" t="s">
        <x:v>4342</x:v>
      </x:c>
    </x:row>
    <x:row r="1580" ht="15" hidden="0" customHeight="1">
      <x:c r="A1580" s="1" t="s">
        <x:v>4625</x:v>
      </x:c>
      <x:c r="B1580" s="1" t="s">
        <x:v>4614</x:v>
      </x:c>
      <x:c r="C1580" s="1" t="s">
        <x:v>4615</x:v>
      </x:c>
      <x:c r="D1580" s="1" t="s">
        <x:v>4626</x:v>
      </x:c>
      <x:c r="E1580" s="1" t="s">
        <x:v>30</x:v>
      </x:c>
      <x:c r="F1580" s="1" t="s">
        <x:v>4617</x:v>
      </x:c>
      <x:c r="G1580" s="1" t="s">
        <x:v>181</x:v>
      </x:c>
      <x:c r="H1580" s="1" t="s">
        <x:v>4618</x:v>
      </x:c>
      <x:c r="I1580" s="1" t="s">
        <x:v>4619</x:v>
      </x:c>
      <x:c r="J1580" s="1" t="s">
        <x:v>4620</x:v>
      </x:c>
      <x:c r="K1580" s="1" t="s">
        <x:v>113</x:v>
      </x:c>
      <x:c r="L1580" s="1" t="s">
        <x:v>113</x:v>
      </x:c>
      <x:c r="O1580" s="1" t="s">
        <x:v>544</x:v>
      </x:c>
      <x:c r="P1580" s="1" t="s">
        <x:v>115</x:v>
      </x:c>
      <x:c r="Q1580" s="1" t="s">
        <x:v>45</x:v>
      </x:c>
      <x:c r="R1580" s="1" t="s">
        <x:v>4627</x:v>
      </x:c>
      <x:c r="T1580" s="1" t="s">
        <x:v>30</x:v>
      </x:c>
      <x:c r="U1580" s="1" t="s">
        <x:v>3474</x:v>
      </x:c>
      <x:c r="V1580" s="1" t="s">
        <x:v>4342</x:v>
      </x:c>
    </x:row>
    <x:row r="1581" ht="15" hidden="0" customHeight="1">
      <x:c r="A1581" s="10" t="s">
        <x:v>4628</x:v>
      </x:c>
      <x:c r="B1581" s="10" t="s">
        <x:v>4629</x:v>
      </x:c>
      <x:c r="C1581" s="10" t="s">
        <x:v>4630</x:v>
      </x:c>
      <x:c r="D1581" s="10" t="s">
        <x:v>1704</x:v>
      </x:c>
      <x:c r="E1581" s="10" t="s">
        <x:v>4631</x:v>
      </x:c>
      <x:c r="F1581" s="10" t="s">
        <x:v>108</x:v>
      </x:c>
      <x:c r="G1581" s="10" t="s">
        <x:v>109</x:v>
      </x:c>
      <x:c r="H1581" s="10" t="s">
        <x:v>4632</x:v>
      </x:c>
      <x:c r="I1581" s="10" t="s">
        <x:v>4633</x:v>
      </x:c>
      <x:c r="J1581" s="10" t="s">
        <x:v>4634</x:v>
      </x:c>
      <x:c r="K1581" s="10" t="s">
        <x:v>4635</x:v>
      </x:c>
      <x:c r="L1581" s="10" t="s">
        <x:v>4635</x:v>
      </x:c>
      <x:c r="M1581" s="10"/>
      <x:c r="N1581" s="10" t="n">
        <x:v>1</x:v>
      </x:c>
      <x:c r="O1581" s="10" t="s">
        <x:v>4636</x:v>
      </x:c>
      <x:c r="P1581" s="10" t="s">
        <x:v>115</x:v>
      </x:c>
      <x:c r="Q1581" s="10" t="s">
        <x:v>45</x:v>
      </x:c>
      <x:c r="R1581" s="10"/>
      <x:c r="S1581" s="10"/>
      <x:c r="T1581" s="10" t="s">
        <x:v>27</x:v>
      </x:c>
      <x:c r="U1581" s="10" t="s">
        <x:v>3474</x:v>
      </x:c>
      <x:c r="V1581" s="10" t="s">
        <x:v>4637</x:v>
      </x:c>
    </x:row>
    <x:row r="1582" ht="15" hidden="0" customHeight="1">
      <x:c r="A1582" s="10" t="s">
        <x:v>4638</x:v>
      </x:c>
      <x:c r="B1582" s="10" t="s">
        <x:v>4629</x:v>
      </x:c>
      <x:c r="C1582" s="10" t="s">
        <x:v>4639</x:v>
      </x:c>
      <x:c r="D1582" s="10" t="s">
        <x:v>4490</x:v>
      </x:c>
      <x:c r="E1582" s="10" t="s">
        <x:v>4640</x:v>
      </x:c>
      <x:c r="F1582" s="10" t="s">
        <x:v>108</x:v>
      </x:c>
      <x:c r="G1582" s="10" t="s">
        <x:v>109</x:v>
      </x:c>
      <x:c r="H1582" s="10" t="s">
        <x:v>4632</x:v>
      </x:c>
      <x:c r="I1582" s="10" t="s">
        <x:v>4633</x:v>
      </x:c>
      <x:c r="J1582" s="10" t="s">
        <x:v>4634</x:v>
      </x:c>
      <x:c r="K1582" s="10" t="s">
        <x:v>2834</x:v>
      </x:c>
      <x:c r="L1582" s="10" t="s">
        <x:v>2834</x:v>
      </x:c>
      <x:c r="M1582" s="10"/>
      <x:c r="N1582" s="10" t="n">
        <x:v>2</x:v>
      </x:c>
      <x:c r="O1582" s="10" t="s">
        <x:v>4636</x:v>
      </x:c>
      <x:c r="P1582" s="10" t="s">
        <x:v>115</x:v>
      </x:c>
      <x:c r="Q1582" s="10" t="s">
        <x:v>45</x:v>
      </x:c>
      <x:c r="R1582" s="10"/>
      <x:c r="S1582" s="10"/>
      <x:c r="T1582" s="10" t="s">
        <x:v>27</x:v>
      </x:c>
      <x:c r="U1582" s="10" t="s">
        <x:v>3474</x:v>
      </x:c>
      <x:c r="V1582" s="10" t="s">
        <x:v>4637</x:v>
      </x:c>
    </x:row>
    <x:row r="1583" ht="15" hidden="0" customHeight="1">
      <x:c r="A1583" s="10" t="s">
        <x:v>4641</x:v>
      </x:c>
      <x:c r="B1583" s="10" t="s">
        <x:v>4629</x:v>
      </x:c>
      <x:c r="C1583" s="10" t="s">
        <x:v>4642</x:v>
      </x:c>
      <x:c r="D1583" s="10" t="s">
        <x:v>4490</x:v>
      </x:c>
      <x:c r="E1583" s="10" t="s">
        <x:v>4643</x:v>
      </x:c>
      <x:c r="F1583" s="10" t="s">
        <x:v>108</x:v>
      </x:c>
      <x:c r="G1583" s="10" t="s">
        <x:v>109</x:v>
      </x:c>
      <x:c r="H1583" s="10" t="s">
        <x:v>4632</x:v>
      </x:c>
      <x:c r="I1583" s="10" t="s">
        <x:v>4633</x:v>
      </x:c>
      <x:c r="J1583" s="10" t="s">
        <x:v>4634</x:v>
      </x:c>
      <x:c r="K1583" s="10" t="s">
        <x:v>1538</x:v>
      </x:c>
      <x:c r="L1583" s="10" t="s">
        <x:v>1538</x:v>
      </x:c>
      <x:c r="M1583" s="10"/>
      <x:c r="N1583" s="10" t="n">
        <x:v>10</x:v>
      </x:c>
      <x:c r="O1583" s="10" t="s">
        <x:v>4636</x:v>
      </x:c>
      <x:c r="P1583" s="10" t="s">
        <x:v>115</x:v>
      </x:c>
      <x:c r="Q1583" s="10" t="s">
        <x:v>45</x:v>
      </x:c>
      <x:c r="R1583" s="10"/>
      <x:c r="S1583" s="10"/>
      <x:c r="T1583" s="10" t="s">
        <x:v>27</x:v>
      </x:c>
      <x:c r="U1583" s="10" t="s">
        <x:v>3474</x:v>
      </x:c>
      <x:c r="V1583" s="10" t="s">
        <x:v>4637</x:v>
      </x:c>
    </x:row>
    <x:row r="1584" ht="15" hidden="0" customHeight="1">
      <x:c r="A1584" s="10" t="s">
        <x:v>4644</x:v>
      </x:c>
      <x:c r="B1584" s="10" t="s">
        <x:v>4629</x:v>
      </x:c>
      <x:c r="C1584" s="10" t="s">
        <x:v>4630</x:v>
      </x:c>
      <x:c r="D1584" s="10" t="s">
        <x:v>4645</x:v>
      </x:c>
      <x:c r="E1584" s="10" t="s">
        <x:v>4646</x:v>
      </x:c>
      <x:c r="F1584" s="10" t="s">
        <x:v>108</x:v>
      </x:c>
      <x:c r="G1584" s="10" t="s">
        <x:v>109</x:v>
      </x:c>
      <x:c r="H1584" s="10" t="s">
        <x:v>4632</x:v>
      </x:c>
      <x:c r="I1584" s="10" t="s">
        <x:v>4633</x:v>
      </x:c>
      <x:c r="J1584" s="10" t="s">
        <x:v>4634</x:v>
      </x:c>
      <x:c r="K1584" s="10" t="s">
        <x:v>4647</x:v>
      </x:c>
      <x:c r="L1584" s="10" t="s">
        <x:v>4647</x:v>
      </x:c>
      <x:c r="M1584" s="10"/>
      <x:c r="N1584" s="10" t="n">
        <x:v>3</x:v>
      </x:c>
      <x:c r="O1584" s="10" t="s">
        <x:v>4636</x:v>
      </x:c>
      <x:c r="P1584" s="10" t="s">
        <x:v>115</x:v>
      </x:c>
      <x:c r="Q1584" s="10" t="s">
        <x:v>45</x:v>
      </x:c>
      <x:c r="R1584" s="10"/>
      <x:c r="S1584" s="10"/>
      <x:c r="T1584" s="10" t="s">
        <x:v>27</x:v>
      </x:c>
      <x:c r="U1584" s="10" t="s">
        <x:v>3474</x:v>
      </x:c>
      <x:c r="V1584" s="10" t="s">
        <x:v>4637</x:v>
      </x:c>
    </x:row>
    <x:row r="1585" ht="15" hidden="0" customHeight="1">
      <x:c r="A1585" s="10" t="s">
        <x:v>4648</x:v>
      </x:c>
      <x:c r="B1585" s="10" t="s">
        <x:v>4629</x:v>
      </x:c>
      <x:c r="C1585" s="10" t="s">
        <x:v>4630</x:v>
      </x:c>
      <x:c r="D1585" s="10" t="s">
        <x:v>4649</x:v>
      </x:c>
      <x:c r="E1585" s="10" t="s">
        <x:v>4650</x:v>
      </x:c>
      <x:c r="F1585" s="10" t="s">
        <x:v>108</x:v>
      </x:c>
      <x:c r="G1585" s="10" t="s">
        <x:v>109</x:v>
      </x:c>
      <x:c r="H1585" s="10" t="s">
        <x:v>4632</x:v>
      </x:c>
      <x:c r="I1585" s="10" t="s">
        <x:v>4633</x:v>
      </x:c>
      <x:c r="J1585" s="10" t="s">
        <x:v>4634</x:v>
      </x:c>
      <x:c r="K1585" s="10" t="s">
        <x:v>1132</x:v>
      </x:c>
      <x:c r="L1585" s="10" t="s">
        <x:v>1132</x:v>
      </x:c>
      <x:c r="M1585" s="10"/>
      <x:c r="N1585" s="10" t="n">
        <x:v>4</x:v>
      </x:c>
      <x:c r="O1585" s="10" t="s">
        <x:v>4636</x:v>
      </x:c>
      <x:c r="P1585" s="10" t="s">
        <x:v>115</x:v>
      </x:c>
      <x:c r="Q1585" s="10" t="s">
        <x:v>45</x:v>
      </x:c>
      <x:c r="R1585" s="10"/>
      <x:c r="S1585" s="10"/>
      <x:c r="T1585" s="10" t="s">
        <x:v>27</x:v>
      </x:c>
      <x:c r="U1585" s="10" t="s">
        <x:v>3474</x:v>
      </x:c>
      <x:c r="V1585" s="10" t="s">
        <x:v>4637</x:v>
      </x:c>
    </x:row>
    <x:row r="1586" ht="15" hidden="0" customHeight="1">
      <x:c r="A1586" s="10" t="s">
        <x:v>4651</x:v>
      </x:c>
      <x:c r="B1586" s="10" t="s">
        <x:v>4629</x:v>
      </x:c>
      <x:c r="C1586" s="10" t="s">
        <x:v>4639</x:v>
      </x:c>
      <x:c r="D1586" s="10" t="s">
        <x:v>4652</x:v>
      </x:c>
      <x:c r="E1586" s="10" t="s">
        <x:v>4653</x:v>
      </x:c>
      <x:c r="F1586" s="10" t="s">
        <x:v>108</x:v>
      </x:c>
      <x:c r="G1586" s="10" t="s">
        <x:v>109</x:v>
      </x:c>
      <x:c r="H1586" s="10" t="s">
        <x:v>4632</x:v>
      </x:c>
      <x:c r="I1586" s="10" t="s">
        <x:v>4633</x:v>
      </x:c>
      <x:c r="J1586" s="10" t="s">
        <x:v>4634</x:v>
      </x:c>
      <x:c r="K1586" s="10" t="s">
        <x:v>1145</x:v>
      </x:c>
      <x:c r="L1586" s="10" t="s">
        <x:v>1145</x:v>
      </x:c>
      <x:c r="M1586" s="10"/>
      <x:c r="N1586" s="10" t="n">
        <x:v>5</x:v>
      </x:c>
      <x:c r="O1586" s="10" t="s">
        <x:v>4636</x:v>
      </x:c>
      <x:c r="P1586" s="10" t="s">
        <x:v>115</x:v>
      </x:c>
      <x:c r="Q1586" s="10" t="s">
        <x:v>45</x:v>
      </x:c>
      <x:c r="R1586" s="10"/>
      <x:c r="S1586" s="10" t="s">
        <x:v>914</x:v>
      </x:c>
      <x:c r="T1586" s="10" t="s">
        <x:v>27</x:v>
      </x:c>
      <x:c r="U1586" s="10" t="s">
        <x:v>3474</x:v>
      </x:c>
      <x:c r="V1586" s="10" t="s">
        <x:v>4637</x:v>
      </x:c>
    </x:row>
    <x:row r="1587" ht="15" hidden="0" customHeight="1">
      <x:c r="A1587" s="10" t="s">
        <x:v>4654</x:v>
      </x:c>
      <x:c r="B1587" s="10" t="s">
        <x:v>4629</x:v>
      </x:c>
      <x:c r="C1587" s="10" t="s">
        <x:v>4639</x:v>
      </x:c>
      <x:c r="D1587" s="10" t="s">
        <x:v>1943</x:v>
      </x:c>
      <x:c r="E1587" s="10" t="s">
        <x:v>4655</x:v>
      </x:c>
      <x:c r="F1587" s="10" t="s">
        <x:v>108</x:v>
      </x:c>
      <x:c r="G1587" s="10" t="s">
        <x:v>109</x:v>
      </x:c>
      <x:c r="H1587" s="10" t="s">
        <x:v>4632</x:v>
      </x:c>
      <x:c r="I1587" s="10" t="s">
        <x:v>4633</x:v>
      </x:c>
      <x:c r="J1587" s="10" t="s">
        <x:v>4634</x:v>
      </x:c>
      <x:c r="K1587" s="10" t="s">
        <x:v>1145</x:v>
      </x:c>
      <x:c r="L1587" s="10" t="s">
        <x:v>1145</x:v>
      </x:c>
      <x:c r="M1587" s="10"/>
      <x:c r="N1587" s="10" t="n">
        <x:v>5</x:v>
      </x:c>
      <x:c r="O1587" s="10" t="s">
        <x:v>4636</x:v>
      </x:c>
      <x:c r="P1587" s="10" t="s">
        <x:v>115</x:v>
      </x:c>
      <x:c r="Q1587" s="10" t="s">
        <x:v>45</x:v>
      </x:c>
      <x:c r="R1587" s="10"/>
      <x:c r="S1587" s="10" t="s">
        <x:v>914</x:v>
      </x:c>
      <x:c r="T1587" s="10" t="s">
        <x:v>27</x:v>
      </x:c>
      <x:c r="U1587" s="10" t="s">
        <x:v>3474</x:v>
      </x:c>
      <x:c r="V1587" s="10" t="s">
        <x:v>4637</x:v>
      </x:c>
    </x:row>
    <x:row r="1588" ht="15" hidden="0" customHeight="1">
      <x:c r="A1588" s="10" t="s">
        <x:v>4656</x:v>
      </x:c>
      <x:c r="B1588" s="10" t="s">
        <x:v>4629</x:v>
      </x:c>
      <x:c r="C1588" s="10" t="s">
        <x:v>4642</x:v>
      </x:c>
      <x:c r="D1588" s="10" t="s">
        <x:v>4652</x:v>
      </x:c>
      <x:c r="E1588" s="10" t="s">
        <x:v>4657</x:v>
      </x:c>
      <x:c r="F1588" s="10" t="s">
        <x:v>108</x:v>
      </x:c>
      <x:c r="G1588" s="10" t="s">
        <x:v>109</x:v>
      </x:c>
      <x:c r="H1588" s="10" t="s">
        <x:v>4632</x:v>
      </x:c>
      <x:c r="I1588" s="10" t="s">
        <x:v>4633</x:v>
      </x:c>
      <x:c r="J1588" s="10" t="s">
        <x:v>4634</x:v>
      </x:c>
      <x:c r="K1588" s="10" t="s">
        <x:v>113</x:v>
      </x:c>
      <x:c r="L1588" s="10" t="s">
        <x:v>113</x:v>
      </x:c>
      <x:c r="M1588" s="10"/>
      <x:c r="N1588" s="10" t="n">
        <x:v>1</x:v>
      </x:c>
      <x:c r="O1588" s="10" t="s">
        <x:v>4636</x:v>
      </x:c>
      <x:c r="P1588" s="10" t="s">
        <x:v>115</x:v>
      </x:c>
      <x:c r="Q1588" s="10" t="s">
        <x:v>45</x:v>
      </x:c>
      <x:c r="R1588" s="10"/>
      <x:c r="S1588" s="10" t="s">
        <x:v>914</x:v>
      </x:c>
      <x:c r="T1588" s="10" t="s">
        <x:v>27</x:v>
      </x:c>
      <x:c r="U1588" s="10" t="s">
        <x:v>3474</x:v>
      </x:c>
      <x:c r="V1588" s="10" t="s">
        <x:v>4637</x:v>
      </x:c>
    </x:row>
    <x:row r="1589" ht="15" hidden="0" customHeight="1">
      <x:c r="A1589" s="10" t="s">
        <x:v>4658</x:v>
      </x:c>
      <x:c r="B1589" s="10" t="s">
        <x:v>4629</x:v>
      </x:c>
      <x:c r="C1589" s="10" t="s">
        <x:v>4630</x:v>
      </x:c>
      <x:c r="D1589" s="10" t="s">
        <x:v>4387</x:v>
      </x:c>
      <x:c r="E1589" s="10" t="s">
        <x:v>4659</x:v>
      </x:c>
      <x:c r="F1589" s="10" t="s">
        <x:v>108</x:v>
      </x:c>
      <x:c r="G1589" s="10" t="s">
        <x:v>109</x:v>
      </x:c>
      <x:c r="H1589" s="10" t="s">
        <x:v>4632</x:v>
      </x:c>
      <x:c r="I1589" s="10" t="s">
        <x:v>4633</x:v>
      </x:c>
      <x:c r="J1589" s="10" t="s">
        <x:v>4634</x:v>
      </x:c>
      <x:c r="K1589" s="10" t="s">
        <x:v>4660</x:v>
      </x:c>
      <x:c r="L1589" s="10" t="s">
        <x:v>4660</x:v>
      </x:c>
      <x:c r="M1589" s="10"/>
      <x:c r="N1589" s="10" t="n">
        <x:v>4</x:v>
      </x:c>
      <x:c r="O1589" s="10" t="s">
        <x:v>4636</x:v>
      </x:c>
      <x:c r="P1589" s="10" t="s">
        <x:v>115</x:v>
      </x:c>
      <x:c r="Q1589" s="10" t="s">
        <x:v>45</x:v>
      </x:c>
      <x:c r="R1589" s="10"/>
      <x:c r="S1589" s="10"/>
      <x:c r="T1589" s="10" t="s">
        <x:v>27</x:v>
      </x:c>
      <x:c r="U1589" s="10" t="s">
        <x:v>3474</x:v>
      </x:c>
      <x:c r="V1589" s="10" t="s">
        <x:v>4637</x:v>
      </x:c>
    </x:row>
    <x:row r="1590" ht="15" hidden="0" customHeight="1">
      <x:c r="A1590" s="10" t="s">
        <x:v>4661</x:v>
      </x:c>
      <x:c r="B1590" s="10" t="s">
        <x:v>4629</x:v>
      </x:c>
      <x:c r="C1590" s="10" t="s">
        <x:v>4630</x:v>
      </x:c>
      <x:c r="D1590" s="10" t="s">
        <x:v>2059</x:v>
      </x:c>
      <x:c r="E1590" s="10" t="s">
        <x:v>4662</x:v>
      </x:c>
      <x:c r="F1590" s="10" t="s">
        <x:v>108</x:v>
      </x:c>
      <x:c r="G1590" s="10" t="s">
        <x:v>109</x:v>
      </x:c>
      <x:c r="H1590" s="10" t="s">
        <x:v>4632</x:v>
      </x:c>
      <x:c r="I1590" s="10" t="s">
        <x:v>4633</x:v>
      </x:c>
      <x:c r="J1590" s="10" t="s">
        <x:v>4634</x:v>
      </x:c>
      <x:c r="K1590" s="10" t="s">
        <x:v>1145</x:v>
      </x:c>
      <x:c r="L1590" s="10" t="s">
        <x:v>1145</x:v>
      </x:c>
      <x:c r="M1590" s="10"/>
      <x:c r="N1590" s="10" t="n">
        <x:v>5</x:v>
      </x:c>
      <x:c r="O1590" s="10" t="s">
        <x:v>4636</x:v>
      </x:c>
      <x:c r="P1590" s="10" t="s">
        <x:v>115</x:v>
      </x:c>
      <x:c r="Q1590" s="10" t="s">
        <x:v>45</x:v>
      </x:c>
      <x:c r="R1590" s="10"/>
      <x:c r="S1590" s="10"/>
      <x:c r="T1590" s="10" t="s">
        <x:v>27</x:v>
      </x:c>
      <x:c r="U1590" s="10" t="s">
        <x:v>3474</x:v>
      </x:c>
      <x:c r="V1590" s="10" t="s">
        <x:v>4637</x:v>
      </x:c>
    </x:row>
    <x:row r="1591" ht="15" hidden="0" customHeight="1">
      <x:c r="A1591" s="10" t="s">
        <x:v>4663</x:v>
      </x:c>
      <x:c r="B1591" s="10" t="s">
        <x:v>4629</x:v>
      </x:c>
      <x:c r="C1591" s="10" t="s">
        <x:v>4630</x:v>
      </x:c>
      <x:c r="D1591" s="10" t="s">
        <x:v>4664</x:v>
      </x:c>
      <x:c r="E1591" s="10" t="s">
        <x:v>4665</x:v>
      </x:c>
      <x:c r="F1591" s="10" t="s">
        <x:v>108</x:v>
      </x:c>
      <x:c r="G1591" s="10" t="s">
        <x:v>109</x:v>
      </x:c>
      <x:c r="H1591" s="10" t="s">
        <x:v>4632</x:v>
      </x:c>
      <x:c r="I1591" s="10" t="s">
        <x:v>4633</x:v>
      </x:c>
      <x:c r="J1591" s="10" t="s">
        <x:v>4634</x:v>
      </x:c>
      <x:c r="K1591" s="10" t="s">
        <x:v>4666</x:v>
      </x:c>
      <x:c r="L1591" s="10" t="s">
        <x:v>4666</x:v>
      </x:c>
      <x:c r="M1591" s="10"/>
      <x:c r="N1591" s="10" t="n">
        <x:v>4</x:v>
      </x:c>
      <x:c r="O1591" s="10" t="s">
        <x:v>4636</x:v>
      </x:c>
      <x:c r="P1591" s="10" t="s">
        <x:v>115</x:v>
      </x:c>
      <x:c r="Q1591" s="10" t="s">
        <x:v>45</x:v>
      </x:c>
      <x:c r="R1591" s="10" t="s">
        <x:v>4667</x:v>
      </x:c>
      <x:c r="S1591" s="10"/>
      <x:c r="T1591" s="10" t="s">
        <x:v>27</x:v>
      </x:c>
      <x:c r="U1591" s="10" t="s">
        <x:v>3474</x:v>
      </x:c>
      <x:c r="V1591" s="10" t="s">
        <x:v>4637</x:v>
      </x:c>
    </x:row>
    <x:row r="1592" ht="15" hidden="0" customHeight="1">
      <x:c r="A1592" s="10" t="s">
        <x:v>4668</x:v>
      </x:c>
      <x:c r="B1592" s="10" t="s">
        <x:v>4629</x:v>
      </x:c>
      <x:c r="C1592" s="10" t="s">
        <x:v>4630</x:v>
      </x:c>
      <x:c r="D1592" s="10" t="s">
        <x:v>4669</x:v>
      </x:c>
      <x:c r="E1592" s="10" t="s">
        <x:v>4670</x:v>
      </x:c>
      <x:c r="F1592" s="10" t="s">
        <x:v>108</x:v>
      </x:c>
      <x:c r="G1592" s="10" t="s">
        <x:v>109</x:v>
      </x:c>
      <x:c r="H1592" s="10" t="s">
        <x:v>4632</x:v>
      </x:c>
      <x:c r="I1592" s="10" t="s">
        <x:v>4633</x:v>
      </x:c>
      <x:c r="J1592" s="10" t="s">
        <x:v>4634</x:v>
      </x:c>
      <x:c r="K1592" s="10" t="s">
        <x:v>1145</x:v>
      </x:c>
      <x:c r="L1592" s="10" t="s">
        <x:v>1145</x:v>
      </x:c>
      <x:c r="M1592" s="10"/>
      <x:c r="N1592" s="10" t="n">
        <x:v>5</x:v>
      </x:c>
      <x:c r="O1592" s="10" t="s">
        <x:v>4636</x:v>
      </x:c>
      <x:c r="P1592" s="10" t="s">
        <x:v>115</x:v>
      </x:c>
      <x:c r="Q1592" s="10" t="s">
        <x:v>45</x:v>
      </x:c>
      <x:c r="R1592" s="10"/>
      <x:c r="S1592" s="10"/>
      <x:c r="T1592" s="10" t="s">
        <x:v>27</x:v>
      </x:c>
      <x:c r="U1592" s="10" t="s">
        <x:v>3474</x:v>
      </x:c>
      <x:c r="V1592" s="10" t="s">
        <x:v>4637</x:v>
      </x:c>
    </x:row>
    <x:row r="1593" ht="15" hidden="0" customHeight="1">
      <x:c r="A1593" s="10" t="s">
        <x:v>4671</x:v>
      </x:c>
      <x:c r="B1593" s="10" t="s">
        <x:v>4629</x:v>
      </x:c>
      <x:c r="C1593" s="10" t="s">
        <x:v>4639</x:v>
      </x:c>
      <x:c r="D1593" s="10" t="s">
        <x:v>1948</x:v>
      </x:c>
      <x:c r="E1593" s="10" t="s">
        <x:v>4672</x:v>
      </x:c>
      <x:c r="F1593" s="10" t="s">
        <x:v>108</x:v>
      </x:c>
      <x:c r="G1593" s="10" t="s">
        <x:v>109</x:v>
      </x:c>
      <x:c r="H1593" s="10" t="s">
        <x:v>4632</x:v>
      </x:c>
      <x:c r="I1593" s="10" t="s">
        <x:v>4633</x:v>
      </x:c>
      <x:c r="J1593" s="10" t="s">
        <x:v>4634</x:v>
      </x:c>
      <x:c r="K1593" s="10" t="s">
        <x:v>4292</x:v>
      </x:c>
      <x:c r="L1593" s="10" t="s">
        <x:v>4292</x:v>
      </x:c>
      <x:c r="M1593" s="10"/>
      <x:c r="N1593" s="10" t="n">
        <x:v>5</x:v>
      </x:c>
      <x:c r="O1593" s="10" t="s">
        <x:v>4636</x:v>
      </x:c>
      <x:c r="P1593" s="10" t="s">
        <x:v>115</x:v>
      </x:c>
      <x:c r="Q1593" s="10" t="s">
        <x:v>45</x:v>
      </x:c>
      <x:c r="R1593" s="10"/>
      <x:c r="S1593" s="10"/>
      <x:c r="T1593" s="10" t="s">
        <x:v>27</x:v>
      </x:c>
      <x:c r="U1593" s="10" t="s">
        <x:v>3474</x:v>
      </x:c>
      <x:c r="V1593" s="10" t="s">
        <x:v>4637</x:v>
      </x:c>
    </x:row>
    <x:row r="1594" ht="15" hidden="0" customHeight="1">
      <x:c r="A1594" s="10" t="s">
        <x:v>4673</x:v>
      </x:c>
      <x:c r="B1594" s="10" t="s">
        <x:v>4629</x:v>
      </x:c>
      <x:c r="C1594" s="10" t="s">
        <x:v>4639</x:v>
      </x:c>
      <x:c r="D1594" s="10" t="s">
        <x:v>164</x:v>
      </x:c>
      <x:c r="E1594" s="10" t="s">
        <x:v>30</x:v>
      </x:c>
      <x:c r="F1594" s="10" t="s">
        <x:v>1070</x:v>
      </x:c>
      <x:c r="G1594" s="10" t="s">
        <x:v>181</x:v>
      </x:c>
      <x:c r="H1594" s="10" t="s">
        <x:v>4632</x:v>
      </x:c>
      <x:c r="I1594" s="10" t="s">
        <x:v>4633</x:v>
      </x:c>
      <x:c r="J1594" s="10" t="s">
        <x:v>4634</x:v>
      </x:c>
      <x:c r="K1594" s="10" t="s">
        <x:v>4674</x:v>
      </x:c>
      <x:c r="L1594" s="10" t="s">
        <x:v>4674</x:v>
      </x:c>
      <x:c r="M1594" s="10"/>
      <x:c r="N1594" s="10"/>
      <x:c r="O1594" s="10" t="s">
        <x:v>4636</x:v>
      </x:c>
      <x:c r="P1594" s="10" t="s">
        <x:v>115</x:v>
      </x:c>
      <x:c r="Q1594" s="10" t="s">
        <x:v>45</x:v>
      </x:c>
      <x:c r="R1594" s="10" t="s">
        <x:v>4675</x:v>
      </x:c>
      <x:c r="S1594" s="10"/>
      <x:c r="T1594" s="10" t="s">
        <x:v>30</x:v>
      </x:c>
      <x:c r="U1594" s="10" t="s">
        <x:v>3474</x:v>
      </x:c>
      <x:c r="V1594" s="10" t="s">
        <x:v>4637</x:v>
      </x:c>
    </x:row>
    <x:row r="1595" ht="15" hidden="0" customHeight="1">
      <x:c r="A1595" s="10" t="s">
        <x:v>4676</x:v>
      </x:c>
      <x:c r="B1595" s="10" t="s">
        <x:v>4629</x:v>
      </x:c>
      <x:c r="C1595" s="10" t="s">
        <x:v>4639</x:v>
      </x:c>
      <x:c r="D1595" s="10" t="s">
        <x:v>2129</x:v>
      </x:c>
      <x:c r="E1595" s="10" t="s">
        <x:v>4677</x:v>
      </x:c>
      <x:c r="F1595" s="10" t="s">
        <x:v>108</x:v>
      </x:c>
      <x:c r="G1595" s="10" t="s">
        <x:v>109</x:v>
      </x:c>
      <x:c r="H1595" s="10" t="s">
        <x:v>4632</x:v>
      </x:c>
      <x:c r="I1595" s="10" t="s">
        <x:v>4633</x:v>
      </x:c>
      <x:c r="J1595" s="10" t="s">
        <x:v>4634</x:v>
      </x:c>
      <x:c r="K1595" s="10" t="s">
        <x:v>1175</x:v>
      </x:c>
      <x:c r="L1595" s="10" t="s">
        <x:v>1175</x:v>
      </x:c>
      <x:c r="M1595" s="10"/>
      <x:c r="N1595" s="10" t="n">
        <x:v>5</x:v>
      </x:c>
      <x:c r="O1595" s="10" t="s">
        <x:v>4636</x:v>
      </x:c>
      <x:c r="P1595" s="10" t="s">
        <x:v>115</x:v>
      </x:c>
      <x:c r="Q1595" s="10" t="s">
        <x:v>45</x:v>
      </x:c>
      <x:c r="R1595" s="10"/>
      <x:c r="S1595" s="10"/>
      <x:c r="T1595" s="10" t="s">
        <x:v>27</x:v>
      </x:c>
      <x:c r="U1595" s="10" t="s">
        <x:v>3474</x:v>
      </x:c>
      <x:c r="V1595" s="10" t="s">
        <x:v>4637</x:v>
      </x:c>
    </x:row>
    <x:row r="1596" ht="15" hidden="0" customHeight="1">
      <x:c r="A1596" s="10" t="s">
        <x:v>4678</x:v>
      </x:c>
      <x:c r="B1596" s="10" t="s">
        <x:v>4629</x:v>
      </x:c>
      <x:c r="C1596" s="10" t="s">
        <x:v>4639</x:v>
      </x:c>
      <x:c r="D1596" s="10" t="s">
        <x:v>4449</x:v>
      </x:c>
      <x:c r="E1596" s="10" t="s">
        <x:v>4679</x:v>
      </x:c>
      <x:c r="F1596" s="10" t="s">
        <x:v>108</x:v>
      </x:c>
      <x:c r="G1596" s="10" t="s">
        <x:v>109</x:v>
      </x:c>
      <x:c r="H1596" s="10" t="s">
        <x:v>4632</x:v>
      </x:c>
      <x:c r="I1596" s="10" t="s">
        <x:v>4633</x:v>
      </x:c>
      <x:c r="J1596" s="10" t="s">
        <x:v>4634</x:v>
      </x:c>
      <x:c r="K1596" s="10" t="s">
        <x:v>4680</x:v>
      </x:c>
      <x:c r="L1596" s="10" t="s">
        <x:v>4680</x:v>
      </x:c>
      <x:c r="M1596" s="10"/>
      <x:c r="N1596" s="10" t="n">
        <x:v>6</x:v>
      </x:c>
      <x:c r="O1596" s="10" t="s">
        <x:v>4636</x:v>
      </x:c>
      <x:c r="P1596" s="10" t="s">
        <x:v>115</x:v>
      </x:c>
      <x:c r="Q1596" s="10" t="s">
        <x:v>45</x:v>
      </x:c>
      <x:c r="R1596" s="10"/>
      <x:c r="S1596" s="10"/>
      <x:c r="T1596" s="10" t="s">
        <x:v>27</x:v>
      </x:c>
      <x:c r="U1596" s="10" t="s">
        <x:v>3474</x:v>
      </x:c>
      <x:c r="V1596" s="10" t="s">
        <x:v>4637</x:v>
      </x:c>
    </x:row>
    <x:row r="1597" ht="15" hidden="0" customHeight="1">
      <x:c r="A1597" s="10" t="s">
        <x:v>4681</x:v>
      </x:c>
      <x:c r="B1597" s="10" t="s">
        <x:v>4629</x:v>
      </x:c>
      <x:c r="C1597" s="10" t="s">
        <x:v>4639</x:v>
      </x:c>
      <x:c r="D1597" s="10" t="s">
        <x:v>4682</x:v>
      </x:c>
      <x:c r="E1597" s="10" t="s">
        <x:v>4683</x:v>
      </x:c>
      <x:c r="F1597" s="10" t="s">
        <x:v>108</x:v>
      </x:c>
      <x:c r="G1597" s="10" t="s">
        <x:v>109</x:v>
      </x:c>
      <x:c r="H1597" s="10" t="s">
        <x:v>4632</x:v>
      </x:c>
      <x:c r="I1597" s="10" t="s">
        <x:v>4633</x:v>
      </x:c>
      <x:c r="J1597" s="10" t="s">
        <x:v>4634</x:v>
      </x:c>
      <x:c r="K1597" s="10" t="s">
        <x:v>497</x:v>
      </x:c>
      <x:c r="L1597" s="10" t="s">
        <x:v>497</x:v>
      </x:c>
      <x:c r="M1597" s="10"/>
      <x:c r="N1597" s="10" t="n">
        <x:v>6</x:v>
      </x:c>
      <x:c r="O1597" s="10" t="s">
        <x:v>4636</x:v>
      </x:c>
      <x:c r="P1597" s="10" t="s">
        <x:v>115</x:v>
      </x:c>
      <x:c r="Q1597" s="10" t="s">
        <x:v>45</x:v>
      </x:c>
      <x:c r="R1597" s="10"/>
      <x:c r="S1597" s="10" t="s">
        <x:v>4684</x:v>
      </x:c>
      <x:c r="T1597" s="10" t="s">
        <x:v>27</x:v>
      </x:c>
      <x:c r="U1597" s="10" t="s">
        <x:v>3474</x:v>
      </x:c>
      <x:c r="V1597" s="10" t="s">
        <x:v>4637</x:v>
      </x:c>
    </x:row>
    <x:row r="1598" ht="15" hidden="0" customHeight="1">
      <x:c r="A1598" s="10" t="s">
        <x:v>4685</x:v>
      </x:c>
      <x:c r="B1598" s="10" t="s">
        <x:v>4629</x:v>
      </x:c>
      <x:c r="C1598" s="10" t="s">
        <x:v>4639</x:v>
      </x:c>
      <x:c r="D1598" s="10" t="s">
        <x:v>4686</x:v>
      </x:c>
      <x:c r="E1598" s="10" t="s">
        <x:v>4687</x:v>
      </x:c>
      <x:c r="F1598" s="10" t="s">
        <x:v>108</x:v>
      </x:c>
      <x:c r="G1598" s="10" t="s">
        <x:v>109</x:v>
      </x:c>
      <x:c r="H1598" s="10" t="s">
        <x:v>4632</x:v>
      </x:c>
      <x:c r="I1598" s="10" t="s">
        <x:v>4633</x:v>
      </x:c>
      <x:c r="J1598" s="10" t="s">
        <x:v>4634</x:v>
      </x:c>
      <x:c r="K1598" s="10" t="s">
        <x:v>113</x:v>
      </x:c>
      <x:c r="L1598" s="10" t="s">
        <x:v>113</x:v>
      </x:c>
      <x:c r="M1598" s="10"/>
      <x:c r="N1598" s="10" t="n">
        <x:v>1</x:v>
      </x:c>
      <x:c r="O1598" s="10" t="s">
        <x:v>4636</x:v>
      </x:c>
      <x:c r="P1598" s="10" t="s">
        <x:v>115</x:v>
      </x:c>
      <x:c r="Q1598" s="10" t="s">
        <x:v>45</x:v>
      </x:c>
      <x:c r="R1598" s="10"/>
      <x:c r="S1598" s="10"/>
      <x:c r="T1598" s="10" t="s">
        <x:v>27</x:v>
      </x:c>
      <x:c r="U1598" s="10" t="s">
        <x:v>3474</x:v>
      </x:c>
      <x:c r="V1598" s="10" t="s">
        <x:v>4637</x:v>
      </x:c>
    </x:row>
    <x:row r="1599" ht="15" hidden="0" customHeight="1">
      <x:c r="A1599" s="10" t="s">
        <x:v>4688</x:v>
      </x:c>
      <x:c r="B1599" s="10" t="s">
        <x:v>4629</x:v>
      </x:c>
      <x:c r="C1599" s="10" t="s">
        <x:v>4639</x:v>
      </x:c>
      <x:c r="D1599" s="10" t="s">
        <x:v>4689</x:v>
      </x:c>
      <x:c r="E1599" s="10" t="s">
        <x:v>4690</x:v>
      </x:c>
      <x:c r="F1599" s="10" t="s">
        <x:v>108</x:v>
      </x:c>
      <x:c r="G1599" s="10" t="s">
        <x:v>109</x:v>
      </x:c>
      <x:c r="H1599" s="10" t="s">
        <x:v>4632</x:v>
      </x:c>
      <x:c r="I1599" s="10" t="s">
        <x:v>4633</x:v>
      </x:c>
      <x:c r="J1599" s="10" t="s">
        <x:v>4634</x:v>
      </x:c>
      <x:c r="K1599" s="10" t="s">
        <x:v>469</x:v>
      </x:c>
      <x:c r="L1599" s="10" t="s">
        <x:v>469</x:v>
      </x:c>
      <x:c r="M1599" s="10"/>
      <x:c r="N1599" s="10" t="n">
        <x:v>9</x:v>
      </x:c>
      <x:c r="O1599" s="10" t="s">
        <x:v>4636</x:v>
      </x:c>
      <x:c r="P1599" s="10" t="s">
        <x:v>115</x:v>
      </x:c>
      <x:c r="Q1599" s="10" t="s">
        <x:v>45</x:v>
      </x:c>
      <x:c r="R1599" s="10"/>
      <x:c r="S1599" s="10"/>
      <x:c r="T1599" s="10" t="s">
        <x:v>27</x:v>
      </x:c>
      <x:c r="U1599" s="10" t="s">
        <x:v>3474</x:v>
      </x:c>
      <x:c r="V1599" s="10" t="s">
        <x:v>4637</x:v>
      </x:c>
    </x:row>
    <x:row r="1600" ht="15" hidden="0" customHeight="1">
      <x:c r="A1600" s="10" t="s">
        <x:v>4691</x:v>
      </x:c>
      <x:c r="B1600" s="10" t="s">
        <x:v>4629</x:v>
      </x:c>
      <x:c r="C1600" s="10" t="s">
        <x:v>4642</x:v>
      </x:c>
      <x:c r="D1600" s="10" t="s">
        <x:v>4692</x:v>
      </x:c>
      <x:c r="E1600" s="10" t="s">
        <x:v>4693</x:v>
      </x:c>
      <x:c r="F1600" s="10" t="s">
        <x:v>108</x:v>
      </x:c>
      <x:c r="G1600" s="10" t="s">
        <x:v>109</x:v>
      </x:c>
      <x:c r="H1600" s="10" t="s">
        <x:v>4632</x:v>
      </x:c>
      <x:c r="I1600" s="10" t="s">
        <x:v>4633</x:v>
      </x:c>
      <x:c r="J1600" s="10" t="s">
        <x:v>4634</x:v>
      </x:c>
      <x:c r="K1600" s="10" t="s">
        <x:v>113</x:v>
      </x:c>
      <x:c r="L1600" s="10" t="s">
        <x:v>113</x:v>
      </x:c>
      <x:c r="M1600" s="10"/>
      <x:c r="N1600" s="10" t="n">
        <x:v>1</x:v>
      </x:c>
      <x:c r="O1600" s="10" t="s">
        <x:v>4636</x:v>
      </x:c>
      <x:c r="P1600" s="10" t="s">
        <x:v>115</x:v>
      </x:c>
      <x:c r="Q1600" s="10" t="s">
        <x:v>45</x:v>
      </x:c>
      <x:c r="R1600" s="10"/>
      <x:c r="S1600" s="10"/>
      <x:c r="T1600" s="10" t="s">
        <x:v>27</x:v>
      </x:c>
      <x:c r="U1600" s="10" t="s">
        <x:v>3474</x:v>
      </x:c>
      <x:c r="V1600" s="10" t="s">
        <x:v>4637</x:v>
      </x:c>
    </x:row>
    <x:row r="1601" ht="15" hidden="0" customHeight="1">
      <x:c r="A1601" s="10" t="s">
        <x:v>4694</x:v>
      </x:c>
      <x:c r="B1601" s="10" t="s">
        <x:v>4629</x:v>
      </x:c>
      <x:c r="C1601" s="10" t="s">
        <x:v>4639</x:v>
      </x:c>
      <x:c r="D1601" s="10" t="s">
        <x:v>4695</x:v>
      </x:c>
      <x:c r="E1601" s="10" t="s">
        <x:v>4696</x:v>
      </x:c>
      <x:c r="F1601" s="10" t="s">
        <x:v>108</x:v>
      </x:c>
      <x:c r="G1601" s="10" t="s">
        <x:v>187</x:v>
      </x:c>
      <x:c r="H1601" s="10" t="s">
        <x:v>4632</x:v>
      </x:c>
      <x:c r="I1601" s="10" t="s">
        <x:v>4633</x:v>
      </x:c>
      <x:c r="J1601" s="10" t="s">
        <x:v>4634</x:v>
      </x:c>
      <x:c r="K1601" s="10" t="s">
        <x:v>4697</x:v>
      </x:c>
      <x:c r="L1601" s="10" t="s">
        <x:v>4697</x:v>
      </x:c>
      <x:c r="M1601" s="10"/>
      <x:c r="N1601" s="10" t="n">
        <x:v>9</x:v>
      </x:c>
      <x:c r="O1601" s="10" t="s">
        <x:v>4636</x:v>
      </x:c>
      <x:c r="P1601" s="10" t="s">
        <x:v>115</x:v>
      </x:c>
      <x:c r="Q1601" s="10" t="s">
        <x:v>45</x:v>
      </x:c>
      <x:c r="R1601" s="10"/>
      <x:c r="S1601" s="10"/>
      <x:c r="T1601" s="10" t="s">
        <x:v>27</x:v>
      </x:c>
      <x:c r="U1601" s="10" t="s">
        <x:v>3474</x:v>
      </x:c>
      <x:c r="V1601" s="10" t="s">
        <x:v>4637</x:v>
      </x:c>
    </x:row>
    <x:row r="1602" ht="15" hidden="0" customHeight="1">
      <x:c r="A1602" s="10" t="s">
        <x:v>4698</x:v>
      </x:c>
      <x:c r="B1602" s="10" t="s">
        <x:v>4629</x:v>
      </x:c>
      <x:c r="C1602" s="10" t="s">
        <x:v>4639</x:v>
      </x:c>
      <x:c r="D1602" s="10" t="s">
        <x:v>4699</x:v>
      </x:c>
      <x:c r="E1602" s="10" t="s">
        <x:v>4700</x:v>
      </x:c>
      <x:c r="F1602" s="10" t="s">
        <x:v>108</x:v>
      </x:c>
      <x:c r="G1602" s="10" t="s">
        <x:v>181</x:v>
      </x:c>
      <x:c r="H1602" s="10" t="s">
        <x:v>4632</x:v>
      </x:c>
      <x:c r="I1602" s="10" t="s">
        <x:v>4633</x:v>
      </x:c>
      <x:c r="J1602" s="10" t="s">
        <x:v>4634</x:v>
      </x:c>
      <x:c r="K1602" s="10" t="s">
        <x:v>4701</x:v>
      </x:c>
      <x:c r="L1602" s="10" t="s">
        <x:v>4701</x:v>
      </x:c>
      <x:c r="M1602" s="10"/>
      <x:c r="N1602" s="10"/>
      <x:c r="O1602" s="10" t="s">
        <x:v>4636</x:v>
      </x:c>
      <x:c r="P1602" s="10" t="s">
        <x:v>115</x:v>
      </x:c>
      <x:c r="Q1602" s="10" t="s">
        <x:v>45</x:v>
      </x:c>
      <x:c r="R1602" s="10" t="s">
        <x:v>4702</x:v>
      </x:c>
      <x:c r="S1602" s="10"/>
      <x:c r="T1602" s="10" t="s">
        <x:v>27</x:v>
      </x:c>
      <x:c r="U1602" s="10" t="s">
        <x:v>3474</x:v>
      </x:c>
      <x:c r="V1602" s="10" t="s">
        <x:v>4637</x:v>
      </x:c>
    </x:row>
    <x:row r="1603" ht="15" hidden="0" customHeight="1">
      <x:c r="A1603" s="10" t="s">
        <x:v>4703</x:v>
      </x:c>
      <x:c r="B1603" s="10" t="s">
        <x:v>4629</x:v>
      </x:c>
      <x:c r="C1603" s="10" t="s">
        <x:v>4630</x:v>
      </x:c>
      <x:c r="D1603" s="10" t="s">
        <x:v>871</x:v>
      </x:c>
      <x:c r="E1603" s="10" t="s">
        <x:v>30</x:v>
      </x:c>
      <x:c r="F1603" s="10" t="s">
        <x:v>1070</x:v>
      </x:c>
      <x:c r="G1603" s="10" t="s">
        <x:v>181</x:v>
      </x:c>
      <x:c r="H1603" s="10" t="s">
        <x:v>4632</x:v>
      </x:c>
      <x:c r="I1603" s="10" t="s">
        <x:v>4633</x:v>
      </x:c>
      <x:c r="J1603" s="10" t="s">
        <x:v>4634</x:v>
      </x:c>
      <x:c r="K1603" s="10" t="s">
        <x:v>4704</x:v>
      </x:c>
      <x:c r="L1603" s="10" t="s">
        <x:v>4704</x:v>
      </x:c>
      <x:c r="M1603" s="10"/>
      <x:c r="N1603" s="10"/>
      <x:c r="O1603" s="10" t="s">
        <x:v>4636</x:v>
      </x:c>
      <x:c r="P1603" s="10" t="s">
        <x:v>115</x:v>
      </x:c>
      <x:c r="Q1603" s="10" t="s">
        <x:v>45</x:v>
      </x:c>
      <x:c r="R1603" s="10" t="s">
        <x:v>4705</x:v>
      </x:c>
      <x:c r="S1603" s="10"/>
      <x:c r="T1603" s="10" t="s">
        <x:v>30</x:v>
      </x:c>
      <x:c r="U1603" s="10" t="s">
        <x:v>3474</x:v>
      </x:c>
      <x:c r="V1603" s="10" t="s">
        <x:v>4637</x:v>
      </x:c>
    </x:row>
    <x:row r="1604" ht="15" hidden="0" customHeight="1">
      <x:c r="A1604" s="10" t="s">
        <x:v>4706</x:v>
      </x:c>
      <x:c r="B1604" s="10" t="s">
        <x:v>4707</x:v>
      </x:c>
      <x:c r="C1604" s="10" t="s">
        <x:v>4708</x:v>
      </x:c>
      <x:c r="D1604" s="10" t="s">
        <x:v>1704</x:v>
      </x:c>
      <x:c r="E1604" s="10" t="s">
        <x:v>4709</x:v>
      </x:c>
      <x:c r="F1604" s="10" t="s">
        <x:v>108</x:v>
      </x:c>
      <x:c r="G1604" s="10" t="s">
        <x:v>109</x:v>
      </x:c>
      <x:c r="H1604" s="10" t="s">
        <x:v>4710</x:v>
      </x:c>
      <x:c r="I1604" s="10" t="s">
        <x:v>4711</x:v>
      </x:c>
      <x:c r="J1604" s="10" t="s">
        <x:v>4712</x:v>
      </x:c>
      <x:c r="K1604" s="10" t="s">
        <x:v>4713</x:v>
      </x:c>
      <x:c r="L1604" s="10" t="s">
        <x:v>4713</x:v>
      </x:c>
      <x:c r="M1604" s="10"/>
      <x:c r="N1604" s="10" t="n">
        <x:v>1</x:v>
      </x:c>
      <x:c r="O1604" s="10" t="s">
        <x:v>1204</x:v>
      </x:c>
      <x:c r="P1604" s="10" t="s">
        <x:v>115</x:v>
      </x:c>
      <x:c r="Q1604" s="10" t="s">
        <x:v>45</x:v>
      </x:c>
      <x:c r="R1604" s="10"/>
      <x:c r="S1604" s="10"/>
      <x:c r="T1604" s="10" t="s">
        <x:v>27</x:v>
      </x:c>
      <x:c r="U1604" s="10" t="s">
        <x:v>3474</x:v>
      </x:c>
      <x:c r="V1604" s="10" t="s">
        <x:v>4637</x:v>
      </x:c>
    </x:row>
    <x:row r="1605" ht="15" hidden="0" customHeight="1">
      <x:c r="A1605" s="10" t="s">
        <x:v>4714</x:v>
      </x:c>
      <x:c r="B1605" s="10" t="s">
        <x:v>4707</x:v>
      </x:c>
      <x:c r="C1605" s="10" t="s">
        <x:v>4708</x:v>
      </x:c>
      <x:c r="D1605" s="10" t="s">
        <x:v>2123</x:v>
      </x:c>
      <x:c r="E1605" s="10" t="s">
        <x:v>4715</x:v>
      </x:c>
      <x:c r="F1605" s="10" t="s">
        <x:v>108</x:v>
      </x:c>
      <x:c r="G1605" s="10" t="s">
        <x:v>109</x:v>
      </x:c>
      <x:c r="H1605" s="10" t="s">
        <x:v>4710</x:v>
      </x:c>
      <x:c r="I1605" s="10" t="s">
        <x:v>4711</x:v>
      </x:c>
      <x:c r="J1605" s="10" t="s">
        <x:v>4712</x:v>
      </x:c>
      <x:c r="K1605" s="10" t="s">
        <x:v>4716</x:v>
      </x:c>
      <x:c r="L1605" s="10" t="s">
        <x:v>4716</x:v>
      </x:c>
      <x:c r="M1605" s="10"/>
      <x:c r="N1605" s="10" t="n">
        <x:v>7</x:v>
      </x:c>
      <x:c r="O1605" s="10" t="s">
        <x:v>1204</x:v>
      </x:c>
      <x:c r="P1605" s="10" t="s">
        <x:v>115</x:v>
      </x:c>
      <x:c r="Q1605" s="10" t="s">
        <x:v>45</x:v>
      </x:c>
      <x:c r="R1605" s="10"/>
      <x:c r="S1605" s="10"/>
      <x:c r="T1605" s="10" t="s">
        <x:v>27</x:v>
      </x:c>
      <x:c r="U1605" s="10" t="s">
        <x:v>3474</x:v>
      </x:c>
      <x:c r="V1605" s="10" t="s">
        <x:v>4637</x:v>
      </x:c>
    </x:row>
    <x:row r="1606" ht="15" hidden="0" customHeight="1">
      <x:c r="A1606" s="10" t="s">
        <x:v>4717</x:v>
      </x:c>
      <x:c r="B1606" s="10" t="s">
        <x:v>4707</x:v>
      </x:c>
      <x:c r="C1606" s="10" t="s">
        <x:v>4708</x:v>
      </x:c>
      <x:c r="D1606" s="10" t="s">
        <x:v>1948</x:v>
      </x:c>
      <x:c r="E1606" s="10" t="s">
        <x:v>4718</x:v>
      </x:c>
      <x:c r="F1606" s="10" t="s">
        <x:v>108</x:v>
      </x:c>
      <x:c r="G1606" s="10" t="s">
        <x:v>109</x:v>
      </x:c>
      <x:c r="H1606" s="10" t="s">
        <x:v>4710</x:v>
      </x:c>
      <x:c r="I1606" s="10" t="s">
        <x:v>4711</x:v>
      </x:c>
      <x:c r="J1606" s="10" t="s">
        <x:v>4712</x:v>
      </x:c>
      <x:c r="K1606" s="10" t="s">
        <x:v>4719</x:v>
      </x:c>
      <x:c r="L1606" s="10" t="s">
        <x:v>4719</x:v>
      </x:c>
      <x:c r="M1606" s="10"/>
      <x:c r="N1606" s="10" t="n">
        <x:v>29</x:v>
      </x:c>
      <x:c r="O1606" s="10" t="s">
        <x:v>1204</x:v>
      </x:c>
      <x:c r="P1606" s="10" t="s">
        <x:v>115</x:v>
      </x:c>
      <x:c r="Q1606" s="10" t="s">
        <x:v>45</x:v>
      </x:c>
      <x:c r="R1606" s="10"/>
      <x:c r="S1606" s="10"/>
      <x:c r="T1606" s="10" t="s">
        <x:v>27</x:v>
      </x:c>
      <x:c r="U1606" s="10" t="s">
        <x:v>3474</x:v>
      </x:c>
      <x:c r="V1606" s="10" t="s">
        <x:v>4637</x:v>
      </x:c>
    </x:row>
    <x:row r="1607" ht="15" hidden="0" customHeight="1">
      <x:c r="A1607" s="10" t="s">
        <x:v>4720</x:v>
      </x:c>
      <x:c r="B1607" s="10" t="s">
        <x:v>4707</x:v>
      </x:c>
      <x:c r="C1607" s="10" t="s">
        <x:v>4708</x:v>
      </x:c>
      <x:c r="D1607" s="10" t="s">
        <x:v>4721</x:v>
      </x:c>
      <x:c r="E1607" s="10" t="s">
        <x:v>4722</x:v>
      </x:c>
      <x:c r="F1607" s="10" t="s">
        <x:v>108</x:v>
      </x:c>
      <x:c r="G1607" s="10" t="s">
        <x:v>109</x:v>
      </x:c>
      <x:c r="H1607" s="10" t="s">
        <x:v>4710</x:v>
      </x:c>
      <x:c r="I1607" s="10" t="s">
        <x:v>4711</x:v>
      </x:c>
      <x:c r="J1607" s="10" t="s">
        <x:v>4712</x:v>
      </x:c>
      <x:c r="K1607" s="10" t="s">
        <x:v>4723</x:v>
      </x:c>
      <x:c r="L1607" s="10" t="s">
        <x:v>4723</x:v>
      </x:c>
      <x:c r="M1607" s="10"/>
      <x:c r="N1607" s="10" t="n">
        <x:v>6</x:v>
      </x:c>
      <x:c r="O1607" s="10" t="s">
        <x:v>1204</x:v>
      </x:c>
      <x:c r="P1607" s="10" t="s">
        <x:v>115</x:v>
      </x:c>
      <x:c r="Q1607" s="10" t="s">
        <x:v>45</x:v>
      </x:c>
      <x:c r="R1607" s="10"/>
      <x:c r="S1607" s="10"/>
      <x:c r="T1607" s="10" t="s">
        <x:v>27</x:v>
      </x:c>
      <x:c r="U1607" s="10" t="s">
        <x:v>3474</x:v>
      </x:c>
      <x:c r="V1607" s="10" t="s">
        <x:v>4637</x:v>
      </x:c>
    </x:row>
    <x:row r="1608" ht="15" hidden="0" customHeight="1">
      <x:c r="A1608" s="10" t="s">
        <x:v>4724</x:v>
      </x:c>
      <x:c r="B1608" s="10" t="s">
        <x:v>4707</x:v>
      </x:c>
      <x:c r="C1608" s="10" t="s">
        <x:v>4708</x:v>
      </x:c>
      <x:c r="D1608" s="10" t="s">
        <x:v>4725</x:v>
      </x:c>
      <x:c r="E1608" s="10" t="s">
        <x:v>4726</x:v>
      </x:c>
      <x:c r="F1608" s="10" t="s">
        <x:v>108</x:v>
      </x:c>
      <x:c r="G1608" s="10" t="s">
        <x:v>109</x:v>
      </x:c>
      <x:c r="H1608" s="10" t="s">
        <x:v>4710</x:v>
      </x:c>
      <x:c r="I1608" s="10" t="s">
        <x:v>4711</x:v>
      </x:c>
      <x:c r="J1608" s="10" t="s">
        <x:v>4712</x:v>
      </x:c>
      <x:c r="K1608" s="10" t="s">
        <x:v>1132</x:v>
      </x:c>
      <x:c r="L1608" s="10" t="s">
        <x:v>1132</x:v>
      </x:c>
      <x:c r="M1608" s="10"/>
      <x:c r="N1608" s="10" t="n">
        <x:v>4</x:v>
      </x:c>
      <x:c r="O1608" s="10" t="s">
        <x:v>1204</x:v>
      </x:c>
      <x:c r="P1608" s="10" t="s">
        <x:v>115</x:v>
      </x:c>
      <x:c r="Q1608" s="10" t="s">
        <x:v>45</x:v>
      </x:c>
      <x:c r="R1608" s="10"/>
      <x:c r="S1608" s="10"/>
      <x:c r="T1608" s="10" t="s">
        <x:v>27</x:v>
      </x:c>
      <x:c r="U1608" s="10" t="s">
        <x:v>3474</x:v>
      </x:c>
      <x:c r="V1608" s="10" t="s">
        <x:v>4637</x:v>
      </x:c>
    </x:row>
    <x:row r="1609" ht="15" hidden="0" customHeight="1">
      <x:c r="A1609" s="10" t="s">
        <x:v>4727</x:v>
      </x:c>
      <x:c r="B1609" s="10" t="s">
        <x:v>4707</x:v>
      </x:c>
      <x:c r="C1609" s="10" t="s">
        <x:v>4708</x:v>
      </x:c>
      <x:c r="D1609" s="10" t="s">
        <x:v>4728</x:v>
      </x:c>
      <x:c r="E1609" s="10" t="s">
        <x:v>4729</x:v>
      </x:c>
      <x:c r="F1609" s="10" t="s">
        <x:v>108</x:v>
      </x:c>
      <x:c r="G1609" s="10" t="s">
        <x:v>109</x:v>
      </x:c>
      <x:c r="H1609" s="10" t="s">
        <x:v>4710</x:v>
      </x:c>
      <x:c r="I1609" s="10" t="s">
        <x:v>4711</x:v>
      </x:c>
      <x:c r="J1609" s="10" t="s">
        <x:v>4712</x:v>
      </x:c>
      <x:c r="K1609" s="10" t="s">
        <x:v>1568</x:v>
      </x:c>
      <x:c r="L1609" s="10" t="s">
        <x:v>1568</x:v>
      </x:c>
      <x:c r="M1609" s="10"/>
      <x:c r="N1609" s="10" t="n">
        <x:v>4</x:v>
      </x:c>
      <x:c r="O1609" s="10" t="s">
        <x:v>1204</x:v>
      </x:c>
      <x:c r="P1609" s="10" t="s">
        <x:v>115</x:v>
      </x:c>
      <x:c r="Q1609" s="10" t="s">
        <x:v>45</x:v>
      </x:c>
      <x:c r="R1609" s="10"/>
      <x:c r="S1609" s="10"/>
      <x:c r="T1609" s="10" t="s">
        <x:v>27</x:v>
      </x:c>
      <x:c r="U1609" s="10" t="s">
        <x:v>3474</x:v>
      </x:c>
      <x:c r="V1609" s="10" t="s">
        <x:v>4637</x:v>
      </x:c>
    </x:row>
    <x:row r="1610" ht="15" hidden="0" customHeight="1">
      <x:c r="A1610" s="10" t="s">
        <x:v>4730</x:v>
      </x:c>
      <x:c r="B1610" s="10" t="s">
        <x:v>4707</x:v>
      </x:c>
      <x:c r="C1610" s="10" t="s">
        <x:v>4731</x:v>
      </x:c>
      <x:c r="D1610" s="10" t="s">
        <x:v>4387</x:v>
      </x:c>
      <x:c r="E1610" s="10" t="s">
        <x:v>4732</x:v>
      </x:c>
      <x:c r="F1610" s="10" t="s">
        <x:v>108</x:v>
      </x:c>
      <x:c r="G1610" s="10" t="s">
        <x:v>109</x:v>
      </x:c>
      <x:c r="H1610" s="10" t="s">
        <x:v>4710</x:v>
      </x:c>
      <x:c r="I1610" s="10" t="s">
        <x:v>4711</x:v>
      </x:c>
      <x:c r="J1610" s="10" t="s">
        <x:v>4712</x:v>
      </x:c>
      <x:c r="K1610" s="10" t="s">
        <x:v>4733</x:v>
      </x:c>
      <x:c r="L1610" s="10" t="s">
        <x:v>4733</x:v>
      </x:c>
      <x:c r="M1610" s="10"/>
      <x:c r="N1610" s="10" t="n">
        <x:v>29</x:v>
      </x:c>
      <x:c r="O1610" s="10" t="s">
        <x:v>1204</x:v>
      </x:c>
      <x:c r="P1610" s="10" t="s">
        <x:v>115</x:v>
      </x:c>
      <x:c r="Q1610" s="10" t="s">
        <x:v>45</x:v>
      </x:c>
      <x:c r="R1610" s="10"/>
      <x:c r="S1610" s="10"/>
      <x:c r="T1610" s="10" t="s">
        <x:v>27</x:v>
      </x:c>
      <x:c r="U1610" s="10" t="s">
        <x:v>3474</x:v>
      </x:c>
      <x:c r="V1610" s="10" t="s">
        <x:v>4637</x:v>
      </x:c>
    </x:row>
    <x:row r="1611" ht="15" hidden="0" customHeight="1">
      <x:c r="A1611" s="10" t="s">
        <x:v>4734</x:v>
      </x:c>
      <x:c r="B1611" s="10" t="s">
        <x:v>4707</x:v>
      </x:c>
      <x:c r="C1611" s="10" t="s">
        <x:v>4735</x:v>
      </x:c>
      <x:c r="D1611" s="10" t="s">
        <x:v>4387</x:v>
      </x:c>
      <x:c r="E1611" s="10" t="s">
        <x:v>4736</x:v>
      </x:c>
      <x:c r="F1611" s="10" t="s">
        <x:v>108</x:v>
      </x:c>
      <x:c r="G1611" s="10" t="s">
        <x:v>109</x:v>
      </x:c>
      <x:c r="H1611" s="10" t="s">
        <x:v>4710</x:v>
      </x:c>
      <x:c r="I1611" s="10" t="s">
        <x:v>4711</x:v>
      </x:c>
      <x:c r="J1611" s="10" t="s">
        <x:v>4712</x:v>
      </x:c>
      <x:c r="K1611" s="10" t="s">
        <x:v>4737</x:v>
      </x:c>
      <x:c r="L1611" s="10" t="s">
        <x:v>4737</x:v>
      </x:c>
      <x:c r="M1611" s="10"/>
      <x:c r="N1611" s="10" t="n">
        <x:v>29</x:v>
      </x:c>
      <x:c r="O1611" s="10" t="s">
        <x:v>1204</x:v>
      </x:c>
      <x:c r="P1611" s="10" t="s">
        <x:v>115</x:v>
      </x:c>
      <x:c r="Q1611" s="10" t="s">
        <x:v>45</x:v>
      </x:c>
      <x:c r="R1611" s="10"/>
      <x:c r="S1611" s="10"/>
      <x:c r="T1611" s="10" t="s">
        <x:v>27</x:v>
      </x:c>
      <x:c r="U1611" s="10" t="s">
        <x:v>3474</x:v>
      </x:c>
      <x:c r="V1611" s="10" t="s">
        <x:v>4637</x:v>
      </x:c>
    </x:row>
    <x:row r="1612" ht="15" hidden="0" customHeight="1">
      <x:c r="A1612" s="10" t="s">
        <x:v>4738</x:v>
      </x:c>
      <x:c r="B1612" s="10" t="s">
        <x:v>4707</x:v>
      </x:c>
      <x:c r="C1612" s="10" t="s">
        <x:v>4708</x:v>
      </x:c>
      <x:c r="D1612" s="10" t="s">
        <x:v>1864</x:v>
      </x:c>
      <x:c r="E1612" s="10" t="s">
        <x:v>4739</x:v>
      </x:c>
      <x:c r="F1612" s="10" t="s">
        <x:v>108</x:v>
      </x:c>
      <x:c r="G1612" s="10" t="s">
        <x:v>109</x:v>
      </x:c>
      <x:c r="H1612" s="10" t="s">
        <x:v>4710</x:v>
      </x:c>
      <x:c r="I1612" s="10" t="s">
        <x:v>4711</x:v>
      </x:c>
      <x:c r="J1612" s="10" t="s">
        <x:v>4712</x:v>
      </x:c>
      <x:c r="K1612" s="10" t="s">
        <x:v>4740</x:v>
      </x:c>
      <x:c r="L1612" s="10" t="s">
        <x:v>4740</x:v>
      </x:c>
      <x:c r="M1612" s="10"/>
      <x:c r="N1612" s="10" t="n">
        <x:v>4</x:v>
      </x:c>
      <x:c r="O1612" s="10" t="s">
        <x:v>1204</x:v>
      </x:c>
      <x:c r="P1612" s="10" t="s">
        <x:v>115</x:v>
      </x:c>
      <x:c r="Q1612" s="10" t="s">
        <x:v>45</x:v>
      </x:c>
      <x:c r="R1612" s="10"/>
      <x:c r="S1612" s="10"/>
      <x:c r="T1612" s="10" t="s">
        <x:v>27</x:v>
      </x:c>
      <x:c r="U1612" s="10" t="s">
        <x:v>3474</x:v>
      </x:c>
      <x:c r="V1612" s="10" t="s">
        <x:v>4637</x:v>
      </x:c>
    </x:row>
    <x:row r="1613" ht="15" hidden="0" customHeight="1">
      <x:c r="A1613" s="10" t="s">
        <x:v>4741</x:v>
      </x:c>
      <x:c r="B1613" s="10" t="s">
        <x:v>4707</x:v>
      </x:c>
      <x:c r="C1613" s="10" t="s">
        <x:v>4708</x:v>
      </x:c>
      <x:c r="D1613" s="10" t="s">
        <x:v>4742</x:v>
      </x:c>
      <x:c r="E1613" s="10" t="s">
        <x:v>4743</x:v>
      </x:c>
      <x:c r="F1613" s="10" t="s">
        <x:v>108</x:v>
      </x:c>
      <x:c r="G1613" s="10" t="s">
        <x:v>109</x:v>
      </x:c>
      <x:c r="H1613" s="10" t="s">
        <x:v>4710</x:v>
      </x:c>
      <x:c r="I1613" s="10" t="s">
        <x:v>4711</x:v>
      </x:c>
      <x:c r="J1613" s="10" t="s">
        <x:v>4712</x:v>
      </x:c>
      <x:c r="K1613" s="10" t="s">
        <x:v>4744</x:v>
      </x:c>
      <x:c r="L1613" s="10" t="s">
        <x:v>4744</x:v>
      </x:c>
      <x:c r="M1613" s="10"/>
      <x:c r="N1613" s="10" t="n">
        <x:v>25</x:v>
      </x:c>
      <x:c r="O1613" s="10" t="s">
        <x:v>1204</x:v>
      </x:c>
      <x:c r="P1613" s="10" t="s">
        <x:v>115</x:v>
      </x:c>
      <x:c r="Q1613" s="10" t="s">
        <x:v>45</x:v>
      </x:c>
      <x:c r="R1613" s="10"/>
      <x:c r="S1613" s="10"/>
      <x:c r="T1613" s="10" t="s">
        <x:v>27</x:v>
      </x:c>
      <x:c r="U1613" s="10" t="s">
        <x:v>3474</x:v>
      </x:c>
      <x:c r="V1613" s="10" t="s">
        <x:v>4637</x:v>
      </x:c>
    </x:row>
    <x:row r="1614" ht="15" hidden="0" customHeight="1">
      <x:c r="A1614" s="10" t="s">
        <x:v>4745</x:v>
      </x:c>
      <x:c r="B1614" s="10" t="s">
        <x:v>4707</x:v>
      </x:c>
      <x:c r="C1614" s="10" t="s">
        <x:v>4708</x:v>
      </x:c>
      <x:c r="D1614" s="10" t="s">
        <x:v>524</x:v>
      </x:c>
      <x:c r="E1614" s="10" t="s">
        <x:v>4746</x:v>
      </x:c>
      <x:c r="F1614" s="10" t="s">
        <x:v>108</x:v>
      </x:c>
      <x:c r="G1614" s="10" t="s">
        <x:v>109</x:v>
      </x:c>
      <x:c r="H1614" s="10" t="s">
        <x:v>4710</x:v>
      </x:c>
      <x:c r="I1614" s="10" t="s">
        <x:v>4711</x:v>
      </x:c>
      <x:c r="J1614" s="10" t="s">
        <x:v>4712</x:v>
      </x:c>
      <x:c r="K1614" s="10" t="s">
        <x:v>4747</x:v>
      </x:c>
      <x:c r="L1614" s="10" t="s">
        <x:v>4747</x:v>
      </x:c>
      <x:c r="M1614" s="10"/>
      <x:c r="N1614" s="10" t="n">
        <x:v>29</x:v>
      </x:c>
      <x:c r="O1614" s="10" t="s">
        <x:v>1204</x:v>
      </x:c>
      <x:c r="P1614" s="10" t="s">
        <x:v>115</x:v>
      </x:c>
      <x:c r="Q1614" s="10" t="s">
        <x:v>45</x:v>
      </x:c>
      <x:c r="R1614" s="10"/>
      <x:c r="S1614" s="10"/>
      <x:c r="T1614" s="10" t="s">
        <x:v>27</x:v>
      </x:c>
      <x:c r="U1614" s="10" t="s">
        <x:v>3474</x:v>
      </x:c>
      <x:c r="V1614" s="10" t="s">
        <x:v>4637</x:v>
      </x:c>
    </x:row>
    <x:row r="1615" ht="15" hidden="0" customHeight="1">
      <x:c r="A1615" s="10" t="s">
        <x:v>4748</x:v>
      </x:c>
      <x:c r="B1615" s="10" t="s">
        <x:v>4707</x:v>
      </x:c>
      <x:c r="C1615" s="10" t="s">
        <x:v>4708</x:v>
      </x:c>
      <x:c r="D1615" s="10" t="s">
        <x:v>4749</x:v>
      </x:c>
      <x:c r="E1615" s="10" t="s">
        <x:v>4750</x:v>
      </x:c>
      <x:c r="F1615" s="10" t="s">
        <x:v>108</x:v>
      </x:c>
      <x:c r="G1615" s="10" t="s">
        <x:v>109</x:v>
      </x:c>
      <x:c r="H1615" s="10" t="s">
        <x:v>4710</x:v>
      </x:c>
      <x:c r="I1615" s="10" t="s">
        <x:v>4711</x:v>
      </x:c>
      <x:c r="J1615" s="10" t="s">
        <x:v>4712</x:v>
      </x:c>
      <x:c r="K1615" s="10" t="s">
        <x:v>4751</x:v>
      </x:c>
      <x:c r="L1615" s="10" t="s">
        <x:v>4751</x:v>
      </x:c>
      <x:c r="M1615" s="10"/>
      <x:c r="N1615" s="10" t="n">
        <x:v>25</x:v>
      </x:c>
      <x:c r="O1615" s="10" t="s">
        <x:v>1204</x:v>
      </x:c>
      <x:c r="P1615" s="10" t="s">
        <x:v>115</x:v>
      </x:c>
      <x:c r="Q1615" s="10" t="s">
        <x:v>45</x:v>
      </x:c>
      <x:c r="R1615" s="10"/>
      <x:c r="S1615" s="10"/>
      <x:c r="T1615" s="10" t="s">
        <x:v>27</x:v>
      </x:c>
      <x:c r="U1615" s="10" t="s">
        <x:v>3474</x:v>
      </x:c>
      <x:c r="V1615" s="10" t="s">
        <x:v>4637</x:v>
      </x:c>
    </x:row>
    <x:row r="1616" ht="15" hidden="0" customHeight="1">
      <x:c r="A1616" s="10" t="s">
        <x:v>4752</x:v>
      </x:c>
      <x:c r="B1616" s="10" t="s">
        <x:v>4707</x:v>
      </x:c>
      <x:c r="C1616" s="10" t="s">
        <x:v>4708</x:v>
      </x:c>
      <x:c r="D1616" s="10" t="s">
        <x:v>164</x:v>
      </x:c>
      <x:c r="E1616" s="10" t="s">
        <x:v>32</x:v>
      </x:c>
      <x:c r="F1616" s="10" t="s">
        <x:v>1070</x:v>
      </x:c>
      <x:c r="G1616" s="10" t="s">
        <x:v>181</x:v>
      </x:c>
      <x:c r="H1616" s="10" t="s">
        <x:v>4710</x:v>
      </x:c>
      <x:c r="I1616" s="10" t="s">
        <x:v>4711</x:v>
      </x:c>
      <x:c r="J1616" s="10" t="s">
        <x:v>4712</x:v>
      </x:c>
      <x:c r="K1616" s="10" t="s">
        <x:v>4753</x:v>
      </x:c>
      <x:c r="L1616" s="10" t="s">
        <x:v>4753</x:v>
      </x:c>
      <x:c r="M1616" s="10"/>
      <x:c r="N1616" s="10"/>
      <x:c r="O1616" s="10" t="s">
        <x:v>1204</x:v>
      </x:c>
      <x:c r="P1616" s="10" t="s">
        <x:v>115</x:v>
      </x:c>
      <x:c r="Q1616" s="10" t="s">
        <x:v>45</x:v>
      </x:c>
      <x:c r="R1616" s="10" t="s">
        <x:v>4754</x:v>
      </x:c>
      <x:c r="S1616" s="10"/>
      <x:c r="T1616" s="10" t="s">
        <x:v>32</x:v>
      </x:c>
      <x:c r="U1616" s="10" t="s">
        <x:v>3474</x:v>
      </x:c>
      <x:c r="V1616" s="10" t="s">
        <x:v>4637</x:v>
      </x:c>
    </x:row>
    <x:row r="1617" ht="15" hidden="0" customHeight="1">
      <x:c r="A1617" s="10" t="s">
        <x:v>4755</x:v>
      </x:c>
      <x:c r="B1617" s="10" t="s">
        <x:v>4707</x:v>
      </x:c>
      <x:c r="C1617" s="10" t="s">
        <x:v>4735</x:v>
      </x:c>
      <x:c r="D1617" s="10" t="s">
        <x:v>3536</x:v>
      </x:c>
      <x:c r="E1617" s="10" t="s">
        <x:v>4756</x:v>
      </x:c>
      <x:c r="F1617" s="10" t="s">
        <x:v>108</x:v>
      </x:c>
      <x:c r="G1617" s="10" t="s">
        <x:v>109</x:v>
      </x:c>
      <x:c r="H1617" s="10" t="s">
        <x:v>4710</x:v>
      </x:c>
      <x:c r="I1617" s="10" t="s">
        <x:v>4711</x:v>
      </x:c>
      <x:c r="J1617" s="10" t="s">
        <x:v>4712</x:v>
      </x:c>
      <x:c r="K1617" s="10" t="s">
        <x:v>1525</x:v>
      </x:c>
      <x:c r="L1617" s="10" t="s">
        <x:v>1525</x:v>
      </x:c>
      <x:c r="M1617" s="10"/>
      <x:c r="N1617" s="10" t="n">
        <x:v>7</x:v>
      </x:c>
      <x:c r="O1617" s="10" t="s">
        <x:v>1204</x:v>
      </x:c>
      <x:c r="P1617" s="10" t="s">
        <x:v>115</x:v>
      </x:c>
      <x:c r="Q1617" s="10" t="s">
        <x:v>45</x:v>
      </x:c>
      <x:c r="R1617" s="10"/>
      <x:c r="S1617" s="10"/>
      <x:c r="T1617" s="10" t="s">
        <x:v>27</x:v>
      </x:c>
      <x:c r="U1617" s="10" t="s">
        <x:v>3474</x:v>
      </x:c>
      <x:c r="V1617" s="10" t="s">
        <x:v>4637</x:v>
      </x:c>
    </x:row>
    <x:row r="1618" ht="15" hidden="0" customHeight="1">
      <x:c r="A1618" s="10" t="s">
        <x:v>4757</x:v>
      </x:c>
      <x:c r="B1618" s="10" t="s">
        <x:v>4707</x:v>
      </x:c>
      <x:c r="C1618" s="10" t="s">
        <x:v>4735</x:v>
      </x:c>
      <x:c r="D1618" s="10" t="s">
        <x:v>4758</x:v>
      </x:c>
      <x:c r="E1618" s="10" t="s">
        <x:v>4759</x:v>
      </x:c>
      <x:c r="F1618" s="10" t="s">
        <x:v>108</x:v>
      </x:c>
      <x:c r="G1618" s="10" t="s">
        <x:v>109</x:v>
      </x:c>
      <x:c r="H1618" s="10" t="s">
        <x:v>4710</x:v>
      </x:c>
      <x:c r="I1618" s="10" t="s">
        <x:v>4711</x:v>
      </x:c>
      <x:c r="J1618" s="10" t="s">
        <x:v>4712</x:v>
      </x:c>
      <x:c r="K1618" s="10" t="s">
        <x:v>4760</x:v>
      </x:c>
      <x:c r="L1618" s="10" t="s">
        <x:v>4760</x:v>
      </x:c>
      <x:c r="M1618" s="10"/>
      <x:c r="N1618" s="10" t="n">
        <x:v>7</x:v>
      </x:c>
      <x:c r="O1618" s="10" t="s">
        <x:v>1204</x:v>
      </x:c>
      <x:c r="P1618" s="10" t="s">
        <x:v>115</x:v>
      </x:c>
      <x:c r="Q1618" s="10" t="s">
        <x:v>45</x:v>
      </x:c>
      <x:c r="R1618" s="10"/>
      <x:c r="S1618" s="10"/>
      <x:c r="T1618" s="10" t="s">
        <x:v>27</x:v>
      </x:c>
      <x:c r="U1618" s="10" t="s">
        <x:v>3474</x:v>
      </x:c>
      <x:c r="V1618" s="10" t="s">
        <x:v>4637</x:v>
      </x:c>
    </x:row>
    <x:row r="1619" ht="15" hidden="0" customHeight="1">
      <x:c r="A1619" s="10" t="s">
        <x:v>4761</x:v>
      </x:c>
      <x:c r="B1619" s="10" t="s">
        <x:v>4707</x:v>
      </x:c>
      <x:c r="C1619" s="10" t="s">
        <x:v>4731</x:v>
      </x:c>
      <x:c r="D1619" s="10" t="s">
        <x:v>4449</x:v>
      </x:c>
      <x:c r="E1619" s="10" t="s">
        <x:v>4762</x:v>
      </x:c>
      <x:c r="F1619" s="10" t="s">
        <x:v>108</x:v>
      </x:c>
      <x:c r="G1619" s="10" t="s">
        <x:v>109</x:v>
      </x:c>
      <x:c r="H1619" s="10" t="s">
        <x:v>4710</x:v>
      </x:c>
      <x:c r="I1619" s="10" t="s">
        <x:v>4711</x:v>
      </x:c>
      <x:c r="J1619" s="10" t="s">
        <x:v>4712</x:v>
      </x:c>
      <x:c r="K1619" s="10" t="s">
        <x:v>4763</x:v>
      </x:c>
      <x:c r="L1619" s="10" t="s">
        <x:v>4763</x:v>
      </x:c>
      <x:c r="M1619" s="10"/>
      <x:c r="N1619" s="10" t="n">
        <x:v>8</x:v>
      </x:c>
      <x:c r="O1619" s="10" t="s">
        <x:v>1204</x:v>
      </x:c>
      <x:c r="P1619" s="10" t="s">
        <x:v>115</x:v>
      </x:c>
      <x:c r="Q1619" s="10" t="s">
        <x:v>45</x:v>
      </x:c>
      <x:c r="R1619" s="10"/>
      <x:c r="S1619" s="10"/>
      <x:c r="T1619" s="10" t="s">
        <x:v>27</x:v>
      </x:c>
      <x:c r="U1619" s="10" t="s">
        <x:v>3474</x:v>
      </x:c>
      <x:c r="V1619" s="10" t="s">
        <x:v>4637</x:v>
      </x:c>
    </x:row>
    <x:row r="1620" ht="15" hidden="0" customHeight="1">
      <x:c r="A1620" s="10" t="s">
        <x:v>4764</x:v>
      </x:c>
      <x:c r="B1620" s="10" t="s">
        <x:v>4707</x:v>
      </x:c>
      <x:c r="C1620" s="10" t="s">
        <x:v>4735</x:v>
      </x:c>
      <x:c r="D1620" s="10" t="s">
        <x:v>4449</x:v>
      </x:c>
      <x:c r="E1620" s="10" t="s">
        <x:v>4765</x:v>
      </x:c>
      <x:c r="F1620" s="10" t="s">
        <x:v>108</x:v>
      </x:c>
      <x:c r="G1620" s="10" t="s">
        <x:v>109</x:v>
      </x:c>
      <x:c r="H1620" s="10" t="s">
        <x:v>4710</x:v>
      </x:c>
      <x:c r="I1620" s="10" t="s">
        <x:v>4711</x:v>
      </x:c>
      <x:c r="J1620" s="10" t="s">
        <x:v>4712</x:v>
      </x:c>
      <x:c r="K1620" s="10" t="s">
        <x:v>4766</x:v>
      </x:c>
      <x:c r="L1620" s="10" t="s">
        <x:v>4766</x:v>
      </x:c>
      <x:c r="M1620" s="10"/>
      <x:c r="N1620" s="10" t="n">
        <x:v>13</x:v>
      </x:c>
      <x:c r="O1620" s="10" t="s">
        <x:v>1204</x:v>
      </x:c>
      <x:c r="P1620" s="10" t="s">
        <x:v>115</x:v>
      </x:c>
      <x:c r="Q1620" s="10" t="s">
        <x:v>45</x:v>
      </x:c>
      <x:c r="R1620" s="10"/>
      <x:c r="S1620" s="10"/>
      <x:c r="T1620" s="10" t="s">
        <x:v>27</x:v>
      </x:c>
      <x:c r="U1620" s="10" t="s">
        <x:v>3474</x:v>
      </x:c>
      <x:c r="V1620" s="10" t="s">
        <x:v>4637</x:v>
      </x:c>
    </x:row>
    <x:row r="1621" ht="15" hidden="0" customHeight="1">
      <x:c r="A1621" s="10" t="s">
        <x:v>4767</x:v>
      </x:c>
      <x:c r="B1621" s="10" t="s">
        <x:v>4707</x:v>
      </x:c>
      <x:c r="C1621" s="10" t="s">
        <x:v>4735</x:v>
      </x:c>
      <x:c r="D1621" s="10" t="s">
        <x:v>4768</x:v>
      </x:c>
      <x:c r="E1621" s="10" t="s">
        <x:v>4769</x:v>
      </x:c>
      <x:c r="F1621" s="10" t="s">
        <x:v>108</x:v>
      </x:c>
      <x:c r="G1621" s="10" t="s">
        <x:v>109</x:v>
      </x:c>
      <x:c r="H1621" s="10" t="s">
        <x:v>4710</x:v>
      </x:c>
      <x:c r="I1621" s="10" t="s">
        <x:v>4711</x:v>
      </x:c>
      <x:c r="J1621" s="10" t="s">
        <x:v>4712</x:v>
      </x:c>
      <x:c r="K1621" s="10" t="s">
        <x:v>4770</x:v>
      </x:c>
      <x:c r="L1621" s="10" t="s">
        <x:v>4770</x:v>
      </x:c>
      <x:c r="M1621" s="10"/>
      <x:c r="N1621" s="10" t="n">
        <x:v>30</x:v>
      </x:c>
      <x:c r="O1621" s="10" t="s">
        <x:v>1204</x:v>
      </x:c>
      <x:c r="P1621" s="10" t="s">
        <x:v>115</x:v>
      </x:c>
      <x:c r="Q1621" s="10" t="s">
        <x:v>45</x:v>
      </x:c>
      <x:c r="R1621" s="10" t="s">
        <x:v>4771</x:v>
      </x:c>
      <x:c r="S1621" s="10"/>
      <x:c r="T1621" s="10" t="s">
        <x:v>27</x:v>
      </x:c>
      <x:c r="U1621" s="10" t="s">
        <x:v>3474</x:v>
      </x:c>
      <x:c r="V1621" s="10" t="s">
        <x:v>4637</x:v>
      </x:c>
    </x:row>
    <x:row r="1622" ht="15" hidden="0" customHeight="1">
      <x:c r="A1622" s="10" t="s">
        <x:v>4772</x:v>
      </x:c>
      <x:c r="B1622" s="10" t="s">
        <x:v>4707</x:v>
      </x:c>
      <x:c r="C1622" s="10" t="s">
        <x:v>4735</x:v>
      </x:c>
      <x:c r="D1622" s="10" t="s">
        <x:v>4773</x:v>
      </x:c>
      <x:c r="E1622" s="10" t="s">
        <x:v>4774</x:v>
      </x:c>
      <x:c r="F1622" s="10" t="s">
        <x:v>108</x:v>
      </x:c>
      <x:c r="G1622" s="10" t="s">
        <x:v>187</x:v>
      </x:c>
      <x:c r="H1622" s="10" t="s">
        <x:v>4710</x:v>
      </x:c>
      <x:c r="I1622" s="10" t="s">
        <x:v>4711</x:v>
      </x:c>
      <x:c r="J1622" s="10" t="s">
        <x:v>4712</x:v>
      </x:c>
      <x:c r="K1622" s="10" t="s">
        <x:v>4775</x:v>
      </x:c>
      <x:c r="L1622" s="10" t="s">
        <x:v>4775</x:v>
      </x:c>
      <x:c r="M1622" s="10"/>
      <x:c r="N1622" s="10" t="n">
        <x:v>13</x:v>
      </x:c>
      <x:c r="O1622" s="10" t="s">
        <x:v>1204</x:v>
      </x:c>
      <x:c r="P1622" s="10" t="s">
        <x:v>115</x:v>
      </x:c>
      <x:c r="Q1622" s="10" t="s">
        <x:v>45</x:v>
      </x:c>
      <x:c r="R1622" s="10"/>
      <x:c r="S1622" s="10"/>
      <x:c r="T1622" s="10" t="s">
        <x:v>27</x:v>
      </x:c>
      <x:c r="U1622" s="10" t="s">
        <x:v>3474</x:v>
      </x:c>
      <x:c r="V1622" s="10" t="s">
        <x:v>4637</x:v>
      </x:c>
    </x:row>
    <x:row r="1623" ht="15" hidden="0" customHeight="1">
      <x:c r="A1623" s="10" t="s">
        <x:v>4776</x:v>
      </x:c>
      <x:c r="B1623" s="10" t="s">
        <x:v>4707</x:v>
      </x:c>
      <x:c r="C1623" s="10" t="s">
        <x:v>4735</x:v>
      </x:c>
      <x:c r="D1623" s="10" t="s">
        <x:v>4777</x:v>
      </x:c>
      <x:c r="E1623" s="10" t="s">
        <x:v>4778</x:v>
      </x:c>
      <x:c r="F1623" s="10" t="s">
        <x:v>108</x:v>
      </x:c>
      <x:c r="G1623" s="10" t="s">
        <x:v>187</x:v>
      </x:c>
      <x:c r="H1623" s="10" t="s">
        <x:v>4710</x:v>
      </x:c>
      <x:c r="I1623" s="10" t="s">
        <x:v>4711</x:v>
      </x:c>
      <x:c r="J1623" s="10" t="s">
        <x:v>4712</x:v>
      </x:c>
      <x:c r="K1623" s="10" t="s">
        <x:v>4775</x:v>
      </x:c>
      <x:c r="L1623" s="10" t="s">
        <x:v>4775</x:v>
      </x:c>
      <x:c r="M1623" s="10"/>
      <x:c r="N1623" s="10" t="n">
        <x:v>14</x:v>
      </x:c>
      <x:c r="O1623" s="10" t="s">
        <x:v>1204</x:v>
      </x:c>
      <x:c r="P1623" s="10" t="s">
        <x:v>115</x:v>
      </x:c>
      <x:c r="Q1623" s="10" t="s">
        <x:v>45</x:v>
      </x:c>
      <x:c r="R1623" s="10"/>
      <x:c r="S1623" s="10"/>
      <x:c r="T1623" s="10" t="s">
        <x:v>27</x:v>
      </x:c>
      <x:c r="U1623" s="10" t="s">
        <x:v>3474</x:v>
      </x:c>
      <x:c r="V1623" s="10" t="s">
        <x:v>4637</x:v>
      </x:c>
    </x:row>
    <x:row r="1624" ht="15" hidden="0" customHeight="1">
      <x:c r="A1624" s="10" t="s">
        <x:v>4779</x:v>
      </x:c>
      <x:c r="B1624" s="10" t="s">
        <x:v>4707</x:v>
      </x:c>
      <x:c r="C1624" s="10" t="s">
        <x:v>4708</x:v>
      </x:c>
      <x:c r="D1624" s="10" t="s">
        <x:v>871</x:v>
      </x:c>
      <x:c r="E1624" s="10" t="s">
        <x:v>4780</x:v>
      </x:c>
      <x:c r="F1624" s="10" t="s">
        <x:v>108</x:v>
      </x:c>
      <x:c r="G1624" s="10" t="s">
        <x:v>109</x:v>
      </x:c>
      <x:c r="H1624" s="10" t="s">
        <x:v>4710</x:v>
      </x:c>
      <x:c r="I1624" s="10" t="s">
        <x:v>4711</x:v>
      </x:c>
      <x:c r="J1624" s="10" t="s">
        <x:v>4712</x:v>
      </x:c>
      <x:c r="K1624" s="10" t="s">
        <x:v>4781</x:v>
      </x:c>
      <x:c r="L1624" s="10" t="s">
        <x:v>4781</x:v>
      </x:c>
      <x:c r="M1624" s="10"/>
      <x:c r="N1624" s="10" t="n">
        <x:v>14</x:v>
      </x:c>
      <x:c r="O1624" s="10" t="s">
        <x:v>1204</x:v>
      </x:c>
      <x:c r="P1624" s="10" t="s">
        <x:v>115</x:v>
      </x:c>
      <x:c r="Q1624" s="10" t="s">
        <x:v>45</x:v>
      </x:c>
      <x:c r="R1624" s="10"/>
      <x:c r="S1624" s="10"/>
      <x:c r="T1624" s="10" t="s">
        <x:v>27</x:v>
      </x:c>
      <x:c r="U1624" s="10" t="s">
        <x:v>3474</x:v>
      </x:c>
      <x:c r="V1624" s="10" t="s">
        <x:v>4637</x:v>
      </x:c>
    </x:row>
    <x:row r="1625" ht="15" hidden="0" customHeight="1">
      <x:c r="A1625" s="10" t="s">
        <x:v>4782</x:v>
      </x:c>
      <x:c r="B1625" s="10" t="s">
        <x:v>4707</x:v>
      </x:c>
      <x:c r="C1625" s="10" t="s">
        <x:v>4708</x:v>
      </x:c>
      <x:c r="D1625" s="10" t="s">
        <x:v>4783</x:v>
      </x:c>
      <x:c r="E1625" s="10" t="s">
        <x:v>4784</x:v>
      </x:c>
      <x:c r="F1625" s="10" t="s">
        <x:v>108</x:v>
      </x:c>
      <x:c r="G1625" s="10" t="s">
        <x:v>187</x:v>
      </x:c>
      <x:c r="H1625" s="10" t="s">
        <x:v>4710</x:v>
      </x:c>
      <x:c r="I1625" s="10" t="s">
        <x:v>4711</x:v>
      </x:c>
      <x:c r="J1625" s="10" t="s">
        <x:v>4712</x:v>
      </x:c>
      <x:c r="K1625" s="10" t="s">
        <x:v>4744</x:v>
      </x:c>
      <x:c r="L1625" s="10" t="s">
        <x:v>4744</x:v>
      </x:c>
      <x:c r="M1625" s="10"/>
      <x:c r="N1625" s="10" t="n">
        <x:v>26</x:v>
      </x:c>
      <x:c r="O1625" s="10" t="s">
        <x:v>1204</x:v>
      </x:c>
      <x:c r="P1625" s="10" t="s">
        <x:v>115</x:v>
      </x:c>
      <x:c r="Q1625" s="10" t="s">
        <x:v>45</x:v>
      </x:c>
      <x:c r="R1625" s="10"/>
      <x:c r="S1625" s="10"/>
      <x:c r="T1625" s="10" t="s">
        <x:v>27</x:v>
      </x:c>
      <x:c r="U1625" s="10" t="s">
        <x:v>3474</x:v>
      </x:c>
      <x:c r="V1625" s="10" t="s">
        <x:v>4637</x:v>
      </x:c>
    </x:row>
    <x:row r="1626" ht="15" hidden="0" customHeight="1">
      <x:c r="A1626" s="10" t="s">
        <x:v>4785</x:v>
      </x:c>
      <x:c r="B1626" s="10" t="s">
        <x:v>4786</x:v>
      </x:c>
      <x:c r="C1626" s="10" t="s">
        <x:v>4787</x:v>
      </x:c>
      <x:c r="D1626" s="10" t="s">
        <x:v>1704</x:v>
      </x:c>
      <x:c r="E1626" s="10" t="s">
        <x:v>4788</x:v>
      </x:c>
      <x:c r="F1626" s="10" t="s">
        <x:v>108</x:v>
      </x:c>
      <x:c r="G1626" s="10" t="s">
        <x:v>109</x:v>
      </x:c>
      <x:c r="H1626" s="10" t="s">
        <x:v>4789</x:v>
      </x:c>
      <x:c r="I1626" s="10" t="s">
        <x:v>4790</x:v>
      </x:c>
      <x:c r="J1626" s="10" t="s">
        <x:v>4791</x:v>
      </x:c>
      <x:c r="K1626" s="10" t="s">
        <x:v>4792</x:v>
      </x:c>
      <x:c r="L1626" s="10" t="s">
        <x:v>4792</x:v>
      </x:c>
      <x:c r="M1626" s="10"/>
      <x:c r="N1626" s="10" t="n">
        <x:v>1</x:v>
      </x:c>
      <x:c r="O1626" s="10" t="s">
        <x:v>1204</x:v>
      </x:c>
      <x:c r="P1626" s="10" t="s">
        <x:v>115</x:v>
      </x:c>
      <x:c r="Q1626" s="10" t="s">
        <x:v>45</x:v>
      </x:c>
      <x:c r="R1626" s="10"/>
      <x:c r="S1626" s="10"/>
      <x:c r="T1626" s="10" t="s">
        <x:v>27</x:v>
      </x:c>
      <x:c r="U1626" s="10" t="s">
        <x:v>3474</x:v>
      </x:c>
      <x:c r="V1626" s="10" t="s">
        <x:v>4637</x:v>
      </x:c>
    </x:row>
    <x:row r="1627" ht="15" hidden="0" customHeight="1">
      <x:c r="A1627" s="10" t="s">
        <x:v>4793</x:v>
      </x:c>
      <x:c r="B1627" s="10" t="s">
        <x:v>4786</x:v>
      </x:c>
      <x:c r="C1627" s="10" t="s">
        <x:v>4787</x:v>
      </x:c>
      <x:c r="D1627" s="10" t="s">
        <x:v>3536</x:v>
      </x:c>
      <x:c r="E1627" s="10" t="s">
        <x:v>4794</x:v>
      </x:c>
      <x:c r="F1627" s="10" t="s">
        <x:v>108</x:v>
      </x:c>
      <x:c r="G1627" s="10" t="s">
        <x:v>109</x:v>
      </x:c>
      <x:c r="H1627" s="10" t="s">
        <x:v>4789</x:v>
      </x:c>
      <x:c r="I1627" s="10" t="s">
        <x:v>4790</x:v>
      </x:c>
      <x:c r="J1627" s="10" t="s">
        <x:v>4791</x:v>
      </x:c>
      <x:c r="K1627" s="10" t="s">
        <x:v>3998</x:v>
      </x:c>
      <x:c r="L1627" s="10" t="s">
        <x:v>3998</x:v>
      </x:c>
      <x:c r="M1627" s="10"/>
      <x:c r="N1627" s="10" t="n">
        <x:v>3</x:v>
      </x:c>
      <x:c r="O1627" s="10" t="s">
        <x:v>1204</x:v>
      </x:c>
      <x:c r="P1627" s="10" t="s">
        <x:v>115</x:v>
      </x:c>
      <x:c r="Q1627" s="10" t="s">
        <x:v>45</x:v>
      </x:c>
      <x:c r="R1627" s="10"/>
      <x:c r="S1627" s="10"/>
      <x:c r="T1627" s="10" t="s">
        <x:v>27</x:v>
      </x:c>
      <x:c r="U1627" s="10" t="s">
        <x:v>3474</x:v>
      </x:c>
      <x:c r="V1627" s="10" t="s">
        <x:v>4637</x:v>
      </x:c>
    </x:row>
    <x:row r="1628" ht="15" hidden="0" customHeight="1">
      <x:c r="A1628" s="10" t="s">
        <x:v>4795</x:v>
      </x:c>
      <x:c r="B1628" s="10" t="s">
        <x:v>4786</x:v>
      </x:c>
      <x:c r="C1628" s="10" t="s">
        <x:v>4787</x:v>
      </x:c>
      <x:c r="D1628" s="10" t="s">
        <x:v>4387</x:v>
      </x:c>
      <x:c r="E1628" s="10" t="s">
        <x:v>4796</x:v>
      </x:c>
      <x:c r="F1628" s="10" t="s">
        <x:v>108</x:v>
      </x:c>
      <x:c r="G1628" s="10" t="s">
        <x:v>109</x:v>
      </x:c>
      <x:c r="H1628" s="10" t="s">
        <x:v>4789</x:v>
      </x:c>
      <x:c r="I1628" s="10" t="s">
        <x:v>4790</x:v>
      </x:c>
      <x:c r="J1628" s="10" t="s">
        <x:v>4791</x:v>
      </x:c>
      <x:c r="K1628" s="10" t="s">
        <x:v>1356</x:v>
      </x:c>
      <x:c r="L1628" s="10" t="s">
        <x:v>1356</x:v>
      </x:c>
      <x:c r="M1628" s="10"/>
      <x:c r="N1628" s="10" t="n">
        <x:v>5</x:v>
      </x:c>
      <x:c r="O1628" s="10" t="s">
        <x:v>1204</x:v>
      </x:c>
      <x:c r="P1628" s="10" t="s">
        <x:v>115</x:v>
      </x:c>
      <x:c r="Q1628" s="10" t="s">
        <x:v>45</x:v>
      </x:c>
      <x:c r="R1628" s="10"/>
      <x:c r="S1628" s="10"/>
      <x:c r="T1628" s="10" t="s">
        <x:v>27</x:v>
      </x:c>
      <x:c r="U1628" s="10" t="s">
        <x:v>3474</x:v>
      </x:c>
      <x:c r="V1628" s="10" t="s">
        <x:v>4637</x:v>
      </x:c>
    </x:row>
    <x:row r="1629" ht="15" hidden="0" customHeight="1">
      <x:c r="A1629" s="10" t="s">
        <x:v>4797</x:v>
      </x:c>
      <x:c r="B1629" s="10" t="s">
        <x:v>4786</x:v>
      </x:c>
      <x:c r="C1629" s="10" t="s">
        <x:v>4787</x:v>
      </x:c>
      <x:c r="D1629" s="10" t="s">
        <x:v>1775</x:v>
      </x:c>
      <x:c r="E1629" s="10" t="s">
        <x:v>4798</x:v>
      </x:c>
      <x:c r="F1629" s="10" t="s">
        <x:v>108</x:v>
      </x:c>
      <x:c r="G1629" s="10" t="s">
        <x:v>109</x:v>
      </x:c>
      <x:c r="H1629" s="10" t="s">
        <x:v>4789</x:v>
      </x:c>
      <x:c r="I1629" s="10" t="s">
        <x:v>4790</x:v>
      </x:c>
      <x:c r="J1629" s="10" t="s">
        <x:v>4791</x:v>
      </x:c>
      <x:c r="K1629" s="10" t="s">
        <x:v>1301</x:v>
      </x:c>
      <x:c r="L1629" s="10" t="s">
        <x:v>1301</x:v>
      </x:c>
      <x:c r="M1629" s="10"/>
      <x:c r="N1629" s="10" t="n">
        <x:v>6</x:v>
      </x:c>
      <x:c r="O1629" s="10" t="s">
        <x:v>1204</x:v>
      </x:c>
      <x:c r="P1629" s="10" t="s">
        <x:v>115</x:v>
      </x:c>
      <x:c r="Q1629" s="10" t="s">
        <x:v>45</x:v>
      </x:c>
      <x:c r="R1629" s="10"/>
      <x:c r="S1629" s="10"/>
      <x:c r="T1629" s="10" t="s">
        <x:v>27</x:v>
      </x:c>
      <x:c r="U1629" s="10" t="s">
        <x:v>3474</x:v>
      </x:c>
      <x:c r="V1629" s="10" t="s">
        <x:v>4637</x:v>
      </x:c>
    </x:row>
    <x:row r="1630" ht="15" hidden="0" customHeight="1">
      <x:c r="A1630" s="10" t="s">
        <x:v>4799</x:v>
      </x:c>
      <x:c r="B1630" s="10" t="s">
        <x:v>4786</x:v>
      </x:c>
      <x:c r="C1630" s="10" t="s">
        <x:v>4787</x:v>
      </x:c>
      <x:c r="D1630" s="10" t="s">
        <x:v>1864</x:v>
      </x:c>
      <x:c r="E1630" s="10" t="s">
        <x:v>4800</x:v>
      </x:c>
      <x:c r="F1630" s="10" t="s">
        <x:v>108</x:v>
      </x:c>
      <x:c r="G1630" s="10" t="s">
        <x:v>109</x:v>
      </x:c>
      <x:c r="H1630" s="10" t="s">
        <x:v>4789</x:v>
      </x:c>
      <x:c r="I1630" s="10" t="s">
        <x:v>4790</x:v>
      </x:c>
      <x:c r="J1630" s="10" t="s">
        <x:v>4791</x:v>
      </x:c>
      <x:c r="K1630" s="10" t="s">
        <x:v>4801</x:v>
      </x:c>
      <x:c r="L1630" s="10" t="s">
        <x:v>4801</x:v>
      </x:c>
      <x:c r="M1630" s="10"/>
      <x:c r="N1630" s="10" t="n">
        <x:v>7</x:v>
      </x:c>
      <x:c r="O1630" s="10" t="s">
        <x:v>1204</x:v>
      </x:c>
      <x:c r="P1630" s="10" t="s">
        <x:v>115</x:v>
      </x:c>
      <x:c r="Q1630" s="10" t="s">
        <x:v>45</x:v>
      </x:c>
      <x:c r="R1630" s="10"/>
      <x:c r="S1630" s="10"/>
      <x:c r="T1630" s="10" t="s">
        <x:v>27</x:v>
      </x:c>
      <x:c r="U1630" s="10" t="s">
        <x:v>3474</x:v>
      </x:c>
      <x:c r="V1630" s="10" t="s">
        <x:v>4637</x:v>
      </x:c>
    </x:row>
    <x:row r="1631" ht="15" hidden="0" customHeight="1">
      <x:c r="A1631" s="10" t="s">
        <x:v>4802</x:v>
      </x:c>
      <x:c r="B1631" s="10" t="s">
        <x:v>4786</x:v>
      </x:c>
      <x:c r="C1631" s="10" t="s">
        <x:v>4787</x:v>
      </x:c>
      <x:c r="D1631" s="10" t="s">
        <x:v>4803</x:v>
      </x:c>
      <x:c r="E1631" s="10" t="s">
        <x:v>4804</x:v>
      </x:c>
      <x:c r="F1631" s="10" t="s">
        <x:v>108</x:v>
      </x:c>
      <x:c r="G1631" s="10" t="s">
        <x:v>109</x:v>
      </x:c>
      <x:c r="H1631" s="10" t="s">
        <x:v>4789</x:v>
      </x:c>
      <x:c r="I1631" s="10" t="s">
        <x:v>4790</x:v>
      </x:c>
      <x:c r="J1631" s="10" t="s">
        <x:v>4791</x:v>
      </x:c>
      <x:c r="K1631" s="10" t="s">
        <x:v>4108</x:v>
      </x:c>
      <x:c r="L1631" s="10" t="s">
        <x:v>4108</x:v>
      </x:c>
      <x:c r="M1631" s="10"/>
      <x:c r="N1631" s="10" t="n">
        <x:v>7</x:v>
      </x:c>
      <x:c r="O1631" s="10" t="s">
        <x:v>1204</x:v>
      </x:c>
      <x:c r="P1631" s="10" t="s">
        <x:v>115</x:v>
      </x:c>
      <x:c r="Q1631" s="10" t="s">
        <x:v>45</x:v>
      </x:c>
      <x:c r="R1631" s="10"/>
      <x:c r="S1631" s="10"/>
      <x:c r="T1631" s="10" t="s">
        <x:v>27</x:v>
      </x:c>
      <x:c r="U1631" s="10" t="s">
        <x:v>3474</x:v>
      </x:c>
      <x:c r="V1631" s="10" t="s">
        <x:v>4637</x:v>
      </x:c>
    </x:row>
    <x:row r="1632" ht="15" hidden="0" customHeight="1">
      <x:c r="A1632" s="10" t="s">
        <x:v>4805</x:v>
      </x:c>
      <x:c r="B1632" s="10" t="s">
        <x:v>4786</x:v>
      </x:c>
      <x:c r="C1632" s="10" t="s">
        <x:v>4806</x:v>
      </x:c>
      <x:c r="D1632" s="10" t="s">
        <x:v>2114</x:v>
      </x:c>
      <x:c r="E1632" s="10" t="s">
        <x:v>4807</x:v>
      </x:c>
      <x:c r="F1632" s="10" t="s">
        <x:v>108</x:v>
      </x:c>
      <x:c r="G1632" s="10" t="s">
        <x:v>109</x:v>
      </x:c>
      <x:c r="H1632" s="10" t="s">
        <x:v>4789</x:v>
      </x:c>
      <x:c r="I1632" s="10" t="s">
        <x:v>4790</x:v>
      </x:c>
      <x:c r="J1632" s="10" t="s">
        <x:v>4791</x:v>
      </x:c>
      <x:c r="K1632" s="10" t="s">
        <x:v>4108</x:v>
      </x:c>
      <x:c r="L1632" s="10" t="s">
        <x:v>4108</x:v>
      </x:c>
      <x:c r="M1632" s="10"/>
      <x:c r="N1632" s="10" t="n">
        <x:v>7</x:v>
      </x:c>
      <x:c r="O1632" s="10" t="s">
        <x:v>1204</x:v>
      </x:c>
      <x:c r="P1632" s="10" t="s">
        <x:v>115</x:v>
      </x:c>
      <x:c r="Q1632" s="10" t="s">
        <x:v>45</x:v>
      </x:c>
      <x:c r="R1632" s="10"/>
      <x:c r="S1632" s="10"/>
      <x:c r="T1632" s="10" t="s">
        <x:v>27</x:v>
      </x:c>
      <x:c r="U1632" s="10" t="s">
        <x:v>3474</x:v>
      </x:c>
      <x:c r="V1632" s="10" t="s">
        <x:v>4637</x:v>
      </x:c>
    </x:row>
    <x:row r="1633" ht="15" hidden="0" customHeight="1">
      <x:c r="A1633" s="10" t="s">
        <x:v>4808</x:v>
      </x:c>
      <x:c r="B1633" s="10" t="s">
        <x:v>4786</x:v>
      </x:c>
      <x:c r="C1633" s="10" t="s">
        <x:v>4809</x:v>
      </x:c>
      <x:c r="D1633" s="10" t="s">
        <x:v>2114</x:v>
      </x:c>
      <x:c r="E1633" s="10" t="s">
        <x:v>4810</x:v>
      </x:c>
      <x:c r="F1633" s="10" t="s">
        <x:v>108</x:v>
      </x:c>
      <x:c r="G1633" s="10" t="s">
        <x:v>109</x:v>
      </x:c>
      <x:c r="H1633" s="10" t="s">
        <x:v>4789</x:v>
      </x:c>
      <x:c r="I1633" s="10" t="s">
        <x:v>4790</x:v>
      </x:c>
      <x:c r="J1633" s="10" t="s">
        <x:v>4791</x:v>
      </x:c>
      <x:c r="K1633" s="10" t="s">
        <x:v>4108</x:v>
      </x:c>
      <x:c r="L1633" s="10" t="s">
        <x:v>4108</x:v>
      </x:c>
      <x:c r="M1633" s="10"/>
      <x:c r="N1633" s="10" t="n">
        <x:v>7</x:v>
      </x:c>
      <x:c r="O1633" s="10" t="s">
        <x:v>1204</x:v>
      </x:c>
      <x:c r="P1633" s="10" t="s">
        <x:v>115</x:v>
      </x:c>
      <x:c r="Q1633" s="10" t="s">
        <x:v>45</x:v>
      </x:c>
      <x:c r="R1633" s="10"/>
      <x:c r="S1633" s="10"/>
      <x:c r="T1633" s="10" t="s">
        <x:v>27</x:v>
      </x:c>
      <x:c r="U1633" s="10" t="s">
        <x:v>3474</x:v>
      </x:c>
      <x:c r="V1633" s="10" t="s">
        <x:v>4637</x:v>
      </x:c>
    </x:row>
    <x:row r="1634" ht="15" hidden="0" customHeight="1">
      <x:c r="A1634" s="10" t="s">
        <x:v>4811</x:v>
      </x:c>
      <x:c r="B1634" s="10" t="s">
        <x:v>4786</x:v>
      </x:c>
      <x:c r="C1634" s="10" t="s">
        <x:v>4806</x:v>
      </x:c>
      <x:c r="D1634" s="10" t="s">
        <x:v>4812</x:v>
      </x:c>
      <x:c r="E1634" s="10" t="s">
        <x:v>4813</x:v>
      </x:c>
      <x:c r="F1634" s="10" t="s">
        <x:v>108</x:v>
      </x:c>
      <x:c r="G1634" s="10" t="s">
        <x:v>109</x:v>
      </x:c>
      <x:c r="H1634" s="10" t="s">
        <x:v>4789</x:v>
      </x:c>
      <x:c r="I1634" s="10" t="s">
        <x:v>4790</x:v>
      </x:c>
      <x:c r="J1634" s="10" t="s">
        <x:v>4791</x:v>
      </x:c>
      <x:c r="K1634" s="10" t="s">
        <x:v>3998</x:v>
      </x:c>
      <x:c r="L1634" s="10" t="s">
        <x:v>3998</x:v>
      </x:c>
      <x:c r="M1634" s="10"/>
      <x:c r="N1634" s="10" t="n">
        <x:v>4</x:v>
      </x:c>
      <x:c r="O1634" s="10" t="s">
        <x:v>1204</x:v>
      </x:c>
      <x:c r="P1634" s="10" t="s">
        <x:v>115</x:v>
      </x:c>
      <x:c r="Q1634" s="10" t="s">
        <x:v>45</x:v>
      </x:c>
      <x:c r="R1634" s="10"/>
      <x:c r="S1634" s="10" t="s">
        <x:v>3016</x:v>
      </x:c>
      <x:c r="T1634" s="10" t="s">
        <x:v>27</x:v>
      </x:c>
      <x:c r="U1634" s="10" t="s">
        <x:v>3474</x:v>
      </x:c>
      <x:c r="V1634" s="10" t="s">
        <x:v>4637</x:v>
      </x:c>
    </x:row>
    <x:row r="1635" ht="15" hidden="0" customHeight="1">
      <x:c r="A1635" s="10" t="s">
        <x:v>4814</x:v>
      </x:c>
      <x:c r="B1635" s="10" t="s">
        <x:v>4786</x:v>
      </x:c>
      <x:c r="C1635" s="10" t="s">
        <x:v>4809</x:v>
      </x:c>
      <x:c r="D1635" s="10" t="s">
        <x:v>4812</x:v>
      </x:c>
      <x:c r="E1635" s="10" t="s">
        <x:v>4815</x:v>
      </x:c>
      <x:c r="F1635" s="10" t="s">
        <x:v>108</x:v>
      </x:c>
      <x:c r="G1635" s="10" t="s">
        <x:v>109</x:v>
      </x:c>
      <x:c r="H1635" s="10" t="s">
        <x:v>4789</x:v>
      </x:c>
      <x:c r="I1635" s="10" t="s">
        <x:v>4790</x:v>
      </x:c>
      <x:c r="J1635" s="10" t="s">
        <x:v>4791</x:v>
      </x:c>
      <x:c r="K1635" s="10" t="s">
        <x:v>3998</x:v>
      </x:c>
      <x:c r="L1635" s="10" t="s">
        <x:v>3998</x:v>
      </x:c>
      <x:c r="M1635" s="10"/>
      <x:c r="N1635" s="10" t="n">
        <x:v>5</x:v>
      </x:c>
      <x:c r="O1635" s="10" t="s">
        <x:v>1204</x:v>
      </x:c>
      <x:c r="P1635" s="10" t="s">
        <x:v>115</x:v>
      </x:c>
      <x:c r="Q1635" s="10" t="s">
        <x:v>45</x:v>
      </x:c>
      <x:c r="R1635" s="10"/>
      <x:c r="S1635" s="10"/>
      <x:c r="T1635" s="10" t="s">
        <x:v>27</x:v>
      </x:c>
      <x:c r="U1635" s="10" t="s">
        <x:v>3474</x:v>
      </x:c>
      <x:c r="V1635" s="10" t="s">
        <x:v>4637</x:v>
      </x:c>
    </x:row>
    <x:row r="1636" ht="15" hidden="0" customHeight="1">
      <x:c r="A1636" s="10" t="s">
        <x:v>4816</x:v>
      </x:c>
      <x:c r="B1636" s="10" t="s">
        <x:v>4786</x:v>
      </x:c>
      <x:c r="C1636" s="10" t="s">
        <x:v>4806</x:v>
      </x:c>
      <x:c r="D1636" s="10" t="s">
        <x:v>4817</x:v>
      </x:c>
      <x:c r="E1636" s="10" t="s">
        <x:v>4818</x:v>
      </x:c>
      <x:c r="F1636" s="10" t="s">
        <x:v>108</x:v>
      </x:c>
      <x:c r="G1636" s="10" t="s">
        <x:v>109</x:v>
      </x:c>
      <x:c r="H1636" s="10" t="s">
        <x:v>4789</x:v>
      </x:c>
      <x:c r="I1636" s="10" t="s">
        <x:v>4790</x:v>
      </x:c>
      <x:c r="J1636" s="10" t="s">
        <x:v>4791</x:v>
      </x:c>
      <x:c r="K1636" s="10" t="s">
        <x:v>1443</x:v>
      </x:c>
      <x:c r="L1636" s="10" t="s">
        <x:v>1443</x:v>
      </x:c>
      <x:c r="M1636" s="10"/>
      <x:c r="N1636" s="10" t="n">
        <x:v>12</x:v>
      </x:c>
      <x:c r="O1636" s="10" t="s">
        <x:v>1204</x:v>
      </x:c>
      <x:c r="P1636" s="10" t="s">
        <x:v>115</x:v>
      </x:c>
      <x:c r="Q1636" s="10" t="s">
        <x:v>45</x:v>
      </x:c>
      <x:c r="R1636" s="10"/>
      <x:c r="S1636" s="10"/>
      <x:c r="T1636" s="10" t="s">
        <x:v>27</x:v>
      </x:c>
      <x:c r="U1636" s="10" t="s">
        <x:v>3474</x:v>
      </x:c>
      <x:c r="V1636" s="10" t="s">
        <x:v>4637</x:v>
      </x:c>
    </x:row>
    <x:row r="1637" ht="15" hidden="0" customHeight="1">
      <x:c r="A1637" s="10" t="s">
        <x:v>4819</x:v>
      </x:c>
      <x:c r="B1637" s="10" t="s">
        <x:v>4786</x:v>
      </x:c>
      <x:c r="C1637" s="10" t="s">
        <x:v>4809</x:v>
      </x:c>
      <x:c r="D1637" s="10" t="s">
        <x:v>4817</x:v>
      </x:c>
      <x:c r="E1637" s="10" t="s">
        <x:v>4820</x:v>
      </x:c>
      <x:c r="F1637" s="10" t="s">
        <x:v>108</x:v>
      </x:c>
      <x:c r="G1637" s="10" t="s">
        <x:v>109</x:v>
      </x:c>
      <x:c r="H1637" s="10" t="s">
        <x:v>4789</x:v>
      </x:c>
      <x:c r="I1637" s="10" t="s">
        <x:v>4790</x:v>
      </x:c>
      <x:c r="J1637" s="10" t="s">
        <x:v>4791</x:v>
      </x:c>
      <x:c r="K1637" s="10" t="s">
        <x:v>1443</x:v>
      </x:c>
      <x:c r="L1637" s="10" t="s">
        <x:v>1443</x:v>
      </x:c>
      <x:c r="M1637" s="10"/>
      <x:c r="N1637" s="10" t="n">
        <x:v>12</x:v>
      </x:c>
      <x:c r="O1637" s="10" t="s">
        <x:v>1204</x:v>
      </x:c>
      <x:c r="P1637" s="10" t="s">
        <x:v>115</x:v>
      </x:c>
      <x:c r="Q1637" s="10" t="s">
        <x:v>45</x:v>
      </x:c>
      <x:c r="R1637" s="10"/>
      <x:c r="S1637" s="10"/>
      <x:c r="T1637" s="10" t="s">
        <x:v>27</x:v>
      </x:c>
      <x:c r="U1637" s="10" t="s">
        <x:v>3474</x:v>
      </x:c>
      <x:c r="V1637" s="10" t="s">
        <x:v>4637</x:v>
      </x:c>
    </x:row>
    <x:row r="1638" ht="15" hidden="0" customHeight="1">
      <x:c r="A1638" s="10" t="s">
        <x:v>4821</x:v>
      </x:c>
      <x:c r="B1638" s="10" t="s">
        <x:v>4786</x:v>
      </x:c>
      <x:c r="C1638" s="10" t="s">
        <x:v>4787</x:v>
      </x:c>
      <x:c r="D1638" s="10" t="s">
        <x:v>4822</x:v>
      </x:c>
      <x:c r="E1638" s="10" t="s">
        <x:v>4823</x:v>
      </x:c>
      <x:c r="F1638" s="10" t="s">
        <x:v>108</x:v>
      </x:c>
      <x:c r="G1638" s="10" t="s">
        <x:v>109</x:v>
      </x:c>
      <x:c r="H1638" s="10" t="s">
        <x:v>4789</x:v>
      </x:c>
      <x:c r="I1638" s="10" t="s">
        <x:v>4790</x:v>
      </x:c>
      <x:c r="J1638" s="10" t="s">
        <x:v>4791</x:v>
      </x:c>
      <x:c r="K1638" s="10" t="s">
        <x:v>1443</x:v>
      </x:c>
      <x:c r="L1638" s="10" t="s">
        <x:v>1443</x:v>
      </x:c>
      <x:c r="M1638" s="10"/>
      <x:c r="N1638" s="10" t="n">
        <x:v>12</x:v>
      </x:c>
      <x:c r="O1638" s="10" t="s">
        <x:v>1204</x:v>
      </x:c>
      <x:c r="P1638" s="10" t="s">
        <x:v>115</x:v>
      </x:c>
      <x:c r="Q1638" s="10" t="s">
        <x:v>45</x:v>
      </x:c>
      <x:c r="R1638" s="10"/>
      <x:c r="S1638" s="10"/>
      <x:c r="T1638" s="10" t="s">
        <x:v>27</x:v>
      </x:c>
      <x:c r="U1638" s="10" t="s">
        <x:v>3474</x:v>
      </x:c>
      <x:c r="V1638" s="10" t="s">
        <x:v>4637</x:v>
      </x:c>
    </x:row>
    <x:row r="1639" ht="15" hidden="0" customHeight="1">
      <x:c r="A1639" s="10" t="s">
        <x:v>4824</x:v>
      </x:c>
      <x:c r="B1639" s="10" t="s">
        <x:v>4786</x:v>
      </x:c>
      <x:c r="C1639" s="10" t="s">
        <x:v>4787</x:v>
      </x:c>
      <x:c r="D1639" s="10" t="s">
        <x:v>4825</x:v>
      </x:c>
      <x:c r="E1639" s="10" t="s">
        <x:v>4826</x:v>
      </x:c>
      <x:c r="F1639" s="10" t="s">
        <x:v>108</x:v>
      </x:c>
      <x:c r="G1639" s="10" t="s">
        <x:v>187</x:v>
      </x:c>
      <x:c r="H1639" s="10" t="s">
        <x:v>4789</x:v>
      </x:c>
      <x:c r="I1639" s="10" t="s">
        <x:v>4790</x:v>
      </x:c>
      <x:c r="J1639" s="10" t="s">
        <x:v>4791</x:v>
      </x:c>
      <x:c r="K1639" s="10" t="s">
        <x:v>1443</x:v>
      </x:c>
      <x:c r="L1639" s="10" t="s">
        <x:v>1443</x:v>
      </x:c>
      <x:c r="M1639" s="10"/>
      <x:c r="N1639" s="10" t="n">
        <x:v>12</x:v>
      </x:c>
      <x:c r="O1639" s="10" t="s">
        <x:v>1204</x:v>
      </x:c>
      <x:c r="P1639" s="10" t="s">
        <x:v>115</x:v>
      </x:c>
      <x:c r="Q1639" s="10" t="s">
        <x:v>45</x:v>
      </x:c>
      <x:c r="R1639" s="10"/>
      <x:c r="S1639" s="10"/>
      <x:c r="T1639" s="10" t="s">
        <x:v>27</x:v>
      </x:c>
      <x:c r="U1639" s="10" t="s">
        <x:v>3474</x:v>
      </x:c>
      <x:c r="V1639" s="10" t="s">
        <x:v>4637</x:v>
      </x:c>
    </x:row>
    <x:row r="1640" ht="15" hidden="0" customHeight="1">
      <x:c r="A1640" s="10" t="s">
        <x:v>4827</x:v>
      </x:c>
      <x:c r="B1640" s="10" t="s">
        <x:v>4786</x:v>
      </x:c>
      <x:c r="C1640" s="10" t="s">
        <x:v>4787</x:v>
      </x:c>
      <x:c r="D1640" s="10" t="s">
        <x:v>871</x:v>
      </x:c>
      <x:c r="E1640" s="10" t="s">
        <x:v>4828</x:v>
      </x:c>
      <x:c r="F1640" s="10" t="s">
        <x:v>108</x:v>
      </x:c>
      <x:c r="G1640" s="10" t="s">
        <x:v>109</x:v>
      </x:c>
      <x:c r="H1640" s="10" t="s">
        <x:v>4789</x:v>
      </x:c>
      <x:c r="I1640" s="10" t="s">
        <x:v>4790</x:v>
      </x:c>
      <x:c r="J1640" s="10" t="s">
        <x:v>4791</x:v>
      </x:c>
      <x:c r="K1640" s="10" t="s">
        <x:v>4781</x:v>
      </x:c>
      <x:c r="L1640" s="10" t="s">
        <x:v>4781</x:v>
      </x:c>
      <x:c r="M1640" s="10"/>
      <x:c r="N1640" s="10"/>
      <x:c r="O1640" s="10" t="s">
        <x:v>1204</x:v>
      </x:c>
      <x:c r="P1640" s="10" t="s">
        <x:v>115</x:v>
      </x:c>
      <x:c r="Q1640" s="10" t="s">
        <x:v>45</x:v>
      </x:c>
      <x:c r="R1640" s="10"/>
      <x:c r="S1640" s="10"/>
      <x:c r="T1640" s="10" t="s">
        <x:v>27</x:v>
      </x:c>
      <x:c r="U1640" s="10" t="s">
        <x:v>3474</x:v>
      </x:c>
      <x:c r="V1640" s="10" t="s">
        <x:v>4637</x:v>
      </x:c>
    </x:row>
    <x:row r="1641" ht="15" hidden="0" customHeight="1">
      <x:c r="A1641" s="10" t="s">
        <x:v>4829</x:v>
      </x:c>
      <x:c r="B1641" s="10" t="s">
        <x:v>4786</x:v>
      </x:c>
      <x:c r="C1641" s="10" t="s">
        <x:v>4787</x:v>
      </x:c>
      <x:c r="D1641" s="10" t="s">
        <x:v>4477</x:v>
      </x:c>
      <x:c r="E1641" s="10" t="s">
        <x:v>4830</x:v>
      </x:c>
      <x:c r="F1641" s="10" t="s">
        <x:v>108</x:v>
      </x:c>
      <x:c r="G1641" s="10" t="s">
        <x:v>181</x:v>
      </x:c>
      <x:c r="H1641" s="10" t="s">
        <x:v>4789</x:v>
      </x:c>
      <x:c r="I1641" s="10" t="s">
        <x:v>4790</x:v>
      </x:c>
      <x:c r="J1641" s="10" t="s">
        <x:v>4791</x:v>
      </x:c>
      <x:c r="K1641" s="10" t="s">
        <x:v>1443</x:v>
      </x:c>
      <x:c r="L1641" s="10" t="s">
        <x:v>1443</x:v>
      </x:c>
      <x:c r="M1641" s="10"/>
      <x:c r="N1641" s="10"/>
      <x:c r="O1641" s="10" t="s">
        <x:v>1204</x:v>
      </x:c>
      <x:c r="P1641" s="10" t="s">
        <x:v>115</x:v>
      </x:c>
      <x:c r="Q1641" s="10" t="s">
        <x:v>45</x:v>
      </x:c>
      <x:c r="R1641" s="10" t="s">
        <x:v>4831</x:v>
      </x:c>
      <x:c r="S1641" s="10"/>
      <x:c r="T1641" s="10" t="s">
        <x:v>27</x:v>
      </x:c>
      <x:c r="U1641" s="10" t="s">
        <x:v>3474</x:v>
      </x:c>
      <x:c r="V1641" s="10" t="s">
        <x:v>4637</x:v>
      </x:c>
    </x:row>
    <x:row r="1642" ht="15" hidden="0" customHeight="1">
      <x:c r="A1642" s="10" t="s">
        <x:v>4832</x:v>
      </x:c>
      <x:c r="B1642" s="10" t="s">
        <x:v>4833</x:v>
      </x:c>
      <x:c r="C1642" s="10" t="s">
        <x:v>4834</x:v>
      </x:c>
      <x:c r="D1642" s="10" t="s">
        <x:v>1704</x:v>
      </x:c>
      <x:c r="E1642" s="10" t="s">
        <x:v>4835</x:v>
      </x:c>
      <x:c r="F1642" s="10" t="s">
        <x:v>108</x:v>
      </x:c>
      <x:c r="G1642" s="10" t="s">
        <x:v>109</x:v>
      </x:c>
      <x:c r="H1642" s="10" t="s">
        <x:v>4836</x:v>
      </x:c>
      <x:c r="I1642" s="10" t="s">
        <x:v>4837</x:v>
      </x:c>
      <x:c r="J1642" s="10" t="s">
        <x:v>4838</x:v>
      </x:c>
      <x:c r="K1642" s="10" t="s">
        <x:v>113</x:v>
      </x:c>
      <x:c r="L1642" s="10" t="s">
        <x:v>113</x:v>
      </x:c>
      <x:c r="M1642" s="10"/>
      <x:c r="N1642" s="10" t="n">
        <x:v>1</x:v>
      </x:c>
      <x:c r="O1642" s="10" t="s">
        <x:v>4636</x:v>
      </x:c>
      <x:c r="P1642" s="10" t="s">
        <x:v>115</x:v>
      </x:c>
      <x:c r="Q1642" s="10" t="s">
        <x:v>45</x:v>
      </x:c>
      <x:c r="R1642" s="10"/>
      <x:c r="S1642" s="10"/>
      <x:c r="T1642" s="10" t="s">
        <x:v>27</x:v>
      </x:c>
      <x:c r="U1642" s="10" t="s">
        <x:v>3474</x:v>
      </x:c>
      <x:c r="V1642" s="10" t="s">
        <x:v>4637</x:v>
      </x:c>
    </x:row>
    <x:row r="1643" ht="15" hidden="0" customHeight="1">
      <x:c r="A1643" s="10" t="s">
        <x:v>4839</x:v>
      </x:c>
      <x:c r="B1643" s="10" t="s">
        <x:v>4833</x:v>
      </x:c>
      <x:c r="C1643" s="10" t="s">
        <x:v>4834</x:v>
      </x:c>
      <x:c r="D1643" s="10" t="s">
        <x:v>3208</x:v>
      </x:c>
      <x:c r="E1643" s="10" t="s">
        <x:v>4840</x:v>
      </x:c>
      <x:c r="F1643" s="10" t="s">
        <x:v>108</x:v>
      </x:c>
      <x:c r="G1643" s="10" t="s">
        <x:v>109</x:v>
      </x:c>
      <x:c r="H1643" s="10" t="s">
        <x:v>4836</x:v>
      </x:c>
      <x:c r="I1643" s="10" t="s">
        <x:v>4837</x:v>
      </x:c>
      <x:c r="J1643" s="10" t="s">
        <x:v>4838</x:v>
      </x:c>
      <x:c r="K1643" s="10" t="s">
        <x:v>3998</x:v>
      </x:c>
      <x:c r="L1643" s="10" t="s">
        <x:v>3998</x:v>
      </x:c>
      <x:c r="M1643" s="10"/>
      <x:c r="N1643" s="10" t="n">
        <x:v>3</x:v>
      </x:c>
      <x:c r="O1643" s="10" t="s">
        <x:v>4636</x:v>
      </x:c>
      <x:c r="P1643" s="10" t="s">
        <x:v>115</x:v>
      </x:c>
      <x:c r="Q1643" s="10" t="s">
        <x:v>45</x:v>
      </x:c>
      <x:c r="R1643" s="10"/>
      <x:c r="S1643" s="10"/>
      <x:c r="T1643" s="10" t="s">
        <x:v>27</x:v>
      </x:c>
      <x:c r="U1643" s="10" t="s">
        <x:v>3474</x:v>
      </x:c>
      <x:c r="V1643" s="10" t="s">
        <x:v>4637</x:v>
      </x:c>
    </x:row>
    <x:row r="1644" ht="15" hidden="0" customHeight="1">
      <x:c r="A1644" s="10" t="s">
        <x:v>4841</x:v>
      </x:c>
      <x:c r="B1644" s="10" t="s">
        <x:v>4833</x:v>
      </x:c>
      <x:c r="C1644" s="10" t="s">
        <x:v>4834</x:v>
      </x:c>
      <x:c r="D1644" s="10" t="s">
        <x:v>4842</x:v>
      </x:c>
      <x:c r="E1644" s="10" t="s">
        <x:v>4843</x:v>
      </x:c>
      <x:c r="F1644" s="10" t="s">
        <x:v>108</x:v>
      </x:c>
      <x:c r="G1644" s="10" t="s">
        <x:v>109</x:v>
      </x:c>
      <x:c r="H1644" s="10" t="s">
        <x:v>4836</x:v>
      </x:c>
      <x:c r="I1644" s="10" t="s">
        <x:v>4837</x:v>
      </x:c>
      <x:c r="J1644" s="10" t="s">
        <x:v>4838</x:v>
      </x:c>
      <x:c r="K1644" s="10" t="s">
        <x:v>3998</x:v>
      </x:c>
      <x:c r="L1644" s="10" t="s">
        <x:v>3998</x:v>
      </x:c>
      <x:c r="M1644" s="10"/>
      <x:c r="N1644" s="10" t="n">
        <x:v>3</x:v>
      </x:c>
      <x:c r="O1644" s="10" t="s">
        <x:v>4636</x:v>
      </x:c>
      <x:c r="P1644" s="10" t="s">
        <x:v>115</x:v>
      </x:c>
      <x:c r="Q1644" s="10" t="s">
        <x:v>45</x:v>
      </x:c>
      <x:c r="R1644" s="10"/>
      <x:c r="S1644" s="10"/>
      <x:c r="T1644" s="10" t="s">
        <x:v>27</x:v>
      </x:c>
      <x:c r="U1644" s="10" t="s">
        <x:v>3474</x:v>
      </x:c>
      <x:c r="V1644" s="10" t="s">
        <x:v>4637</x:v>
      </x:c>
    </x:row>
    <x:row r="1645" ht="15" hidden="0" customHeight="1">
      <x:c r="A1645" s="10" t="s">
        <x:v>4844</x:v>
      </x:c>
      <x:c r="B1645" s="10" t="s">
        <x:v>4833</x:v>
      </x:c>
      <x:c r="C1645" s="10" t="s">
        <x:v>4834</x:v>
      </x:c>
      <x:c r="D1645" s="10" t="s">
        <x:v>4845</x:v>
      </x:c>
      <x:c r="E1645" s="10" t="s">
        <x:v>4846</x:v>
      </x:c>
      <x:c r="F1645" s="10" t="s">
        <x:v>108</x:v>
      </x:c>
      <x:c r="G1645" s="10" t="s">
        <x:v>109</x:v>
      </x:c>
      <x:c r="H1645" s="10" t="s">
        <x:v>4836</x:v>
      </x:c>
      <x:c r="I1645" s="10" t="s">
        <x:v>4837</x:v>
      </x:c>
      <x:c r="J1645" s="10" t="s">
        <x:v>4838</x:v>
      </x:c>
      <x:c r="K1645" s="10" t="s">
        <x:v>3998</x:v>
      </x:c>
      <x:c r="L1645" s="10" t="s">
        <x:v>3998</x:v>
      </x:c>
      <x:c r="M1645" s="10"/>
      <x:c r="N1645" s="10" t="n">
        <x:v>3</x:v>
      </x:c>
      <x:c r="O1645" s="10" t="s">
        <x:v>4636</x:v>
      </x:c>
      <x:c r="P1645" s="10" t="s">
        <x:v>115</x:v>
      </x:c>
      <x:c r="Q1645" s="10" t="s">
        <x:v>45</x:v>
      </x:c>
      <x:c r="R1645" s="10"/>
      <x:c r="S1645" s="10"/>
      <x:c r="T1645" s="10" t="s">
        <x:v>27</x:v>
      </x:c>
      <x:c r="U1645" s="10" t="s">
        <x:v>3474</x:v>
      </x:c>
      <x:c r="V1645" s="10" t="s">
        <x:v>4637</x:v>
      </x:c>
    </x:row>
    <x:row r="1646" ht="15" hidden="0" customHeight="1">
      <x:c r="A1646" s="10" t="s">
        <x:v>4847</x:v>
      </x:c>
      <x:c r="B1646" s="10" t="s">
        <x:v>4833</x:v>
      </x:c>
      <x:c r="C1646" s="10" t="s">
        <x:v>4834</x:v>
      </x:c>
      <x:c r="D1646" s="10" t="s">
        <x:v>4721</x:v>
      </x:c>
      <x:c r="E1646" s="10" t="s">
        <x:v>4848</x:v>
      </x:c>
      <x:c r="F1646" s="10" t="s">
        <x:v>108</x:v>
      </x:c>
      <x:c r="G1646" s="10" t="s">
        <x:v>109</x:v>
      </x:c>
      <x:c r="H1646" s="10" t="s">
        <x:v>4836</x:v>
      </x:c>
      <x:c r="I1646" s="10" t="s">
        <x:v>4837</x:v>
      </x:c>
      <x:c r="J1646" s="10" t="s">
        <x:v>4838</x:v>
      </x:c>
      <x:c r="K1646" s="10" t="s">
        <x:v>4849</x:v>
      </x:c>
      <x:c r="L1646" s="10" t="s">
        <x:v>4849</x:v>
      </x:c>
      <x:c r="M1646" s="10"/>
      <x:c r="N1646" s="10" t="n">
        <x:v>6</x:v>
      </x:c>
      <x:c r="O1646" s="10" t="s">
        <x:v>4636</x:v>
      </x:c>
      <x:c r="P1646" s="10" t="s">
        <x:v>115</x:v>
      </x:c>
      <x:c r="Q1646" s="10" t="s">
        <x:v>45</x:v>
      </x:c>
      <x:c r="R1646" s="10"/>
      <x:c r="S1646" s="10"/>
      <x:c r="T1646" s="10" t="s">
        <x:v>27</x:v>
      </x:c>
      <x:c r="U1646" s="10" t="s">
        <x:v>3474</x:v>
      </x:c>
      <x:c r="V1646" s="10" t="s">
        <x:v>4637</x:v>
      </x:c>
    </x:row>
    <x:row r="1647" ht="15" hidden="0" customHeight="1">
      <x:c r="A1647" s="10" t="s">
        <x:v>4850</x:v>
      </x:c>
      <x:c r="B1647" s="10" t="s">
        <x:v>4833</x:v>
      </x:c>
      <x:c r="C1647" s="10" t="s">
        <x:v>4834</x:v>
      </x:c>
      <x:c r="D1647" s="10" t="s">
        <x:v>4387</x:v>
      </x:c>
      <x:c r="E1647" s="10" t="s">
        <x:v>4851</x:v>
      </x:c>
      <x:c r="F1647" s="10" t="s">
        <x:v>108</x:v>
      </x:c>
      <x:c r="G1647" s="10" t="s">
        <x:v>109</x:v>
      </x:c>
      <x:c r="H1647" s="10" t="s">
        <x:v>4836</x:v>
      </x:c>
      <x:c r="I1647" s="10" t="s">
        <x:v>4837</x:v>
      </x:c>
      <x:c r="J1647" s="10" t="s">
        <x:v>4838</x:v>
      </x:c>
      <x:c r="K1647" s="10" t="s">
        <x:v>4852</x:v>
      </x:c>
      <x:c r="L1647" s="10" t="s">
        <x:v>4852</x:v>
      </x:c>
      <x:c r="M1647" s="10"/>
      <x:c r="N1647" s="10" t="n">
        <x:v>5</x:v>
      </x:c>
      <x:c r="O1647" s="10" t="s">
        <x:v>4636</x:v>
      </x:c>
      <x:c r="P1647" s="10" t="s">
        <x:v>115</x:v>
      </x:c>
      <x:c r="Q1647" s="10" t="s">
        <x:v>45</x:v>
      </x:c>
      <x:c r="R1647" s="10"/>
      <x:c r="S1647" s="10"/>
      <x:c r="T1647" s="10" t="s">
        <x:v>27</x:v>
      </x:c>
      <x:c r="U1647" s="10" t="s">
        <x:v>3474</x:v>
      </x:c>
      <x:c r="V1647" s="10" t="s">
        <x:v>4637</x:v>
      </x:c>
    </x:row>
    <x:row r="1648" ht="15" hidden="0" customHeight="1">
      <x:c r="A1648" s="10" t="s">
        <x:v>4853</x:v>
      </x:c>
      <x:c r="B1648" s="10" t="s">
        <x:v>4833</x:v>
      </x:c>
      <x:c r="C1648" s="10" t="s">
        <x:v>4834</x:v>
      </x:c>
      <x:c r="D1648" s="10" t="s">
        <x:v>4854</x:v>
      </x:c>
      <x:c r="E1648" s="10" t="s">
        <x:v>4855</x:v>
      </x:c>
      <x:c r="F1648" s="10" t="s">
        <x:v>108</x:v>
      </x:c>
      <x:c r="G1648" s="10" t="s">
        <x:v>109</x:v>
      </x:c>
      <x:c r="H1648" s="10" t="s">
        <x:v>4836</x:v>
      </x:c>
      <x:c r="I1648" s="10" t="s">
        <x:v>4837</x:v>
      </x:c>
      <x:c r="J1648" s="10" t="s">
        <x:v>4838</x:v>
      </x:c>
      <x:c r="K1648" s="10" t="s">
        <x:v>1301</x:v>
      </x:c>
      <x:c r="L1648" s="10" t="s">
        <x:v>1301</x:v>
      </x:c>
      <x:c r="M1648" s="10"/>
      <x:c r="N1648" s="10" t="n">
        <x:v>7</x:v>
      </x:c>
      <x:c r="O1648" s="10" t="s">
        <x:v>4636</x:v>
      </x:c>
      <x:c r="P1648" s="10" t="s">
        <x:v>115</x:v>
      </x:c>
      <x:c r="Q1648" s="10" t="s">
        <x:v>45</x:v>
      </x:c>
      <x:c r="R1648" s="10"/>
      <x:c r="S1648" s="10"/>
      <x:c r="T1648" s="10" t="s">
        <x:v>27</x:v>
      </x:c>
      <x:c r="U1648" s="10" t="s">
        <x:v>3474</x:v>
      </x:c>
      <x:c r="V1648" s="10" t="s">
        <x:v>4637</x:v>
      </x:c>
    </x:row>
    <x:row r="1649" ht="15" hidden="0" customHeight="1">
      <x:c r="A1649" s="10" t="s">
        <x:v>4856</x:v>
      </x:c>
      <x:c r="B1649" s="10" t="s">
        <x:v>4833</x:v>
      </x:c>
      <x:c r="C1649" s="10" t="s">
        <x:v>4834</x:v>
      </x:c>
      <x:c r="D1649" s="10" t="s">
        <x:v>4857</x:v>
      </x:c>
      <x:c r="E1649" s="10" t="s">
        <x:v>4858</x:v>
      </x:c>
      <x:c r="F1649" s="10" t="s">
        <x:v>108</x:v>
      </x:c>
      <x:c r="G1649" s="10" t="s">
        <x:v>109</x:v>
      </x:c>
      <x:c r="H1649" s="10" t="s">
        <x:v>4836</x:v>
      </x:c>
      <x:c r="I1649" s="10" t="s">
        <x:v>4837</x:v>
      </x:c>
      <x:c r="J1649" s="10" t="s">
        <x:v>4838</x:v>
      </x:c>
      <x:c r="K1649" s="10" t="s">
        <x:v>1301</x:v>
      </x:c>
      <x:c r="L1649" s="10" t="s">
        <x:v>1301</x:v>
      </x:c>
      <x:c r="M1649" s="10"/>
      <x:c r="N1649" s="10" t="n">
        <x:v>7</x:v>
      </x:c>
      <x:c r="O1649" s="10" t="s">
        <x:v>4636</x:v>
      </x:c>
      <x:c r="P1649" s="10" t="s">
        <x:v>115</x:v>
      </x:c>
      <x:c r="Q1649" s="10" t="s">
        <x:v>45</x:v>
      </x:c>
      <x:c r="R1649" s="10"/>
      <x:c r="S1649" s="10"/>
      <x:c r="T1649" s="10" t="s">
        <x:v>27</x:v>
      </x:c>
      <x:c r="U1649" s="10" t="s">
        <x:v>3474</x:v>
      </x:c>
      <x:c r="V1649" s="10" t="s">
        <x:v>4637</x:v>
      </x:c>
    </x:row>
    <x:row r="1650" ht="15" hidden="0" customHeight="1">
      <x:c r="A1650" s="10" t="s">
        <x:v>4859</x:v>
      </x:c>
      <x:c r="B1650" s="10" t="s">
        <x:v>4833</x:v>
      </x:c>
      <x:c r="C1650" s="10" t="s">
        <x:v>4834</x:v>
      </x:c>
      <x:c r="D1650" s="10" t="s">
        <x:v>1864</x:v>
      </x:c>
      <x:c r="E1650" s="10" t="s">
        <x:v>4860</x:v>
      </x:c>
      <x:c r="F1650" s="10" t="s">
        <x:v>108</x:v>
      </x:c>
      <x:c r="G1650" s="10" t="s">
        <x:v>109</x:v>
      </x:c>
      <x:c r="H1650" s="10" t="s">
        <x:v>4836</x:v>
      </x:c>
      <x:c r="I1650" s="10" t="s">
        <x:v>4837</x:v>
      </x:c>
      <x:c r="J1650" s="10" t="s">
        <x:v>4838</x:v>
      </x:c>
      <x:c r="K1650" s="10" t="s">
        <x:v>1301</x:v>
      </x:c>
      <x:c r="L1650" s="10" t="s">
        <x:v>1301</x:v>
      </x:c>
      <x:c r="M1650" s="10"/>
      <x:c r="N1650" s="10" t="n">
        <x:v>7</x:v>
      </x:c>
      <x:c r="O1650" s="10" t="s">
        <x:v>4636</x:v>
      </x:c>
      <x:c r="P1650" s="10" t="s">
        <x:v>115</x:v>
      </x:c>
      <x:c r="Q1650" s="10" t="s">
        <x:v>45</x:v>
      </x:c>
      <x:c r="R1650" s="10"/>
      <x:c r="S1650" s="10"/>
      <x:c r="T1650" s="10" t="s">
        <x:v>27</x:v>
      </x:c>
      <x:c r="U1650" s="10" t="s">
        <x:v>3474</x:v>
      </x:c>
      <x:c r="V1650" s="10" t="s">
        <x:v>4637</x:v>
      </x:c>
    </x:row>
    <x:row r="1651" ht="15" hidden="0" customHeight="1">
      <x:c r="A1651" s="10" t="s">
        <x:v>4861</x:v>
      </x:c>
      <x:c r="B1651" s="10" t="s">
        <x:v>4833</x:v>
      </x:c>
      <x:c r="C1651" s="10" t="s">
        <x:v>4834</x:v>
      </x:c>
      <x:c r="D1651" s="10" t="s">
        <x:v>1948</x:v>
      </x:c>
      <x:c r="E1651" s="10" t="s">
        <x:v>4862</x:v>
      </x:c>
      <x:c r="F1651" s="10" t="s">
        <x:v>108</x:v>
      </x:c>
      <x:c r="G1651" s="10" t="s">
        <x:v>109</x:v>
      </x:c>
      <x:c r="H1651" s="10" t="s">
        <x:v>4836</x:v>
      </x:c>
      <x:c r="I1651" s="10" t="s">
        <x:v>4837</x:v>
      </x:c>
      <x:c r="J1651" s="10" t="s">
        <x:v>4838</x:v>
      </x:c>
      <x:c r="K1651" s="10" t="s">
        <x:v>4863</x:v>
      </x:c>
      <x:c r="L1651" s="10" t="s">
        <x:v>4863</x:v>
      </x:c>
      <x:c r="M1651" s="10"/>
      <x:c r="N1651" s="10" t="n">
        <x:v>6</x:v>
      </x:c>
      <x:c r="O1651" s="10" t="s">
        <x:v>4636</x:v>
      </x:c>
      <x:c r="P1651" s="10" t="s">
        <x:v>115</x:v>
      </x:c>
      <x:c r="Q1651" s="10" t="s">
        <x:v>45</x:v>
      </x:c>
      <x:c r="R1651" s="10"/>
      <x:c r="S1651" s="10"/>
      <x:c r="T1651" s="10" t="s">
        <x:v>27</x:v>
      </x:c>
      <x:c r="U1651" s="10" t="s">
        <x:v>3474</x:v>
      </x:c>
      <x:c r="V1651" s="10" t="s">
        <x:v>4637</x:v>
      </x:c>
    </x:row>
    <x:row r="1652" ht="15" hidden="0" customHeight="1">
      <x:c r="A1652" s="10" t="s">
        <x:v>4864</x:v>
      </x:c>
      <x:c r="B1652" s="10" t="s">
        <x:v>4833</x:v>
      </x:c>
      <x:c r="C1652" s="10" t="s">
        <x:v>4834</x:v>
      </x:c>
      <x:c r="D1652" s="10" t="s">
        <x:v>1889</x:v>
      </x:c>
      <x:c r="E1652" s="10" t="s">
        <x:v>4865</x:v>
      </x:c>
      <x:c r="F1652" s="10" t="s">
        <x:v>108</x:v>
      </x:c>
      <x:c r="G1652" s="10" t="s">
        <x:v>109</x:v>
      </x:c>
      <x:c r="H1652" s="10" t="s">
        <x:v>4836</x:v>
      </x:c>
      <x:c r="I1652" s="10" t="s">
        <x:v>4837</x:v>
      </x:c>
      <x:c r="J1652" s="10" t="s">
        <x:v>4838</x:v>
      </x:c>
      <x:c r="K1652" s="10" t="s">
        <x:v>1548</x:v>
      </x:c>
      <x:c r="L1652" s="10" t="s">
        <x:v>1548</x:v>
      </x:c>
      <x:c r="M1652" s="10"/>
      <x:c r="N1652" s="10" t="n">
        <x:v>8</x:v>
      </x:c>
      <x:c r="O1652" s="10" t="s">
        <x:v>4636</x:v>
      </x:c>
      <x:c r="P1652" s="10" t="s">
        <x:v>115</x:v>
      </x:c>
      <x:c r="Q1652" s="10" t="s">
        <x:v>45</x:v>
      </x:c>
      <x:c r="R1652" s="10"/>
      <x:c r="S1652" s="10"/>
      <x:c r="T1652" s="10" t="s">
        <x:v>27</x:v>
      </x:c>
      <x:c r="U1652" s="10" t="s">
        <x:v>3474</x:v>
      </x:c>
      <x:c r="V1652" s="10" t="s">
        <x:v>4637</x:v>
      </x:c>
    </x:row>
    <x:row r="1653" ht="15" hidden="0" customHeight="1">
      <x:c r="A1653" s="10" t="s">
        <x:v>4866</x:v>
      </x:c>
      <x:c r="B1653" s="10" t="s">
        <x:v>4833</x:v>
      </x:c>
      <x:c r="C1653" s="10" t="s">
        <x:v>4834</x:v>
      </x:c>
      <x:c r="D1653" s="10" t="s">
        <x:v>4867</x:v>
      </x:c>
      <x:c r="E1653" s="10" t="s">
        <x:v>4868</x:v>
      </x:c>
      <x:c r="F1653" s="10" t="s">
        <x:v>108</x:v>
      </x:c>
      <x:c r="G1653" s="10" t="s">
        <x:v>109</x:v>
      </x:c>
      <x:c r="H1653" s="10" t="s">
        <x:v>4836</x:v>
      </x:c>
      <x:c r="I1653" s="10" t="s">
        <x:v>4837</x:v>
      </x:c>
      <x:c r="J1653" s="10" t="s">
        <x:v>4838</x:v>
      </x:c>
      <x:c r="K1653" s="10" t="s">
        <x:v>1145</x:v>
      </x:c>
      <x:c r="L1653" s="10" t="s">
        <x:v>1145</x:v>
      </x:c>
      <x:c r="M1653" s="10"/>
      <x:c r="N1653" s="10" t="n">
        <x:v>9</x:v>
      </x:c>
      <x:c r="O1653" s="10" t="s">
        <x:v>4636</x:v>
      </x:c>
      <x:c r="P1653" s="10" t="s">
        <x:v>115</x:v>
      </x:c>
      <x:c r="Q1653" s="10" t="s">
        <x:v>45</x:v>
      </x:c>
      <x:c r="R1653" s="10"/>
      <x:c r="S1653" s="10"/>
      <x:c r="T1653" s="10" t="s">
        <x:v>27</x:v>
      </x:c>
      <x:c r="U1653" s="10" t="s">
        <x:v>3474</x:v>
      </x:c>
      <x:c r="V1653" s="10" t="s">
        <x:v>4637</x:v>
      </x:c>
    </x:row>
    <x:row r="1654" ht="15" hidden="0" customHeight="1">
      <x:c r="A1654" s="10" t="s">
        <x:v>4869</x:v>
      </x:c>
      <x:c r="B1654" s="10" t="s">
        <x:v>4833</x:v>
      </x:c>
      <x:c r="C1654" s="10" t="s">
        <x:v>4834</x:v>
      </x:c>
      <x:c r="D1654" s="10" t="s">
        <x:v>4870</x:v>
      </x:c>
      <x:c r="E1654" s="10" t="s">
        <x:v>4871</x:v>
      </x:c>
      <x:c r="F1654" s="10" t="s">
        <x:v>108</x:v>
      </x:c>
      <x:c r="G1654" s="10" t="s">
        <x:v>109</x:v>
      </x:c>
      <x:c r="H1654" s="10" t="s">
        <x:v>4836</x:v>
      </x:c>
      <x:c r="I1654" s="10" t="s">
        <x:v>4837</x:v>
      </x:c>
      <x:c r="J1654" s="10" t="s">
        <x:v>4838</x:v>
      </x:c>
      <x:c r="K1654" s="10" t="s">
        <x:v>224</x:v>
      </x:c>
      <x:c r="L1654" s="10" t="s">
        <x:v>224</x:v>
      </x:c>
      <x:c r="M1654" s="10"/>
      <x:c r="N1654" s="10" t="n">
        <x:v>15</x:v>
      </x:c>
      <x:c r="O1654" s="10" t="s">
        <x:v>4636</x:v>
      </x:c>
      <x:c r="P1654" s="10" t="s">
        <x:v>115</x:v>
      </x:c>
      <x:c r="Q1654" s="10" t="s">
        <x:v>45</x:v>
      </x:c>
      <x:c r="R1654" s="10"/>
      <x:c r="S1654" s="10"/>
      <x:c r="T1654" s="10" t="s">
        <x:v>27</x:v>
      </x:c>
      <x:c r="U1654" s="10" t="s">
        <x:v>3474</x:v>
      </x:c>
      <x:c r="V1654" s="10" t="s">
        <x:v>4637</x:v>
      </x:c>
    </x:row>
    <x:row r="1655" ht="15" hidden="0" customHeight="1">
      <x:c r="A1655" s="10" t="s">
        <x:v>4872</x:v>
      </x:c>
      <x:c r="B1655" s="10" t="s">
        <x:v>4833</x:v>
      </x:c>
      <x:c r="C1655" s="10" t="s">
        <x:v>4834</x:v>
      </x:c>
      <x:c r="D1655" s="10" t="s">
        <x:v>4873</x:v>
      </x:c>
      <x:c r="E1655" s="10" t="s">
        <x:v>4874</x:v>
      </x:c>
      <x:c r="F1655" s="10" t="s">
        <x:v>108</x:v>
      </x:c>
      <x:c r="G1655" s="10" t="s">
        <x:v>109</x:v>
      </x:c>
      <x:c r="H1655" s="10" t="s">
        <x:v>4836</x:v>
      </x:c>
      <x:c r="I1655" s="10" t="s">
        <x:v>4837</x:v>
      </x:c>
      <x:c r="J1655" s="10" t="s">
        <x:v>4838</x:v>
      </x:c>
      <x:c r="K1655" s="10" t="s">
        <x:v>224</x:v>
      </x:c>
      <x:c r="L1655" s="10" t="s">
        <x:v>224</x:v>
      </x:c>
      <x:c r="M1655" s="10"/>
      <x:c r="N1655" s="10" t="n">
        <x:v>16</x:v>
      </x:c>
      <x:c r="O1655" s="10" t="s">
        <x:v>4636</x:v>
      </x:c>
      <x:c r="P1655" s="10" t="s">
        <x:v>115</x:v>
      </x:c>
      <x:c r="Q1655" s="10" t="s">
        <x:v>45</x:v>
      </x:c>
      <x:c r="R1655" s="10" t="s">
        <x:v>4875</x:v>
      </x:c>
      <x:c r="S1655" s="10"/>
      <x:c r="T1655" s="10" t="s">
        <x:v>27</x:v>
      </x:c>
      <x:c r="U1655" s="10" t="s">
        <x:v>3474</x:v>
      </x:c>
      <x:c r="V1655" s="10" t="s">
        <x:v>4637</x:v>
      </x:c>
    </x:row>
    <x:row r="1656" ht="15" hidden="0" customHeight="1">
      <x:c r="A1656" s="10" t="s">
        <x:v>4876</x:v>
      </x:c>
      <x:c r="B1656" s="10" t="s">
        <x:v>4833</x:v>
      </x:c>
      <x:c r="C1656" s="10" t="s">
        <x:v>4834</x:v>
      </x:c>
      <x:c r="D1656" s="10" t="s">
        <x:v>4877</x:v>
      </x:c>
      <x:c r="E1656" s="10" t="s">
        <x:v>4878</x:v>
      </x:c>
      <x:c r="F1656" s="10" t="s">
        <x:v>108</x:v>
      </x:c>
      <x:c r="G1656" s="10" t="s">
        <x:v>181</x:v>
      </x:c>
      <x:c r="H1656" s="10" t="s">
        <x:v>4836</x:v>
      </x:c>
      <x:c r="I1656" s="10" t="s">
        <x:v>4837</x:v>
      </x:c>
      <x:c r="J1656" s="10" t="s">
        <x:v>4838</x:v>
      </x:c>
      <x:c r="K1656" s="10" t="s">
        <x:v>4879</x:v>
      </x:c>
      <x:c r="L1656" s="10" t="s">
        <x:v>4879</x:v>
      </x:c>
      <x:c r="M1656" s="10"/>
      <x:c r="N1656" s="10"/>
      <x:c r="O1656" s="10" t="s">
        <x:v>4636</x:v>
      </x:c>
      <x:c r="P1656" s="10" t="s">
        <x:v>115</x:v>
      </x:c>
      <x:c r="Q1656" s="10" t="s">
        <x:v>45</x:v>
      </x:c>
      <x:c r="R1656" s="10" t="s">
        <x:v>4880</x:v>
      </x:c>
      <x:c r="S1656" s="10"/>
      <x:c r="T1656" s="10" t="s">
        <x:v>27</x:v>
      </x:c>
      <x:c r="U1656" s="10" t="s">
        <x:v>3474</x:v>
      </x:c>
      <x:c r="V1656" s="10" t="s">
        <x:v>4637</x:v>
      </x:c>
    </x:row>
    <x:row r="1657" ht="15" hidden="0" customHeight="1">
      <x:c r="A1657" s="10" t="s">
        <x:v>4881</x:v>
      </x:c>
      <x:c r="B1657" s="10" t="s">
        <x:v>4833</x:v>
      </x:c>
      <x:c r="C1657" s="10" t="s">
        <x:v>4834</x:v>
      </x:c>
      <x:c r="D1657" s="10" t="s">
        <x:v>4882</x:v>
      </x:c>
      <x:c r="E1657" s="10" t="s">
        <x:v>4883</x:v>
      </x:c>
      <x:c r="F1657" s="10" t="s">
        <x:v>108</x:v>
      </x:c>
      <x:c r="G1657" s="10" t="s">
        <x:v>109</x:v>
      </x:c>
      <x:c r="H1657" s="10" t="s">
        <x:v>4836</x:v>
      </x:c>
      <x:c r="I1657" s="10" t="s">
        <x:v>4837</x:v>
      </x:c>
      <x:c r="J1657" s="10" t="s">
        <x:v>4838</x:v>
      </x:c>
      <x:c r="K1657" s="10" t="s">
        <x:v>406</x:v>
      </x:c>
      <x:c r="L1657" s="10" t="s">
        <x:v>406</x:v>
      </x:c>
      <x:c r="M1657" s="10"/>
      <x:c r="N1657" s="10" t="n">
        <x:v>18</x:v>
      </x:c>
      <x:c r="O1657" s="10" t="s">
        <x:v>4636</x:v>
      </x:c>
      <x:c r="P1657" s="10" t="s">
        <x:v>115</x:v>
      </x:c>
      <x:c r="Q1657" s="10" t="s">
        <x:v>45</x:v>
      </x:c>
      <x:c r="R1657" s="10"/>
      <x:c r="S1657" s="10"/>
      <x:c r="T1657" s="10" t="s">
        <x:v>27</x:v>
      </x:c>
      <x:c r="U1657" s="10" t="s">
        <x:v>3474</x:v>
      </x:c>
      <x:c r="V1657" s="10" t="s">
        <x:v>4637</x:v>
      </x:c>
    </x:row>
    <x:row r="1658" ht="15" hidden="0" customHeight="1">
      <x:c r="A1658" s="10" t="s">
        <x:v>4884</x:v>
      </x:c>
      <x:c r="B1658" s="10" t="s">
        <x:v>4833</x:v>
      </x:c>
      <x:c r="C1658" s="10" t="s">
        <x:v>4834</x:v>
      </x:c>
      <x:c r="D1658" s="10" t="s">
        <x:v>4885</x:v>
      </x:c>
      <x:c r="E1658" s="10" t="s">
        <x:v>4886</x:v>
      </x:c>
      <x:c r="F1658" s="10" t="s">
        <x:v>108</x:v>
      </x:c>
      <x:c r="G1658" s="10" t="s">
        <x:v>187</x:v>
      </x:c>
      <x:c r="H1658" s="10" t="s">
        <x:v>4836</x:v>
      </x:c>
      <x:c r="I1658" s="10" t="s">
        <x:v>4837</x:v>
      </x:c>
      <x:c r="J1658" s="10" t="s">
        <x:v>4838</x:v>
      </x:c>
      <x:c r="K1658" s="10" t="s">
        <x:v>4887</x:v>
      </x:c>
      <x:c r="L1658" s="10" t="s">
        <x:v>4887</x:v>
      </x:c>
      <x:c r="M1658" s="10"/>
      <x:c r="N1658" s="10" t="n">
        <x:v>19</x:v>
      </x:c>
      <x:c r="O1658" s="10" t="s">
        <x:v>4636</x:v>
      </x:c>
      <x:c r="P1658" s="10" t="s">
        <x:v>115</x:v>
      </x:c>
      <x:c r="Q1658" s="10" t="s">
        <x:v>45</x:v>
      </x:c>
      <x:c r="R1658" s="10"/>
      <x:c r="S1658" s="10"/>
      <x:c r="T1658" s="10" t="s">
        <x:v>27</x:v>
      </x:c>
      <x:c r="U1658" s="10" t="s">
        <x:v>3474</x:v>
      </x:c>
      <x:c r="V1658" s="10" t="s">
        <x:v>4637</x:v>
      </x:c>
    </x:row>
    <x:row r="1659" ht="15" hidden="0" customHeight="1">
      <x:c r="A1659" s="10" t="s">
        <x:v>4888</x:v>
      </x:c>
      <x:c r="B1659" s="10" t="s">
        <x:v>4833</x:v>
      </x:c>
      <x:c r="C1659" s="10" t="s">
        <x:v>4834</x:v>
      </x:c>
      <x:c r="D1659" s="10" t="s">
        <x:v>4889</x:v>
      </x:c>
      <x:c r="E1659" s="10" t="s">
        <x:v>4890</x:v>
      </x:c>
      <x:c r="F1659" s="10" t="s">
        <x:v>108</x:v>
      </x:c>
      <x:c r="G1659" s="10" t="s">
        <x:v>187</x:v>
      </x:c>
      <x:c r="H1659" s="10" t="s">
        <x:v>4836</x:v>
      </x:c>
      <x:c r="I1659" s="10" t="s">
        <x:v>4837</x:v>
      </x:c>
      <x:c r="J1659" s="10" t="s">
        <x:v>4838</x:v>
      </x:c>
      <x:c r="K1659" s="10" t="s">
        <x:v>1132</x:v>
      </x:c>
      <x:c r="L1659" s="10" t="s">
        <x:v>1132</x:v>
      </x:c>
      <x:c r="M1659" s="10"/>
      <x:c r="N1659" s="10" t="n">
        <x:v>8</x:v>
      </x:c>
      <x:c r="O1659" s="10" t="s">
        <x:v>4636</x:v>
      </x:c>
      <x:c r="P1659" s="10" t="s">
        <x:v>115</x:v>
      </x:c>
      <x:c r="Q1659" s="10" t="s">
        <x:v>45</x:v>
      </x:c>
      <x:c r="R1659" s="10"/>
      <x:c r="S1659" s="10"/>
      <x:c r="T1659" s="10" t="s">
        <x:v>27</x:v>
      </x:c>
      <x:c r="U1659" s="10" t="s">
        <x:v>3474</x:v>
      </x:c>
      <x:c r="V1659" s="10" t="s">
        <x:v>4637</x:v>
      </x:c>
    </x:row>
    <x:row r="1660" ht="15" hidden="0" customHeight="1">
      <x:c r="A1660" s="10" t="s">
        <x:v>4891</x:v>
      </x:c>
      <x:c r="B1660" s="10" t="s">
        <x:v>4833</x:v>
      </x:c>
      <x:c r="C1660" s="10" t="s">
        <x:v>4834</x:v>
      </x:c>
      <x:c r="D1660" s="10" t="s">
        <x:v>871</x:v>
      </x:c>
      <x:c r="E1660" s="10" t="s">
        <x:v>4892</x:v>
      </x:c>
      <x:c r="F1660" s="10" t="s">
        <x:v>108</x:v>
      </x:c>
      <x:c r="G1660" s="10" t="s">
        <x:v>109</x:v>
      </x:c>
      <x:c r="H1660" s="10" t="s">
        <x:v>4836</x:v>
      </x:c>
      <x:c r="I1660" s="10" t="s">
        <x:v>4837</x:v>
      </x:c>
      <x:c r="J1660" s="10" t="s">
        <x:v>4838</x:v>
      </x:c>
      <x:c r="K1660" s="10" t="s">
        <x:v>1068</x:v>
      </x:c>
      <x:c r="L1660" s="10" t="s">
        <x:v>1068</x:v>
      </x:c>
      <x:c r="M1660" s="10"/>
      <x:c r="N1660" s="10" t="n">
        <x:v>19</x:v>
      </x:c>
      <x:c r="O1660" s="10" t="s">
        <x:v>4636</x:v>
      </x:c>
      <x:c r="P1660" s="10" t="s">
        <x:v>115</x:v>
      </x:c>
      <x:c r="Q1660" s="10" t="s">
        <x:v>45</x:v>
      </x:c>
      <x:c r="R1660" s="10"/>
      <x:c r="S1660" s="10"/>
      <x:c r="T1660" s="10" t="s">
        <x:v>27</x:v>
      </x:c>
      <x:c r="U1660" s="10" t="s">
        <x:v>3474</x:v>
      </x:c>
      <x:c r="V1660" s="10" t="s">
        <x:v>4637</x:v>
      </x:c>
    </x:row>
    <x:row r="1661" ht="15" hidden="0" customHeight="1">
      <x:c r="A1661" s="10" t="s">
        <x:v>4893</x:v>
      </x:c>
      <x:c r="B1661" s="10" t="s">
        <x:v>4833</x:v>
      </x:c>
      <x:c r="C1661" s="10" t="s">
        <x:v>4834</x:v>
      </x:c>
      <x:c r="D1661" s="10" t="s">
        <x:v>1066</x:v>
      </x:c>
      <x:c r="E1661" s="10" t="s">
        <x:v>4894</x:v>
      </x:c>
      <x:c r="F1661" s="10" t="s">
        <x:v>108</x:v>
      </x:c>
      <x:c r="G1661" s="10" t="s">
        <x:v>109</x:v>
      </x:c>
      <x:c r="H1661" s="10" t="s">
        <x:v>4836</x:v>
      </x:c>
      <x:c r="I1661" s="10" t="s">
        <x:v>4837</x:v>
      </x:c>
      <x:c r="J1661" s="10" t="s">
        <x:v>4838</x:v>
      </x:c>
      <x:c r="K1661" s="10" t="s">
        <x:v>1068</x:v>
      </x:c>
      <x:c r="L1661" s="10" t="s">
        <x:v>1068</x:v>
      </x:c>
      <x:c r="M1661" s="10"/>
      <x:c r="N1661" s="10" t="n">
        <x:v>19</x:v>
      </x:c>
      <x:c r="O1661" s="10" t="s">
        <x:v>4636</x:v>
      </x:c>
      <x:c r="P1661" s="10" t="s">
        <x:v>115</x:v>
      </x:c>
      <x:c r="Q1661" s="10" t="s">
        <x:v>45</x:v>
      </x:c>
      <x:c r="R1661" s="10"/>
      <x:c r="S1661" s="10"/>
      <x:c r="T1661" s="10" t="s">
        <x:v>27</x:v>
      </x:c>
      <x:c r="U1661" s="10" t="s">
        <x:v>3474</x:v>
      </x:c>
      <x:c r="V1661" s="10" t="s">
        <x:v>4637</x:v>
      </x:c>
    </x:row>
    <x:row r="1662" ht="15" hidden="0" customHeight="1">
      <x:c r="A1662" s="10" t="s">
        <x:v>4895</x:v>
      </x:c>
      <x:c r="B1662" s="10" t="s">
        <x:v>2517</x:v>
      </x:c>
      <x:c r="C1662" s="10" t="s">
        <x:v>4896</x:v>
      </x:c>
      <x:c r="D1662" s="10" t="s">
        <x:v>4897</x:v>
      </x:c>
      <x:c r="E1662" s="10" t="s">
        <x:v>4898</x:v>
      </x:c>
      <x:c r="F1662" s="10" t="s">
        <x:v>4899</x:v>
      </x:c>
      <x:c r="G1662" s="10" t="s">
        <x:v>181</x:v>
      </x:c>
      <x:c r="H1662" s="10" t="s">
        <x:v>2519</x:v>
      </x:c>
      <x:c r="I1662" s="10" t="s">
        <x:v>2520</x:v>
      </x:c>
      <x:c r="J1662" s="10" t="s">
        <x:v>4900</x:v>
      </x:c>
      <x:c r="K1662" s="10" t="s">
        <x:v>4901</x:v>
      </x:c>
      <x:c r="L1662" s="10" t="s">
        <x:v>4901</x:v>
      </x:c>
      <x:c r="M1662" s="10"/>
      <x:c r="N1662" s="10"/>
      <x:c r="O1662" s="10" t="s">
        <x:v>4902</x:v>
      </x:c>
      <x:c r="P1662" s="10" t="s">
        <x:v>115</x:v>
      </x:c>
      <x:c r="Q1662" s="10" t="s">
        <x:v>45</x:v>
      </x:c>
      <x:c r="R1662" s="10" t="s">
        <x:v>4903</x:v>
      </x:c>
      <x:c r="S1662" s="10"/>
      <x:c r="T1662" s="10" t="s">
        <x:v>27</x:v>
      </x:c>
      <x:c r="U1662" s="10" t="s">
        <x:v>20</x:v>
      </x:c>
      <x:c r="V1662" s="10" t="s">
        <x:v>4904</x:v>
      </x:c>
    </x:row>
    <x:row r="1663" ht="15" hidden="0" customHeight="1">
      <x:c r="A1663" s="10" t="s">
        <x:v>4905</x:v>
      </x:c>
      <x:c r="B1663" s="10" t="s">
        <x:v>4629</x:v>
      </x:c>
      <x:c r="C1663" s="10" t="s">
        <x:v>4639</x:v>
      </x:c>
      <x:c r="D1663" s="10" t="s">
        <x:v>4897</x:v>
      </x:c>
      <x:c r="E1663" s="10" t="s">
        <x:v>4906</x:v>
      </x:c>
      <x:c r="F1663" s="10" t="s">
        <x:v>4899</x:v>
      </x:c>
      <x:c r="G1663" s="10" t="s">
        <x:v>181</x:v>
      </x:c>
      <x:c r="H1663" s="10" t="s">
        <x:v>4632</x:v>
      </x:c>
      <x:c r="I1663" s="10" t="s">
        <x:v>4633</x:v>
      </x:c>
      <x:c r="J1663" s="10" t="s">
        <x:v>4907</x:v>
      </x:c>
      <x:c r="K1663" s="10" t="s">
        <x:v>4908</x:v>
      </x:c>
      <x:c r="L1663" s="10" t="s">
        <x:v>4908</x:v>
      </x:c>
      <x:c r="M1663" s="10"/>
      <x:c r="N1663" s="10"/>
      <x:c r="O1663" s="10" t="s">
        <x:v>4902</x:v>
      </x:c>
      <x:c r="P1663" s="10" t="s">
        <x:v>115</x:v>
      </x:c>
      <x:c r="Q1663" s="10" t="s">
        <x:v>45</x:v>
      </x:c>
      <x:c r="R1663" s="10" t="s">
        <x:v>4909</x:v>
      </x:c>
      <x:c r="S1663" s="10"/>
      <x:c r="T1663" s="10" t="s">
        <x:v>27</x:v>
      </x:c>
      <x:c r="U1663" s="10" t="s">
        <x:v>20</x:v>
      </x:c>
      <x:c r="V1663" s="10" t="s">
        <x:v>4904</x:v>
      </x:c>
    </x:row>
    <x:row r="1664" ht="15" hidden="0" customHeight="1">
      <x:c r="A1664" s="10" t="s">
        <x:v>4910</x:v>
      </x:c>
      <x:c r="B1664" s="10" t="s">
        <x:v>4833</x:v>
      </x:c>
      <x:c r="C1664" s="10" t="s">
        <x:v>4834</x:v>
      </x:c>
      <x:c r="D1664" s="10" t="s">
        <x:v>4897</x:v>
      </x:c>
      <x:c r="E1664" s="10" t="s">
        <x:v>4911</x:v>
      </x:c>
      <x:c r="F1664" s="10" t="s">
        <x:v>4899</x:v>
      </x:c>
      <x:c r="G1664" s="10" t="s">
        <x:v>181</x:v>
      </x:c>
      <x:c r="H1664" s="10" t="s">
        <x:v>4836</x:v>
      </x:c>
      <x:c r="I1664" s="10" t="s">
        <x:v>4837</x:v>
      </x:c>
      <x:c r="J1664" s="10" t="s">
        <x:v>4912</x:v>
      </x:c>
      <x:c r="K1664" s="10" t="s">
        <x:v>4913</x:v>
      </x:c>
      <x:c r="L1664" s="10" t="s">
        <x:v>4913</x:v>
      </x:c>
      <x:c r="M1664" s="10"/>
      <x:c r="N1664" s="10"/>
      <x:c r="O1664" s="10" t="s">
        <x:v>4902</x:v>
      </x:c>
      <x:c r="P1664" s="10" t="s">
        <x:v>115</x:v>
      </x:c>
      <x:c r="Q1664" s="10" t="s">
        <x:v>45</x:v>
      </x:c>
      <x:c r="R1664" s="10" t="s">
        <x:v>4914</x:v>
      </x:c>
      <x:c r="S1664" s="10"/>
      <x:c r="T1664" s="10" t="s">
        <x:v>27</x:v>
      </x:c>
      <x:c r="U1664" s="10" t="s">
        <x:v>20</x:v>
      </x:c>
      <x:c r="V1664" s="10" t="s">
        <x:v>4904</x:v>
      </x:c>
    </x:row>
    <x:row r="1665" ht="15" hidden="0" customHeight="1">
      <x:c r="A1665" s="10" t="s">
        <x:v>4915</x:v>
      </x:c>
      <x:c r="B1665" s="10" t="s">
        <x:v>4916</x:v>
      </x:c>
      <x:c r="C1665" s="10" t="s">
        <x:v>4917</x:v>
      </x:c>
      <x:c r="D1665" s="10" t="s">
        <x:v>4555</x:v>
      </x:c>
      <x:c r="E1665" s="10" t="s">
        <x:v>4918</x:v>
      </x:c>
      <x:c r="F1665" s="10" t="s">
        <x:v>4557</x:v>
      </x:c>
      <x:c r="G1665" s="10" t="s">
        <x:v>109</x:v>
      </x:c>
      <x:c r="H1665" s="10" t="s">
        <x:v>4919</x:v>
      </x:c>
      <x:c r="I1665" s="10" t="s">
        <x:v>4920</x:v>
      </x:c>
      <x:c r="J1665" s="10" t="s">
        <x:v>4921</x:v>
      </x:c>
      <x:c r="K1665" s="10" t="s">
        <x:v>4922</x:v>
      </x:c>
      <x:c r="L1665" s="10" t="s">
        <x:v>4922</x:v>
      </x:c>
      <x:c r="M1665" s="10"/>
      <x:c r="N1665" s="10"/>
      <x:c r="O1665" s="10" t="s">
        <x:v>4923</x:v>
      </x:c>
      <x:c r="P1665" s="10" t="s">
        <x:v>115</x:v>
      </x:c>
      <x:c r="Q1665" s="10" t="s">
        <x:v>45</x:v>
      </x:c>
      <x:c r="R1665" s="10" t="s">
        <x:v>4924</x:v>
      </x:c>
      <x:c r="S1665" s="10"/>
      <x:c r="T1665" s="10" t="s">
        <x:v>27</x:v>
      </x:c>
      <x:c r="U1665" s="10" t="s">
        <x:v>20</x:v>
      </x:c>
      <x:c r="V1665" s="10" t="s">
        <x:v>4904</x:v>
      </x:c>
    </x:row>
    <x:row r="1666" ht="15" hidden="0" customHeight="1">
      <x:c r="A1666" s="10" t="s">
        <x:v>4925</x:v>
      </x:c>
      <x:c r="B1666" s="10" t="s">
        <x:v>4916</x:v>
      </x:c>
      <x:c r="C1666" s="10" t="s">
        <x:v>4917</x:v>
      </x:c>
      <x:c r="D1666" s="10" t="s">
        <x:v>4926</x:v>
      </x:c>
      <x:c r="E1666" s="10" t="s">
        <x:v>4927</x:v>
      </x:c>
      <x:c r="F1666" s="10" t="s">
        <x:v>4557</x:v>
      </x:c>
      <x:c r="G1666" s="10" t="s">
        <x:v>109</x:v>
      </x:c>
      <x:c r="H1666" s="10" t="s">
        <x:v>4919</x:v>
      </x:c>
      <x:c r="I1666" s="10" t="s">
        <x:v>4920</x:v>
      </x:c>
      <x:c r="J1666" s="10" t="s">
        <x:v>4921</x:v>
      </x:c>
      <x:c r="K1666" s="10" t="s">
        <x:v>113</x:v>
      </x:c>
      <x:c r="L1666" s="10" t="s">
        <x:v>113</x:v>
      </x:c>
      <x:c r="M1666" s="10"/>
      <x:c r="N1666" s="10"/>
      <x:c r="O1666" s="10" t="s">
        <x:v>4923</x:v>
      </x:c>
      <x:c r="P1666" s="10" t="s">
        <x:v>115</x:v>
      </x:c>
      <x:c r="Q1666" s="10" t="s">
        <x:v>45</x:v>
      </x:c>
      <x:c r="R1666" s="10" t="s">
        <x:v>4924</x:v>
      </x:c>
      <x:c r="S1666" s="10"/>
      <x:c r="T1666" s="10" t="s">
        <x:v>27</x:v>
      </x:c>
      <x:c r="U1666" s="10" t="s">
        <x:v>20</x:v>
      </x:c>
      <x:c r="V1666" s="10" t="s">
        <x:v>4904</x:v>
      </x:c>
    </x:row>
    <x:row r="1667" ht="15" hidden="0" customHeight="1">
      <x:c r="A1667" s="10" t="s">
        <x:v>4928</x:v>
      </x:c>
      <x:c r="B1667" s="10" t="s">
        <x:v>4916</x:v>
      </x:c>
      <x:c r="C1667" s="10" t="s">
        <x:v>4917</x:v>
      </x:c>
      <x:c r="D1667" s="10" t="s">
        <x:v>4929</x:v>
      </x:c>
      <x:c r="E1667" s="10" t="s">
        <x:v>4930</x:v>
      </x:c>
      <x:c r="F1667" s="10" t="s">
        <x:v>4557</x:v>
      </x:c>
      <x:c r="G1667" s="10" t="s">
        <x:v>109</x:v>
      </x:c>
      <x:c r="H1667" s="10" t="s">
        <x:v>4919</x:v>
      </x:c>
      <x:c r="I1667" s="10" t="s">
        <x:v>4920</x:v>
      </x:c>
      <x:c r="J1667" s="10" t="s">
        <x:v>4921</x:v>
      </x:c>
      <x:c r="K1667" s="10" t="s">
        <x:v>4931</x:v>
      </x:c>
      <x:c r="L1667" s="10" t="s">
        <x:v>4931</x:v>
      </x:c>
      <x:c r="M1667" s="10"/>
      <x:c r="N1667" s="10"/>
      <x:c r="O1667" s="10" t="s">
        <x:v>4923</x:v>
      </x:c>
      <x:c r="P1667" s="10" t="s">
        <x:v>115</x:v>
      </x:c>
      <x:c r="Q1667" s="10" t="s">
        <x:v>45</x:v>
      </x:c>
      <x:c r="R1667" s="10" t="s">
        <x:v>4924</x:v>
      </x:c>
      <x:c r="S1667" s="10"/>
      <x:c r="T1667" s="10" t="s">
        <x:v>27</x:v>
      </x:c>
      <x:c r="U1667" s="10" t="s">
        <x:v>20</x:v>
      </x:c>
      <x:c r="V1667" s="10" t="s">
        <x:v>4904</x:v>
      </x:c>
    </x:row>
    <x:row r="1668" ht="15" hidden="0" customHeight="1">
      <x:c r="A1668" s="10" t="s">
        <x:v>4932</x:v>
      </x:c>
      <x:c r="B1668" s="10" t="s">
        <x:v>4916</x:v>
      </x:c>
      <x:c r="C1668" s="10" t="s">
        <x:v>4917</x:v>
      </x:c>
      <x:c r="D1668" s="10" t="s">
        <x:v>4933</x:v>
      </x:c>
      <x:c r="E1668" s="10" t="s">
        <x:v>4934</x:v>
      </x:c>
      <x:c r="F1668" s="10" t="s">
        <x:v>4557</x:v>
      </x:c>
      <x:c r="G1668" s="10" t="s">
        <x:v>109</x:v>
      </x:c>
      <x:c r="H1668" s="10" t="s">
        <x:v>4919</x:v>
      </x:c>
      <x:c r="I1668" s="10" t="s">
        <x:v>4920</x:v>
      </x:c>
      <x:c r="J1668" s="10" t="s">
        <x:v>4921</x:v>
      </x:c>
      <x:c r="K1668" s="10" t="s">
        <x:v>4935</x:v>
      </x:c>
      <x:c r="L1668" s="10" t="s">
        <x:v>4935</x:v>
      </x:c>
      <x:c r="M1668" s="10"/>
      <x:c r="N1668" s="10"/>
      <x:c r="O1668" s="10" t="s">
        <x:v>4923</x:v>
      </x:c>
      <x:c r="P1668" s="10" t="s">
        <x:v>115</x:v>
      </x:c>
      <x:c r="Q1668" s="10" t="s">
        <x:v>45</x:v>
      </x:c>
      <x:c r="R1668" s="10" t="s">
        <x:v>4924</x:v>
      </x:c>
      <x:c r="S1668" s="10"/>
      <x:c r="T1668" s="10" t="s">
        <x:v>27</x:v>
      </x:c>
      <x:c r="U1668" s="10" t="s">
        <x:v>20</x:v>
      </x:c>
      <x:c r="V1668" s="10" t="s">
        <x:v>4904</x:v>
      </x:c>
    </x:row>
    <x:row r="1669" ht="15" hidden="0" customHeight="1">
      <x:c r="A1669" s="10" t="s">
        <x:v>4936</x:v>
      </x:c>
      <x:c r="B1669" s="10" t="s">
        <x:v>4916</x:v>
      </x:c>
      <x:c r="C1669" s="10" t="s">
        <x:v>4917</x:v>
      </x:c>
      <x:c r="D1669" s="10" t="s">
        <x:v>4937</x:v>
      </x:c>
      <x:c r="E1669" s="10" t="s">
        <x:v>4938</x:v>
      </x:c>
      <x:c r="F1669" s="10" t="s">
        <x:v>4557</x:v>
      </x:c>
      <x:c r="G1669" s="10" t="s">
        <x:v>187</x:v>
      </x:c>
      <x:c r="H1669" s="10" t="s">
        <x:v>4919</x:v>
      </x:c>
      <x:c r="I1669" s="10" t="s">
        <x:v>4920</x:v>
      </x:c>
      <x:c r="J1669" s="10" t="s">
        <x:v>4921</x:v>
      </x:c>
      <x:c r="K1669" s="10" t="s">
        <x:v>4939</x:v>
      </x:c>
      <x:c r="L1669" s="10" t="s">
        <x:v>4939</x:v>
      </x:c>
      <x:c r="M1669" s="10"/>
      <x:c r="N1669" s="10"/>
      <x:c r="O1669" s="10" t="s">
        <x:v>4923</x:v>
      </x:c>
      <x:c r="P1669" s="10" t="s">
        <x:v>115</x:v>
      </x:c>
      <x:c r="Q1669" s="10" t="s">
        <x:v>45</x:v>
      </x:c>
      <x:c r="R1669" s="10" t="s">
        <x:v>4924</x:v>
      </x:c>
      <x:c r="S1669" s="10"/>
      <x:c r="T1669" s="10" t="s">
        <x:v>27</x:v>
      </x:c>
      <x:c r="U1669" s="10" t="s">
        <x:v>20</x:v>
      </x:c>
      <x:c r="V1669" s="10" t="s">
        <x:v>4904</x:v>
      </x:c>
    </x:row>
    <x:row r="1670" ht="15" hidden="0" customHeight="1">
      <x:c r="A1670" s="10" t="s">
        <x:v>4940</x:v>
      </x:c>
      <x:c r="B1670" s="10" t="s">
        <x:v>4916</x:v>
      </x:c>
      <x:c r="C1670" s="10" t="s">
        <x:v>4917</x:v>
      </x:c>
      <x:c r="D1670" s="10" t="s">
        <x:v>4471</x:v>
      </x:c>
      <x:c r="E1670" s="10" t="s">
        <x:v>4941</x:v>
      </x:c>
      <x:c r="F1670" s="10" t="s">
        <x:v>4557</x:v>
      </x:c>
      <x:c r="G1670" s="10" t="s">
        <x:v>192</x:v>
      </x:c>
      <x:c r="H1670" s="10" t="s">
        <x:v>4919</x:v>
      </x:c>
      <x:c r="I1670" s="10" t="s">
        <x:v>4920</x:v>
      </x:c>
      <x:c r="J1670" s="10" t="s">
        <x:v>4921</x:v>
      </x:c>
      <x:c r="K1670" s="10" t="s">
        <x:v>4942</x:v>
      </x:c>
      <x:c r="L1670" s="10" t="s">
        <x:v>4942</x:v>
      </x:c>
      <x:c r="M1670" s="10"/>
      <x:c r="N1670" s="10"/>
      <x:c r="O1670" s="10" t="s">
        <x:v>4923</x:v>
      </x:c>
      <x:c r="P1670" s="10" t="s">
        <x:v>115</x:v>
      </x:c>
      <x:c r="Q1670" s="10" t="s">
        <x:v>45</x:v>
      </x:c>
      <x:c r="R1670" s="10" t="s">
        <x:v>4924</x:v>
      </x:c>
      <x:c r="S1670" s="10"/>
      <x:c r="T1670" s="10" t="s">
        <x:v>27</x:v>
      </x:c>
      <x:c r="U1670" s="10" t="s">
        <x:v>20</x:v>
      </x:c>
      <x:c r="V1670" s="10" t="s">
        <x:v>4904</x:v>
      </x:c>
    </x:row>
    <x:row r="1671" ht="15" hidden="0" customHeight="1">
      <x:c r="A1671" s="10" t="s">
        <x:v>4943</x:v>
      </x:c>
      <x:c r="B1671" s="10" t="s">
        <x:v>4916</x:v>
      </x:c>
      <x:c r="C1671" s="10" t="s">
        <x:v>4917</x:v>
      </x:c>
      <x:c r="D1671" s="10" t="s">
        <x:v>4566</x:v>
      </x:c>
      <x:c r="E1671" s="10" t="s">
        <x:v>4944</x:v>
      </x:c>
      <x:c r="F1671" s="10" t="s">
        <x:v>4557</x:v>
      </x:c>
      <x:c r="G1671" s="10" t="s">
        <x:v>181</x:v>
      </x:c>
      <x:c r="H1671" s="10" t="s">
        <x:v>4919</x:v>
      </x:c>
      <x:c r="I1671" s="10" t="s">
        <x:v>4920</x:v>
      </x:c>
      <x:c r="J1671" s="10" t="s">
        <x:v>4921</x:v>
      </x:c>
      <x:c r="K1671" s="10" t="s">
        <x:v>4945</x:v>
      </x:c>
      <x:c r="L1671" s="10" t="s">
        <x:v>4945</x:v>
      </x:c>
      <x:c r="M1671" s="10"/>
      <x:c r="N1671" s="10"/>
      <x:c r="O1671" s="10" t="s">
        <x:v>4923</x:v>
      </x:c>
      <x:c r="P1671" s="10" t="s">
        <x:v>115</x:v>
      </x:c>
      <x:c r="Q1671" s="10" t="s">
        <x:v>45</x:v>
      </x:c>
      <x:c r="R1671" s="10" t="s">
        <x:v>4946</x:v>
      </x:c>
      <x:c r="S1671" s="10"/>
      <x:c r="T1671" s="10" t="s">
        <x:v>27</x:v>
      </x:c>
      <x:c r="U1671" s="10" t="s">
        <x:v>20</x:v>
      </x:c>
      <x:c r="V1671" s="10" t="s">
        <x:v>4904</x:v>
      </x:c>
    </x:row>
    <x:row r="1672" ht="15" hidden="0" customHeight="1">
      <x:c r="A1672" s="10" t="s">
        <x:v>4947</x:v>
      </x:c>
      <x:c r="B1672" s="10" t="s">
        <x:v>4916</x:v>
      </x:c>
      <x:c r="C1672" s="10" t="s">
        <x:v>4917</x:v>
      </x:c>
      <x:c r="D1672" s="10" t="s">
        <x:v>4477</x:v>
      </x:c>
      <x:c r="E1672" s="10" t="s">
        <x:v>4948</x:v>
      </x:c>
      <x:c r="F1672" s="10" t="s">
        <x:v>4557</x:v>
      </x:c>
      <x:c r="G1672" s="10" t="s">
        <x:v>181</x:v>
      </x:c>
      <x:c r="H1672" s="10" t="s">
        <x:v>4919</x:v>
      </x:c>
      <x:c r="I1672" s="10" t="s">
        <x:v>4920</x:v>
      </x:c>
      <x:c r="J1672" s="10" t="s">
        <x:v>4921</x:v>
      </x:c>
      <x:c r="K1672" s="10" t="s">
        <x:v>4949</x:v>
      </x:c>
      <x:c r="L1672" s="10" t="s">
        <x:v>4949</x:v>
      </x:c>
      <x:c r="M1672" s="10"/>
      <x:c r="N1672" s="10"/>
      <x:c r="O1672" s="10" t="s">
        <x:v>4923</x:v>
      </x:c>
      <x:c r="P1672" s="10" t="s">
        <x:v>115</x:v>
      </x:c>
      <x:c r="Q1672" s="10" t="s">
        <x:v>45</x:v>
      </x:c>
      <x:c r="R1672" s="10" t="s">
        <x:v>4480</x:v>
      </x:c>
      <x:c r="S1672" s="10"/>
      <x:c r="T1672" s="10" t="s">
        <x:v>27</x:v>
      </x:c>
      <x:c r="U1672" s="10" t="s">
        <x:v>20</x:v>
      </x:c>
      <x:c r="V1672" s="10" t="s">
        <x:v>4904</x:v>
      </x:c>
    </x:row>
    <x:row r="1673" ht="15" hidden="0" customHeight="1">
      <x:c r="A1673" s="10" t="s">
        <x:v>4950</x:v>
      </x:c>
      <x:c r="B1673" s="10" t="s">
        <x:v>2802</x:v>
      </x:c>
      <x:c r="C1673" s="10" t="s">
        <x:v>4951</x:v>
      </x:c>
      <x:c r="D1673" s="10" t="s">
        <x:v>1704</x:v>
      </x:c>
      <x:c r="E1673" s="10" t="s">
        <x:v>4952</x:v>
      </x:c>
      <x:c r="F1673" s="10" t="s">
        <x:v>108</x:v>
      </x:c>
      <x:c r="G1673" s="10" t="s">
        <x:v>109</x:v>
      </x:c>
      <x:c r="H1673" s="10" t="s">
        <x:v>2803</x:v>
      </x:c>
      <x:c r="I1673" s="10" t="s">
        <x:v>2804</x:v>
      </x:c>
      <x:c r="J1673" s="10" t="s">
        <x:v>112</x:v>
      </x:c>
      <x:c r="K1673" s="10" t="s">
        <x:v>4953</x:v>
      </x:c>
      <x:c r="L1673" s="10" t="s">
        <x:v>4953</x:v>
      </x:c>
      <x:c r="M1673" s="10"/>
      <x:c r="N1673" s="10"/>
      <x:c r="O1673" s="10" t="s">
        <x:v>114</x:v>
      </x:c>
      <x:c r="P1673" s="10" t="s">
        <x:v>115</x:v>
      </x:c>
      <x:c r="Q1673" s="10" t="s">
        <x:v>45</x:v>
      </x:c>
      <x:c r="R1673" s="10"/>
      <x:c r="S1673" s="10"/>
      <x:c r="T1673" s="10" t="s">
        <x:v>27</x:v>
      </x:c>
      <x:c r="U1673" s="10" t="s">
        <x:v>20</x:v>
      </x:c>
      <x:c r="V1673" s="10" t="s">
        <x:v>4954</x:v>
      </x:c>
    </x:row>
    <x:row r="1674" ht="15" hidden="0" customHeight="1">
      <x:c r="A1674" s="10" t="s">
        <x:v>4955</x:v>
      </x:c>
      <x:c r="B1674" s="10" t="s">
        <x:v>2802</x:v>
      </x:c>
      <x:c r="C1674" s="10" t="s">
        <x:v>4951</x:v>
      </x:c>
      <x:c r="D1674" s="10" t="s">
        <x:v>4652</x:v>
      </x:c>
      <x:c r="E1674" s="10" t="s">
        <x:v>4956</x:v>
      </x:c>
      <x:c r="F1674" s="10" t="s">
        <x:v>108</x:v>
      </x:c>
      <x:c r="G1674" s="10" t="s">
        <x:v>109</x:v>
      </x:c>
      <x:c r="H1674" s="10" t="s">
        <x:v>2803</x:v>
      </x:c>
      <x:c r="I1674" s="10" t="s">
        <x:v>2804</x:v>
      </x:c>
      <x:c r="J1674" s="10" t="s">
        <x:v>112</x:v>
      </x:c>
      <x:c r="K1674" s="10" t="s">
        <x:v>1581</x:v>
      </x:c>
      <x:c r="L1674" s="10" t="s">
        <x:v>1581</x:v>
      </x:c>
      <x:c r="M1674" s="10"/>
      <x:c r="N1674" s="10"/>
      <x:c r="O1674" s="10" t="s">
        <x:v>114</x:v>
      </x:c>
      <x:c r="P1674" s="10" t="s">
        <x:v>115</x:v>
      </x:c>
      <x:c r="Q1674" s="10" t="s">
        <x:v>45</x:v>
      </x:c>
      <x:c r="R1674" s="10" t="s">
        <x:v>4957</x:v>
      </x:c>
      <x:c r="S1674" s="10"/>
      <x:c r="T1674" s="10" t="s">
        <x:v>27</x:v>
      </x:c>
      <x:c r="U1674" s="10" t="s">
        <x:v>20</x:v>
      </x:c>
      <x:c r="V1674" s="10" t="s">
        <x:v>4954</x:v>
      </x:c>
    </x:row>
    <x:row r="1675" ht="15" hidden="0" customHeight="1">
      <x:c r="A1675" s="10" t="s">
        <x:v>4958</x:v>
      </x:c>
      <x:c r="B1675" s="10" t="s">
        <x:v>2802</x:v>
      </x:c>
      <x:c r="C1675" s="10" t="s">
        <x:v>4951</x:v>
      </x:c>
      <x:c r="D1675" s="10" t="s">
        <x:v>1943</x:v>
      </x:c>
      <x:c r="E1675" s="10" t="s">
        <x:v>4959</x:v>
      </x:c>
      <x:c r="F1675" s="10" t="s">
        <x:v>108</x:v>
      </x:c>
      <x:c r="G1675" s="10" t="s">
        <x:v>109</x:v>
      </x:c>
      <x:c r="H1675" s="10" t="s">
        <x:v>2803</x:v>
      </x:c>
      <x:c r="I1675" s="10" t="s">
        <x:v>2804</x:v>
      </x:c>
      <x:c r="J1675" s="10" t="s">
        <x:v>112</x:v>
      </x:c>
      <x:c r="K1675" s="10" t="s">
        <x:v>1581</x:v>
      </x:c>
      <x:c r="L1675" s="10" t="s">
        <x:v>1581</x:v>
      </x:c>
      <x:c r="M1675" s="10"/>
      <x:c r="N1675" s="10"/>
      <x:c r="O1675" s="10" t="s">
        <x:v>114</x:v>
      </x:c>
      <x:c r="P1675" s="10" t="s">
        <x:v>115</x:v>
      </x:c>
      <x:c r="Q1675" s="10" t="s">
        <x:v>45</x:v>
      </x:c>
      <x:c r="R1675" s="10"/>
      <x:c r="S1675" s="10" t="s">
        <x:v>914</x:v>
      </x:c>
      <x:c r="T1675" s="10" t="s">
        <x:v>27</x:v>
      </x:c>
      <x:c r="U1675" s="10" t="s">
        <x:v>20</x:v>
      </x:c>
      <x:c r="V1675" s="10" t="s">
        <x:v>4954</x:v>
      </x:c>
    </x:row>
    <x:row r="1676" ht="15" hidden="0" customHeight="1">
      <x:c r="A1676" s="10" t="s">
        <x:v>4960</x:v>
      </x:c>
      <x:c r="B1676" s="10" t="s">
        <x:v>2802</x:v>
      </x:c>
      <x:c r="C1676" s="10" t="s">
        <x:v>4951</x:v>
      </x:c>
      <x:c r="D1676" s="10" t="s">
        <x:v>4387</x:v>
      </x:c>
      <x:c r="E1676" s="10" t="s">
        <x:v>4961</x:v>
      </x:c>
      <x:c r="F1676" s="10" t="s">
        <x:v>108</x:v>
      </x:c>
      <x:c r="G1676" s="10" t="s">
        <x:v>109</x:v>
      </x:c>
      <x:c r="H1676" s="10" t="s">
        <x:v>2803</x:v>
      </x:c>
      <x:c r="I1676" s="10" t="s">
        <x:v>2804</x:v>
      </x:c>
      <x:c r="J1676" s="10" t="s">
        <x:v>112</x:v>
      </x:c>
      <x:c r="K1676" s="10" t="s">
        <x:v>4962</x:v>
      </x:c>
      <x:c r="L1676" s="10" t="s">
        <x:v>4962</x:v>
      </x:c>
      <x:c r="M1676" s="10"/>
      <x:c r="N1676" s="10"/>
      <x:c r="O1676" s="10" t="s">
        <x:v>114</x:v>
      </x:c>
      <x:c r="P1676" s="10" t="s">
        <x:v>115</x:v>
      </x:c>
      <x:c r="Q1676" s="10" t="s">
        <x:v>45</x:v>
      </x:c>
      <x:c r="R1676" s="10"/>
      <x:c r="S1676" s="10"/>
      <x:c r="T1676" s="10" t="s">
        <x:v>27</x:v>
      </x:c>
      <x:c r="U1676" s="10" t="s">
        <x:v>20</x:v>
      </x:c>
      <x:c r="V1676" s="10" t="s">
        <x:v>4954</x:v>
      </x:c>
    </x:row>
    <x:row r="1677" ht="15" hidden="0" customHeight="1">
      <x:c r="A1677" s="10" t="s">
        <x:v>4963</x:v>
      </x:c>
      <x:c r="B1677" s="10" t="s">
        <x:v>2802</x:v>
      </x:c>
      <x:c r="C1677" s="10" t="s">
        <x:v>4951</x:v>
      </x:c>
      <x:c r="D1677" s="10" t="s">
        <x:v>445</x:v>
      </x:c>
      <x:c r="E1677" s="10" t="s">
        <x:v>446</x:v>
      </x:c>
      <x:c r="F1677" s="10" t="s">
        <x:v>108</x:v>
      </x:c>
      <x:c r="G1677" s="10" t="s">
        <x:v>109</x:v>
      </x:c>
      <x:c r="H1677" s="10" t="s">
        <x:v>2803</x:v>
      </x:c>
      <x:c r="I1677" s="10" t="s">
        <x:v>2804</x:v>
      </x:c>
      <x:c r="J1677" s="10" t="s">
        <x:v>112</x:v>
      </x:c>
      <x:c r="K1677" s="10" t="s">
        <x:v>1581</x:v>
      </x:c>
      <x:c r="L1677" s="10" t="s">
        <x:v>1581</x:v>
      </x:c>
      <x:c r="M1677" s="10"/>
      <x:c r="N1677" s="10"/>
      <x:c r="O1677" s="10" t="s">
        <x:v>114</x:v>
      </x:c>
      <x:c r="P1677" s="10" t="s">
        <x:v>115</x:v>
      </x:c>
      <x:c r="Q1677" s="10" t="s">
        <x:v>45</x:v>
      </x:c>
      <x:c r="R1677" s="10"/>
      <x:c r="S1677" s="10"/>
      <x:c r="T1677" s="10" t="s">
        <x:v>27</x:v>
      </x:c>
      <x:c r="U1677" s="10" t="s">
        <x:v>20</x:v>
      </x:c>
      <x:c r="V1677" s="10" t="s">
        <x:v>4954</x:v>
      </x:c>
    </x:row>
    <x:row r="1678" ht="15" hidden="0" customHeight="1">
      <x:c r="A1678" s="10" t="s">
        <x:v>4964</x:v>
      </x:c>
      <x:c r="B1678" s="10" t="s">
        <x:v>2802</x:v>
      </x:c>
      <x:c r="C1678" s="10" t="s">
        <x:v>4951</x:v>
      </x:c>
      <x:c r="D1678" s="10" t="s">
        <x:v>1864</x:v>
      </x:c>
      <x:c r="E1678" s="10" t="s">
        <x:v>4965</x:v>
      </x:c>
      <x:c r="F1678" s="10" t="s">
        <x:v>108</x:v>
      </x:c>
      <x:c r="G1678" s="10" t="s">
        <x:v>109</x:v>
      </x:c>
      <x:c r="H1678" s="10" t="s">
        <x:v>2803</x:v>
      </x:c>
      <x:c r="I1678" s="10" t="s">
        <x:v>2804</x:v>
      </x:c>
      <x:c r="J1678" s="10" t="s">
        <x:v>112</x:v>
      </x:c>
      <x:c r="K1678" s="10" t="s">
        <x:v>4966</x:v>
      </x:c>
      <x:c r="L1678" s="10" t="s">
        <x:v>4966</x:v>
      </x:c>
      <x:c r="M1678" s="10"/>
      <x:c r="N1678" s="10"/>
      <x:c r="O1678" s="10" t="s">
        <x:v>114</x:v>
      </x:c>
      <x:c r="P1678" s="10" t="s">
        <x:v>115</x:v>
      </x:c>
      <x:c r="Q1678" s="10" t="s">
        <x:v>45</x:v>
      </x:c>
      <x:c r="R1678" s="10"/>
      <x:c r="S1678" s="10"/>
      <x:c r="T1678" s="10" t="s">
        <x:v>27</x:v>
      </x:c>
      <x:c r="U1678" s="10" t="s">
        <x:v>20</x:v>
      </x:c>
      <x:c r="V1678" s="10" t="s">
        <x:v>4954</x:v>
      </x:c>
    </x:row>
    <x:row r="1679" ht="15" hidden="0" customHeight="1">
      <x:c r="A1679" s="10" t="s">
        <x:v>4967</x:v>
      </x:c>
      <x:c r="B1679" s="10" t="s">
        <x:v>2802</x:v>
      </x:c>
      <x:c r="C1679" s="10" t="s">
        <x:v>4951</x:v>
      </x:c>
      <x:c r="D1679" s="10" t="s">
        <x:v>1948</x:v>
      </x:c>
      <x:c r="E1679" s="10" t="s">
        <x:v>4968</x:v>
      </x:c>
      <x:c r="F1679" s="10" t="s">
        <x:v>108</x:v>
      </x:c>
      <x:c r="G1679" s="10" t="s">
        <x:v>109</x:v>
      </x:c>
      <x:c r="H1679" s="10" t="s">
        <x:v>2803</x:v>
      </x:c>
      <x:c r="I1679" s="10" t="s">
        <x:v>2804</x:v>
      </x:c>
      <x:c r="J1679" s="10" t="s">
        <x:v>112</x:v>
      </x:c>
      <x:c r="K1679" s="10" t="s">
        <x:v>1236</x:v>
      </x:c>
      <x:c r="L1679" s="10" t="s">
        <x:v>1236</x:v>
      </x:c>
      <x:c r="M1679" s="10"/>
      <x:c r="N1679" s="10"/>
      <x:c r="O1679" s="10" t="s">
        <x:v>114</x:v>
      </x:c>
      <x:c r="P1679" s="10" t="s">
        <x:v>115</x:v>
      </x:c>
      <x:c r="Q1679" s="10" t="s">
        <x:v>45</x:v>
      </x:c>
      <x:c r="R1679" s="10"/>
      <x:c r="S1679" s="10"/>
      <x:c r="T1679" s="10" t="s">
        <x:v>27</x:v>
      </x:c>
      <x:c r="U1679" s="10" t="s">
        <x:v>20</x:v>
      </x:c>
      <x:c r="V1679" s="10" t="s">
        <x:v>4954</x:v>
      </x:c>
    </x:row>
    <x:row r="1680" ht="15" hidden="0" customHeight="1">
      <x:c r="A1680" s="10" t="s">
        <x:v>4969</x:v>
      </x:c>
      <x:c r="B1680" s="10" t="s">
        <x:v>2802</x:v>
      </x:c>
      <x:c r="C1680" s="10" t="s">
        <x:v>4951</x:v>
      </x:c>
      <x:c r="D1680" s="10" t="s">
        <x:v>2129</x:v>
      </x:c>
      <x:c r="E1680" s="10" t="s">
        <x:v>4970</x:v>
      </x:c>
      <x:c r="F1680" s="10" t="s">
        <x:v>108</x:v>
      </x:c>
      <x:c r="G1680" s="10" t="s">
        <x:v>109</x:v>
      </x:c>
      <x:c r="H1680" s="10" t="s">
        <x:v>2803</x:v>
      </x:c>
      <x:c r="I1680" s="10" t="s">
        <x:v>2804</x:v>
      </x:c>
      <x:c r="J1680" s="10" t="s">
        <x:v>112</x:v>
      </x:c>
      <x:c r="K1680" s="10" t="s">
        <x:v>1356</x:v>
      </x:c>
      <x:c r="L1680" s="10" t="s">
        <x:v>1356</x:v>
      </x:c>
      <x:c r="M1680" s="10"/>
      <x:c r="N1680" s="10"/>
      <x:c r="O1680" s="10" t="s">
        <x:v>114</x:v>
      </x:c>
      <x:c r="P1680" s="10" t="s">
        <x:v>115</x:v>
      </x:c>
      <x:c r="Q1680" s="10" t="s">
        <x:v>45</x:v>
      </x:c>
      <x:c r="R1680" s="10" t="s">
        <x:v>4971</x:v>
      </x:c>
      <x:c r="S1680" s="10"/>
      <x:c r="T1680" s="10" t="s">
        <x:v>27</x:v>
      </x:c>
      <x:c r="U1680" s="10" t="s">
        <x:v>20</x:v>
      </x:c>
      <x:c r="V1680" s="10" t="s">
        <x:v>4954</x:v>
      </x:c>
    </x:row>
    <x:row r="1681" ht="15" hidden="0" customHeight="1">
      <x:c r="A1681" s="10" t="s">
        <x:v>4972</x:v>
      </x:c>
      <x:c r="B1681" s="10" t="s">
        <x:v>2802</x:v>
      </x:c>
      <x:c r="C1681" s="10" t="s">
        <x:v>4951</x:v>
      </x:c>
      <x:c r="D1681" s="10" t="s">
        <x:v>4973</x:v>
      </x:c>
      <x:c r="E1681" s="10" t="s">
        <x:v>4974</x:v>
      </x:c>
      <x:c r="F1681" s="10" t="s">
        <x:v>108</x:v>
      </x:c>
      <x:c r="G1681" s="10" t="s">
        <x:v>109</x:v>
      </x:c>
      <x:c r="H1681" s="10" t="s">
        <x:v>2803</x:v>
      </x:c>
      <x:c r="I1681" s="10" t="s">
        <x:v>2804</x:v>
      </x:c>
      <x:c r="J1681" s="10" t="s">
        <x:v>112</x:v>
      </x:c>
      <x:c r="K1681" s="10" t="s">
        <x:v>4975</x:v>
      </x:c>
      <x:c r="L1681" s="10" t="s">
        <x:v>4975</x:v>
      </x:c>
      <x:c r="M1681" s="10"/>
      <x:c r="N1681" s="10"/>
      <x:c r="O1681" s="10" t="s">
        <x:v>114</x:v>
      </x:c>
      <x:c r="P1681" s="10" t="s">
        <x:v>115</x:v>
      </x:c>
      <x:c r="Q1681" s="10" t="s">
        <x:v>45</x:v>
      </x:c>
      <x:c r="R1681" s="10"/>
      <x:c r="S1681" s="10" t="s">
        <x:v>4976</x:v>
      </x:c>
      <x:c r="T1681" s="10" t="s">
        <x:v>27</x:v>
      </x:c>
      <x:c r="U1681" s="10" t="s">
        <x:v>20</x:v>
      </x:c>
      <x:c r="V1681" s="10" t="s">
        <x:v>4954</x:v>
      </x:c>
    </x:row>
    <x:row r="1682" ht="15" hidden="0" customHeight="1">
      <x:c r="A1682" s="10" t="s">
        <x:v>4977</x:v>
      </x:c>
      <x:c r="B1682" s="10" t="s">
        <x:v>2802</x:v>
      </x:c>
      <x:c r="C1682" s="10" t="s">
        <x:v>4951</x:v>
      </x:c>
      <x:c r="D1682" s="10" t="s">
        <x:v>4978</x:v>
      </x:c>
      <x:c r="E1682" s="10" t="s">
        <x:v>4979</x:v>
      </x:c>
      <x:c r="F1682" s="10" t="s">
        <x:v>108</x:v>
      </x:c>
      <x:c r="G1682" s="10" t="s">
        <x:v>109</x:v>
      </x:c>
      <x:c r="H1682" s="10" t="s">
        <x:v>2803</x:v>
      </x:c>
      <x:c r="I1682" s="10" t="s">
        <x:v>2804</x:v>
      </x:c>
      <x:c r="J1682" s="10" t="s">
        <x:v>112</x:v>
      </x:c>
      <x:c r="K1682" s="10" t="s">
        <x:v>4980</x:v>
      </x:c>
      <x:c r="L1682" s="10" t="s">
        <x:v>4980</x:v>
      </x:c>
      <x:c r="M1682" s="10"/>
      <x:c r="N1682" s="10"/>
      <x:c r="O1682" s="10" t="s">
        <x:v>114</x:v>
      </x:c>
      <x:c r="P1682" s="10" t="s">
        <x:v>115</x:v>
      </x:c>
      <x:c r="Q1682" s="10" t="s">
        <x:v>45</x:v>
      </x:c>
      <x:c r="R1682" s="10" t="s">
        <x:v>4981</x:v>
      </x:c>
      <x:c r="S1682" s="10" t="s">
        <x:v>4529</x:v>
      </x:c>
      <x:c r="T1682" s="10" t="s">
        <x:v>27</x:v>
      </x:c>
      <x:c r="U1682" s="10" t="s">
        <x:v>20</x:v>
      </x:c>
      <x:c r="V1682" s="10" t="s">
        <x:v>4954</x:v>
      </x:c>
    </x:row>
    <x:row r="1683" ht="15" hidden="0" customHeight="1">
      <x:c r="A1683" s="10" t="s">
        <x:v>4982</x:v>
      </x:c>
      <x:c r="B1683" s="10" t="s">
        <x:v>2802</x:v>
      </x:c>
      <x:c r="C1683" s="10" t="s">
        <x:v>4951</x:v>
      </x:c>
      <x:c r="D1683" s="10" t="s">
        <x:v>164</x:v>
      </x:c>
      <x:c r="E1683" s="10" t="s">
        <x:v>32</x:v>
      </x:c>
      <x:c r="F1683" s="10" t="s">
        <x:v>1070</x:v>
      </x:c>
      <x:c r="G1683" s="10" t="s">
        <x:v>181</x:v>
      </x:c>
      <x:c r="H1683" s="10" t="s">
        <x:v>2803</x:v>
      </x:c>
      <x:c r="I1683" s="10" t="s">
        <x:v>2804</x:v>
      </x:c>
      <x:c r="J1683" s="10" t="s">
        <x:v>112</x:v>
      </x:c>
      <x:c r="K1683" s="10" t="s">
        <x:v>4983</x:v>
      </x:c>
      <x:c r="L1683" s="10" t="s">
        <x:v>4983</x:v>
      </x:c>
      <x:c r="M1683" s="10"/>
      <x:c r="N1683" s="10"/>
      <x:c r="O1683" s="10" t="s">
        <x:v>114</x:v>
      </x:c>
      <x:c r="P1683" s="10" t="s">
        <x:v>115</x:v>
      </x:c>
      <x:c r="Q1683" s="10" t="s">
        <x:v>45</x:v>
      </x:c>
      <x:c r="R1683" s="10" t="s">
        <x:v>4984</x:v>
      </x:c>
      <x:c r="S1683" s="10"/>
      <x:c r="T1683" s="10" t="s">
        <x:v>32</x:v>
      </x:c>
      <x:c r="U1683" s="10" t="s">
        <x:v>20</x:v>
      </x:c>
      <x:c r="V1683" s="10" t="s">
        <x:v>4954</x:v>
      </x:c>
    </x:row>
    <x:row r="1684" ht="15" hidden="0" customHeight="1">
      <x:c r="A1684" s="10" t="s">
        <x:v>4985</x:v>
      </x:c>
      <x:c r="B1684" s="10" t="s">
        <x:v>2802</x:v>
      </x:c>
      <x:c r="C1684" s="10" t="s">
        <x:v>4951</x:v>
      </x:c>
      <x:c r="D1684" s="10" t="s">
        <x:v>4449</x:v>
      </x:c>
      <x:c r="E1684" s="10" t="s">
        <x:v>32</x:v>
      </x:c>
      <x:c r="F1684" s="10" t="s">
        <x:v>1070</x:v>
      </x:c>
      <x:c r="G1684" s="10" t="s">
        <x:v>181</x:v>
      </x:c>
      <x:c r="H1684" s="10" t="s">
        <x:v>2803</x:v>
      </x:c>
      <x:c r="I1684" s="10" t="s">
        <x:v>2804</x:v>
      </x:c>
      <x:c r="J1684" s="10" t="s">
        <x:v>112</x:v>
      </x:c>
      <x:c r="K1684" s="10" t="s">
        <x:v>4986</x:v>
      </x:c>
      <x:c r="L1684" s="10" t="s">
        <x:v>4986</x:v>
      </x:c>
      <x:c r="M1684" s="10"/>
      <x:c r="N1684" s="10"/>
      <x:c r="O1684" s="10" t="s">
        <x:v>114</x:v>
      </x:c>
      <x:c r="P1684" s="10" t="s">
        <x:v>115</x:v>
      </x:c>
      <x:c r="Q1684" s="10" t="s">
        <x:v>45</x:v>
      </x:c>
      <x:c r="R1684" s="10" t="s">
        <x:v>4987</x:v>
      </x:c>
      <x:c r="S1684" s="10"/>
      <x:c r="T1684" s="10" t="s">
        <x:v>32</x:v>
      </x:c>
      <x:c r="U1684" s="10" t="s">
        <x:v>20</x:v>
      </x:c>
      <x:c r="V1684" s="10" t="s">
        <x:v>4954</x:v>
      </x:c>
    </x:row>
    <x:row r="1685" ht="15" hidden="0" customHeight="1">
      <x:c r="A1685" s="10" t="s">
        <x:v>4988</x:v>
      </x:c>
      <x:c r="B1685" s="10" t="s">
        <x:v>2802</x:v>
      </x:c>
      <x:c r="C1685" s="10" t="s">
        <x:v>4951</x:v>
      </x:c>
      <x:c r="D1685" s="10" t="s">
        <x:v>4989</x:v>
      </x:c>
      <x:c r="E1685" s="10" t="s">
        <x:v>4990</x:v>
      </x:c>
      <x:c r="F1685" s="10" t="s">
        <x:v>108</x:v>
      </x:c>
      <x:c r="G1685" s="10" t="s">
        <x:v>187</x:v>
      </x:c>
      <x:c r="H1685" s="10" t="s">
        <x:v>2803</x:v>
      </x:c>
      <x:c r="I1685" s="10" t="s">
        <x:v>2804</x:v>
      </x:c>
      <x:c r="J1685" s="10" t="s">
        <x:v>112</x:v>
      </x:c>
      <x:c r="K1685" s="10" t="s">
        <x:v>4763</x:v>
      </x:c>
      <x:c r="L1685" s="10" t="s">
        <x:v>4763</x:v>
      </x:c>
      <x:c r="M1685" s="10"/>
      <x:c r="N1685" s="10"/>
      <x:c r="O1685" s="10" t="s">
        <x:v>114</x:v>
      </x:c>
      <x:c r="P1685" s="10" t="s">
        <x:v>115</x:v>
      </x:c>
      <x:c r="Q1685" s="10" t="s">
        <x:v>45</x:v>
      </x:c>
      <x:c r="R1685" s="10"/>
      <x:c r="S1685" s="10"/>
      <x:c r="T1685" s="10" t="s">
        <x:v>27</x:v>
      </x:c>
      <x:c r="U1685" s="10" t="s">
        <x:v>20</x:v>
      </x:c>
      <x:c r="V1685" s="10" t="s">
        <x:v>4954</x:v>
      </x:c>
    </x:row>
    <x:row r="1686" ht="15" hidden="0" customHeight="1">
      <x:c r="A1686" s="10" t="s">
        <x:v>4991</x:v>
      </x:c>
      <x:c r="B1686" s="10" t="s">
        <x:v>2802</x:v>
      </x:c>
      <x:c r="C1686" s="10" t="s">
        <x:v>4951</x:v>
      </x:c>
      <x:c r="D1686" s="10" t="s">
        <x:v>4992</x:v>
      </x:c>
      <x:c r="E1686" s="10" t="s">
        <x:v>4993</x:v>
      </x:c>
      <x:c r="F1686" s="10" t="s">
        <x:v>108</x:v>
      </x:c>
      <x:c r="G1686" s="10" t="s">
        <x:v>187</x:v>
      </x:c>
      <x:c r="H1686" s="10" t="s">
        <x:v>2803</x:v>
      </x:c>
      <x:c r="I1686" s="10" t="s">
        <x:v>2804</x:v>
      </x:c>
      <x:c r="J1686" s="10" t="s">
        <x:v>112</x:v>
      </x:c>
      <x:c r="K1686" s="10" t="s">
        <x:v>4763</x:v>
      </x:c>
      <x:c r="L1686" s="10" t="s">
        <x:v>4763</x:v>
      </x:c>
      <x:c r="M1686" s="10"/>
      <x:c r="N1686" s="10"/>
      <x:c r="O1686" s="10" t="s">
        <x:v>114</x:v>
      </x:c>
      <x:c r="P1686" s="10" t="s">
        <x:v>115</x:v>
      </x:c>
      <x:c r="Q1686" s="10" t="s">
        <x:v>45</x:v>
      </x:c>
      <x:c r="R1686" s="10"/>
      <x:c r="S1686" s="10"/>
      <x:c r="T1686" s="10" t="s">
        <x:v>27</x:v>
      </x:c>
      <x:c r="U1686" s="10" t="s">
        <x:v>20</x:v>
      </x:c>
      <x:c r="V1686" s="10" t="s">
        <x:v>4954</x:v>
      </x:c>
    </x:row>
    <x:row r="1687" ht="15" hidden="0" customHeight="1">
      <x:c r="A1687" s="10" t="s">
        <x:v>4994</x:v>
      </x:c>
      <x:c r="B1687" s="10" t="s">
        <x:v>2802</x:v>
      </x:c>
      <x:c r="C1687" s="10" t="s">
        <x:v>4951</x:v>
      </x:c>
      <x:c r="D1687" s="10" t="s">
        <x:v>4995</x:v>
      </x:c>
      <x:c r="E1687" s="10" t="s">
        <x:v>4996</x:v>
      </x:c>
      <x:c r="F1687" s="10" t="s">
        <x:v>108</x:v>
      </x:c>
      <x:c r="G1687" s="10" t="s">
        <x:v>181</x:v>
      </x:c>
      <x:c r="H1687" s="10" t="s">
        <x:v>2803</x:v>
      </x:c>
      <x:c r="I1687" s="10" t="s">
        <x:v>2804</x:v>
      </x:c>
      <x:c r="J1687" s="10" t="s">
        <x:v>112</x:v>
      </x:c>
      <x:c r="K1687" s="10" t="s">
        <x:v>4997</x:v>
      </x:c>
      <x:c r="L1687" s="10" t="s">
        <x:v>4997</x:v>
      </x:c>
      <x:c r="M1687" s="10"/>
      <x:c r="N1687" s="10"/>
      <x:c r="O1687" s="10" t="s">
        <x:v>114</x:v>
      </x:c>
      <x:c r="P1687" s="10" t="s">
        <x:v>115</x:v>
      </x:c>
      <x:c r="Q1687" s="10" t="s">
        <x:v>45</x:v>
      </x:c>
      <x:c r="R1687" s="10" t="s">
        <x:v>4998</x:v>
      </x:c>
      <x:c r="S1687" s="10"/>
      <x:c r="T1687" s="10" t="s">
        <x:v>27</x:v>
      </x:c>
      <x:c r="U1687" s="10" t="s">
        <x:v>20</x:v>
      </x:c>
      <x:c r="V1687" s="10" t="s">
        <x:v>4954</x:v>
      </x:c>
    </x:row>
    <x:row r="1688" ht="15" hidden="0" customHeight="1">
      <x:c r="A1688" s="10" t="s">
        <x:v>4999</x:v>
      </x:c>
      <x:c r="B1688" s="10" t="s">
        <x:v>2802</x:v>
      </x:c>
      <x:c r="C1688" s="10" t="s">
        <x:v>4951</x:v>
      </x:c>
      <x:c r="D1688" s="10" t="s">
        <x:v>871</x:v>
      </x:c>
      <x:c r="E1688" s="10" t="s">
        <x:v>32</x:v>
      </x:c>
      <x:c r="F1688" s="10" t="s">
        <x:v>1070</x:v>
      </x:c>
      <x:c r="G1688" s="10" t="s">
        <x:v>181</x:v>
      </x:c>
      <x:c r="H1688" s="10" t="s">
        <x:v>2803</x:v>
      </x:c>
      <x:c r="I1688" s="10" t="s">
        <x:v>2804</x:v>
      </x:c>
      <x:c r="J1688" s="10" t="s">
        <x:v>112</x:v>
      </x:c>
      <x:c r="K1688" s="10" t="s">
        <x:v>5000</x:v>
      </x:c>
      <x:c r="L1688" s="10" t="s">
        <x:v>5000</x:v>
      </x:c>
      <x:c r="M1688" s="10"/>
      <x:c r="N1688" s="10"/>
      <x:c r="O1688" s="10" t="s">
        <x:v>114</x:v>
      </x:c>
      <x:c r="P1688" s="10" t="s">
        <x:v>115</x:v>
      </x:c>
      <x:c r="Q1688" s="10" t="s">
        <x:v>45</x:v>
      </x:c>
      <x:c r="R1688" s="10"/>
      <x:c r="S1688" s="10"/>
      <x:c r="T1688" s="10" t="s">
        <x:v>32</x:v>
      </x:c>
      <x:c r="U1688" s="10" t="s">
        <x:v>20</x:v>
      </x:c>
      <x:c r="V1688" s="10" t="s">
        <x:v>4954</x:v>
      </x:c>
    </x:row>
    <x:row r="1689" ht="15" hidden="0" customHeight="1">
      <x:c r="A1689" s="10" t="s">
        <x:v>5001</x:v>
      </x:c>
      <x:c r="B1689" s="10" t="s">
        <x:v>2999</x:v>
      </x:c>
      <x:c r="C1689" s="10" t="s">
        <x:v>5002</x:v>
      </x:c>
      <x:c r="D1689" s="10" t="s">
        <x:v>4387</x:v>
      </x:c>
      <x:c r="E1689" s="10" t="s">
        <x:v>5003</x:v>
      </x:c>
      <x:c r="F1689" s="10" t="s">
        <x:v>108</x:v>
      </x:c>
      <x:c r="G1689" s="10" t="s">
        <x:v>109</x:v>
      </x:c>
      <x:c r="H1689" s="10" t="s">
        <x:v>3001</x:v>
      </x:c>
      <x:c r="I1689" s="10"/>
      <x:c r="J1689" s="10" t="s">
        <x:v>112</x:v>
      </x:c>
      <x:c r="K1689" s="10" t="s">
        <x:v>5004</x:v>
      </x:c>
      <x:c r="L1689" s="10" t="s">
        <x:v>5004</x:v>
      </x:c>
      <x:c r="M1689" s="10"/>
      <x:c r="N1689" s="10"/>
      <x:c r="O1689" s="10" t="s">
        <x:v>114</x:v>
      </x:c>
      <x:c r="P1689" s="10" t="s">
        <x:v>115</x:v>
      </x:c>
      <x:c r="Q1689" s="10" t="s">
        <x:v>45</x:v>
      </x:c>
      <x:c r="R1689" s="10"/>
      <x:c r="S1689" s="10"/>
      <x:c r="T1689" s="10" t="s">
        <x:v>27</x:v>
      </x:c>
      <x:c r="U1689" s="10" t="s">
        <x:v>20</x:v>
      </x:c>
      <x:c r="V1689" s="10" t="s">
        <x:v>4954</x:v>
      </x:c>
    </x:row>
    <x:row r="1690" ht="15" hidden="0" customHeight="1">
      <x:c r="A1690" s="10" t="s">
        <x:v>5005</x:v>
      </x:c>
      <x:c r="B1690" s="10" t="s">
        <x:v>2999</x:v>
      </x:c>
      <x:c r="C1690" s="10" t="s">
        <x:v>5002</x:v>
      </x:c>
      <x:c r="D1690" s="10" t="s">
        <x:v>1770</x:v>
      </x:c>
      <x:c r="E1690" s="10" t="s">
        <x:v>5006</x:v>
      </x:c>
      <x:c r="F1690" s="10" t="s">
        <x:v>108</x:v>
      </x:c>
      <x:c r="G1690" s="10" t="s">
        <x:v>109</x:v>
      </x:c>
      <x:c r="H1690" s="10" t="s">
        <x:v>3001</x:v>
      </x:c>
      <x:c r="I1690" s="10"/>
      <x:c r="J1690" s="10" t="s">
        <x:v>112</x:v>
      </x:c>
      <x:c r="K1690" s="10" t="s">
        <x:v>3998</x:v>
      </x:c>
      <x:c r="L1690" s="10" t="s">
        <x:v>3998</x:v>
      </x:c>
      <x:c r="M1690" s="10"/>
      <x:c r="N1690" s="10"/>
      <x:c r="O1690" s="10" t="s">
        <x:v>114</x:v>
      </x:c>
      <x:c r="P1690" s="10" t="s">
        <x:v>115</x:v>
      </x:c>
      <x:c r="Q1690" s="10" t="s">
        <x:v>45</x:v>
      </x:c>
      <x:c r="R1690" s="10"/>
      <x:c r="S1690" s="10"/>
      <x:c r="T1690" s="10" t="s">
        <x:v>27</x:v>
      </x:c>
      <x:c r="U1690" s="10" t="s">
        <x:v>20</x:v>
      </x:c>
      <x:c r="V1690" s="10" t="s">
        <x:v>4954</x:v>
      </x:c>
    </x:row>
    <x:row r="1691" ht="15" hidden="0" customHeight="1">
      <x:c r="A1691" s="10" t="s">
        <x:v>5007</x:v>
      </x:c>
      <x:c r="B1691" s="10" t="s">
        <x:v>2999</x:v>
      </x:c>
      <x:c r="C1691" s="10" t="s">
        <x:v>5002</x:v>
      </x:c>
      <x:c r="D1691" s="10" t="s">
        <x:v>5008</x:v>
      </x:c>
      <x:c r="E1691" s="10" t="s">
        <x:v>5009</x:v>
      </x:c>
      <x:c r="F1691" s="10" t="s">
        <x:v>108</x:v>
      </x:c>
      <x:c r="G1691" s="10" t="s">
        <x:v>109</x:v>
      </x:c>
      <x:c r="H1691" s="10" t="s">
        <x:v>3001</x:v>
      </x:c>
      <x:c r="I1691" s="10"/>
      <x:c r="J1691" s="10" t="s">
        <x:v>112</x:v>
      </x:c>
      <x:c r="K1691" s="10" t="s">
        <x:v>5010</x:v>
      </x:c>
      <x:c r="L1691" s="10" t="s">
        <x:v>5010</x:v>
      </x:c>
      <x:c r="M1691" s="10"/>
      <x:c r="N1691" s="10"/>
      <x:c r="O1691" s="10" t="s">
        <x:v>114</x:v>
      </x:c>
      <x:c r="P1691" s="10" t="s">
        <x:v>115</x:v>
      </x:c>
      <x:c r="Q1691" s="10" t="s">
        <x:v>45</x:v>
      </x:c>
      <x:c r="R1691" s="10"/>
      <x:c r="S1691" s="10"/>
      <x:c r="T1691" s="10" t="s">
        <x:v>27</x:v>
      </x:c>
      <x:c r="U1691" s="10" t="s">
        <x:v>20</x:v>
      </x:c>
      <x:c r="V1691" s="10" t="s">
        <x:v>4954</x:v>
      </x:c>
    </x:row>
    <x:row r="1692" ht="15" hidden="0" customHeight="1">
      <x:c r="A1692" s="10" t="s">
        <x:v>5011</x:v>
      </x:c>
      <x:c r="B1692" s="10" t="s">
        <x:v>2999</x:v>
      </x:c>
      <x:c r="C1692" s="10" t="s">
        <x:v>5012</x:v>
      </x:c>
      <x:c r="D1692" s="10" t="s">
        <x:v>5013</x:v>
      </x:c>
      <x:c r="E1692" s="10" t="s">
        <x:v>5014</x:v>
      </x:c>
      <x:c r="F1692" s="10" t="s">
        <x:v>108</x:v>
      </x:c>
      <x:c r="G1692" s="10" t="s">
        <x:v>109</x:v>
      </x:c>
      <x:c r="H1692" s="10" t="s">
        <x:v>3001</x:v>
      </x:c>
      <x:c r="I1692" s="10"/>
      <x:c r="J1692" s="10" t="s">
        <x:v>112</x:v>
      </x:c>
      <x:c r="K1692" s="10" t="s">
        <x:v>1581</x:v>
      </x:c>
      <x:c r="L1692" s="10" t="s">
        <x:v>1581</x:v>
      </x:c>
      <x:c r="M1692" s="10"/>
      <x:c r="N1692" s="10"/>
      <x:c r="O1692" s="10" t="s">
        <x:v>114</x:v>
      </x:c>
      <x:c r="P1692" s="10" t="s">
        <x:v>115</x:v>
      </x:c>
      <x:c r="Q1692" s="10" t="s">
        <x:v>45</x:v>
      </x:c>
      <x:c r="R1692" s="10" t="s">
        <x:v>5015</x:v>
      </x:c>
      <x:c r="S1692" s="10" t="s">
        <x:v>3016</x:v>
      </x:c>
      <x:c r="T1692" s="10" t="s">
        <x:v>27</x:v>
      </x:c>
      <x:c r="U1692" s="10" t="s">
        <x:v>20</x:v>
      </x:c>
      <x:c r="V1692" s="10" t="s">
        <x:v>4954</x:v>
      </x:c>
    </x:row>
    <x:row r="1693" ht="15" hidden="0" customHeight="1">
      <x:c r="A1693" s="10" t="s">
        <x:v>5016</x:v>
      </x:c>
      <x:c r="B1693" s="10" t="s">
        <x:v>2999</x:v>
      </x:c>
      <x:c r="C1693" s="10" t="s">
        <x:v>5002</x:v>
      </x:c>
      <x:c r="D1693" s="10" t="s">
        <x:v>5017</x:v>
      </x:c>
      <x:c r="E1693" s="10" t="s">
        <x:v>5018</x:v>
      </x:c>
      <x:c r="F1693" s="10" t="s">
        <x:v>108</x:v>
      </x:c>
      <x:c r="G1693" s="10" t="s">
        <x:v>109</x:v>
      </x:c>
      <x:c r="H1693" s="10" t="s">
        <x:v>3001</x:v>
      </x:c>
      <x:c r="I1693" s="10"/>
      <x:c r="J1693" s="10" t="s">
        <x:v>112</x:v>
      </x:c>
      <x:c r="K1693" s="10" t="s">
        <x:v>5019</x:v>
      </x:c>
      <x:c r="L1693" s="10" t="s">
        <x:v>5019</x:v>
      </x:c>
      <x:c r="M1693" s="10"/>
      <x:c r="N1693" s="10"/>
      <x:c r="O1693" s="10" t="s">
        <x:v>114</x:v>
      </x:c>
      <x:c r="P1693" s="10" t="s">
        <x:v>115</x:v>
      </x:c>
      <x:c r="Q1693" s="10" t="s">
        <x:v>45</x:v>
      </x:c>
      <x:c r="R1693" s="10"/>
      <x:c r="S1693" s="10"/>
      <x:c r="T1693" s="10" t="s">
        <x:v>27</x:v>
      </x:c>
      <x:c r="U1693" s="10" t="s">
        <x:v>20</x:v>
      </x:c>
      <x:c r="V1693" s="10" t="s">
        <x:v>4954</x:v>
      </x:c>
    </x:row>
    <x:row r="1694" ht="15" hidden="0" customHeight="1">
      <x:c r="A1694" s="10" t="s">
        <x:v>5020</x:v>
      </x:c>
      <x:c r="B1694" s="10" t="s">
        <x:v>2999</x:v>
      </x:c>
      <x:c r="C1694" s="10" t="s">
        <x:v>5002</x:v>
      </x:c>
      <x:c r="D1694" s="10" t="s">
        <x:v>5021</x:v>
      </x:c>
      <x:c r="E1694" s="10" t="s">
        <x:v>5022</x:v>
      </x:c>
      <x:c r="F1694" s="10" t="s">
        <x:v>108</x:v>
      </x:c>
      <x:c r="G1694" s="10" t="s">
        <x:v>109</x:v>
      </x:c>
      <x:c r="H1694" s="10" t="s">
        <x:v>3001</x:v>
      </x:c>
      <x:c r="I1694" s="10"/>
      <x:c r="J1694" s="10" t="s">
        <x:v>112</x:v>
      </x:c>
      <x:c r="K1694" s="10" t="s">
        <x:v>5004</x:v>
      </x:c>
      <x:c r="L1694" s="10" t="s">
        <x:v>5004</x:v>
      </x:c>
      <x:c r="M1694" s="10"/>
      <x:c r="N1694" s="10"/>
      <x:c r="O1694" s="10" t="s">
        <x:v>114</x:v>
      </x:c>
      <x:c r="P1694" s="10" t="s">
        <x:v>115</x:v>
      </x:c>
      <x:c r="Q1694" s="10" t="s">
        <x:v>45</x:v>
      </x:c>
      <x:c r="R1694" s="10"/>
      <x:c r="S1694" s="10"/>
      <x:c r="T1694" s="10" t="s">
        <x:v>27</x:v>
      </x:c>
      <x:c r="U1694" s="10" t="s">
        <x:v>20</x:v>
      </x:c>
      <x:c r="V1694" s="10" t="s">
        <x:v>4954</x:v>
      </x:c>
    </x:row>
    <x:row r="1695" ht="15" hidden="0" customHeight="1">
      <x:c r="A1695" s="10" t="s">
        <x:v>5023</x:v>
      </x:c>
      <x:c r="B1695" s="10" t="s">
        <x:v>2999</x:v>
      </x:c>
      <x:c r="C1695" s="10" t="s">
        <x:v>5002</x:v>
      </x:c>
      <x:c r="D1695" s="10" t="s">
        <x:v>1943</x:v>
      </x:c>
      <x:c r="E1695" s="10" t="s">
        <x:v>5024</x:v>
      </x:c>
      <x:c r="F1695" s="10" t="s">
        <x:v>108</x:v>
      </x:c>
      <x:c r="G1695" s="10" t="s">
        <x:v>109</x:v>
      </x:c>
      <x:c r="H1695" s="10" t="s">
        <x:v>3001</x:v>
      </x:c>
      <x:c r="I1695" s="10"/>
      <x:c r="J1695" s="10" t="s">
        <x:v>112</x:v>
      </x:c>
      <x:c r="K1695" s="10" t="s">
        <x:v>5025</x:v>
      </x:c>
      <x:c r="L1695" s="10" t="s">
        <x:v>5025</x:v>
      </x:c>
      <x:c r="M1695" s="10"/>
      <x:c r="N1695" s="10"/>
      <x:c r="O1695" s="10" t="s">
        <x:v>114</x:v>
      </x:c>
      <x:c r="P1695" s="10" t="s">
        <x:v>115</x:v>
      </x:c>
      <x:c r="Q1695" s="10" t="s">
        <x:v>45</x:v>
      </x:c>
      <x:c r="R1695" s="10"/>
      <x:c r="S1695" s="10" t="s">
        <x:v>914</x:v>
      </x:c>
      <x:c r="T1695" s="10" t="s">
        <x:v>27</x:v>
      </x:c>
      <x:c r="U1695" s="10" t="s">
        <x:v>20</x:v>
      </x:c>
      <x:c r="V1695" s="10" t="s">
        <x:v>4954</x:v>
      </x:c>
    </x:row>
    <x:row r="1696" ht="15" hidden="0" customHeight="1">
      <x:c r="A1696" s="10" t="s">
        <x:v>5026</x:v>
      </x:c>
      <x:c r="B1696" s="10" t="s">
        <x:v>2999</x:v>
      </x:c>
      <x:c r="C1696" s="10" t="s">
        <x:v>5012</x:v>
      </x:c>
      <x:c r="D1696" s="10" t="s">
        <x:v>5027</x:v>
      </x:c>
      <x:c r="E1696" s="10" t="s">
        <x:v>5028</x:v>
      </x:c>
      <x:c r="F1696" s="10" t="s">
        <x:v>108</x:v>
      </x:c>
      <x:c r="G1696" s="10" t="s">
        <x:v>109</x:v>
      </x:c>
      <x:c r="H1696" s="10" t="s">
        <x:v>3001</x:v>
      </x:c>
      <x:c r="I1696" s="10"/>
      <x:c r="J1696" s="10" t="s">
        <x:v>112</x:v>
      </x:c>
      <x:c r="K1696" s="10" t="s">
        <x:v>1581</x:v>
      </x:c>
      <x:c r="L1696" s="10" t="s">
        <x:v>1581</x:v>
      </x:c>
      <x:c r="M1696" s="10"/>
      <x:c r="N1696" s="10"/>
      <x:c r="O1696" s="10" t="s">
        <x:v>114</x:v>
      </x:c>
      <x:c r="P1696" s="10" t="s">
        <x:v>115</x:v>
      </x:c>
      <x:c r="Q1696" s="10" t="s">
        <x:v>45</x:v>
      </x:c>
      <x:c r="R1696" s="10"/>
      <x:c r="S1696" s="10"/>
      <x:c r="T1696" s="10" t="s">
        <x:v>27</x:v>
      </x:c>
      <x:c r="U1696" s="10" t="s">
        <x:v>20</x:v>
      </x:c>
      <x:c r="V1696" s="10" t="s">
        <x:v>4954</x:v>
      </x:c>
    </x:row>
    <x:row r="1697" ht="15" hidden="0" customHeight="1">
      <x:c r="A1697" s="10" t="s">
        <x:v>5029</x:v>
      </x:c>
      <x:c r="B1697" s="10" t="s">
        <x:v>2999</x:v>
      </x:c>
      <x:c r="C1697" s="10" t="s">
        <x:v>5002</x:v>
      </x:c>
      <x:c r="D1697" s="10" t="s">
        <x:v>4449</x:v>
      </x:c>
      <x:c r="E1697" s="10" t="s">
        <x:v>5030</x:v>
      </x:c>
      <x:c r="F1697" s="10" t="s">
        <x:v>108</x:v>
      </x:c>
      <x:c r="G1697" s="10" t="s">
        <x:v>109</x:v>
      </x:c>
      <x:c r="H1697" s="10" t="s">
        <x:v>3001</x:v>
      </x:c>
      <x:c r="I1697" s="10"/>
      <x:c r="J1697" s="10" t="s">
        <x:v>112</x:v>
      </x:c>
      <x:c r="K1697" s="10" t="s">
        <x:v>5031</x:v>
      </x:c>
      <x:c r="L1697" s="10" t="s">
        <x:v>5031</x:v>
      </x:c>
      <x:c r="M1697" s="10"/>
      <x:c r="N1697" s="10"/>
      <x:c r="O1697" s="10" t="s">
        <x:v>114</x:v>
      </x:c>
      <x:c r="P1697" s="10" t="s">
        <x:v>115</x:v>
      </x:c>
      <x:c r="Q1697" s="10" t="s">
        <x:v>45</x:v>
      </x:c>
      <x:c r="R1697" s="10"/>
      <x:c r="S1697" s="10"/>
      <x:c r="T1697" s="10" t="s">
        <x:v>27</x:v>
      </x:c>
      <x:c r="U1697" s="10" t="s">
        <x:v>20</x:v>
      </x:c>
      <x:c r="V1697" s="10" t="s">
        <x:v>4954</x:v>
      </x:c>
    </x:row>
    <x:row r="1698" ht="15" hidden="0" customHeight="1">
      <x:c r="A1698" s="10" t="s">
        <x:v>5032</x:v>
      </x:c>
      <x:c r="B1698" s="10" t="s">
        <x:v>2999</x:v>
      </x:c>
      <x:c r="C1698" s="10" t="s">
        <x:v>5012</x:v>
      </x:c>
      <x:c r="D1698" s="10" t="s">
        <x:v>5033</x:v>
      </x:c>
      <x:c r="E1698" s="10" t="s">
        <x:v>5034</x:v>
      </x:c>
      <x:c r="F1698" s="10" t="s">
        <x:v>108</x:v>
      </x:c>
      <x:c r="G1698" s="10" t="s">
        <x:v>109</x:v>
      </x:c>
      <x:c r="H1698" s="10" t="s">
        <x:v>3001</x:v>
      </x:c>
      <x:c r="I1698" s="10"/>
      <x:c r="J1698" s="10" t="s">
        <x:v>112</x:v>
      </x:c>
      <x:c r="K1698" s="10" t="s">
        <x:v>1236</x:v>
      </x:c>
      <x:c r="L1698" s="10" t="s">
        <x:v>1236</x:v>
      </x:c>
      <x:c r="M1698" s="10"/>
      <x:c r="N1698" s="10"/>
      <x:c r="O1698" s="10" t="s">
        <x:v>114</x:v>
      </x:c>
      <x:c r="P1698" s="10" t="s">
        <x:v>115</x:v>
      </x:c>
      <x:c r="Q1698" s="10" t="s">
        <x:v>45</x:v>
      </x:c>
      <x:c r="R1698" s="10"/>
      <x:c r="S1698" s="10"/>
      <x:c r="T1698" s="10" t="s">
        <x:v>27</x:v>
      </x:c>
      <x:c r="U1698" s="10" t="s">
        <x:v>20</x:v>
      </x:c>
      <x:c r="V1698" s="10" t="s">
        <x:v>4954</x:v>
      </x:c>
    </x:row>
    <x:row r="1699" ht="15" hidden="0" customHeight="1">
      <x:c r="A1699" s="10" t="s">
        <x:v>5035</x:v>
      </x:c>
      <x:c r="B1699" s="10" t="s">
        <x:v>2999</x:v>
      </x:c>
      <x:c r="C1699" s="10" t="s">
        <x:v>5002</x:v>
      </x:c>
      <x:c r="D1699" s="10" t="s">
        <x:v>2219</x:v>
      </x:c>
      <x:c r="E1699" s="10" t="s">
        <x:v>5036</x:v>
      </x:c>
      <x:c r="F1699" s="10" t="s">
        <x:v>108</x:v>
      </x:c>
      <x:c r="G1699" s="10" t="s">
        <x:v>187</x:v>
      </x:c>
      <x:c r="H1699" s="10" t="s">
        <x:v>3001</x:v>
      </x:c>
      <x:c r="I1699" s="10"/>
      <x:c r="J1699" s="10" t="s">
        <x:v>112</x:v>
      </x:c>
      <x:c r="K1699" s="10" t="s">
        <x:v>4980</x:v>
      </x:c>
      <x:c r="L1699" s="10" t="s">
        <x:v>4980</x:v>
      </x:c>
      <x:c r="M1699" s="10"/>
      <x:c r="N1699" s="10"/>
      <x:c r="O1699" s="10" t="s">
        <x:v>114</x:v>
      </x:c>
      <x:c r="P1699" s="10" t="s">
        <x:v>115</x:v>
      </x:c>
      <x:c r="Q1699" s="10" t="s">
        <x:v>45</x:v>
      </x:c>
      <x:c r="R1699" s="10"/>
      <x:c r="S1699" s="10"/>
      <x:c r="T1699" s="10" t="s">
        <x:v>27</x:v>
      </x:c>
      <x:c r="U1699" s="10" t="s">
        <x:v>20</x:v>
      </x:c>
      <x:c r="V1699" s="10" t="s">
        <x:v>4954</x:v>
      </x:c>
    </x:row>
    <x:row r="1700" ht="15" hidden="0" customHeight="1">
      <x:c r="A1700" s="10" t="s">
        <x:v>5037</x:v>
      </x:c>
      <x:c r="B1700" s="10" t="s">
        <x:v>2999</x:v>
      </x:c>
      <x:c r="C1700" s="10" t="s">
        <x:v>5002</x:v>
      </x:c>
      <x:c r="D1700" s="10" t="s">
        <x:v>5038</x:v>
      </x:c>
      <x:c r="E1700" s="10" t="s">
        <x:v>5039</x:v>
      </x:c>
      <x:c r="F1700" s="10" t="s">
        <x:v>108</x:v>
      </x:c>
      <x:c r="G1700" s="10" t="s">
        <x:v>187</x:v>
      </x:c>
      <x:c r="H1700" s="10" t="s">
        <x:v>3001</x:v>
      </x:c>
      <x:c r="I1700" s="10"/>
      <x:c r="J1700" s="10" t="s">
        <x:v>112</x:v>
      </x:c>
      <x:c r="K1700" s="10" t="s">
        <x:v>4980</x:v>
      </x:c>
      <x:c r="L1700" s="10" t="s">
        <x:v>4980</x:v>
      </x:c>
      <x:c r="M1700" s="10"/>
      <x:c r="N1700" s="10"/>
      <x:c r="O1700" s="10" t="s">
        <x:v>114</x:v>
      </x:c>
      <x:c r="P1700" s="10" t="s">
        <x:v>115</x:v>
      </x:c>
      <x:c r="Q1700" s="10" t="s">
        <x:v>45</x:v>
      </x:c>
      <x:c r="R1700" s="10"/>
      <x:c r="S1700" s="10"/>
      <x:c r="T1700" s="10" t="s">
        <x:v>27</x:v>
      </x:c>
      <x:c r="U1700" s="10" t="s">
        <x:v>20</x:v>
      </x:c>
      <x:c r="V1700" s="10" t="s">
        <x:v>4954</x:v>
      </x:c>
    </x:row>
    <x:row r="1701" ht="15" hidden="0" customHeight="1">
      <x:c r="A1701" s="10" t="s">
        <x:v>5040</x:v>
      </x:c>
      <x:c r="B1701" s="10" t="s">
        <x:v>2999</x:v>
      </x:c>
      <x:c r="C1701" s="10" t="s">
        <x:v>5002</x:v>
      </x:c>
      <x:c r="D1701" s="10" t="s">
        <x:v>5041</x:v>
      </x:c>
      <x:c r="E1701" s="10" t="s">
        <x:v>5042</x:v>
      </x:c>
      <x:c r="F1701" s="10" t="s">
        <x:v>108</x:v>
      </x:c>
      <x:c r="G1701" s="10" t="s">
        <x:v>109</x:v>
      </x:c>
      <x:c r="H1701" s="10" t="s">
        <x:v>3001</x:v>
      </x:c>
      <x:c r="I1701" s="10"/>
      <x:c r="J1701" s="10" t="s">
        <x:v>112</x:v>
      </x:c>
      <x:c r="K1701" s="10" t="s">
        <x:v>4980</x:v>
      </x:c>
      <x:c r="L1701" s="10" t="s">
        <x:v>4980</x:v>
      </x:c>
      <x:c r="M1701" s="10"/>
      <x:c r="N1701" s="10"/>
      <x:c r="O1701" s="10" t="s">
        <x:v>114</x:v>
      </x:c>
      <x:c r="P1701" s="10" t="s">
        <x:v>115</x:v>
      </x:c>
      <x:c r="Q1701" s="10" t="s">
        <x:v>45</x:v>
      </x:c>
      <x:c r="R1701" s="10"/>
      <x:c r="S1701" s="10"/>
      <x:c r="T1701" s="10" t="s">
        <x:v>27</x:v>
      </x:c>
      <x:c r="U1701" s="10" t="s">
        <x:v>20</x:v>
      </x:c>
      <x:c r="V1701" s="10" t="s">
        <x:v>4954</x:v>
      </x:c>
    </x:row>
    <x:row r="1702" ht="15" hidden="0" customHeight="1">
      <x:c r="A1702" s="10" t="s">
        <x:v>5043</x:v>
      </x:c>
      <x:c r="B1702" s="10" t="s">
        <x:v>2999</x:v>
      </x:c>
      <x:c r="C1702" s="10" t="s">
        <x:v>5002</x:v>
      </x:c>
      <x:c r="D1702" s="10" t="s">
        <x:v>1066</x:v>
      </x:c>
      <x:c r="E1702" s="10" t="s">
        <x:v>5044</x:v>
      </x:c>
      <x:c r="F1702" s="10" t="s">
        <x:v>108</x:v>
      </x:c>
      <x:c r="G1702" s="10" t="s">
        <x:v>109</x:v>
      </x:c>
      <x:c r="H1702" s="10" t="s">
        <x:v>3001</x:v>
      </x:c>
      <x:c r="I1702" s="10"/>
      <x:c r="J1702" s="10" t="s">
        <x:v>112</x:v>
      </x:c>
      <x:c r="K1702" s="10" t="s">
        <x:v>5045</x:v>
      </x:c>
      <x:c r="L1702" s="10" t="s">
        <x:v>5045</x:v>
      </x:c>
      <x:c r="M1702" s="10"/>
      <x:c r="N1702" s="10"/>
      <x:c r="O1702" s="10" t="s">
        <x:v>114</x:v>
      </x:c>
      <x:c r="P1702" s="10" t="s">
        <x:v>115</x:v>
      </x:c>
      <x:c r="Q1702" s="10" t="s">
        <x:v>45</x:v>
      </x:c>
      <x:c r="R1702" s="10"/>
      <x:c r="S1702" s="10"/>
      <x:c r="T1702" s="10" t="s">
        <x:v>27</x:v>
      </x:c>
      <x:c r="U1702" s="10" t="s">
        <x:v>20</x:v>
      </x:c>
      <x:c r="V1702" s="10" t="s">
        <x:v>4954</x:v>
      </x:c>
    </x:row>
    <x:row r="1703" ht="15" hidden="0" customHeight="1">
      <x:c r="A1703" s="10" t="s">
        <x:v>5046</x:v>
      </x:c>
      <x:c r="B1703" s="10" t="s">
        <x:v>2999</x:v>
      </x:c>
      <x:c r="C1703" s="10" t="s">
        <x:v>5002</x:v>
      </x:c>
      <x:c r="D1703" s="10" t="s">
        <x:v>871</x:v>
      </x:c>
      <x:c r="E1703" s="10" t="s">
        <x:v>5047</x:v>
      </x:c>
      <x:c r="F1703" s="10" t="s">
        <x:v>108</x:v>
      </x:c>
      <x:c r="G1703" s="10" t="s">
        <x:v>109</x:v>
      </x:c>
      <x:c r="H1703" s="10" t="s">
        <x:v>3001</x:v>
      </x:c>
      <x:c r="I1703" s="10"/>
      <x:c r="J1703" s="10" t="s">
        <x:v>112</x:v>
      </x:c>
      <x:c r="K1703" s="10" t="s">
        <x:v>5048</x:v>
      </x:c>
      <x:c r="L1703" s="10" t="s">
        <x:v>5048</x:v>
      </x:c>
      <x:c r="M1703" s="10"/>
      <x:c r="N1703" s="10"/>
      <x:c r="O1703" s="10" t="s">
        <x:v>114</x:v>
      </x:c>
      <x:c r="P1703" s="10" t="s">
        <x:v>115</x:v>
      </x:c>
      <x:c r="Q1703" s="10" t="s">
        <x:v>45</x:v>
      </x:c>
      <x:c r="R1703" s="10"/>
      <x:c r="S1703" s="10"/>
      <x:c r="T1703" s="10" t="s">
        <x:v>27</x:v>
      </x:c>
      <x:c r="U1703" s="10" t="s">
        <x:v>20</x:v>
      </x:c>
      <x:c r="V1703" s="10" t="s">
        <x:v>4954</x:v>
      </x:c>
    </x:row>
    <x:row r="1704" ht="15" hidden="0" customHeight="1">
      <x:c r="A1704" s="10" t="s">
        <x:v>5049</x:v>
      </x:c>
      <x:c r="B1704" s="10" t="s">
        <x:v>2999</x:v>
      </x:c>
      <x:c r="C1704" s="10" t="s">
        <x:v>5002</x:v>
      </x:c>
      <x:c r="D1704" s="10" t="s">
        <x:v>164</x:v>
      </x:c>
      <x:c r="E1704" s="10" t="s">
        <x:v>5050</x:v>
      </x:c>
      <x:c r="F1704" s="10" t="s">
        <x:v>108</x:v>
      </x:c>
      <x:c r="G1704" s="10" t="s">
        <x:v>181</x:v>
      </x:c>
      <x:c r="H1704" s="10" t="s">
        <x:v>3001</x:v>
      </x:c>
      <x:c r="I1704" s="10"/>
      <x:c r="J1704" s="10" t="s">
        <x:v>112</x:v>
      </x:c>
      <x:c r="K1704" s="10" t="s">
        <x:v>5004</x:v>
      </x:c>
      <x:c r="L1704" s="10" t="s">
        <x:v>5004</x:v>
      </x:c>
      <x:c r="M1704" s="10"/>
      <x:c r="N1704" s="10"/>
      <x:c r="O1704" s="10" t="s">
        <x:v>114</x:v>
      </x:c>
      <x:c r="P1704" s="10" t="s">
        <x:v>115</x:v>
      </x:c>
      <x:c r="Q1704" s="10" t="s">
        <x:v>45</x:v>
      </x:c>
      <x:c r="R1704" s="10" t="s">
        <x:v>5051</x:v>
      </x:c>
      <x:c r="S1704" s="10"/>
      <x:c r="T1704" s="10" t="s">
        <x:v>27</x:v>
      </x:c>
      <x:c r="U1704" s="10" t="s">
        <x:v>20</x:v>
      </x:c>
      <x:c r="V1704" s="10" t="s">
        <x:v>4954</x:v>
      </x:c>
    </x:row>
    <x:row r="1705" ht="15" hidden="0" customHeight="1">
      <x:c r="A1705" s="10" t="s">
        <x:v>5052</x:v>
      </x:c>
      <x:c r="B1705" s="10" t="s">
        <x:v>2517</x:v>
      </x:c>
      <x:c r="C1705" s="10" t="s">
        <x:v>4896</x:v>
      </x:c>
      <x:c r="D1705" s="10" t="s">
        <x:v>4897</x:v>
      </x:c>
      <x:c r="E1705" s="10" t="s">
        <x:v>5053</x:v>
      </x:c>
      <x:c r="F1705" s="10" t="s">
        <x:v>4899</x:v>
      </x:c>
      <x:c r="G1705" s="10" t="s">
        <x:v>181</x:v>
      </x:c>
      <x:c r="H1705" s="10" t="s">
        <x:v>2519</x:v>
      </x:c>
      <x:c r="I1705" s="10" t="s">
        <x:v>2520</x:v>
      </x:c>
      <x:c r="J1705" s="10" t="s">
        <x:v>112</x:v>
      </x:c>
      <x:c r="K1705" s="10" t="s">
        <x:v>2481</x:v>
      </x:c>
      <x:c r="L1705" s="10" t="s">
        <x:v>2481</x:v>
      </x:c>
      <x:c r="M1705" s="10"/>
      <x:c r="N1705" s="10"/>
      <x:c r="O1705" s="10" t="s">
        <x:v>114</x:v>
      </x:c>
      <x:c r="P1705" s="10" t="s">
        <x:v>115</x:v>
      </x:c>
      <x:c r="Q1705" s="10" t="s">
        <x:v>45</x:v>
      </x:c>
      <x:c r="R1705" s="10" t="s">
        <x:v>5054</x:v>
      </x:c>
      <x:c r="S1705" s="10"/>
      <x:c r="T1705" s="10" t="s">
        <x:v>27</x:v>
      </x:c>
      <x:c r="U1705" s="10" t="s">
        <x:v>20</x:v>
      </x:c>
      <x:c r="V1705" s="10" t="s">
        <x:v>4954</x:v>
      </x:c>
    </x:row>
    <x:row r="1706" ht="15" hidden="0" customHeight="1">
      <x:c r="A1706" s="10" t="s">
        <x:v>5055</x:v>
      </x:c>
      <x:c r="B1706" s="10" t="s">
        <x:v>4833</x:v>
      </x:c>
      <x:c r="C1706" s="10" t="s">
        <x:v>4834</x:v>
      </x:c>
      <x:c r="D1706" s="10" t="s">
        <x:v>5056</x:v>
      </x:c>
      <x:c r="E1706" s="10" t="s">
        <x:v>5057</x:v>
      </x:c>
      <x:c r="F1706" s="10" t="s">
        <x:v>108</x:v>
      </x:c>
      <x:c r="G1706" s="10" t="s">
        <x:v>109</x:v>
      </x:c>
      <x:c r="H1706" s="10" t="s">
        <x:v>4836</x:v>
      </x:c>
      <x:c r="I1706" s="10" t="s">
        <x:v>4837</x:v>
      </x:c>
      <x:c r="J1706" s="10" t="s">
        <x:v>5058</x:v>
      </x:c>
      <x:c r="K1706" s="10" t="s">
        <x:v>5059</x:v>
      </x:c>
      <x:c r="L1706" s="10" t="s">
        <x:v>5059</x:v>
      </x:c>
      <x:c r="M1706" s="10"/>
      <x:c r="N1706" s="10" t="n">
        <x:v>15</x:v>
      </x:c>
      <x:c r="O1706" s="10" t="s">
        <x:v>4636</x:v>
      </x:c>
      <x:c r="P1706" s="10" t="s">
        <x:v>115</x:v>
      </x:c>
      <x:c r="Q1706" s="10" t="s">
        <x:v>45</x:v>
      </x:c>
      <x:c r="R1706" s="10"/>
      <x:c r="S1706" s="10"/>
      <x:c r="T1706" s="10" t="s">
        <x:v>27</x:v>
      </x:c>
      <x:c r="U1706" s="10" t="s">
        <x:v>20</x:v>
      </x:c>
      <x:c r="V1706" s="10" t="s">
        <x:v>5060</x:v>
      </x:c>
    </x:row>
    <x:row r="1707" ht="15" hidden="0" customHeight="1">
      <x:c r="A1707" s="10" t="s">
        <x:v>5061</x:v>
      </x:c>
      <x:c r="B1707" s="10" t="s">
        <x:v>4833</x:v>
      </x:c>
      <x:c r="C1707" s="10" t="s">
        <x:v>4834</x:v>
      </x:c>
      <x:c r="D1707" s="10" t="s">
        <x:v>5062</x:v>
      </x:c>
      <x:c r="E1707" s="10" t="s">
        <x:v>5063</x:v>
      </x:c>
      <x:c r="F1707" s="10" t="s">
        <x:v>108</x:v>
      </x:c>
      <x:c r="G1707" s="10" t="s">
        <x:v>109</x:v>
      </x:c>
      <x:c r="H1707" s="10" t="s">
        <x:v>4836</x:v>
      </x:c>
      <x:c r="I1707" s="10" t="s">
        <x:v>4837</x:v>
      </x:c>
      <x:c r="J1707" s="10" t="s">
        <x:v>5058</x:v>
      </x:c>
      <x:c r="K1707" s="10" t="s">
        <x:v>4887</x:v>
      </x:c>
      <x:c r="L1707" s="10" t="s">
        <x:v>4887</x:v>
      </x:c>
      <x:c r="M1707" s="10"/>
      <x:c r="N1707" s="10" t="n">
        <x:v>18</x:v>
      </x:c>
      <x:c r="O1707" s="10" t="s">
        <x:v>4636</x:v>
      </x:c>
      <x:c r="P1707" s="10" t="s">
        <x:v>115</x:v>
      </x:c>
      <x:c r="Q1707" s="10" t="s">
        <x:v>45</x:v>
      </x:c>
      <x:c r="R1707" s="10"/>
      <x:c r="S1707" s="10"/>
      <x:c r="T1707" s="10" t="s">
        <x:v>27</x:v>
      </x:c>
      <x:c r="U1707" s="10" t="s">
        <x:v>20</x:v>
      </x:c>
      <x:c r="V1707" s="10" t="s">
        <x:v>5060</x:v>
      </x:c>
    </x:row>
    <x:row r="1708" ht="15" hidden="0" customHeight="1">
      <x:c r="A1708" s="10" t="s">
        <x:v>5064</x:v>
      </x:c>
      <x:c r="B1708" s="10" t="s">
        <x:v>4833</x:v>
      </x:c>
      <x:c r="C1708" s="10" t="s">
        <x:v>4834</x:v>
      </x:c>
      <x:c r="D1708" s="10" t="s">
        <x:v>5065</x:v>
      </x:c>
      <x:c r="E1708" s="10" t="s">
        <x:v>5066</x:v>
      </x:c>
      <x:c r="F1708" s="10" t="s">
        <x:v>108</x:v>
      </x:c>
      <x:c r="G1708" s="10" t="s">
        <x:v>109</x:v>
      </x:c>
      <x:c r="H1708" s="10" t="s">
        <x:v>5067</x:v>
      </x:c>
      <x:c r="I1708" s="10" t="s">
        <x:v>4837</x:v>
      </x:c>
      <x:c r="J1708" s="10" t="s">
        <x:v>5068</x:v>
      </x:c>
      <x:c r="K1708" s="10" t="s">
        <x:v>5069</x:v>
      </x:c>
      <x:c r="L1708" s="10" t="s">
        <x:v>5069</x:v>
      </x:c>
      <x:c r="M1708" s="10"/>
      <x:c r="N1708" s="10"/>
      <x:c r="O1708" s="10" t="s">
        <x:v>5070</x:v>
      </x:c>
      <x:c r="P1708" s="10" t="s">
        <x:v>115</x:v>
      </x:c>
      <x:c r="Q1708" s="10" t="s">
        <x:v>45</x:v>
      </x:c>
      <x:c r="R1708" s="10" t="s">
        <x:v>5071</x:v>
      </x:c>
      <x:c r="S1708" s="10" t="s">
        <x:v>5072</x:v>
      </x:c>
      <x:c r="T1708" s="10" t="s">
        <x:v>27</x:v>
      </x:c>
      <x:c r="U1708" s="10" t="s">
        <x:v>20</x:v>
      </x:c>
      <x:c r="V1708" s="10" t="s">
        <x:v>5060</x:v>
      </x:c>
    </x:row>
    <x:row r="1709" ht="15" hidden="0" customHeight="1">
      <x:c r="A1709" s="10" t="s">
        <x:v>5073</x:v>
      </x:c>
      <x:c r="B1709" s="10" t="s">
        <x:v>4833</x:v>
      </x:c>
      <x:c r="C1709" s="10" t="s">
        <x:v>4834</x:v>
      </x:c>
      <x:c r="D1709" s="10" t="s">
        <x:v>5074</x:v>
      </x:c>
      <x:c r="E1709" s="10" t="s">
        <x:v>5075</x:v>
      </x:c>
      <x:c r="F1709" s="10" t="s">
        <x:v>108</x:v>
      </x:c>
      <x:c r="G1709" s="10" t="s">
        <x:v>109</x:v>
      </x:c>
      <x:c r="H1709" s="10" t="s">
        <x:v>5067</x:v>
      </x:c>
      <x:c r="I1709" s="10" t="s">
        <x:v>4837</x:v>
      </x:c>
      <x:c r="J1709" s="10" t="s">
        <x:v>5068</x:v>
      </x:c>
      <x:c r="K1709" s="10" t="s">
        <x:v>5076</x:v>
      </x:c>
      <x:c r="L1709" s="10" t="s">
        <x:v>5076</x:v>
      </x:c>
      <x:c r="M1709" s="10"/>
      <x:c r="N1709" s="10"/>
      <x:c r="O1709" s="10" t="s">
        <x:v>5070</x:v>
      </x:c>
      <x:c r="P1709" s="10" t="s">
        <x:v>115</x:v>
      </x:c>
      <x:c r="Q1709" s="10" t="s">
        <x:v>45</x:v>
      </x:c>
      <x:c r="R1709" s="10"/>
      <x:c r="S1709" s="10" t="s">
        <x:v>5072</x:v>
      </x:c>
      <x:c r="T1709" s="10" t="s">
        <x:v>27</x:v>
      </x:c>
      <x:c r="U1709" s="10" t="s">
        <x:v>20</x:v>
      </x:c>
      <x:c r="V1709" s="10" t="s">
        <x:v>5060</x:v>
      </x:c>
    </x:row>
    <x:row r="1710" ht="15" hidden="0" customHeight="1">
      <x:c r="A1710" s="10" t="s">
        <x:v>5077</x:v>
      </x:c>
      <x:c r="B1710" s="10" t="s">
        <x:v>4833</x:v>
      </x:c>
      <x:c r="C1710" s="10" t="s">
        <x:v>4834</x:v>
      </x:c>
      <x:c r="D1710" s="10" t="s">
        <x:v>4897</x:v>
      </x:c>
      <x:c r="E1710" s="10" t="s">
        <x:v>5078</x:v>
      </x:c>
      <x:c r="F1710" s="10" t="s">
        <x:v>4899</x:v>
      </x:c>
      <x:c r="G1710" s="10" t="s">
        <x:v>181</x:v>
      </x:c>
      <x:c r="H1710" s="10" t="s">
        <x:v>5067</x:v>
      </x:c>
      <x:c r="I1710" s="10" t="s">
        <x:v>4837</x:v>
      </x:c>
      <x:c r="J1710" s="10" t="s">
        <x:v>5068</x:v>
      </x:c>
      <x:c r="K1710" s="10" t="s">
        <x:v>5079</x:v>
      </x:c>
      <x:c r="L1710" s="10" t="s">
        <x:v>5079</x:v>
      </x:c>
      <x:c r="M1710" s="10"/>
      <x:c r="N1710" s="10"/>
      <x:c r="O1710" s="10" t="s">
        <x:v>5070</x:v>
      </x:c>
      <x:c r="P1710" s="10" t="s">
        <x:v>115</x:v>
      </x:c>
      <x:c r="Q1710" s="10" t="s">
        <x:v>45</x:v>
      </x:c>
      <x:c r="R1710" s="10" t="s">
        <x:v>5080</x:v>
      </x:c>
      <x:c r="S1710" s="10"/>
      <x:c r="T1710" s="10" t="s">
        <x:v>27</x:v>
      </x:c>
      <x:c r="U1710" s="10" t="s">
        <x:v>20</x:v>
      </x:c>
      <x:c r="V1710" s="10" t="s">
        <x:v>5060</x:v>
      </x:c>
    </x:row>
    <x:row r="1711" ht="15" hidden="0" customHeight="1">
      <x:c r="A1711" s="10" t="s">
        <x:v>5081</x:v>
      </x:c>
      <x:c r="B1711" s="10" t="s">
        <x:v>4833</x:v>
      </x:c>
      <x:c r="C1711" s="10" t="s">
        <x:v>4834</x:v>
      </x:c>
      <x:c r="D1711" s="10" t="s">
        <x:v>5082</x:v>
      </x:c>
      <x:c r="E1711" s="10" t="s">
        <x:v>5083</x:v>
      </x:c>
      <x:c r="F1711" s="10" t="s">
        <x:v>108</x:v>
      </x:c>
      <x:c r="G1711" s="10" t="s">
        <x:v>109</x:v>
      </x:c>
      <x:c r="H1711" s="10" t="s">
        <x:v>5067</x:v>
      </x:c>
      <x:c r="I1711" s="10" t="s">
        <x:v>4837</x:v>
      </x:c>
      <x:c r="J1711" s="10" t="s">
        <x:v>5068</x:v>
      </x:c>
      <x:c r="K1711" s="10" t="s">
        <x:v>5084</x:v>
      </x:c>
      <x:c r="L1711" s="10" t="s">
        <x:v>5084</x:v>
      </x:c>
      <x:c r="M1711" s="10"/>
      <x:c r="N1711" s="10"/>
      <x:c r="O1711" s="10" t="s">
        <x:v>5070</x:v>
      </x:c>
      <x:c r="P1711" s="10" t="s">
        <x:v>115</x:v>
      </x:c>
      <x:c r="Q1711" s="10" t="s">
        <x:v>45</x:v>
      </x:c>
      <x:c r="R1711" s="10" t="s">
        <x:v>5085</x:v>
      </x:c>
      <x:c r="S1711" s="10"/>
      <x:c r="T1711" s="10" t="s">
        <x:v>27</x:v>
      </x:c>
      <x:c r="U1711" s="10" t="s">
        <x:v>20</x:v>
      </x:c>
      <x:c r="V1711" s="10" t="s">
        <x:v>5060</x:v>
      </x:c>
    </x:row>
    <x:row r="1712" ht="15" hidden="0" customHeight="1">
      <x:c r="A1712" s="10" t="s">
        <x:v>5086</x:v>
      </x:c>
      <x:c r="B1712" s="10" t="s">
        <x:v>4833</x:v>
      </x:c>
      <x:c r="C1712" s="10" t="s">
        <x:v>4834</x:v>
      </x:c>
      <x:c r="D1712" s="10" t="s">
        <x:v>5087</x:v>
      </x:c>
      <x:c r="E1712" s="10" t="s">
        <x:v>5088</x:v>
      </x:c>
      <x:c r="F1712" s="10" t="s">
        <x:v>108</x:v>
      </x:c>
      <x:c r="G1712" s="10" t="s">
        <x:v>109</x:v>
      </x:c>
      <x:c r="H1712" s="10" t="s">
        <x:v>5067</x:v>
      </x:c>
      <x:c r="I1712" s="10" t="s">
        <x:v>4837</x:v>
      </x:c>
      <x:c r="J1712" s="10" t="s">
        <x:v>5068</x:v>
      </x:c>
      <x:c r="K1712" s="10" t="s">
        <x:v>5089</x:v>
      </x:c>
      <x:c r="L1712" s="10" t="s">
        <x:v>5089</x:v>
      </x:c>
      <x:c r="M1712" s="10"/>
      <x:c r="N1712" s="10"/>
      <x:c r="O1712" s="10" t="s">
        <x:v>5070</x:v>
      </x:c>
      <x:c r="P1712" s="10" t="s">
        <x:v>115</x:v>
      </x:c>
      <x:c r="Q1712" s="10" t="s">
        <x:v>45</x:v>
      </x:c>
      <x:c r="R1712" s="10"/>
      <x:c r="S1712" s="10"/>
      <x:c r="T1712" s="10" t="s">
        <x:v>27</x:v>
      </x:c>
      <x:c r="U1712" s="10" t="s">
        <x:v>20</x:v>
      </x:c>
      <x:c r="V1712" s="10" t="s">
        <x:v>5060</x:v>
      </x:c>
    </x:row>
    <x:row r="1713" ht="15" hidden="0" customHeight="1">
      <x:c r="A1713" s="10" t="s">
        <x:v>5090</x:v>
      </x:c>
      <x:c r="B1713" s="10" t="s">
        <x:v>4833</x:v>
      </x:c>
      <x:c r="C1713" s="10" t="s">
        <x:v>4834</x:v>
      </x:c>
      <x:c r="D1713" s="10" t="s">
        <x:v>5091</x:v>
      </x:c>
      <x:c r="E1713" s="10" t="s">
        <x:v>5092</x:v>
      </x:c>
      <x:c r="F1713" s="10" t="s">
        <x:v>108</x:v>
      </x:c>
      <x:c r="G1713" s="10" t="s">
        <x:v>109</x:v>
      </x:c>
      <x:c r="H1713" s="10" t="s">
        <x:v>5067</x:v>
      </x:c>
      <x:c r="I1713" s="10" t="s">
        <x:v>4837</x:v>
      </x:c>
      <x:c r="J1713" s="10" t="s">
        <x:v>5068</x:v>
      </x:c>
      <x:c r="K1713" s="10" t="s">
        <x:v>5093</x:v>
      </x:c>
      <x:c r="L1713" s="10" t="s">
        <x:v>5093</x:v>
      </x:c>
      <x:c r="M1713" s="10"/>
      <x:c r="N1713" s="10"/>
      <x:c r="O1713" s="10" t="s">
        <x:v>5070</x:v>
      </x:c>
      <x:c r="P1713" s="10" t="s">
        <x:v>115</x:v>
      </x:c>
      <x:c r="Q1713" s="10" t="s">
        <x:v>45</x:v>
      </x:c>
      <x:c r="R1713" s="10"/>
      <x:c r="S1713" s="10" t="s">
        <x:v>5094</x:v>
      </x:c>
      <x:c r="T1713" s="10" t="s">
        <x:v>27</x:v>
      </x:c>
      <x:c r="U1713" s="10" t="s">
        <x:v>20</x:v>
      </x:c>
      <x:c r="V1713" s="10" t="s">
        <x:v>5060</x:v>
      </x:c>
    </x:row>
    <x:row r="1714" ht="15" hidden="0" customHeight="1">
      <x:c r="A1714" s="10" t="s">
        <x:v>5095</x:v>
      </x:c>
      <x:c r="B1714" s="10" t="s">
        <x:v>4833</x:v>
      </x:c>
      <x:c r="C1714" s="10" t="s">
        <x:v>4834</x:v>
      </x:c>
      <x:c r="D1714" s="10" t="s">
        <x:v>5096</x:v>
      </x:c>
      <x:c r="E1714" s="10" t="s">
        <x:v>5097</x:v>
      </x:c>
      <x:c r="F1714" s="10" t="s">
        <x:v>4899</x:v>
      </x:c>
      <x:c r="G1714" s="10" t="s">
        <x:v>181</x:v>
      </x:c>
      <x:c r="H1714" s="10" t="s">
        <x:v>5067</x:v>
      </x:c>
      <x:c r="I1714" s="10" t="s">
        <x:v>4837</x:v>
      </x:c>
      <x:c r="J1714" s="10" t="s">
        <x:v>5068</x:v>
      </x:c>
      <x:c r="K1714" s="10" t="s">
        <x:v>5098</x:v>
      </x:c>
      <x:c r="L1714" s="10" t="s">
        <x:v>5098</x:v>
      </x:c>
      <x:c r="M1714" s="10"/>
      <x:c r="N1714" s="10"/>
      <x:c r="O1714" s="10" t="s">
        <x:v>5070</x:v>
      </x:c>
      <x:c r="P1714" s="10" t="s">
        <x:v>115</x:v>
      </x:c>
      <x:c r="Q1714" s="10" t="s">
        <x:v>45</x:v>
      </x:c>
      <x:c r="R1714" s="10" t="s">
        <x:v>5099</x:v>
      </x:c>
      <x:c r="S1714" s="10"/>
      <x:c r="T1714" s="10" t="s">
        <x:v>27</x:v>
      </x:c>
      <x:c r="U1714" s="10" t="s">
        <x:v>20</x:v>
      </x:c>
      <x:c r="V1714" s="10" t="s">
        <x:v>5060</x:v>
      </x:c>
    </x:row>
    <x:row r="1715" ht="15" hidden="0" customHeight="1">
      <x:c r="A1715" s="10" t="s">
        <x:v>5100</x:v>
      </x:c>
      <x:c r="B1715" s="10" t="s">
        <x:v>5101</x:v>
      </x:c>
      <x:c r="C1715" s="10" t="s">
        <x:v>5102</x:v>
      </x:c>
      <x:c r="D1715" s="10" t="s">
        <x:v>4555</x:v>
      </x:c>
      <x:c r="E1715" s="10" t="s">
        <x:v>5103</x:v>
      </x:c>
      <x:c r="F1715" s="10" t="s">
        <x:v>108</x:v>
      </x:c>
      <x:c r="G1715" s="10" t="s">
        <x:v>109</x:v>
      </x:c>
      <x:c r="H1715" s="10" t="s">
        <x:v>5104</x:v>
      </x:c>
      <x:c r="I1715" s="10" t="s">
        <x:v>5105</x:v>
      </x:c>
      <x:c r="J1715" s="10" t="s">
        <x:v>5106</x:v>
      </x:c>
      <x:c r="K1715" s="10" t="s">
        <x:v>113</x:v>
      </x:c>
      <x:c r="L1715" s="10" t="s">
        <x:v>113</x:v>
      </x:c>
      <x:c r="M1715" s="10"/>
      <x:c r="N1715" s="10"/>
      <x:c r="O1715" s="10" t="s">
        <x:v>544</x:v>
      </x:c>
      <x:c r="P1715" s="10" t="s">
        <x:v>115</x:v>
      </x:c>
      <x:c r="Q1715" s="10" t="s">
        <x:v>45</x:v>
      </x:c>
      <x:c r="R1715" s="10" t="s">
        <x:v>5107</x:v>
      </x:c>
      <x:c r="S1715" s="10"/>
      <x:c r="T1715" s="10" t="s">
        <x:v>27</x:v>
      </x:c>
      <x:c r="U1715" s="10" t="s">
        <x:v>20</x:v>
      </x:c>
      <x:c r="V1715" s="10" t="s">
        <x:v>5060</x:v>
      </x:c>
    </x:row>
    <x:row r="1716" ht="15" hidden="0" customHeight="1">
      <x:c r="A1716" s="10" t="s">
        <x:v>5108</x:v>
      </x:c>
      <x:c r="B1716" s="10" t="s">
        <x:v>5101</x:v>
      </x:c>
      <x:c r="C1716" s="10" t="s">
        <x:v>5102</x:v>
      </x:c>
      <x:c r="D1716" s="10" t="s">
        <x:v>4926</x:v>
      </x:c>
      <x:c r="E1716" s="10" t="s">
        <x:v>5109</x:v>
      </x:c>
      <x:c r="F1716" s="10" t="s">
        <x:v>108</x:v>
      </x:c>
      <x:c r="G1716" s="10" t="s">
        <x:v>109</x:v>
      </x:c>
      <x:c r="H1716" s="10" t="s">
        <x:v>5104</x:v>
      </x:c>
      <x:c r="I1716" s="10" t="s">
        <x:v>5105</x:v>
      </x:c>
      <x:c r="J1716" s="10" t="s">
        <x:v>5106</x:v>
      </x:c>
      <x:c r="K1716" s="10" t="s">
        <x:v>113</x:v>
      </x:c>
      <x:c r="L1716" s="10" t="s">
        <x:v>113</x:v>
      </x:c>
      <x:c r="M1716" s="10"/>
      <x:c r="N1716" s="10"/>
      <x:c r="O1716" s="10" t="s">
        <x:v>544</x:v>
      </x:c>
      <x:c r="P1716" s="10" t="s">
        <x:v>115</x:v>
      </x:c>
      <x:c r="Q1716" s="10" t="s">
        <x:v>45</x:v>
      </x:c>
      <x:c r="R1716" s="10" t="s">
        <x:v>5107</x:v>
      </x:c>
      <x:c r="S1716" s="10"/>
      <x:c r="T1716" s="10" t="s">
        <x:v>27</x:v>
      </x:c>
      <x:c r="U1716" s="10" t="s">
        <x:v>20</x:v>
      </x:c>
      <x:c r="V1716" s="10" t="s">
        <x:v>5060</x:v>
      </x:c>
    </x:row>
    <x:row r="1717" ht="15" hidden="0" customHeight="1">
      <x:c r="A1717" s="10" t="s">
        <x:v>5110</x:v>
      </x:c>
      <x:c r="B1717" s="10" t="s">
        <x:v>5111</x:v>
      </x:c>
      <x:c r="C1717" s="10" t="s">
        <x:v>5112</x:v>
      </x:c>
      <x:c r="D1717" s="10" t="s">
        <x:v>1775</x:v>
      </x:c>
      <x:c r="E1717" s="10" t="s">
        <x:v>5113</x:v>
      </x:c>
      <x:c r="F1717" s="10" t="s">
        <x:v>108</x:v>
      </x:c>
      <x:c r="G1717" s="10" t="s">
        <x:v>109</x:v>
      </x:c>
      <x:c r="H1717" s="10" t="s">
        <x:v>5114</x:v>
      </x:c>
      <x:c r="I1717" s="10" t="s">
        <x:v>5115</x:v>
      </x:c>
      <x:c r="J1717" s="10" t="s">
        <x:v>5116</x:v>
      </x:c>
      <x:c r="K1717" s="10" t="s">
        <x:v>113</x:v>
      </x:c>
      <x:c r="L1717" s="10" t="s">
        <x:v>113</x:v>
      </x:c>
      <x:c r="M1717" s="10"/>
      <x:c r="N1717" s="10"/>
      <x:c r="O1717" s="10" t="s">
        <x:v>544</x:v>
      </x:c>
      <x:c r="P1717" s="10" t="s">
        <x:v>115</x:v>
      </x:c>
      <x:c r="Q1717" s="10" t="s">
        <x:v>45</x:v>
      </x:c>
      <x:c r="R1717" s="10" t="s">
        <x:v>5107</x:v>
      </x:c>
      <x:c r="S1717" s="10"/>
      <x:c r="T1717" s="10" t="s">
        <x:v>27</x:v>
      </x:c>
      <x:c r="U1717" s="10" t="s">
        <x:v>20</x:v>
      </x:c>
      <x:c r="V1717" s="10" t="s">
        <x:v>5060</x:v>
      </x:c>
    </x:row>
    <x:row r="1718" ht="15" hidden="0" customHeight="1">
      <x:c r="A1718" s="10" t="s">
        <x:v>5117</x:v>
      </x:c>
      <x:c r="B1718" s="10" t="s">
        <x:v>5111</x:v>
      </x:c>
      <x:c r="C1718" s="10" t="s">
        <x:v>5112</x:v>
      </x:c>
      <x:c r="D1718" s="10" t="s">
        <x:v>3208</x:v>
      </x:c>
      <x:c r="E1718" s="10" t="s">
        <x:v>5118</x:v>
      </x:c>
      <x:c r="F1718" s="10" t="s">
        <x:v>108</x:v>
      </x:c>
      <x:c r="G1718" s="10" t="s">
        <x:v>109</x:v>
      </x:c>
      <x:c r="H1718" s="10" t="s">
        <x:v>5114</x:v>
      </x:c>
      <x:c r="I1718" s="10" t="s">
        <x:v>5115</x:v>
      </x:c>
      <x:c r="J1718" s="10" t="s">
        <x:v>5116</x:v>
      </x:c>
      <x:c r="K1718" s="10" t="s">
        <x:v>113</x:v>
      </x:c>
      <x:c r="L1718" s="10" t="s">
        <x:v>113</x:v>
      </x:c>
      <x:c r="M1718" s="10"/>
      <x:c r="N1718" s="10"/>
      <x:c r="O1718" s="10" t="s">
        <x:v>544</x:v>
      </x:c>
      <x:c r="P1718" s="10" t="s">
        <x:v>115</x:v>
      </x:c>
      <x:c r="Q1718" s="10" t="s">
        <x:v>45</x:v>
      </x:c>
      <x:c r="R1718" s="10" t="s">
        <x:v>5107</x:v>
      </x:c>
      <x:c r="S1718" s="10"/>
      <x:c r="T1718" s="10" t="s">
        <x:v>27</x:v>
      </x:c>
      <x:c r="U1718" s="10" t="s">
        <x:v>20</x:v>
      </x:c>
      <x:c r="V1718" s="10" t="s">
        <x:v>5060</x:v>
      </x:c>
    </x:row>
    <x:row r="1719" ht="15" hidden="0" customHeight="1">
      <x:c r="A1719" s="10" t="s">
        <x:v>5119</x:v>
      </x:c>
      <x:c r="B1719" s="10" t="s">
        <x:v>5111</x:v>
      </x:c>
      <x:c r="C1719" s="10" t="s">
        <x:v>5112</x:v>
      </x:c>
      <x:c r="D1719" s="10" t="s">
        <x:v>5120</x:v>
      </x:c>
      <x:c r="E1719" s="10" t="s">
        <x:v>5121</x:v>
      </x:c>
      <x:c r="F1719" s="10" t="s">
        <x:v>108</x:v>
      </x:c>
      <x:c r="G1719" s="10" t="s">
        <x:v>109</x:v>
      </x:c>
      <x:c r="H1719" s="10" t="s">
        <x:v>5114</x:v>
      </x:c>
      <x:c r="I1719" s="10" t="s">
        <x:v>5115</x:v>
      </x:c>
      <x:c r="J1719" s="10" t="s">
        <x:v>5116</x:v>
      </x:c>
      <x:c r="K1719" s="10" t="s">
        <x:v>113</x:v>
      </x:c>
      <x:c r="L1719" s="10" t="s">
        <x:v>113</x:v>
      </x:c>
      <x:c r="M1719" s="10"/>
      <x:c r="N1719" s="10"/>
      <x:c r="O1719" s="10" t="s">
        <x:v>544</x:v>
      </x:c>
      <x:c r="P1719" s="10" t="s">
        <x:v>115</x:v>
      </x:c>
      <x:c r="Q1719" s="10" t="s">
        <x:v>45</x:v>
      </x:c>
      <x:c r="R1719" s="10" t="s">
        <x:v>5107</x:v>
      </x:c>
      <x:c r="S1719" s="10"/>
      <x:c r="T1719" s="10" t="s">
        <x:v>27</x:v>
      </x:c>
      <x:c r="U1719" s="10" t="s">
        <x:v>20</x:v>
      </x:c>
      <x:c r="V1719" s="10" t="s">
        <x:v>5060</x:v>
      </x:c>
    </x:row>
    <x:row r="1720" ht="15" hidden="0" customHeight="1">
      <x:c r="A1720" s="10" t="s">
        <x:v>5122</x:v>
      </x:c>
      <x:c r="B1720" s="10" t="s">
        <x:v>5123</x:v>
      </x:c>
      <x:c r="C1720" s="10" t="s">
        <x:v>5124</x:v>
      </x:c>
      <x:c r="D1720" s="10" t="s">
        <x:v>4387</x:v>
      </x:c>
      <x:c r="E1720" s="10" t="s">
        <x:v>5125</x:v>
      </x:c>
      <x:c r="F1720" s="10" t="s">
        <x:v>108</x:v>
      </x:c>
      <x:c r="G1720" s="10" t="s">
        <x:v>109</x:v>
      </x:c>
      <x:c r="H1720" s="10" t="s">
        <x:v>5126</x:v>
      </x:c>
      <x:c r="I1720" s="10" t="s">
        <x:v>5127</x:v>
      </x:c>
      <x:c r="J1720" s="10" t="s">
        <x:v>5116</x:v>
      </x:c>
      <x:c r="K1720" s="10" t="s">
        <x:v>113</x:v>
      </x:c>
      <x:c r="L1720" s="10" t="s">
        <x:v>113</x:v>
      </x:c>
      <x:c r="M1720" s="10"/>
      <x:c r="N1720" s="10"/>
      <x:c r="O1720" s="10" t="s">
        <x:v>544</x:v>
      </x:c>
      <x:c r="P1720" s="10" t="s">
        <x:v>115</x:v>
      </x:c>
      <x:c r="Q1720" s="10" t="s">
        <x:v>45</x:v>
      </x:c>
      <x:c r="R1720" s="10" t="s">
        <x:v>5107</x:v>
      </x:c>
      <x:c r="S1720" s="10"/>
      <x:c r="T1720" s="10" t="s">
        <x:v>27</x:v>
      </x:c>
      <x:c r="U1720" s="10" t="s">
        <x:v>20</x:v>
      </x:c>
      <x:c r="V1720" s="10" t="s">
        <x:v>5060</x:v>
      </x:c>
    </x:row>
    <x:row r="1721" ht="15" hidden="0" customHeight="1">
      <x:c r="A1721" s="10" t="s">
        <x:v>5128</x:v>
      </x:c>
      <x:c r="B1721" s="10" t="s">
        <x:v>5123</x:v>
      </x:c>
      <x:c r="C1721" s="10" t="s">
        <x:v>5124</x:v>
      </x:c>
      <x:c r="D1721" s="10" t="s">
        <x:v>4721</x:v>
      </x:c>
      <x:c r="E1721" s="10" t="s">
        <x:v>5129</x:v>
      </x:c>
      <x:c r="F1721" s="10" t="s">
        <x:v>108</x:v>
      </x:c>
      <x:c r="G1721" s="10" t="s">
        <x:v>109</x:v>
      </x:c>
      <x:c r="H1721" s="10" t="s">
        <x:v>5126</x:v>
      </x:c>
      <x:c r="I1721" s="10" t="s">
        <x:v>5127</x:v>
      </x:c>
      <x:c r="J1721" s="10" t="s">
        <x:v>5116</x:v>
      </x:c>
      <x:c r="K1721" s="10" t="s">
        <x:v>113</x:v>
      </x:c>
      <x:c r="L1721" s="10" t="s">
        <x:v>113</x:v>
      </x:c>
      <x:c r="M1721" s="10"/>
      <x:c r="N1721" s="10"/>
      <x:c r="O1721" s="10" t="s">
        <x:v>544</x:v>
      </x:c>
      <x:c r="P1721" s="10" t="s">
        <x:v>115</x:v>
      </x:c>
      <x:c r="Q1721" s="10" t="s">
        <x:v>45</x:v>
      </x:c>
      <x:c r="R1721" s="10" t="s">
        <x:v>5107</x:v>
      </x:c>
      <x:c r="S1721" s="10"/>
      <x:c r="T1721" s="10" t="s">
        <x:v>27</x:v>
      </x:c>
      <x:c r="U1721" s="10" t="s">
        <x:v>20</x:v>
      </x:c>
      <x:c r="V1721" s="10" t="s">
        <x:v>5060</x:v>
      </x:c>
    </x:row>
    <x:row r="1722" ht="15" hidden="0" customHeight="1">
      <x:c r="A1722" s="10" t="s">
        <x:v>5130</x:v>
      </x:c>
      <x:c r="B1722" s="10" t="s">
        <x:v>5123</x:v>
      </x:c>
      <x:c r="C1722" s="10" t="s">
        <x:v>5124</x:v>
      </x:c>
      <x:c r="D1722" s="10" t="s">
        <x:v>5131</x:v>
      </x:c>
      <x:c r="E1722" s="10" t="s">
        <x:v>5132</x:v>
      </x:c>
      <x:c r="F1722" s="10" t="s">
        <x:v>108</x:v>
      </x:c>
      <x:c r="G1722" s="10" t="s">
        <x:v>109</x:v>
      </x:c>
      <x:c r="H1722" s="10" t="s">
        <x:v>5126</x:v>
      </x:c>
      <x:c r="I1722" s="10" t="s">
        <x:v>5127</x:v>
      </x:c>
      <x:c r="J1722" s="10" t="s">
        <x:v>5116</x:v>
      </x:c>
      <x:c r="K1722" s="10" t="s">
        <x:v>113</x:v>
      </x:c>
      <x:c r="L1722" s="10" t="s">
        <x:v>113</x:v>
      </x:c>
      <x:c r="M1722" s="10"/>
      <x:c r="N1722" s="10"/>
      <x:c r="O1722" s="10" t="s">
        <x:v>544</x:v>
      </x:c>
      <x:c r="P1722" s="10" t="s">
        <x:v>115</x:v>
      </x:c>
      <x:c r="Q1722" s="10" t="s">
        <x:v>45</x:v>
      </x:c>
      <x:c r="R1722" s="10" t="s">
        <x:v>5107</x:v>
      </x:c>
      <x:c r="S1722" s="10"/>
      <x:c r="T1722" s="10" t="s">
        <x:v>27</x:v>
      </x:c>
      <x:c r="U1722" s="10" t="s">
        <x:v>20</x:v>
      </x:c>
      <x:c r="V1722" s="10" t="s">
        <x:v>5060</x:v>
      </x:c>
    </x:row>
    <x:row r="1723" ht="15" hidden="0" customHeight="1">
      <x:c r="A1723" s="10" t="s">
        <x:v>5133</x:v>
      </x:c>
      <x:c r="B1723" s="10" t="s">
        <x:v>5134</x:v>
      </x:c>
      <x:c r="C1723" s="10" t="s">
        <x:v>5135</x:v>
      </x:c>
      <x:c r="D1723" s="10" t="s">
        <x:v>4387</x:v>
      </x:c>
      <x:c r="E1723" s="10" t="s">
        <x:v>5136</x:v>
      </x:c>
      <x:c r="F1723" s="10" t="s">
        <x:v>108</x:v>
      </x:c>
      <x:c r="G1723" s="10" t="s">
        <x:v>109</x:v>
      </x:c>
      <x:c r="H1723" s="10" t="s">
        <x:v>5137</x:v>
      </x:c>
      <x:c r="I1723" s="10" t="s">
        <x:v>5138</x:v>
      </x:c>
      <x:c r="J1723" s="10" t="s">
        <x:v>5116</x:v>
      </x:c>
      <x:c r="K1723" s="10" t="s">
        <x:v>113</x:v>
      </x:c>
      <x:c r="L1723" s="10" t="s">
        <x:v>113</x:v>
      </x:c>
      <x:c r="M1723" s="10"/>
      <x:c r="N1723" s="10"/>
      <x:c r="O1723" s="10" t="s">
        <x:v>544</x:v>
      </x:c>
      <x:c r="P1723" s="10" t="s">
        <x:v>115</x:v>
      </x:c>
      <x:c r="Q1723" s="10" t="s">
        <x:v>45</x:v>
      </x:c>
      <x:c r="R1723" s="10" t="s">
        <x:v>5107</x:v>
      </x:c>
      <x:c r="S1723" s="10"/>
      <x:c r="T1723" s="10" t="s">
        <x:v>27</x:v>
      </x:c>
      <x:c r="U1723" s="10" t="s">
        <x:v>20</x:v>
      </x:c>
      <x:c r="V1723" s="10" t="s">
        <x:v>5060</x:v>
      </x:c>
    </x:row>
    <x:row r="1724" ht="15" hidden="0" customHeight="1">
      <x:c r="A1724" s="10" t="s">
        <x:v>5139</x:v>
      </x:c>
      <x:c r="B1724" s="10" t="s">
        <x:v>5134</x:v>
      </x:c>
      <x:c r="C1724" s="10" t="s">
        <x:v>5135</x:v>
      </x:c>
      <x:c r="D1724" s="10" t="s">
        <x:v>5131</x:v>
      </x:c>
      <x:c r="E1724" s="10" t="s">
        <x:v>5140</x:v>
      </x:c>
      <x:c r="F1724" s="10" t="s">
        <x:v>108</x:v>
      </x:c>
      <x:c r="G1724" s="10" t="s">
        <x:v>109</x:v>
      </x:c>
      <x:c r="H1724" s="10" t="s">
        <x:v>5137</x:v>
      </x:c>
      <x:c r="I1724" s="10" t="s">
        <x:v>5138</x:v>
      </x:c>
      <x:c r="J1724" s="10" t="s">
        <x:v>5116</x:v>
      </x:c>
      <x:c r="K1724" s="10" t="s">
        <x:v>113</x:v>
      </x:c>
      <x:c r="L1724" s="10" t="s">
        <x:v>113</x:v>
      </x:c>
      <x:c r="M1724" s="10"/>
      <x:c r="N1724" s="10"/>
      <x:c r="O1724" s="10" t="s">
        <x:v>544</x:v>
      </x:c>
      <x:c r="P1724" s="10" t="s">
        <x:v>115</x:v>
      </x:c>
      <x:c r="Q1724" s="10" t="s">
        <x:v>45</x:v>
      </x:c>
      <x:c r="R1724" s="10" t="s">
        <x:v>5107</x:v>
      </x:c>
      <x:c r="S1724" s="10"/>
      <x:c r="T1724" s="10" t="s">
        <x:v>27</x:v>
      </x:c>
      <x:c r="U1724" s="10" t="s">
        <x:v>20</x:v>
      </x:c>
      <x:c r="V1724" s="10" t="s">
        <x:v>5060</x:v>
      </x:c>
    </x:row>
    <x:row r="1725" ht="15" hidden="0" customHeight="1">
      <x:c r="A1725" s="10" t="s">
        <x:v>5141</x:v>
      </x:c>
      <x:c r="B1725" s="10" t="s">
        <x:v>5142</x:v>
      </x:c>
      <x:c r="C1725" s="10" t="s">
        <x:v>5143</x:v>
      </x:c>
      <x:c r="D1725" s="10" t="s">
        <x:v>4721</x:v>
      </x:c>
      <x:c r="E1725" s="10" t="s">
        <x:v>5144</x:v>
      </x:c>
      <x:c r="F1725" s="10" t="s">
        <x:v>108</x:v>
      </x:c>
      <x:c r="G1725" s="10" t="s">
        <x:v>109</x:v>
      </x:c>
      <x:c r="H1725" s="10" t="s">
        <x:v>5145</x:v>
      </x:c>
      <x:c r="I1725" s="10" t="s">
        <x:v>5146</x:v>
      </x:c>
      <x:c r="J1725" s="10" t="s">
        <x:v>5116</x:v>
      </x:c>
      <x:c r="K1725" s="10" t="s">
        <x:v>113</x:v>
      </x:c>
      <x:c r="L1725" s="10" t="s">
        <x:v>113</x:v>
      </x:c>
      <x:c r="M1725" s="10"/>
      <x:c r="N1725" s="10"/>
      <x:c r="O1725" s="10" t="s">
        <x:v>544</x:v>
      </x:c>
      <x:c r="P1725" s="10" t="s">
        <x:v>115</x:v>
      </x:c>
      <x:c r="Q1725" s="10" t="s">
        <x:v>45</x:v>
      </x:c>
      <x:c r="R1725" s="10" t="s">
        <x:v>5107</x:v>
      </x:c>
      <x:c r="S1725" s="10"/>
      <x:c r="T1725" s="10" t="s">
        <x:v>27</x:v>
      </x:c>
      <x:c r="U1725" s="10" t="s">
        <x:v>20</x:v>
      </x:c>
      <x:c r="V1725" s="10" t="s">
        <x:v>5060</x:v>
      </x:c>
    </x:row>
    <x:row r="1726" ht="15" hidden="0" customHeight="1">
      <x:c r="A1726" s="10" t="s">
        <x:v>5147</x:v>
      </x:c>
      <x:c r="B1726" s="10" t="s">
        <x:v>5142</x:v>
      </x:c>
      <x:c r="C1726" s="10" t="s">
        <x:v>5143</x:v>
      </x:c>
      <x:c r="D1726" s="10" t="s">
        <x:v>5148</x:v>
      </x:c>
      <x:c r="E1726" s="10" t="s">
        <x:v>5149</x:v>
      </x:c>
      <x:c r="F1726" s="10" t="s">
        <x:v>108</x:v>
      </x:c>
      <x:c r="G1726" s="10" t="s">
        <x:v>109</x:v>
      </x:c>
      <x:c r="H1726" s="10" t="s">
        <x:v>5145</x:v>
      </x:c>
      <x:c r="I1726" s="10" t="s">
        <x:v>5146</x:v>
      </x:c>
      <x:c r="J1726" s="10" t="s">
        <x:v>5116</x:v>
      </x:c>
      <x:c r="K1726" s="10" t="s">
        <x:v>113</x:v>
      </x:c>
      <x:c r="L1726" s="10" t="s">
        <x:v>113</x:v>
      </x:c>
      <x:c r="M1726" s="10"/>
      <x:c r="N1726" s="10"/>
      <x:c r="O1726" s="10" t="s">
        <x:v>544</x:v>
      </x:c>
      <x:c r="P1726" s="10" t="s">
        <x:v>115</x:v>
      </x:c>
      <x:c r="Q1726" s="10" t="s">
        <x:v>45</x:v>
      </x:c>
      <x:c r="R1726" s="10" t="s">
        <x:v>5107</x:v>
      </x:c>
      <x:c r="S1726" s="10"/>
      <x:c r="T1726" s="10" t="s">
        <x:v>27</x:v>
      </x:c>
      <x:c r="U1726" s="10" t="s">
        <x:v>20</x:v>
      </x:c>
      <x:c r="V1726" s="10" t="s">
        <x:v>5060</x:v>
      </x:c>
    </x:row>
    <x:row r="1727" ht="15" hidden="0" customHeight="1">
      <x:c r="A1727" s="10" t="s">
        <x:v>5150</x:v>
      </x:c>
      <x:c r="B1727" s="10" t="s">
        <x:v>5151</x:v>
      </x:c>
      <x:c r="C1727" s="10" t="s">
        <x:v>5152</x:v>
      </x:c>
      <x:c r="D1727" s="10" t="s">
        <x:v>4555</x:v>
      </x:c>
      <x:c r="E1727" s="10" t="s">
        <x:v>5153</x:v>
      </x:c>
      <x:c r="F1727" s="10" t="s">
        <x:v>108</x:v>
      </x:c>
      <x:c r="G1727" s="10" t="s">
        <x:v>109</x:v>
      </x:c>
      <x:c r="H1727" s="10" t="s">
        <x:v>5154</x:v>
      </x:c>
      <x:c r="I1727" s="10" t="s">
        <x:v>5155</x:v>
      </x:c>
      <x:c r="J1727" s="10" t="s">
        <x:v>5156</x:v>
      </x:c>
      <x:c r="K1727" s="10" t="s">
        <x:v>113</x:v>
      </x:c>
      <x:c r="L1727" s="10" t="s">
        <x:v>113</x:v>
      </x:c>
      <x:c r="M1727" s="10"/>
      <x:c r="N1727" s="10"/>
      <x:c r="O1727" s="10" t="s">
        <x:v>544</x:v>
      </x:c>
      <x:c r="P1727" s="10" t="s">
        <x:v>115</x:v>
      </x:c>
      <x:c r="Q1727" s="10" t="s">
        <x:v>45</x:v>
      </x:c>
      <x:c r="R1727" s="10" t="s">
        <x:v>5107</x:v>
      </x:c>
      <x:c r="S1727" s="10"/>
      <x:c r="T1727" s="10" t="s">
        <x:v>27</x:v>
      </x:c>
      <x:c r="U1727" s="10" t="s">
        <x:v>20</x:v>
      </x:c>
      <x:c r="V1727" s="10" t="s">
        <x:v>5060</x:v>
      </x:c>
    </x:row>
    <x:row r="1728" ht="15" hidden="0" customHeight="1">
      <x:c r="A1728" s="10" t="s">
        <x:v>5157</x:v>
      </x:c>
      <x:c r="B1728" s="10" t="s">
        <x:v>5151</x:v>
      </x:c>
      <x:c r="C1728" s="10" t="s">
        <x:v>5152</x:v>
      </x:c>
      <x:c r="D1728" s="10" t="s">
        <x:v>4471</x:v>
      </x:c>
      <x:c r="E1728" s="10" t="s">
        <x:v>5158</x:v>
      </x:c>
      <x:c r="F1728" s="10" t="s">
        <x:v>108</x:v>
      </x:c>
      <x:c r="G1728" s="10" t="s">
        <x:v>192</x:v>
      </x:c>
      <x:c r="H1728" s="10" t="s">
        <x:v>5154</x:v>
      </x:c>
      <x:c r="I1728" s="10" t="s">
        <x:v>5155</x:v>
      </x:c>
      <x:c r="J1728" s="10" t="s">
        <x:v>5156</x:v>
      </x:c>
      <x:c r="K1728" s="10" t="s">
        <x:v>113</x:v>
      </x:c>
      <x:c r="L1728" s="10" t="s">
        <x:v>113</x:v>
      </x:c>
      <x:c r="M1728" s="10"/>
      <x:c r="N1728" s="10"/>
      <x:c r="O1728" s="10" t="s">
        <x:v>544</x:v>
      </x:c>
      <x:c r="P1728" s="10" t="s">
        <x:v>115</x:v>
      </x:c>
      <x:c r="Q1728" s="10" t="s">
        <x:v>45</x:v>
      </x:c>
      <x:c r="R1728" s="10" t="s">
        <x:v>5107</x:v>
      </x:c>
      <x:c r="S1728" s="10"/>
      <x:c r="T1728" s="10" t="s">
        <x:v>27</x:v>
      </x:c>
      <x:c r="U1728" s="10" t="s">
        <x:v>20</x:v>
      </x:c>
      <x:c r="V1728" s="10" t="s">
        <x:v>5060</x:v>
      </x:c>
    </x:row>
    <x:row r="1729" ht="15" hidden="0" customHeight="1">
      <x:c r="A1729" s="10" t="s">
        <x:v>5159</x:v>
      </x:c>
      <x:c r="B1729" s="10" t="s">
        <x:v>5160</x:v>
      </x:c>
      <x:c r="C1729" s="10" t="s">
        <x:v>5161</x:v>
      </x:c>
      <x:c r="D1729" s="10" t="s">
        <x:v>4387</x:v>
      </x:c>
      <x:c r="E1729" s="10" t="s">
        <x:v>5162</x:v>
      </x:c>
      <x:c r="F1729" s="10" t="s">
        <x:v>108</x:v>
      </x:c>
      <x:c r="G1729" s="10" t="s">
        <x:v>109</x:v>
      </x:c>
      <x:c r="H1729" s="10" t="s">
        <x:v>5163</x:v>
      </x:c>
      <x:c r="I1729" s="10" t="s">
        <x:v>5164</x:v>
      </x:c>
      <x:c r="J1729" s="10" t="s">
        <x:v>5156</x:v>
      </x:c>
      <x:c r="K1729" s="10" t="s">
        <x:v>113</x:v>
      </x:c>
      <x:c r="L1729" s="10" t="s">
        <x:v>113</x:v>
      </x:c>
      <x:c r="M1729" s="10"/>
      <x:c r="N1729" s="10"/>
      <x:c r="O1729" s="10" t="s">
        <x:v>544</x:v>
      </x:c>
      <x:c r="P1729" s="10" t="s">
        <x:v>115</x:v>
      </x:c>
      <x:c r="Q1729" s="10" t="s">
        <x:v>45</x:v>
      </x:c>
      <x:c r="R1729" s="10" t="s">
        <x:v>5107</x:v>
      </x:c>
      <x:c r="S1729" s="10"/>
      <x:c r="T1729" s="10" t="s">
        <x:v>27</x:v>
      </x:c>
      <x:c r="U1729" s="10" t="s">
        <x:v>20</x:v>
      </x:c>
      <x:c r="V1729" s="10" t="s">
        <x:v>5060</x:v>
      </x:c>
    </x:row>
    <x:row r="1730" ht="15" hidden="0" customHeight="1">
      <x:c r="A1730" s="10" t="s">
        <x:v>5165</x:v>
      </x:c>
      <x:c r="B1730" s="10" t="s">
        <x:v>5160</x:v>
      </x:c>
      <x:c r="C1730" s="10" t="s">
        <x:v>5161</x:v>
      </x:c>
      <x:c r="D1730" s="10" t="s">
        <x:v>4490</x:v>
      </x:c>
      <x:c r="E1730" s="10" t="s">
        <x:v>5166</x:v>
      </x:c>
      <x:c r="F1730" s="10" t="s">
        <x:v>108</x:v>
      </x:c>
      <x:c r="G1730" s="10" t="s">
        <x:v>109</x:v>
      </x:c>
      <x:c r="H1730" s="10" t="s">
        <x:v>5163</x:v>
      </x:c>
      <x:c r="I1730" s="10" t="s">
        <x:v>5164</x:v>
      </x:c>
      <x:c r="J1730" s="10" t="s">
        <x:v>5156</x:v>
      </x:c>
      <x:c r="K1730" s="10" t="s">
        <x:v>113</x:v>
      </x:c>
      <x:c r="L1730" s="10" t="s">
        <x:v>113</x:v>
      </x:c>
      <x:c r="M1730" s="10"/>
      <x:c r="N1730" s="10"/>
      <x:c r="O1730" s="10" t="s">
        <x:v>544</x:v>
      </x:c>
      <x:c r="P1730" s="10" t="s">
        <x:v>115</x:v>
      </x:c>
      <x:c r="Q1730" s="10" t="s">
        <x:v>45</x:v>
      </x:c>
      <x:c r="R1730" s="10" t="s">
        <x:v>5107</x:v>
      </x:c>
      <x:c r="S1730" s="10"/>
      <x:c r="T1730" s="10" t="s">
        <x:v>27</x:v>
      </x:c>
      <x:c r="U1730" s="10" t="s">
        <x:v>20</x:v>
      </x:c>
      <x:c r="V1730" s="10" t="s">
        <x:v>5060</x:v>
      </x:c>
    </x:row>
    <x:row r="1731" ht="15" hidden="0" customHeight="1">
      <x:c r="A1731" s="10" t="s">
        <x:v>5167</x:v>
      </x:c>
      <x:c r="B1731" s="10" t="s">
        <x:v>5160</x:v>
      </x:c>
      <x:c r="C1731" s="10" t="s">
        <x:v>5161</x:v>
      </x:c>
      <x:c r="D1731" s="10" t="s">
        <x:v>5168</x:v>
      </x:c>
      <x:c r="E1731" s="10" t="s">
        <x:v>5169</x:v>
      </x:c>
      <x:c r="F1731" s="10" t="s">
        <x:v>108</x:v>
      </x:c>
      <x:c r="G1731" s="10" t="s">
        <x:v>187</x:v>
      </x:c>
      <x:c r="H1731" s="10" t="s">
        <x:v>5163</x:v>
      </x:c>
      <x:c r="I1731" s="10" t="s">
        <x:v>5164</x:v>
      </x:c>
      <x:c r="J1731" s="10" t="s">
        <x:v>5156</x:v>
      </x:c>
      <x:c r="K1731" s="10" t="s">
        <x:v>113</x:v>
      </x:c>
      <x:c r="L1731" s="10" t="s">
        <x:v>113</x:v>
      </x:c>
      <x:c r="M1731" s="10"/>
      <x:c r="N1731" s="10"/>
      <x:c r="O1731" s="10" t="s">
        <x:v>544</x:v>
      </x:c>
      <x:c r="P1731" s="10" t="s">
        <x:v>115</x:v>
      </x:c>
      <x:c r="Q1731" s="10" t="s">
        <x:v>45</x:v>
      </x:c>
      <x:c r="R1731" s="10" t="s">
        <x:v>5107</x:v>
      </x:c>
      <x:c r="S1731" s="10"/>
      <x:c r="T1731" s="10" t="s">
        <x:v>27</x:v>
      </x:c>
      <x:c r="U1731" s="10" t="s">
        <x:v>20</x:v>
      </x:c>
      <x:c r="V1731" s="10" t="s">
        <x:v>5060</x:v>
      </x:c>
    </x:row>
    <x:row r="1732" ht="15" hidden="0" customHeight="1">
      <x:c r="A1732" s="10" t="s">
        <x:v>5170</x:v>
      </x:c>
      <x:c r="B1732" s="10" t="s">
        <x:v>5171</x:v>
      </x:c>
      <x:c r="C1732" s="10" t="s">
        <x:v>5172</x:v>
      </x:c>
      <x:c r="D1732" s="10" t="s">
        <x:v>1704</x:v>
      </x:c>
      <x:c r="E1732" s="10" t="s">
        <x:v>5173</x:v>
      </x:c>
      <x:c r="F1732" s="10" t="s">
        <x:v>108</x:v>
      </x:c>
      <x:c r="G1732" s="10" t="s">
        <x:v>109</x:v>
      </x:c>
      <x:c r="H1732" s="10" t="s">
        <x:v>5174</x:v>
      </x:c>
      <x:c r="I1732" s="10" t="s">
        <x:v>5175</x:v>
      </x:c>
      <x:c r="J1732" s="10" t="s">
        <x:v>5156</x:v>
      </x:c>
      <x:c r="K1732" s="10" t="s">
        <x:v>113</x:v>
      </x:c>
      <x:c r="L1732" s="10" t="s">
        <x:v>113</x:v>
      </x:c>
      <x:c r="M1732" s="10"/>
      <x:c r="N1732" s="10"/>
      <x:c r="O1732" s="10" t="s">
        <x:v>544</x:v>
      </x:c>
      <x:c r="P1732" s="10" t="s">
        <x:v>115</x:v>
      </x:c>
      <x:c r="Q1732" s="10" t="s">
        <x:v>45</x:v>
      </x:c>
      <x:c r="R1732" s="10" t="s">
        <x:v>5176</x:v>
      </x:c>
      <x:c r="S1732" s="10"/>
      <x:c r="T1732" s="10" t="s">
        <x:v>27</x:v>
      </x:c>
      <x:c r="U1732" s="10" t="s">
        <x:v>20</x:v>
      </x:c>
      <x:c r="V1732" s="10" t="s">
        <x:v>5060</x:v>
      </x:c>
    </x:row>
    <x:row r="1733" ht="15" hidden="0" customHeight="1">
      <x:c r="A1733" s="10" t="s">
        <x:v>5177</x:v>
      </x:c>
      <x:c r="B1733" s="10" t="s">
        <x:v>5171</x:v>
      </x:c>
      <x:c r="C1733" s="10" t="s">
        <x:v>5172</x:v>
      </x:c>
      <x:c r="D1733" s="10" t="s">
        <x:v>5178</x:v>
      </x:c>
      <x:c r="E1733" s="10" t="s">
        <x:v>5179</x:v>
      </x:c>
      <x:c r="F1733" s="10" t="s">
        <x:v>108</x:v>
      </x:c>
      <x:c r="G1733" s="10" t="s">
        <x:v>109</x:v>
      </x:c>
      <x:c r="H1733" s="10" t="s">
        <x:v>5174</x:v>
      </x:c>
      <x:c r="I1733" s="10" t="s">
        <x:v>5175</x:v>
      </x:c>
      <x:c r="J1733" s="10" t="s">
        <x:v>5156</x:v>
      </x:c>
      <x:c r="K1733" s="10" t="s">
        <x:v>113</x:v>
      </x:c>
      <x:c r="L1733" s="10" t="s">
        <x:v>113</x:v>
      </x:c>
      <x:c r="M1733" s="10"/>
      <x:c r="N1733" s="10"/>
      <x:c r="O1733" s="10" t="s">
        <x:v>544</x:v>
      </x:c>
      <x:c r="P1733" s="10" t="s">
        <x:v>115</x:v>
      </x:c>
      <x:c r="Q1733" s="10" t="s">
        <x:v>45</x:v>
      </x:c>
      <x:c r="R1733" s="10" t="s">
        <x:v>5176</x:v>
      </x:c>
      <x:c r="S1733" s="10"/>
      <x:c r="T1733" s="10" t="s">
        <x:v>27</x:v>
      </x:c>
      <x:c r="U1733" s="10" t="s">
        <x:v>20</x:v>
      </x:c>
      <x:c r="V1733" s="10" t="s">
        <x:v>5060</x:v>
      </x:c>
    </x:row>
    <x:row r="1734" ht="15" hidden="0" customHeight="1">
      <x:c r="A1734" s="10" t="s">
        <x:v>5180</x:v>
      </x:c>
      <x:c r="B1734" s="10" t="s">
        <x:v>5171</x:v>
      </x:c>
      <x:c r="C1734" s="10" t="s">
        <x:v>5181</x:v>
      </x:c>
      <x:c r="D1734" s="10" t="s">
        <x:v>3481</x:v>
      </x:c>
      <x:c r="E1734" s="10" t="s">
        <x:v>5182</x:v>
      </x:c>
      <x:c r="F1734" s="10" t="s">
        <x:v>5183</x:v>
      </x:c>
      <x:c r="G1734" s="10" t="s">
        <x:v>109</x:v>
      </x:c>
      <x:c r="H1734" s="10" t="s">
        <x:v>5184</x:v>
      </x:c>
      <x:c r="I1734" s="10" t="s">
        <x:v>5185</x:v>
      </x:c>
      <x:c r="J1734" s="10" t="s">
        <x:v>5186</x:v>
      </x:c>
      <x:c r="K1734" s="10" t="s">
        <x:v>5187</x:v>
      </x:c>
      <x:c r="L1734" s="10" t="s">
        <x:v>5187</x:v>
      </x:c>
      <x:c r="M1734" s="10"/>
      <x:c r="N1734" s="10"/>
      <x:c r="O1734" s="10" t="s">
        <x:v>5188</x:v>
      </x:c>
      <x:c r="P1734" s="10" t="s">
        <x:v>115</x:v>
      </x:c>
      <x:c r="Q1734" s="10" t="s">
        <x:v>45</x:v>
      </x:c>
      <x:c r="R1734" s="10"/>
      <x:c r="S1734" s="10"/>
      <x:c r="T1734" s="10" t="s">
        <x:v>27</x:v>
      </x:c>
      <x:c r="U1734" s="10" t="s">
        <x:v>20</x:v>
      </x:c>
      <x:c r="V1734" s="10" t="s">
        <x:v>5060</x:v>
      </x:c>
    </x:row>
    <x:row r="1735" ht="15" hidden="0" customHeight="1">
      <x:c r="A1735" s="10" t="s">
        <x:v>5189</x:v>
      </x:c>
      <x:c r="B1735" s="10" t="s">
        <x:v>5171</x:v>
      </x:c>
      <x:c r="C1735" s="10" t="s">
        <x:v>5181</x:v>
      </x:c>
      <x:c r="D1735" s="10" t="s">
        <x:v>1948</x:v>
      </x:c>
      <x:c r="E1735" s="10" t="s">
        <x:v>5190</x:v>
      </x:c>
      <x:c r="F1735" s="10" t="s">
        <x:v>5183</x:v>
      </x:c>
      <x:c r="G1735" s="10" t="s">
        <x:v>109</x:v>
      </x:c>
      <x:c r="H1735" s="10" t="s">
        <x:v>5184</x:v>
      </x:c>
      <x:c r="I1735" s="10" t="s">
        <x:v>5185</x:v>
      </x:c>
      <x:c r="J1735" s="10" t="s">
        <x:v>5186</x:v>
      </x:c>
      <x:c r="K1735" s="10" t="s">
        <x:v>5187</x:v>
      </x:c>
      <x:c r="L1735" s="10" t="s">
        <x:v>5187</x:v>
      </x:c>
      <x:c r="M1735" s="10"/>
      <x:c r="N1735" s="10"/>
      <x:c r="O1735" s="10" t="s">
        <x:v>5188</x:v>
      </x:c>
      <x:c r="P1735" s="10" t="s">
        <x:v>115</x:v>
      </x:c>
      <x:c r="Q1735" s="10" t="s">
        <x:v>45</x:v>
      </x:c>
      <x:c r="R1735" s="10"/>
      <x:c r="S1735" s="10"/>
      <x:c r="T1735" s="10" t="s">
        <x:v>27</x:v>
      </x:c>
      <x:c r="U1735" s="10" t="s">
        <x:v>20</x:v>
      </x:c>
      <x:c r="V1735" s="10" t="s">
        <x:v>5060</x:v>
      </x:c>
    </x:row>
    <x:row r="1736" ht="15" hidden="0" customHeight="1">
      <x:c r="A1736" s="10" t="s">
        <x:v>5191</x:v>
      </x:c>
      <x:c r="B1736" s="10" t="s">
        <x:v>5171</x:v>
      </x:c>
      <x:c r="C1736" s="10" t="s">
        <x:v>5181</x:v>
      </x:c>
      <x:c r="D1736" s="10" t="s">
        <x:v>3077</x:v>
      </x:c>
      <x:c r="E1736" s="10" t="s">
        <x:v>5192</x:v>
      </x:c>
      <x:c r="F1736" s="10" t="s">
        <x:v>5183</x:v>
      </x:c>
      <x:c r="G1736" s="10" t="s">
        <x:v>109</x:v>
      </x:c>
      <x:c r="H1736" s="10" t="s">
        <x:v>5184</x:v>
      </x:c>
      <x:c r="I1736" s="10" t="s">
        <x:v>5185</x:v>
      </x:c>
      <x:c r="J1736" s="10" t="s">
        <x:v>5186</x:v>
      </x:c>
      <x:c r="K1736" s="10" t="s">
        <x:v>5187</x:v>
      </x:c>
      <x:c r="L1736" s="10" t="s">
        <x:v>5187</x:v>
      </x:c>
      <x:c r="M1736" s="10"/>
      <x:c r="N1736" s="10"/>
      <x:c r="O1736" s="10" t="s">
        <x:v>5188</x:v>
      </x:c>
      <x:c r="P1736" s="10" t="s">
        <x:v>115</x:v>
      </x:c>
      <x:c r="Q1736" s="10" t="s">
        <x:v>45</x:v>
      </x:c>
      <x:c r="R1736" s="10"/>
      <x:c r="S1736" s="10"/>
      <x:c r="T1736" s="10" t="s">
        <x:v>27</x:v>
      </x:c>
      <x:c r="U1736" s="10" t="s">
        <x:v>20</x:v>
      </x:c>
      <x:c r="V1736" s="10" t="s">
        <x:v>5060</x:v>
      </x:c>
    </x:row>
    <x:row r="1737" ht="15" hidden="0" customHeight="1">
      <x:c r="A1737" s="10" t="s">
        <x:v>5193</x:v>
      </x:c>
      <x:c r="B1737" s="10" t="s">
        <x:v>5171</x:v>
      </x:c>
      <x:c r="C1737" s="10" t="s">
        <x:v>5181</x:v>
      </x:c>
      <x:c r="D1737" s="10" t="s">
        <x:v>5194</x:v>
      </x:c>
      <x:c r="E1737" s="10" t="s">
        <x:v>5195</x:v>
      </x:c>
      <x:c r="F1737" s="10" t="s">
        <x:v>5183</x:v>
      </x:c>
      <x:c r="G1737" s="10" t="s">
        <x:v>109</x:v>
      </x:c>
      <x:c r="H1737" s="10" t="s">
        <x:v>5184</x:v>
      </x:c>
      <x:c r="I1737" s="10" t="s">
        <x:v>5185</x:v>
      </x:c>
      <x:c r="J1737" s="10" t="s">
        <x:v>5186</x:v>
      </x:c>
      <x:c r="K1737" s="10" t="s">
        <x:v>5187</x:v>
      </x:c>
      <x:c r="L1737" s="10" t="s">
        <x:v>5187</x:v>
      </x:c>
      <x:c r="M1737" s="10"/>
      <x:c r="N1737" s="10"/>
      <x:c r="O1737" s="10" t="s">
        <x:v>5188</x:v>
      </x:c>
      <x:c r="P1737" s="10" t="s">
        <x:v>115</x:v>
      </x:c>
      <x:c r="Q1737" s="10" t="s">
        <x:v>45</x:v>
      </x:c>
      <x:c r="R1737" s="10"/>
      <x:c r="S1737" s="10"/>
      <x:c r="T1737" s="10" t="s">
        <x:v>27</x:v>
      </x:c>
      <x:c r="U1737" s="10" t="s">
        <x:v>20</x:v>
      </x:c>
      <x:c r="V1737" s="10" t="s">
        <x:v>5060</x:v>
      </x:c>
    </x:row>
    <x:row r="1738" ht="15" hidden="0" customHeight="1">
      <x:c r="A1738" s="10" t="s">
        <x:v>5196</x:v>
      </x:c>
      <x:c r="B1738" s="10" t="s">
        <x:v>5171</x:v>
      </x:c>
      <x:c r="C1738" s="10" t="s">
        <x:v>5181</x:v>
      </x:c>
      <x:c r="D1738" s="10" t="s">
        <x:v>4440</x:v>
      </x:c>
      <x:c r="E1738" s="10" t="s">
        <x:v>5197</x:v>
      </x:c>
      <x:c r="F1738" s="10" t="s">
        <x:v>5183</x:v>
      </x:c>
      <x:c r="G1738" s="10" t="s">
        <x:v>109</x:v>
      </x:c>
      <x:c r="H1738" s="10" t="s">
        <x:v>5184</x:v>
      </x:c>
      <x:c r="I1738" s="10" t="s">
        <x:v>5185</x:v>
      </x:c>
      <x:c r="J1738" s="10" t="s">
        <x:v>5186</x:v>
      </x:c>
      <x:c r="K1738" s="10" t="s">
        <x:v>5187</x:v>
      </x:c>
      <x:c r="L1738" s="10" t="s">
        <x:v>5187</x:v>
      </x:c>
      <x:c r="M1738" s="10"/>
      <x:c r="N1738" s="10"/>
      <x:c r="O1738" s="10" t="s">
        <x:v>5188</x:v>
      </x:c>
      <x:c r="P1738" s="10" t="s">
        <x:v>115</x:v>
      </x:c>
      <x:c r="Q1738" s="10" t="s">
        <x:v>45</x:v>
      </x:c>
      <x:c r="R1738" s="10"/>
      <x:c r="S1738" s="10"/>
      <x:c r="T1738" s="10" t="s">
        <x:v>27</x:v>
      </x:c>
      <x:c r="U1738" s="10" t="s">
        <x:v>20</x:v>
      </x:c>
      <x:c r="V1738" s="10" t="s">
        <x:v>5060</x:v>
      </x:c>
    </x:row>
    <x:row r="1739" ht="15" hidden="0" customHeight="1">
      <x:c r="A1739" s="10" t="s">
        <x:v>5198</x:v>
      </x:c>
      <x:c r="B1739" s="10" t="s">
        <x:v>5171</x:v>
      </x:c>
      <x:c r="C1739" s="10" t="s">
        <x:v>5181</x:v>
      </x:c>
      <x:c r="D1739" s="10" t="s">
        <x:v>5199</x:v>
      </x:c>
      <x:c r="E1739" s="10" t="s">
        <x:v>5200</x:v>
      </x:c>
      <x:c r="F1739" s="10" t="s">
        <x:v>5183</x:v>
      </x:c>
      <x:c r="G1739" s="10" t="s">
        <x:v>109</x:v>
      </x:c>
      <x:c r="H1739" s="10" t="s">
        <x:v>5184</x:v>
      </x:c>
      <x:c r="I1739" s="10" t="s">
        <x:v>5185</x:v>
      </x:c>
      <x:c r="J1739" s="10" t="s">
        <x:v>5186</x:v>
      </x:c>
      <x:c r="K1739" s="10" t="s">
        <x:v>5187</x:v>
      </x:c>
      <x:c r="L1739" s="10" t="s">
        <x:v>5187</x:v>
      </x:c>
      <x:c r="M1739" s="10"/>
      <x:c r="N1739" s="10"/>
      <x:c r="O1739" s="10" t="s">
        <x:v>5188</x:v>
      </x:c>
      <x:c r="P1739" s="10" t="s">
        <x:v>115</x:v>
      </x:c>
      <x:c r="Q1739" s="10" t="s">
        <x:v>45</x:v>
      </x:c>
      <x:c r="R1739" s="10"/>
      <x:c r="S1739" s="10"/>
      <x:c r="T1739" s="10" t="s">
        <x:v>27</x:v>
      </x:c>
      <x:c r="U1739" s="10" t="s">
        <x:v>20</x:v>
      </x:c>
      <x:c r="V1739" s="10" t="s">
        <x:v>5060</x:v>
      </x:c>
    </x:row>
    <x:row r="1740" ht="15" hidden="0" customHeight="1">
      <x:c r="A1740" s="10" t="s">
        <x:v>5201</x:v>
      </x:c>
      <x:c r="B1740" s="10" t="s">
        <x:v>5171</x:v>
      </x:c>
      <x:c r="C1740" s="10" t="s">
        <x:v>5202</x:v>
      </x:c>
      <x:c r="D1740" s="10" t="s">
        <x:v>5203</x:v>
      </x:c>
      <x:c r="E1740" s="10" t="s">
        <x:v>5204</x:v>
      </x:c>
      <x:c r="F1740" s="10" t="s">
        <x:v>5205</x:v>
      </x:c>
      <x:c r="G1740" s="10" t="s">
        <x:v>109</x:v>
      </x:c>
      <x:c r="H1740" s="10" t="s">
        <x:v>5184</x:v>
      </x:c>
      <x:c r="I1740" s="10" t="s">
        <x:v>5185</x:v>
      </x:c>
      <x:c r="J1740" s="10" t="s">
        <x:v>5186</x:v>
      </x:c>
      <x:c r="K1740" s="10" t="s">
        <x:v>5206</x:v>
      </x:c>
      <x:c r="L1740" s="10" t="s">
        <x:v>5206</x:v>
      </x:c>
      <x:c r="M1740" s="10"/>
      <x:c r="N1740" s="10"/>
      <x:c r="O1740" s="10" t="s">
        <x:v>5188</x:v>
      </x:c>
      <x:c r="P1740" s="10" t="s">
        <x:v>115</x:v>
      </x:c>
      <x:c r="Q1740" s="10" t="s">
        <x:v>45</x:v>
      </x:c>
      <x:c r="R1740" s="10" t="s">
        <x:v>5207</x:v>
      </x:c>
      <x:c r="S1740" s="10"/>
      <x:c r="T1740" s="10" t="s">
        <x:v>27</x:v>
      </x:c>
      <x:c r="U1740" s="10" t="s">
        <x:v>20</x:v>
      </x:c>
      <x:c r="V1740" s="10" t="s">
        <x:v>5060</x:v>
      </x:c>
    </x:row>
    <x:row r="1741" ht="15" hidden="0" customHeight="1">
      <x:c r="A1741" s="10" t="s">
        <x:v>5208</x:v>
      </x:c>
      <x:c r="B1741" s="10" t="s">
        <x:v>5171</x:v>
      </x:c>
      <x:c r="C1741" s="10" t="s">
        <x:v>5181</x:v>
      </x:c>
      <x:c r="D1741" s="10" t="s">
        <x:v>871</x:v>
      </x:c>
      <x:c r="E1741" s="10" t="s">
        <x:v>5209</x:v>
      </x:c>
      <x:c r="F1741" s="10" t="s">
        <x:v>5183</x:v>
      </x:c>
      <x:c r="G1741" s="10" t="s">
        <x:v>109</x:v>
      </x:c>
      <x:c r="H1741" s="10" t="s">
        <x:v>5184</x:v>
      </x:c>
      <x:c r="I1741" s="10" t="s">
        <x:v>5185</x:v>
      </x:c>
      <x:c r="J1741" s="10" t="s">
        <x:v>5186</x:v>
      </x:c>
      <x:c r="K1741" s="10" t="s">
        <x:v>5210</x:v>
      </x:c>
      <x:c r="L1741" s="10" t="s">
        <x:v>5210</x:v>
      </x:c>
      <x:c r="M1741" s="10"/>
      <x:c r="N1741" s="10"/>
      <x:c r="O1741" s="10" t="s">
        <x:v>5188</x:v>
      </x:c>
      <x:c r="P1741" s="10" t="s">
        <x:v>115</x:v>
      </x:c>
      <x:c r="Q1741" s="10" t="s">
        <x:v>45</x:v>
      </x:c>
      <x:c r="R1741" s="10"/>
      <x:c r="S1741" s="10"/>
      <x:c r="T1741" s="10" t="s">
        <x:v>27</x:v>
      </x:c>
      <x:c r="U1741" s="10" t="s">
        <x:v>20</x:v>
      </x:c>
      <x:c r="V1741" s="10" t="s">
        <x:v>5060</x:v>
      </x:c>
    </x:row>
    <x:row r="1742" ht="15" hidden="0" customHeight="1">
      <x:c r="A1742" s="10" t="s">
        <x:v>5211</x:v>
      </x:c>
      <x:c r="B1742" s="10" t="s">
        <x:v>4707</x:v>
      </x:c>
      <x:c r="C1742" s="10" t="s">
        <x:v>5212</x:v>
      </x:c>
      <x:c r="D1742" s="10" t="s">
        <x:v>164</x:v>
      </x:c>
      <x:c r="E1742" s="10" t="s">
        <x:v>165</x:v>
      </x:c>
      <x:c r="F1742" s="10" t="s">
        <x:v>5205</x:v>
      </x:c>
      <x:c r="G1742" s="10" t="s">
        <x:v>109</x:v>
      </x:c>
      <x:c r="H1742" s="10" t="s">
        <x:v>5213</x:v>
      </x:c>
      <x:c r="I1742" s="10" t="s">
        <x:v>5214</x:v>
      </x:c>
      <x:c r="J1742" s="10" t="s">
        <x:v>5215</x:v>
      </x:c>
      <x:c r="K1742" s="10" t="s">
        <x:v>5216</x:v>
      </x:c>
      <x:c r="L1742" s="10" t="s">
        <x:v>5216</x:v>
      </x:c>
      <x:c r="M1742" s="10"/>
      <x:c r="N1742" s="10"/>
      <x:c r="O1742" s="10" t="s">
        <x:v>5188</x:v>
      </x:c>
      <x:c r="P1742" s="10" t="s">
        <x:v>115</x:v>
      </x:c>
      <x:c r="Q1742" s="10" t="s">
        <x:v>45</x:v>
      </x:c>
      <x:c r="R1742" s="10" t="s">
        <x:v>5217</x:v>
      </x:c>
      <x:c r="S1742" s="10"/>
      <x:c r="T1742" s="10" t="s">
        <x:v>27</x:v>
      </x:c>
      <x:c r="U1742" s="10" t="s">
        <x:v>20</x:v>
      </x:c>
      <x:c r="V1742" s="10" t="s">
        <x:v>5218</x:v>
      </x:c>
    </x:row>
    <x:row r="1743" ht="15" hidden="0" customHeight="1">
      <x:c r="A1743" s="10" t="s">
        <x:v>5219</x:v>
      </x:c>
      <x:c r="B1743" s="10" t="s">
        <x:v>4707</x:v>
      </x:c>
      <x:c r="C1743" s="10" t="s">
        <x:v>5212</x:v>
      </x:c>
      <x:c r="D1743" s="10" t="s">
        <x:v>318</x:v>
      </x:c>
      <x:c r="E1743" s="10" t="s">
        <x:v>5220</x:v>
      </x:c>
      <x:c r="F1743" s="10" t="s">
        <x:v>5205</x:v>
      </x:c>
      <x:c r="G1743" s="10" t="s">
        <x:v>109</x:v>
      </x:c>
      <x:c r="H1743" s="10" t="s">
        <x:v>5213</x:v>
      </x:c>
      <x:c r="I1743" s="10" t="s">
        <x:v>5214</x:v>
      </x:c>
      <x:c r="J1743" s="10" t="s">
        <x:v>5215</x:v>
      </x:c>
      <x:c r="K1743" s="10" t="s">
        <x:v>5221</x:v>
      </x:c>
      <x:c r="L1743" s="10" t="s">
        <x:v>5221</x:v>
      </x:c>
      <x:c r="M1743" s="10"/>
      <x:c r="N1743" s="10"/>
      <x:c r="O1743" s="10" t="s">
        <x:v>5188</x:v>
      </x:c>
      <x:c r="P1743" s="10" t="s">
        <x:v>115</x:v>
      </x:c>
      <x:c r="Q1743" s="10" t="s">
        <x:v>45</x:v>
      </x:c>
      <x:c r="R1743" s="10" t="s">
        <x:v>5217</x:v>
      </x:c>
      <x:c r="S1743" s="10"/>
      <x:c r="T1743" s="10" t="s">
        <x:v>27</x:v>
      </x:c>
      <x:c r="U1743" s="10" t="s">
        <x:v>20</x:v>
      </x:c>
      <x:c r="V1743" s="10" t="s">
        <x:v>5218</x:v>
      </x:c>
    </x:row>
    <x:row r="1744" ht="15" hidden="0" customHeight="1">
      <x:c r="A1744" s="10" t="s">
        <x:v>5222</x:v>
      </x:c>
      <x:c r="B1744" s="10" t="s">
        <x:v>4707</x:v>
      </x:c>
      <x:c r="C1744" s="10" t="s">
        <x:v>5212</x:v>
      </x:c>
      <x:c r="D1744" s="10" t="s">
        <x:v>1652</x:v>
      </x:c>
      <x:c r="E1744" s="10" t="s">
        <x:v>5223</x:v>
      </x:c>
      <x:c r="F1744" s="10" t="s">
        <x:v>5205</x:v>
      </x:c>
      <x:c r="G1744" s="10" t="s">
        <x:v>109</x:v>
      </x:c>
      <x:c r="H1744" s="10" t="s">
        <x:v>5213</x:v>
      </x:c>
      <x:c r="I1744" s="10" t="s">
        <x:v>5214</x:v>
      </x:c>
      <x:c r="J1744" s="10" t="s">
        <x:v>5215</x:v>
      </x:c>
      <x:c r="K1744" s="10" t="s">
        <x:v>5224</x:v>
      </x:c>
      <x:c r="L1744" s="10" t="s">
        <x:v>5224</x:v>
      </x:c>
      <x:c r="M1744" s="10"/>
      <x:c r="N1744" s="10"/>
      <x:c r="O1744" s="10" t="s">
        <x:v>5188</x:v>
      </x:c>
      <x:c r="P1744" s="10" t="s">
        <x:v>115</x:v>
      </x:c>
      <x:c r="Q1744" s="10" t="s">
        <x:v>45</x:v>
      </x:c>
      <x:c r="R1744" s="10" t="s">
        <x:v>5217</x:v>
      </x:c>
      <x:c r="S1744" s="10"/>
      <x:c r="T1744" s="10" t="s">
        <x:v>27</x:v>
      </x:c>
      <x:c r="U1744" s="10" t="s">
        <x:v>20</x:v>
      </x:c>
      <x:c r="V1744" s="10" t="s">
        <x:v>5218</x:v>
      </x:c>
    </x:row>
    <x:row r="1745" ht="15" hidden="0" customHeight="1">
      <x:c r="A1745" s="10" t="s">
        <x:v>5225</x:v>
      </x:c>
      <x:c r="B1745" s="10" t="s">
        <x:v>4707</x:v>
      </x:c>
      <x:c r="C1745" s="10" t="s">
        <x:v>5212</x:v>
      </x:c>
      <x:c r="D1745" s="10" t="s">
        <x:v>5226</x:v>
      </x:c>
      <x:c r="E1745" s="10" t="s">
        <x:v>5227</x:v>
      </x:c>
      <x:c r="F1745" s="10" t="s">
        <x:v>5205</x:v>
      </x:c>
      <x:c r="G1745" s="10" t="s">
        <x:v>109</x:v>
      </x:c>
      <x:c r="H1745" s="10" t="s">
        <x:v>5213</x:v>
      </x:c>
      <x:c r="I1745" s="10" t="s">
        <x:v>5214</x:v>
      </x:c>
      <x:c r="J1745" s="10" t="s">
        <x:v>5215</x:v>
      </x:c>
      <x:c r="K1745" s="10" t="s">
        <x:v>5228</x:v>
      </x:c>
      <x:c r="L1745" s="10" t="s">
        <x:v>5228</x:v>
      </x:c>
      <x:c r="M1745" s="10"/>
      <x:c r="N1745" s="10"/>
      <x:c r="O1745" s="10" t="s">
        <x:v>5188</x:v>
      </x:c>
      <x:c r="P1745" s="10" t="s">
        <x:v>115</x:v>
      </x:c>
      <x:c r="Q1745" s="10" t="s">
        <x:v>45</x:v>
      </x:c>
      <x:c r="R1745" s="10" t="s">
        <x:v>5229</x:v>
      </x:c>
      <x:c r="S1745" s="10"/>
      <x:c r="T1745" s="10" t="s">
        <x:v>27</x:v>
      </x:c>
      <x:c r="U1745" s="10" t="s">
        <x:v>20</x:v>
      </x:c>
      <x:c r="V1745" s="10" t="s">
        <x:v>5218</x:v>
      </x:c>
    </x:row>
    <x:row r="1746" ht="15" hidden="0" customHeight="1">
      <x:c r="A1746" s="10" t="s">
        <x:v>5230</x:v>
      </x:c>
      <x:c r="B1746" s="10" t="s">
        <x:v>4707</x:v>
      </x:c>
      <x:c r="C1746" s="10" t="s">
        <x:v>5212</x:v>
      </x:c>
      <x:c r="D1746" s="10" t="s">
        <x:v>5231</x:v>
      </x:c>
      <x:c r="E1746" s="10" t="s">
        <x:v>5232</x:v>
      </x:c>
      <x:c r="F1746" s="10" t="s">
        <x:v>5205</x:v>
      </x:c>
      <x:c r="G1746" s="10" t="s">
        <x:v>109</x:v>
      </x:c>
      <x:c r="H1746" s="10" t="s">
        <x:v>5213</x:v>
      </x:c>
      <x:c r="I1746" s="10" t="s">
        <x:v>5214</x:v>
      </x:c>
      <x:c r="J1746" s="10" t="s">
        <x:v>5215</x:v>
      </x:c>
      <x:c r="K1746" s="10" t="s">
        <x:v>5233</x:v>
      </x:c>
      <x:c r="L1746" s="10" t="s">
        <x:v>5233</x:v>
      </x:c>
      <x:c r="M1746" s="10"/>
      <x:c r="N1746" s="10"/>
      <x:c r="O1746" s="10" t="s">
        <x:v>5188</x:v>
      </x:c>
      <x:c r="P1746" s="10" t="s">
        <x:v>115</x:v>
      </x:c>
      <x:c r="Q1746" s="10" t="s">
        <x:v>45</x:v>
      </x:c>
      <x:c r="R1746" s="10" t="s">
        <x:v>5217</x:v>
      </x:c>
      <x:c r="S1746" s="10"/>
      <x:c r="T1746" s="10" t="s">
        <x:v>27</x:v>
      </x:c>
      <x:c r="U1746" s="10" t="s">
        <x:v>20</x:v>
      </x:c>
      <x:c r="V1746" s="10" t="s">
        <x:v>5218</x:v>
      </x:c>
    </x:row>
    <x:row r="1747" ht="15" hidden="0" customHeight="1">
      <x:c r="A1747" s="10" t="s">
        <x:v>5234</x:v>
      </x:c>
      <x:c r="B1747" s="10" t="s">
        <x:v>4707</x:v>
      </x:c>
      <x:c r="C1747" s="10" t="s">
        <x:v>5212</x:v>
      </x:c>
      <x:c r="D1747" s="10" t="s">
        <x:v>1889</x:v>
      </x:c>
      <x:c r="E1747" s="10" t="s">
        <x:v>5235</x:v>
      </x:c>
      <x:c r="F1747" s="10" t="s">
        <x:v>5205</x:v>
      </x:c>
      <x:c r="G1747" s="10" t="s">
        <x:v>109</x:v>
      </x:c>
      <x:c r="H1747" s="10" t="s">
        <x:v>5213</x:v>
      </x:c>
      <x:c r="I1747" s="10" t="s">
        <x:v>5214</x:v>
      </x:c>
      <x:c r="J1747" s="10" t="s">
        <x:v>5215</x:v>
      </x:c>
      <x:c r="K1747" s="10" t="s">
        <x:v>5236</x:v>
      </x:c>
      <x:c r="L1747" s="10" t="s">
        <x:v>5236</x:v>
      </x:c>
      <x:c r="M1747" s="10"/>
      <x:c r="N1747" s="10"/>
      <x:c r="O1747" s="10" t="s">
        <x:v>5188</x:v>
      </x:c>
      <x:c r="P1747" s="10" t="s">
        <x:v>115</x:v>
      </x:c>
      <x:c r="Q1747" s="10" t="s">
        <x:v>45</x:v>
      </x:c>
      <x:c r="R1747" s="10" t="s">
        <x:v>5237</x:v>
      </x:c>
      <x:c r="S1747" s="10"/>
      <x:c r="T1747" s="10" t="s">
        <x:v>27</x:v>
      </x:c>
      <x:c r="U1747" s="10" t="s">
        <x:v>20</x:v>
      </x:c>
      <x:c r="V1747" s="10" t="s">
        <x:v>5218</x:v>
      </x:c>
    </x:row>
    <x:row r="1748" ht="15" hidden="0" customHeight="1">
      <x:c r="A1748" s="10" t="s">
        <x:v>5238</x:v>
      </x:c>
      <x:c r="B1748" s="10" t="s">
        <x:v>4707</x:v>
      </x:c>
      <x:c r="C1748" s="10" t="s">
        <x:v>5212</x:v>
      </x:c>
      <x:c r="D1748" s="10" t="s">
        <x:v>4897</x:v>
      </x:c>
      <x:c r="E1748" s="10" t="s">
        <x:v>5239</x:v>
      </x:c>
      <x:c r="F1748" s="10" t="s">
        <x:v>4899</x:v>
      </x:c>
      <x:c r="G1748" s="10" t="s">
        <x:v>181</x:v>
      </x:c>
      <x:c r="H1748" s="10" t="s">
        <x:v>5213</x:v>
      </x:c>
      <x:c r="I1748" s="10" t="s">
        <x:v>5214</x:v>
      </x:c>
      <x:c r="J1748" s="10" t="s">
        <x:v>5215</x:v>
      </x:c>
      <x:c r="K1748" s="10" t="s">
        <x:v>5240</x:v>
      </x:c>
      <x:c r="L1748" s="10" t="s">
        <x:v>5240</x:v>
      </x:c>
      <x:c r="M1748" s="10"/>
      <x:c r="N1748" s="10"/>
      <x:c r="O1748" s="10" t="s">
        <x:v>5188</x:v>
      </x:c>
      <x:c r="P1748" s="10" t="s">
        <x:v>115</x:v>
      </x:c>
      <x:c r="Q1748" s="10" t="s">
        <x:v>45</x:v>
      </x:c>
      <x:c r="R1748" s="10" t="s">
        <x:v>5241</x:v>
      </x:c>
      <x:c r="S1748" s="10"/>
      <x:c r="T1748" s="10" t="s">
        <x:v>27</x:v>
      </x:c>
      <x:c r="U1748" s="10" t="s">
        <x:v>20</x:v>
      </x:c>
      <x:c r="V1748" s="10" t="s">
        <x:v>5218</x:v>
      </x:c>
    </x:row>
    <x:row r="1749" ht="15" hidden="0" customHeight="1">
      <x:c r="A1749" s="10" t="s">
        <x:v>5242</x:v>
      </x:c>
      <x:c r="B1749" s="10" t="s">
        <x:v>4833</x:v>
      </x:c>
      <x:c r="C1749" s="10" t="s">
        <x:v>4834</x:v>
      </x:c>
      <x:c r="D1749" s="10" t="s">
        <x:v>5243</x:v>
      </x:c>
      <x:c r="E1749" s="10" t="s">
        <x:v>5244</x:v>
      </x:c>
      <x:c r="F1749" s="10" t="s">
        <x:v>108</x:v>
      </x:c>
      <x:c r="G1749" s="10" t="s">
        <x:v>109</x:v>
      </x:c>
      <x:c r="H1749" s="10" t="s">
        <x:v>5067</x:v>
      </x:c>
      <x:c r="I1749" s="10" t="s">
        <x:v>4837</x:v>
      </x:c>
      <x:c r="J1749" s="10" t="s">
        <x:v>5245</x:v>
      </x:c>
      <x:c r="K1749" s="10" t="s">
        <x:v>5246</x:v>
      </x:c>
      <x:c r="L1749" s="10" t="s">
        <x:v>5246</x:v>
      </x:c>
      <x:c r="M1749" s="10"/>
      <x:c r="N1749" s="10"/>
      <x:c r="O1749" s="10" t="s">
        <x:v>5070</x:v>
      </x:c>
      <x:c r="P1749" s="10" t="s">
        <x:v>115</x:v>
      </x:c>
      <x:c r="Q1749" s="10" t="s">
        <x:v>45</x:v>
      </x:c>
      <x:c r="R1749" s="10"/>
      <x:c r="S1749" s="10"/>
      <x:c r="T1749" s="10" t="s">
        <x:v>27</x:v>
      </x:c>
      <x:c r="U1749" s="10" t="s">
        <x:v>20</x:v>
      </x:c>
      <x:c r="V1749" s="10" t="s">
        <x:v>5247</x:v>
      </x:c>
    </x:row>
    <x:row r="1750" ht="15" hidden="0" customHeight="1">
      <x:c r="A1750" s="10" t="s">
        <x:v>5248</x:v>
      </x:c>
      <x:c r="B1750" s="10" t="s">
        <x:v>4833</x:v>
      </x:c>
      <x:c r="C1750" s="10" t="s">
        <x:v>4834</x:v>
      </x:c>
      <x:c r="D1750" s="10" t="s">
        <x:v>5249</x:v>
      </x:c>
      <x:c r="E1750" s="10" t="s">
        <x:v>5250</x:v>
      </x:c>
      <x:c r="F1750" s="10" t="s">
        <x:v>108</x:v>
      </x:c>
      <x:c r="G1750" s="10" t="s">
        <x:v>109</x:v>
      </x:c>
      <x:c r="H1750" s="10" t="s">
        <x:v>5067</x:v>
      </x:c>
      <x:c r="I1750" s="10" t="s">
        <x:v>4837</x:v>
      </x:c>
      <x:c r="J1750" s="10" t="s">
        <x:v>5245</x:v>
      </x:c>
      <x:c r="K1750" s="10" t="s">
        <x:v>5251</x:v>
      </x:c>
      <x:c r="L1750" s="10" t="s">
        <x:v>5251</x:v>
      </x:c>
      <x:c r="M1750" s="10"/>
      <x:c r="N1750" s="10"/>
      <x:c r="O1750" s="10" t="s">
        <x:v>5070</x:v>
      </x:c>
      <x:c r="P1750" s="10" t="s">
        <x:v>115</x:v>
      </x:c>
      <x:c r="Q1750" s="10" t="s">
        <x:v>45</x:v>
      </x:c>
      <x:c r="R1750" s="10" t="s">
        <x:v>5252</x:v>
      </x:c>
      <x:c r="S1750" s="10"/>
      <x:c r="T1750" s="10" t="s">
        <x:v>27</x:v>
      </x:c>
      <x:c r="U1750" s="10" t="s">
        <x:v>20</x:v>
      </x:c>
      <x:c r="V1750" s="10" t="s">
        <x:v>5247</x:v>
      </x:c>
    </x:row>
    <x:row r="1751" ht="15" hidden="0" customHeight="1">
      <x:c r="A1751" s="10" t="s">
        <x:v>5253</x:v>
      </x:c>
      <x:c r="B1751" s="10" t="s">
        <x:v>4833</x:v>
      </x:c>
      <x:c r="C1751" s="10" t="s">
        <x:v>4834</x:v>
      </x:c>
      <x:c r="D1751" s="10" t="s">
        <x:v>4897</x:v>
      </x:c>
      <x:c r="E1751" s="10" t="s">
        <x:v>5254</x:v>
      </x:c>
      <x:c r="F1751" s="10" t="s">
        <x:v>4899</x:v>
      </x:c>
      <x:c r="G1751" s="10" t="s">
        <x:v>181</x:v>
      </x:c>
      <x:c r="H1751" s="10" t="s">
        <x:v>5067</x:v>
      </x:c>
      <x:c r="I1751" s="10" t="s">
        <x:v>4837</x:v>
      </x:c>
      <x:c r="J1751" s="10" t="s">
        <x:v>5245</x:v>
      </x:c>
      <x:c r="K1751" s="10" t="s">
        <x:v>5255</x:v>
      </x:c>
      <x:c r="L1751" s="10" t="s">
        <x:v>5255</x:v>
      </x:c>
      <x:c r="M1751" s="10"/>
      <x:c r="N1751" s="10"/>
      <x:c r="O1751" s="10" t="s">
        <x:v>5070</x:v>
      </x:c>
      <x:c r="P1751" s="10" t="s">
        <x:v>115</x:v>
      </x:c>
      <x:c r="Q1751" s="10" t="s">
        <x:v>45</x:v>
      </x:c>
      <x:c r="R1751" s="10" t="s">
        <x:v>5256</x:v>
      </x:c>
      <x:c r="S1751" s="10"/>
      <x:c r="T1751" s="10" t="s">
        <x:v>27</x:v>
      </x:c>
      <x:c r="U1751" s="10" t="s">
        <x:v>20</x:v>
      </x:c>
      <x:c r="V1751" s="10" t="s">
        <x:v>5247</x:v>
      </x:c>
    </x:row>
    <x:row r="1752" ht="15" hidden="0" customHeight="1">
      <x:c r="A1752" s="10" t="s">
        <x:v>5257</x:v>
      </x:c>
      <x:c r="B1752" s="10" t="s">
        <x:v>4833</x:v>
      </x:c>
      <x:c r="C1752" s="10" t="s">
        <x:v>4834</x:v>
      </x:c>
      <x:c r="D1752" s="10" t="s">
        <x:v>5258</x:v>
      </x:c>
      <x:c r="E1752" s="10" t="s">
        <x:v>5259</x:v>
      </x:c>
      <x:c r="F1752" s="10" t="s">
        <x:v>108</x:v>
      </x:c>
      <x:c r="G1752" s="10" t="s">
        <x:v>109</x:v>
      </x:c>
      <x:c r="H1752" s="10" t="s">
        <x:v>5067</x:v>
      </x:c>
      <x:c r="I1752" s="10" t="s">
        <x:v>4837</x:v>
      </x:c>
      <x:c r="J1752" s="10" t="s">
        <x:v>5245</x:v>
      </x:c>
      <x:c r="K1752" s="10" t="s">
        <x:v>5251</x:v>
      </x:c>
      <x:c r="L1752" s="10" t="s">
        <x:v>5251</x:v>
      </x:c>
      <x:c r="M1752" s="10"/>
      <x:c r="N1752" s="10"/>
      <x:c r="O1752" s="10" t="s">
        <x:v>5070</x:v>
      </x:c>
      <x:c r="P1752" s="10" t="s">
        <x:v>115</x:v>
      </x:c>
      <x:c r="Q1752" s="10" t="s">
        <x:v>45</x:v>
      </x:c>
      <x:c r="R1752" s="10" t="s">
        <x:v>5260</x:v>
      </x:c>
      <x:c r="S1752" s="10"/>
      <x:c r="T1752" s="10" t="s">
        <x:v>27</x:v>
      </x:c>
      <x:c r="U1752" s="10" t="s">
        <x:v>20</x:v>
      </x:c>
      <x:c r="V1752" s="10" t="s">
        <x:v>5247</x:v>
      </x:c>
    </x:row>
    <x:row r="1753" ht="15" hidden="0" customHeight="1">
      <x:c r="A1753" s="10" t="s">
        <x:v>5261</x:v>
      </x:c>
      <x:c r="B1753" s="10" t="s">
        <x:v>4482</x:v>
      </x:c>
      <x:c r="C1753" s="10" t="s">
        <x:v>4483</x:v>
      </x:c>
      <x:c r="D1753" s="10" t="s">
        <x:v>5262</x:v>
      </x:c>
      <x:c r="E1753" s="10" t="s">
        <x:v>5263</x:v>
      </x:c>
      <x:c r="F1753" s="10" t="s">
        <x:v>1070</x:v>
      </x:c>
      <x:c r="G1753" s="10" t="s">
        <x:v>181</x:v>
      </x:c>
      <x:c r="H1753" s="10" t="s">
        <x:v>4485</x:v>
      </x:c>
      <x:c r="I1753" s="10" t="s">
        <x:v>4486</x:v>
      </x:c>
      <x:c r="J1753" s="10" t="s">
        <x:v>112</x:v>
      </x:c>
      <x:c r="K1753" s="10" t="s">
        <x:v>5264</x:v>
      </x:c>
      <x:c r="L1753" s="10" t="s">
        <x:v>5264</x:v>
      </x:c>
      <x:c r="M1753" s="10"/>
      <x:c r="N1753" s="10"/>
      <x:c r="O1753" s="10" t="s">
        <x:v>114</x:v>
      </x:c>
      <x:c r="P1753" s="10" t="s">
        <x:v>115</x:v>
      </x:c>
      <x:c r="Q1753" s="10" t="s">
        <x:v>45</x:v>
      </x:c>
      <x:c r="R1753" s="10" t="s">
        <x:v>5265</x:v>
      </x:c>
      <x:c r="S1753" s="10"/>
      <x:c r="T1753" s="10" t="s">
        <x:v>30</x:v>
      </x:c>
      <x:c r="U1753" s="10" t="s">
        <x:v>20</x:v>
      </x:c>
      <x:c r="V1753" s="10" t="s">
        <x:v>5247</x:v>
      </x:c>
    </x:row>
    <x:row r="1754" ht="15" hidden="0" customHeight="1">
      <x:c r="A1754" s="10" t="s">
        <x:v>5266</x:v>
      </x:c>
      <x:c r="B1754" s="10" t="s">
        <x:v>4786</x:v>
      </x:c>
      <x:c r="C1754" s="10" t="s">
        <x:v>4787</x:v>
      </x:c>
      <x:c r="D1754" s="10" t="s">
        <x:v>5267</x:v>
      </x:c>
      <x:c r="E1754" s="10" t="s">
        <x:v>5268</x:v>
      </x:c>
      <x:c r="F1754" s="10" t="s">
        <x:v>108</x:v>
      </x:c>
      <x:c r="G1754" s="10" t="s">
        <x:v>109</x:v>
      </x:c>
      <x:c r="H1754" s="10" t="s">
        <x:v>4789</x:v>
      </x:c>
      <x:c r="I1754" s="10" t="s">
        <x:v>4790</x:v>
      </x:c>
      <x:c r="J1754" s="10" t="s">
        <x:v>5269</x:v>
      </x:c>
      <x:c r="K1754" s="10" t="s">
        <x:v>4719</x:v>
      </x:c>
      <x:c r="L1754" s="10" t="s">
        <x:v>4719</x:v>
      </x:c>
      <x:c r="M1754" s="10"/>
      <x:c r="N1754" s="10" t="n">
        <x:v>41</x:v>
      </x:c>
      <x:c r="O1754" s="10" t="s">
        <x:v>5270</x:v>
      </x:c>
      <x:c r="P1754" s="10" t="s">
        <x:v>115</x:v>
      </x:c>
      <x:c r="Q1754" s="10" t="s">
        <x:v>45</x:v>
      </x:c>
      <x:c r="R1754" s="10"/>
      <x:c r="S1754" s="10"/>
      <x:c r="T1754" s="10" t="s">
        <x:v>27</x:v>
      </x:c>
      <x:c r="U1754" s="10" t="s">
        <x:v>20</x:v>
      </x:c>
      <x:c r="V1754" s="10" t="s">
        <x:v>5247</x:v>
      </x:c>
    </x:row>
    <x:row r="1755" ht="15" hidden="0" customHeight="1">
      <x:c r="A1755" s="10" t="s">
        <x:v>5271</x:v>
      </x:c>
      <x:c r="B1755" s="10" t="s">
        <x:v>4786</x:v>
      </x:c>
      <x:c r="C1755" s="10" t="s">
        <x:v>4787</x:v>
      </x:c>
      <x:c r="D1755" s="10" t="s">
        <x:v>5272</x:v>
      </x:c>
      <x:c r="E1755" s="10" t="s">
        <x:v>5273</x:v>
      </x:c>
      <x:c r="F1755" s="10" t="s">
        <x:v>108</x:v>
      </x:c>
      <x:c r="G1755" s="10" t="s">
        <x:v>109</x:v>
      </x:c>
      <x:c r="H1755" s="10" t="s">
        <x:v>4789</x:v>
      </x:c>
      <x:c r="I1755" s="10" t="s">
        <x:v>4790</x:v>
      </x:c>
      <x:c r="J1755" s="10" t="s">
        <x:v>5269</x:v>
      </x:c>
      <x:c r="K1755" s="10" t="s">
        <x:v>4719</x:v>
      </x:c>
      <x:c r="L1755" s="10" t="s">
        <x:v>4719</x:v>
      </x:c>
      <x:c r="M1755" s="10"/>
      <x:c r="N1755" s="10" t="n">
        <x:v>41</x:v>
      </x:c>
      <x:c r="O1755" s="10" t="s">
        <x:v>5270</x:v>
      </x:c>
      <x:c r="P1755" s="10" t="s">
        <x:v>115</x:v>
      </x:c>
      <x:c r="Q1755" s="10" t="s">
        <x:v>45</x:v>
      </x:c>
      <x:c r="R1755" s="10"/>
      <x:c r="S1755" s="10"/>
      <x:c r="T1755" s="10" t="s">
        <x:v>27</x:v>
      </x:c>
      <x:c r="U1755" s="10" t="s">
        <x:v>20</x:v>
      </x:c>
      <x:c r="V1755" s="10" t="s">
        <x:v>5247</x:v>
      </x:c>
    </x:row>
    <x:row r="1756" ht="15" hidden="0" customHeight="1">
      <x:c r="A1756" s="10" t="s">
        <x:v>5274</x:v>
      </x:c>
      <x:c r="B1756" s="10" t="s">
        <x:v>4786</x:v>
      </x:c>
      <x:c r="C1756" s="10" t="s">
        <x:v>4787</x:v>
      </x:c>
      <x:c r="D1756" s="10" t="s">
        <x:v>5275</x:v>
      </x:c>
      <x:c r="E1756" s="10" t="s">
        <x:v>5276</x:v>
      </x:c>
      <x:c r="F1756" s="10" t="s">
        <x:v>108</x:v>
      </x:c>
      <x:c r="G1756" s="10" t="s">
        <x:v>109</x:v>
      </x:c>
      <x:c r="H1756" s="10" t="s">
        <x:v>4789</x:v>
      </x:c>
      <x:c r="I1756" s="10" t="s">
        <x:v>4790</x:v>
      </x:c>
      <x:c r="J1756" s="10" t="s">
        <x:v>5269</x:v>
      </x:c>
      <x:c r="K1756" s="10" t="s">
        <x:v>5277</x:v>
      </x:c>
      <x:c r="L1756" s="10" t="s">
        <x:v>5277</x:v>
      </x:c>
      <x:c r="M1756" s="10"/>
      <x:c r="N1756" s="10" t="n">
        <x:v>21</x:v>
      </x:c>
      <x:c r="O1756" s="10" t="s">
        <x:v>5270</x:v>
      </x:c>
      <x:c r="P1756" s="10" t="s">
        <x:v>115</x:v>
      </x:c>
      <x:c r="Q1756" s="10" t="s">
        <x:v>45</x:v>
      </x:c>
      <x:c r="R1756" s="10"/>
      <x:c r="S1756" s="10"/>
      <x:c r="T1756" s="10" t="s">
        <x:v>27</x:v>
      </x:c>
      <x:c r="U1756" s="10" t="s">
        <x:v>20</x:v>
      </x:c>
      <x:c r="V1756" s="10" t="s">
        <x:v>5247</x:v>
      </x:c>
    </x:row>
    <x:row r="1757" ht="15" hidden="0" customHeight="1">
      <x:c r="A1757" s="10" t="s">
        <x:v>5278</x:v>
      </x:c>
      <x:c r="B1757" s="10" t="s">
        <x:v>4786</x:v>
      </x:c>
      <x:c r="C1757" s="10" t="s">
        <x:v>4787</x:v>
      </x:c>
      <x:c r="D1757" s="10" t="s">
        <x:v>5279</x:v>
      </x:c>
      <x:c r="E1757" s="10" t="s">
        <x:v>5280</x:v>
      </x:c>
      <x:c r="F1757" s="10" t="s">
        <x:v>108</x:v>
      </x:c>
      <x:c r="G1757" s="10" t="s">
        <x:v>109</x:v>
      </x:c>
      <x:c r="H1757" s="10" t="s">
        <x:v>4789</x:v>
      </x:c>
      <x:c r="I1757" s="10" t="s">
        <x:v>4790</x:v>
      </x:c>
      <x:c r="J1757" s="10" t="s">
        <x:v>5269</x:v>
      </x:c>
      <x:c r="K1757" s="10" t="s">
        <x:v>5281</x:v>
      </x:c>
      <x:c r="L1757" s="10" t="s">
        <x:v>5281</x:v>
      </x:c>
      <x:c r="M1757" s="10"/>
      <x:c r="N1757" s="10" t="n">
        <x:v>31</x:v>
      </x:c>
      <x:c r="O1757" s="10" t="s">
        <x:v>5270</x:v>
      </x:c>
      <x:c r="P1757" s="10" t="s">
        <x:v>115</x:v>
      </x:c>
      <x:c r="Q1757" s="10" t="s">
        <x:v>45</x:v>
      </x:c>
      <x:c r="R1757" s="10"/>
      <x:c r="S1757" s="10"/>
      <x:c r="T1757" s="10" t="s">
        <x:v>27</x:v>
      </x:c>
      <x:c r="U1757" s="10" t="s">
        <x:v>20</x:v>
      </x:c>
      <x:c r="V1757" s="10" t="s">
        <x:v>5247</x:v>
      </x:c>
    </x:row>
    <x:row r="1758" ht="15" hidden="0" customHeight="1">
      <x:c r="A1758" s="10" t="s">
        <x:v>5282</x:v>
      </x:c>
      <x:c r="B1758" s="10" t="s">
        <x:v>4786</x:v>
      </x:c>
      <x:c r="C1758" s="10" t="s">
        <x:v>4787</x:v>
      </x:c>
      <x:c r="D1758" s="10" t="s">
        <x:v>5283</x:v>
      </x:c>
      <x:c r="E1758" s="10" t="s">
        <x:v>5284</x:v>
      </x:c>
      <x:c r="F1758" s="10" t="s">
        <x:v>108</x:v>
      </x:c>
      <x:c r="G1758" s="10" t="s">
        <x:v>109</x:v>
      </x:c>
      <x:c r="H1758" s="10" t="s">
        <x:v>4789</x:v>
      </x:c>
      <x:c r="I1758" s="10" t="s">
        <x:v>4790</x:v>
      </x:c>
      <x:c r="J1758" s="10" t="s">
        <x:v>5269</x:v>
      </x:c>
      <x:c r="K1758" s="10" t="s">
        <x:v>4770</x:v>
      </x:c>
      <x:c r="L1758" s="10" t="s">
        <x:v>4770</x:v>
      </x:c>
      <x:c r="M1758" s="10"/>
      <x:c r="N1758" s="10" t="n">
        <x:v>41</x:v>
      </x:c>
      <x:c r="O1758" s="10" t="s">
        <x:v>5270</x:v>
      </x:c>
      <x:c r="P1758" s="10" t="s">
        <x:v>115</x:v>
      </x:c>
      <x:c r="Q1758" s="10" t="s">
        <x:v>45</x:v>
      </x:c>
      <x:c r="R1758" s="10"/>
      <x:c r="S1758" s="10"/>
      <x:c r="T1758" s="10" t="s">
        <x:v>27</x:v>
      </x:c>
      <x:c r="U1758" s="10" t="s">
        <x:v>20</x:v>
      </x:c>
      <x:c r="V1758" s="10" t="s">
        <x:v>5247</x:v>
      </x:c>
    </x:row>
    <x:row r="1759" ht="15" hidden="0" customHeight="1">
      <x:c r="A1759" s="10" t="s">
        <x:v>5285</x:v>
      </x:c>
      <x:c r="B1759" s="10" t="s">
        <x:v>4786</x:v>
      </x:c>
      <x:c r="C1759" s="10" t="s">
        <x:v>4787</x:v>
      </x:c>
      <x:c r="D1759" s="10" t="s">
        <x:v>5286</x:v>
      </x:c>
      <x:c r="E1759" s="10" t="s">
        <x:v>5287</x:v>
      </x:c>
      <x:c r="F1759" s="10" t="s">
        <x:v>108</x:v>
      </x:c>
      <x:c r="G1759" s="10" t="s">
        <x:v>109</x:v>
      </x:c>
      <x:c r="H1759" s="10" t="s">
        <x:v>4789</x:v>
      </x:c>
      <x:c r="I1759" s="10" t="s">
        <x:v>4790</x:v>
      </x:c>
      <x:c r="J1759" s="10" t="s">
        <x:v>5269</x:v>
      </x:c>
      <x:c r="K1759" s="10" t="s">
        <x:v>5288</x:v>
      </x:c>
      <x:c r="L1759" s="10" t="s">
        <x:v>5288</x:v>
      </x:c>
      <x:c r="M1759" s="10"/>
      <x:c r="N1759" s="10" t="n">
        <x:v>41</x:v>
      </x:c>
      <x:c r="O1759" s="10" t="s">
        <x:v>5270</x:v>
      </x:c>
      <x:c r="P1759" s="10" t="s">
        <x:v>115</x:v>
      </x:c>
      <x:c r="Q1759" s="10" t="s">
        <x:v>45</x:v>
      </x:c>
      <x:c r="R1759" s="10"/>
      <x:c r="S1759" s="10"/>
      <x:c r="T1759" s="10" t="s">
        <x:v>27</x:v>
      </x:c>
      <x:c r="U1759" s="10" t="s">
        <x:v>20</x:v>
      </x:c>
      <x:c r="V1759" s="10" t="s">
        <x:v>5247</x:v>
      </x:c>
    </x:row>
    <x:row r="1760" ht="15" hidden="0" customHeight="1">
      <x:c r="A1760" s="10" t="s">
        <x:v>5289</x:v>
      </x:c>
      <x:c r="B1760" s="10" t="s">
        <x:v>4336</x:v>
      </x:c>
      <x:c r="C1760" s="10" t="s">
        <x:v>4384</x:v>
      </x:c>
      <x:c r="D1760" s="10" t="s">
        <x:v>5290</x:v>
      </x:c>
      <x:c r="E1760" s="10" t="s">
        <x:v>5291</x:v>
      </x:c>
      <x:c r="F1760" s="10" t="s">
        <x:v>108</x:v>
      </x:c>
      <x:c r="G1760" s="10" t="s">
        <x:v>109</x:v>
      </x:c>
      <x:c r="H1760" s="10" t="s">
        <x:v>4339</x:v>
      </x:c>
      <x:c r="I1760" s="10" t="s">
        <x:v>4340</x:v>
      </x:c>
      <x:c r="J1760" s="10" t="s">
        <x:v>5292</x:v>
      </x:c>
      <x:c r="K1760" s="10" t="s">
        <x:v>5293</x:v>
      </x:c>
      <x:c r="L1760" s="10" t="s">
        <x:v>5293</x:v>
      </x:c>
      <x:c r="M1760" s="10"/>
      <x:c r="N1760" s="10" t="n">
        <x:v>9</x:v>
      </x:c>
      <x:c r="O1760" s="10" t="s">
        <x:v>5294</x:v>
      </x:c>
      <x:c r="P1760" s="10" t="s">
        <x:v>115</x:v>
      </x:c>
      <x:c r="Q1760" s="10" t="s">
        <x:v>45</x:v>
      </x:c>
      <x:c r="R1760" s="10" t="s">
        <x:v>5295</x:v>
      </x:c>
      <x:c r="S1760" s="10"/>
      <x:c r="T1760" s="10" t="s">
        <x:v>27</x:v>
      </x:c>
      <x:c r="U1760" s="10" t="s">
        <x:v>20</x:v>
      </x:c>
      <x:c r="V1760" s="10" t="s">
        <x:v>5247</x:v>
      </x:c>
    </x:row>
    <x:row r="1761" ht="15" hidden="0" customHeight="1">
      <x:c r="A1761" s="10" t="s">
        <x:v>5296</x:v>
      </x:c>
      <x:c r="B1761" s="10" t="s">
        <x:v>4336</x:v>
      </x:c>
      <x:c r="C1761" s="10" t="s">
        <x:v>4384</x:v>
      </x:c>
      <x:c r="D1761" s="10" t="s">
        <x:v>5297</x:v>
      </x:c>
      <x:c r="E1761" s="10" t="s">
        <x:v>5298</x:v>
      </x:c>
      <x:c r="F1761" s="10" t="s">
        <x:v>108</x:v>
      </x:c>
      <x:c r="G1761" s="10" t="s">
        <x:v>109</x:v>
      </x:c>
      <x:c r="H1761" s="10" t="s">
        <x:v>4339</x:v>
      </x:c>
      <x:c r="I1761" s="10" t="s">
        <x:v>4340</x:v>
      </x:c>
      <x:c r="J1761" s="10" t="s">
        <x:v>5292</x:v>
      </x:c>
      <x:c r="K1761" s="10" t="s">
        <x:v>5299</x:v>
      </x:c>
      <x:c r="L1761" s="10" t="s">
        <x:v>5299</x:v>
      </x:c>
      <x:c r="M1761" s="10"/>
      <x:c r="N1761" s="10" t="n">
        <x:v>9</x:v>
      </x:c>
      <x:c r="O1761" s="10" t="s">
        <x:v>5294</x:v>
      </x:c>
      <x:c r="P1761" s="10" t="s">
        <x:v>115</x:v>
      </x:c>
      <x:c r="Q1761" s="10" t="s">
        <x:v>45</x:v>
      </x:c>
      <x:c r="R1761" s="10" t="s">
        <x:v>5300</x:v>
      </x:c>
      <x:c r="S1761" s="10"/>
      <x:c r="T1761" s="10" t="s">
        <x:v>27</x:v>
      </x:c>
      <x:c r="U1761" s="10" t="s">
        <x:v>20</x:v>
      </x:c>
      <x:c r="V1761" s="10" t="s">
        <x:v>5247</x:v>
      </x:c>
    </x:row>
    <x:row r="1762" ht="15" hidden="0" customHeight="1">
      <x:c r="A1762" s="10" t="s">
        <x:v>5301</x:v>
      </x:c>
      <x:c r="B1762" s="10" t="s">
        <x:v>781</x:v>
      </x:c>
      <x:c r="C1762" s="10" t="s">
        <x:v>5302</x:v>
      </x:c>
      <x:c r="D1762" s="10" t="s">
        <x:v>5303</x:v>
      </x:c>
      <x:c r="E1762" s="10" t="s">
        <x:v>5304</x:v>
      </x:c>
      <x:c r="F1762" s="10" t="s">
        <x:v>5305</x:v>
      </x:c>
      <x:c r="G1762" s="10" t="s">
        <x:v>181</x:v>
      </x:c>
      <x:c r="H1762" s="10" t="s">
        <x:v>783</x:v>
      </x:c>
      <x:c r="I1762" s="10" t="s">
        <x:v>5306</x:v>
      </x:c>
      <x:c r="J1762" s="10" t="s">
        <x:v>112</x:v>
      </x:c>
      <x:c r="K1762" s="10" t="s">
        <x:v>5307</x:v>
      </x:c>
      <x:c r="L1762" s="10" t="s">
        <x:v>5307</x:v>
      </x:c>
      <x:c r="M1762" s="10"/>
      <x:c r="N1762" s="10"/>
      <x:c r="O1762" s="10" t="s">
        <x:v>114</x:v>
      </x:c>
      <x:c r="P1762" s="10" t="s">
        <x:v>115</x:v>
      </x:c>
      <x:c r="Q1762" s="10" t="s">
        <x:v>45</x:v>
      </x:c>
      <x:c r="R1762" s="10" t="s">
        <x:v>5308</x:v>
      </x:c>
      <x:c r="S1762" s="10"/>
      <x:c r="T1762" s="10" t="s">
        <x:v>27</x:v>
      </x:c>
      <x:c r="U1762" s="10" t="s">
        <x:v>20</x:v>
      </x:c>
      <x:c r="V1762" s="10" t="s">
        <x:v>5247</x:v>
      </x:c>
    </x:row>
    <x:row r="1763" ht="15" hidden="0" customHeight="1">
      <x:c r="A1763" s="10" t="s">
        <x:v>5309</x:v>
      </x:c>
      <x:c r="B1763" s="10" t="s">
        <x:v>4916</x:v>
      </x:c>
      <x:c r="C1763" s="10" t="s">
        <x:v>4917</x:v>
      </x:c>
      <x:c r="D1763" s="10" t="s">
        <x:v>5303</x:v>
      </x:c>
      <x:c r="E1763" s="10" t="s">
        <x:v>5310</x:v>
      </x:c>
      <x:c r="F1763" s="10" t="s">
        <x:v>5305</x:v>
      </x:c>
      <x:c r="G1763" s="10" t="s">
        <x:v>181</x:v>
      </x:c>
      <x:c r="H1763" s="10" t="s">
        <x:v>4919</x:v>
      </x:c>
      <x:c r="I1763" s="10" t="s">
        <x:v>4920</x:v>
      </x:c>
      <x:c r="J1763" s="10" t="s">
        <x:v>4921</x:v>
      </x:c>
      <x:c r="K1763" s="10" t="s">
        <x:v>5311</x:v>
      </x:c>
      <x:c r="L1763" s="10" t="s">
        <x:v>5311</x:v>
      </x:c>
      <x:c r="M1763" s="10"/>
      <x:c r="N1763" s="10"/>
      <x:c r="O1763" s="10" t="s">
        <x:v>4923</x:v>
      </x:c>
      <x:c r="P1763" s="10" t="s">
        <x:v>115</x:v>
      </x:c>
      <x:c r="Q1763" s="10" t="s">
        <x:v>45</x:v>
      </x:c>
      <x:c r="R1763" s="10" t="s">
        <x:v>5312</x:v>
      </x:c>
      <x:c r="S1763" s="10"/>
      <x:c r="T1763" s="10" t="s">
        <x:v>27</x:v>
      </x:c>
      <x:c r="U1763" s="10" t="s">
        <x:v>20</x:v>
      </x:c>
      <x:c r="V1763" s="10" t="s">
        <x:v>5247</x:v>
      </x:c>
    </x:row>
    <x:row r="1764" ht="15" hidden="0" customHeight="1">
      <x:c r="A1764" s="10" t="s">
        <x:v>5313</x:v>
      </x:c>
      <x:c r="B1764" s="10" t="s">
        <x:v>554</x:v>
      </x:c>
      <x:c r="C1764" s="10" t="s">
        <x:v>5314</x:v>
      </x:c>
      <x:c r="D1764" s="10" t="s">
        <x:v>5194</x:v>
      </x:c>
      <x:c r="E1764" s="10" t="s">
        <x:v>5315</x:v>
      </x:c>
      <x:c r="F1764" s="10" t="s">
        <x:v>108</x:v>
      </x:c>
      <x:c r="G1764" s="10" t="s">
        <x:v>109</x:v>
      </x:c>
      <x:c r="H1764" s="10" t="s">
        <x:v>5316</x:v>
      </x:c>
      <x:c r="I1764" s="10" t="s">
        <x:v>5317</x:v>
      </x:c>
      <x:c r="J1764" s="10" t="s">
        <x:v>5318</x:v>
      </x:c>
      <x:c r="K1764" s="10" t="s">
        <x:v>5319</x:v>
      </x:c>
      <x:c r="L1764" s="10" t="s">
        <x:v>5319</x:v>
      </x:c>
      <x:c r="M1764" s="10"/>
      <x:c r="N1764" s="10" t="n">
        <x:v>3</x:v>
      </x:c>
      <x:c r="O1764" s="10" t="s">
        <x:v>1204</x:v>
      </x:c>
      <x:c r="P1764" s="10" t="s">
        <x:v>115</x:v>
      </x:c>
      <x:c r="Q1764" s="10" t="s">
        <x:v>45</x:v>
      </x:c>
      <x:c r="R1764" s="10"/>
      <x:c r="S1764" s="10"/>
      <x:c r="T1764" s="10" t="s">
        <x:v>27</x:v>
      </x:c>
      <x:c r="U1764" s="10" t="s">
        <x:v>20</x:v>
      </x:c>
      <x:c r="V1764" s="10" t="s">
        <x:v>5320</x:v>
      </x:c>
    </x:row>
    <x:row r="1765" ht="15" hidden="0" customHeight="1">
      <x:c r="A1765" s="10" t="s">
        <x:v>5321</x:v>
      </x:c>
      <x:c r="B1765" s="10" t="s">
        <x:v>554</x:v>
      </x:c>
      <x:c r="C1765" s="10" t="s">
        <x:v>5322</x:v>
      </x:c>
      <x:c r="D1765" s="10" t="s">
        <x:v>5323</x:v>
      </x:c>
      <x:c r="E1765" s="10" t="s">
        <x:v>5324</x:v>
      </x:c>
      <x:c r="F1765" s="10" t="s">
        <x:v>108</x:v>
      </x:c>
      <x:c r="G1765" s="10" t="s">
        <x:v>109</x:v>
      </x:c>
      <x:c r="H1765" s="10" t="s">
        <x:v>5316</x:v>
      </x:c>
      <x:c r="I1765" s="10" t="s">
        <x:v>5317</x:v>
      </x:c>
      <x:c r="J1765" s="10" t="s">
        <x:v>5318</x:v>
      </x:c>
      <x:c r="K1765" s="10" t="s">
        <x:v>5325</x:v>
      </x:c>
      <x:c r="L1765" s="10" t="s">
        <x:v>5325</x:v>
      </x:c>
      <x:c r="M1765" s="10"/>
      <x:c r="N1765" s="10" t="n">
        <x:v>3</x:v>
      </x:c>
      <x:c r="O1765" s="10" t="s">
        <x:v>1204</x:v>
      </x:c>
      <x:c r="P1765" s="10" t="s">
        <x:v>115</x:v>
      </x:c>
      <x:c r="Q1765" s="10" t="s">
        <x:v>45</x:v>
      </x:c>
      <x:c r="R1765" s="10"/>
      <x:c r="S1765" s="10"/>
      <x:c r="T1765" s="10" t="s">
        <x:v>27</x:v>
      </x:c>
      <x:c r="U1765" s="10" t="s">
        <x:v>20</x:v>
      </x:c>
      <x:c r="V1765" s="10" t="s">
        <x:v>5320</x:v>
      </x:c>
    </x:row>
    <x:row r="1766" ht="15" hidden="0" customHeight="1">
      <x:c r="A1766" s="10" t="s">
        <x:v>5326</x:v>
      </x:c>
      <x:c r="B1766" s="10" t="s">
        <x:v>554</x:v>
      </x:c>
      <x:c r="C1766" s="10" t="s">
        <x:v>5322</x:v>
      </x:c>
      <x:c r="D1766" s="10" t="s">
        <x:v>1948</x:v>
      </x:c>
      <x:c r="E1766" s="10" t="s">
        <x:v>5327</x:v>
      </x:c>
      <x:c r="F1766" s="10" t="s">
        <x:v>108</x:v>
      </x:c>
      <x:c r="G1766" s="10" t="s">
        <x:v>109</x:v>
      </x:c>
      <x:c r="H1766" s="10" t="s">
        <x:v>5316</x:v>
      </x:c>
      <x:c r="I1766" s="10" t="s">
        <x:v>5317</x:v>
      </x:c>
      <x:c r="J1766" s="10" t="s">
        <x:v>5318</x:v>
      </x:c>
      <x:c r="K1766" s="10" t="s">
        <x:v>5328</x:v>
      </x:c>
      <x:c r="L1766" s="10" t="s">
        <x:v>5328</x:v>
      </x:c>
      <x:c r="M1766" s="10"/>
      <x:c r="N1766" s="10" t="n">
        <x:v>3</x:v>
      </x:c>
      <x:c r="O1766" s="10" t="s">
        <x:v>1204</x:v>
      </x:c>
      <x:c r="P1766" s="10" t="s">
        <x:v>115</x:v>
      </x:c>
      <x:c r="Q1766" s="10" t="s">
        <x:v>45</x:v>
      </x:c>
      <x:c r="R1766" s="10"/>
      <x:c r="S1766" s="10"/>
      <x:c r="T1766" s="10" t="s">
        <x:v>27</x:v>
      </x:c>
      <x:c r="U1766" s="10" t="s">
        <x:v>20</x:v>
      </x:c>
      <x:c r="V1766" s="10" t="s">
        <x:v>5320</x:v>
      </x:c>
    </x:row>
    <x:row r="1767" ht="15" hidden="0" customHeight="1">
      <x:c r="A1767" s="10" t="s">
        <x:v>5329</x:v>
      </x:c>
      <x:c r="B1767" s="10" t="s">
        <x:v>554</x:v>
      </x:c>
      <x:c r="C1767" s="10" t="s">
        <x:v>5322</x:v>
      </x:c>
      <x:c r="D1767" s="10" t="s">
        <x:v>167</x:v>
      </x:c>
      <x:c r="E1767" s="10" t="s">
        <x:v>5330</x:v>
      </x:c>
      <x:c r="F1767" s="10" t="s">
        <x:v>108</x:v>
      </x:c>
      <x:c r="G1767" s="10" t="s">
        <x:v>109</x:v>
      </x:c>
      <x:c r="H1767" s="10" t="s">
        <x:v>5316</x:v>
      </x:c>
      <x:c r="I1767" s="10" t="s">
        <x:v>5317</x:v>
      </x:c>
      <x:c r="J1767" s="10" t="s">
        <x:v>5318</x:v>
      </x:c>
      <x:c r="K1767" s="10" t="s">
        <x:v>5328</x:v>
      </x:c>
      <x:c r="L1767" s="10" t="s">
        <x:v>5328</x:v>
      </x:c>
      <x:c r="M1767" s="10"/>
      <x:c r="N1767" s="10" t="n">
        <x:v>3</x:v>
      </x:c>
      <x:c r="O1767" s="10" t="s">
        <x:v>1204</x:v>
      </x:c>
      <x:c r="P1767" s="10" t="s">
        <x:v>115</x:v>
      </x:c>
      <x:c r="Q1767" s="10" t="s">
        <x:v>45</x:v>
      </x:c>
      <x:c r="R1767" s="10"/>
      <x:c r="S1767" s="10"/>
      <x:c r="T1767" s="10" t="s">
        <x:v>27</x:v>
      </x:c>
      <x:c r="U1767" s="10" t="s">
        <x:v>20</x:v>
      </x:c>
      <x:c r="V1767" s="10" t="s">
        <x:v>5320</x:v>
      </x:c>
    </x:row>
    <x:row r="1768" ht="15" hidden="0" customHeight="1">
      <x:c r="A1768" s="10" t="s">
        <x:v>5331</x:v>
      </x:c>
      <x:c r="B1768" s="10" t="s">
        <x:v>554</x:v>
      </x:c>
      <x:c r="C1768" s="10" t="s">
        <x:v>5322</x:v>
      </x:c>
      <x:c r="D1768" s="10" t="s">
        <x:v>1358</x:v>
      </x:c>
      <x:c r="E1768" s="10" t="s">
        <x:v>5332</x:v>
      </x:c>
      <x:c r="F1768" s="10" t="s">
        <x:v>108</x:v>
      </x:c>
      <x:c r="G1768" s="10" t="s">
        <x:v>109</x:v>
      </x:c>
      <x:c r="H1768" s="10" t="s">
        <x:v>5316</x:v>
      </x:c>
      <x:c r="I1768" s="10" t="s">
        <x:v>5317</x:v>
      </x:c>
      <x:c r="J1768" s="10" t="s">
        <x:v>5318</x:v>
      </x:c>
      <x:c r="K1768" s="10" t="s">
        <x:v>5328</x:v>
      </x:c>
      <x:c r="L1768" s="10" t="s">
        <x:v>5328</x:v>
      </x:c>
      <x:c r="M1768" s="10"/>
      <x:c r="N1768" s="10" t="n">
        <x:v>3</x:v>
      </x:c>
      <x:c r="O1768" s="10" t="s">
        <x:v>1204</x:v>
      </x:c>
      <x:c r="P1768" s="10" t="s">
        <x:v>115</x:v>
      </x:c>
      <x:c r="Q1768" s="10" t="s">
        <x:v>45</x:v>
      </x:c>
      <x:c r="R1768" s="10"/>
      <x:c r="S1768" s="10"/>
      <x:c r="T1768" s="10" t="s">
        <x:v>27</x:v>
      </x:c>
      <x:c r="U1768" s="10" t="s">
        <x:v>20</x:v>
      </x:c>
      <x:c r="V1768" s="10" t="s">
        <x:v>5320</x:v>
      </x:c>
    </x:row>
    <x:row r="1769" ht="15" hidden="0" customHeight="1">
      <x:c r="A1769" s="10" t="s">
        <x:v>5333</x:v>
      </x:c>
      <x:c r="B1769" s="10" t="s">
        <x:v>554</x:v>
      </x:c>
      <x:c r="C1769" s="10" t="s">
        <x:v>5322</x:v>
      </x:c>
      <x:c r="D1769" s="10" t="s">
        <x:v>5334</x:v>
      </x:c>
      <x:c r="E1769" s="10" t="s">
        <x:v>5335</x:v>
      </x:c>
      <x:c r="F1769" s="10" t="s">
        <x:v>108</x:v>
      </x:c>
      <x:c r="G1769" s="10" t="s">
        <x:v>109</x:v>
      </x:c>
      <x:c r="H1769" s="10" t="s">
        <x:v>5316</x:v>
      </x:c>
      <x:c r="I1769" s="10" t="s">
        <x:v>5317</x:v>
      </x:c>
      <x:c r="J1769" s="10" t="s">
        <x:v>5318</x:v>
      </x:c>
      <x:c r="K1769" s="10" t="s">
        <x:v>5328</x:v>
      </x:c>
      <x:c r="L1769" s="10" t="s">
        <x:v>5328</x:v>
      </x:c>
      <x:c r="M1769" s="10"/>
      <x:c r="N1769" s="10" t="n">
        <x:v>3</x:v>
      </x:c>
      <x:c r="O1769" s="10" t="s">
        <x:v>1204</x:v>
      </x:c>
      <x:c r="P1769" s="10" t="s">
        <x:v>115</x:v>
      </x:c>
      <x:c r="Q1769" s="10" t="s">
        <x:v>45</x:v>
      </x:c>
      <x:c r="R1769" s="10"/>
      <x:c r="S1769" s="10"/>
      <x:c r="T1769" s="10" t="s">
        <x:v>27</x:v>
      </x:c>
      <x:c r="U1769" s="10" t="s">
        <x:v>20</x:v>
      </x:c>
      <x:c r="V1769" s="10" t="s">
        <x:v>5320</x:v>
      </x:c>
    </x:row>
    <x:row r="1770" ht="15" hidden="0" customHeight="1">
      <x:c r="A1770" s="10" t="s">
        <x:v>5336</x:v>
      </x:c>
      <x:c r="B1770" s="10" t="s">
        <x:v>554</x:v>
      </x:c>
      <x:c r="C1770" s="10" t="s">
        <x:v>5322</x:v>
      </x:c>
      <x:c r="D1770" s="10" t="s">
        <x:v>5337</x:v>
      </x:c>
      <x:c r="E1770" s="10" t="s">
        <x:v>5338</x:v>
      </x:c>
      <x:c r="F1770" s="10" t="s">
        <x:v>108</x:v>
      </x:c>
      <x:c r="G1770" s="10" t="s">
        <x:v>109</x:v>
      </x:c>
      <x:c r="H1770" s="10" t="s">
        <x:v>5316</x:v>
      </x:c>
      <x:c r="I1770" s="10" t="s">
        <x:v>5317</x:v>
      </x:c>
      <x:c r="J1770" s="10" t="s">
        <x:v>5318</x:v>
      </x:c>
      <x:c r="K1770" s="10" t="s">
        <x:v>5328</x:v>
      </x:c>
      <x:c r="L1770" s="10" t="s">
        <x:v>5328</x:v>
      </x:c>
      <x:c r="M1770" s="10"/>
      <x:c r="N1770" s="10" t="n">
        <x:v>3</x:v>
      </x:c>
      <x:c r="O1770" s="10" t="s">
        <x:v>1204</x:v>
      </x:c>
      <x:c r="P1770" s="10" t="s">
        <x:v>115</x:v>
      </x:c>
      <x:c r="Q1770" s="10" t="s">
        <x:v>45</x:v>
      </x:c>
      <x:c r="R1770" s="10"/>
      <x:c r="S1770" s="10"/>
      <x:c r="T1770" s="10" t="s">
        <x:v>27</x:v>
      </x:c>
      <x:c r="U1770" s="10" t="s">
        <x:v>20</x:v>
      </x:c>
      <x:c r="V1770" s="10" t="s">
        <x:v>5320</x:v>
      </x:c>
    </x:row>
    <x:row r="1771" ht="15" hidden="0" customHeight="1">
      <x:c r="A1771" s="10" t="s">
        <x:v>5339</x:v>
      </x:c>
      <x:c r="B1771" s="10" t="s">
        <x:v>554</x:v>
      </x:c>
      <x:c r="C1771" s="10" t="s">
        <x:v>5322</x:v>
      </x:c>
      <x:c r="D1771" s="10" t="s">
        <x:v>1864</x:v>
      </x:c>
      <x:c r="E1771" s="10" t="s">
        <x:v>5340</x:v>
      </x:c>
      <x:c r="F1771" s="10" t="s">
        <x:v>108</x:v>
      </x:c>
      <x:c r="G1771" s="10" t="s">
        <x:v>109</x:v>
      </x:c>
      <x:c r="H1771" s="10" t="s">
        <x:v>5316</x:v>
      </x:c>
      <x:c r="I1771" s="10" t="s">
        <x:v>5317</x:v>
      </x:c>
      <x:c r="J1771" s="10" t="s">
        <x:v>5318</x:v>
      </x:c>
      <x:c r="K1771" s="10" t="s">
        <x:v>5328</x:v>
      </x:c>
      <x:c r="L1771" s="10" t="s">
        <x:v>5328</x:v>
      </x:c>
      <x:c r="M1771" s="10"/>
      <x:c r="N1771" s="10" t="n">
        <x:v>3</x:v>
      </x:c>
      <x:c r="O1771" s="10" t="s">
        <x:v>1204</x:v>
      </x:c>
      <x:c r="P1771" s="10" t="s">
        <x:v>115</x:v>
      </x:c>
      <x:c r="Q1771" s="10" t="s">
        <x:v>45</x:v>
      </x:c>
      <x:c r="R1771" s="10"/>
      <x:c r="S1771" s="10"/>
      <x:c r="T1771" s="10" t="s">
        <x:v>27</x:v>
      </x:c>
      <x:c r="U1771" s="10" t="s">
        <x:v>20</x:v>
      </x:c>
      <x:c r="V1771" s="10" t="s">
        <x:v>5320</x:v>
      </x:c>
    </x:row>
    <x:row r="1772" ht="15" hidden="0" customHeight="1">
      <x:c r="A1772" s="10" t="s">
        <x:v>5341</x:v>
      </x:c>
      <x:c r="B1772" s="10" t="s">
        <x:v>554</x:v>
      </x:c>
      <x:c r="C1772" s="10" t="s">
        <x:v>5322</x:v>
      </x:c>
      <x:c r="D1772" s="10" t="s">
        <x:v>170</x:v>
      </x:c>
      <x:c r="E1772" s="10" t="s">
        <x:v>5342</x:v>
      </x:c>
      <x:c r="F1772" s="10" t="s">
        <x:v>108</x:v>
      </x:c>
      <x:c r="G1772" s="10" t="s">
        <x:v>109</x:v>
      </x:c>
      <x:c r="H1772" s="10" t="s">
        <x:v>5316</x:v>
      </x:c>
      <x:c r="I1772" s="10" t="s">
        <x:v>5317</x:v>
      </x:c>
      <x:c r="J1772" s="10" t="s">
        <x:v>5318</x:v>
      </x:c>
      <x:c r="K1772" s="10" t="s">
        <x:v>5328</x:v>
      </x:c>
      <x:c r="L1772" s="10" t="s">
        <x:v>5328</x:v>
      </x:c>
      <x:c r="M1772" s="10"/>
      <x:c r="N1772" s="10" t="n">
        <x:v>3</x:v>
      </x:c>
      <x:c r="O1772" s="10" t="s">
        <x:v>1204</x:v>
      </x:c>
      <x:c r="P1772" s="10" t="s">
        <x:v>115</x:v>
      </x:c>
      <x:c r="Q1772" s="10" t="s">
        <x:v>45</x:v>
      </x:c>
      <x:c r="R1772" s="10"/>
      <x:c r="S1772" s="10"/>
      <x:c r="T1772" s="10" t="s">
        <x:v>27</x:v>
      </x:c>
      <x:c r="U1772" s="10" t="s">
        <x:v>20</x:v>
      </x:c>
      <x:c r="V1772" s="10" t="s">
        <x:v>5320</x:v>
      </x:c>
    </x:row>
    <x:row r="1773" ht="15" hidden="0" customHeight="1">
      <x:c r="A1773" s="10" t="s">
        <x:v>5343</x:v>
      </x:c>
      <x:c r="B1773" s="10" t="s">
        <x:v>554</x:v>
      </x:c>
      <x:c r="C1773" s="10" t="s">
        <x:v>5344</x:v>
      </x:c>
      <x:c r="D1773" s="10" t="s">
        <x:v>4391</x:v>
      </x:c>
      <x:c r="E1773" s="10" t="s">
        <x:v>5345</x:v>
      </x:c>
      <x:c r="F1773" s="10" t="s">
        <x:v>108</x:v>
      </x:c>
      <x:c r="G1773" s="10" t="s">
        <x:v>109</x:v>
      </x:c>
      <x:c r="H1773" s="10" t="s">
        <x:v>5316</x:v>
      </x:c>
      <x:c r="I1773" s="10" t="s">
        <x:v>5317</x:v>
      </x:c>
      <x:c r="J1773" s="10" t="s">
        <x:v>5318</x:v>
      </x:c>
      <x:c r="K1773" s="10" t="s">
        <x:v>5328</x:v>
      </x:c>
      <x:c r="L1773" s="10" t="s">
        <x:v>5328</x:v>
      </x:c>
      <x:c r="M1773" s="10"/>
      <x:c r="N1773" s="10" t="n">
        <x:v>3</x:v>
      </x:c>
      <x:c r="O1773" s="10" t="s">
        <x:v>1204</x:v>
      </x:c>
      <x:c r="P1773" s="10" t="s">
        <x:v>115</x:v>
      </x:c>
      <x:c r="Q1773" s="10" t="s">
        <x:v>45</x:v>
      </x:c>
      <x:c r="R1773" s="10"/>
      <x:c r="S1773" s="10"/>
      <x:c r="T1773" s="10" t="s">
        <x:v>27</x:v>
      </x:c>
      <x:c r="U1773" s="10" t="s">
        <x:v>20</x:v>
      </x:c>
      <x:c r="V1773" s="10" t="s">
        <x:v>5320</x:v>
      </x:c>
    </x:row>
    <x:row r="1774" ht="15" hidden="0" customHeight="1">
      <x:c r="A1774" s="10" t="s">
        <x:v>5346</x:v>
      </x:c>
      <x:c r="B1774" s="10" t="s">
        <x:v>554</x:v>
      </x:c>
      <x:c r="C1774" s="10" t="s">
        <x:v>5344</x:v>
      </x:c>
      <x:c r="D1774" s="10" t="s">
        <x:v>167</x:v>
      </x:c>
      <x:c r="E1774" s="10" t="s">
        <x:v>5347</x:v>
      </x:c>
      <x:c r="F1774" s="10" t="s">
        <x:v>108</x:v>
      </x:c>
      <x:c r="G1774" s="10" t="s">
        <x:v>109</x:v>
      </x:c>
      <x:c r="H1774" s="10" t="s">
        <x:v>5316</x:v>
      </x:c>
      <x:c r="I1774" s="10" t="s">
        <x:v>5317</x:v>
      </x:c>
      <x:c r="J1774" s="10" t="s">
        <x:v>5318</x:v>
      </x:c>
      <x:c r="K1774" s="10" t="s">
        <x:v>5328</x:v>
      </x:c>
      <x:c r="L1774" s="10" t="s">
        <x:v>5328</x:v>
      </x:c>
      <x:c r="M1774" s="10"/>
      <x:c r="N1774" s="10" t="n">
        <x:v>3</x:v>
      </x:c>
      <x:c r="O1774" s="10" t="s">
        <x:v>1204</x:v>
      </x:c>
      <x:c r="P1774" s="10" t="s">
        <x:v>115</x:v>
      </x:c>
      <x:c r="Q1774" s="10" t="s">
        <x:v>45</x:v>
      </x:c>
      <x:c r="R1774" s="10"/>
      <x:c r="S1774" s="10"/>
      <x:c r="T1774" s="10" t="s">
        <x:v>27</x:v>
      </x:c>
      <x:c r="U1774" s="10" t="s">
        <x:v>20</x:v>
      </x:c>
      <x:c r="V1774" s="10" t="s">
        <x:v>5320</x:v>
      </x:c>
    </x:row>
    <x:row r="1775" ht="15" hidden="0" customHeight="1">
      <x:c r="A1775" s="10" t="s">
        <x:v>5348</x:v>
      </x:c>
      <x:c r="B1775" s="10" t="s">
        <x:v>554</x:v>
      </x:c>
      <x:c r="C1775" s="10" t="s">
        <x:v>5344</x:v>
      </x:c>
      <x:c r="D1775" s="10" t="s">
        <x:v>5349</x:v>
      </x:c>
      <x:c r="E1775" s="10" t="s">
        <x:v>5350</x:v>
      </x:c>
      <x:c r="F1775" s="10" t="s">
        <x:v>108</x:v>
      </x:c>
      <x:c r="G1775" s="10" t="s">
        <x:v>109</x:v>
      </x:c>
      <x:c r="H1775" s="10" t="s">
        <x:v>5316</x:v>
      </x:c>
      <x:c r="I1775" s="10" t="s">
        <x:v>5317</x:v>
      </x:c>
      <x:c r="J1775" s="10" t="s">
        <x:v>5318</x:v>
      </x:c>
      <x:c r="K1775" s="10" t="s">
        <x:v>5328</x:v>
      </x:c>
      <x:c r="L1775" s="10" t="s">
        <x:v>5328</x:v>
      </x:c>
      <x:c r="M1775" s="10"/>
      <x:c r="N1775" s="10" t="n">
        <x:v>3</x:v>
      </x:c>
      <x:c r="O1775" s="10" t="s">
        <x:v>1204</x:v>
      </x:c>
      <x:c r="P1775" s="10" t="s">
        <x:v>115</x:v>
      </x:c>
      <x:c r="Q1775" s="10" t="s">
        <x:v>45</x:v>
      </x:c>
      <x:c r="R1775" s="10"/>
      <x:c r="S1775" s="10"/>
      <x:c r="T1775" s="10" t="s">
        <x:v>27</x:v>
      </x:c>
      <x:c r="U1775" s="10" t="s">
        <x:v>20</x:v>
      </x:c>
      <x:c r="V1775" s="10" t="s">
        <x:v>5320</x:v>
      </x:c>
    </x:row>
    <x:row r="1776" ht="15" hidden="0" customHeight="1">
      <x:c r="A1776" s="10" t="s">
        <x:v>5351</x:v>
      </x:c>
      <x:c r="B1776" s="10" t="s">
        <x:v>554</x:v>
      </x:c>
      <x:c r="C1776" s="10" t="s">
        <x:v>5344</x:v>
      </x:c>
      <x:c r="D1776" s="10" t="s">
        <x:v>1864</x:v>
      </x:c>
      <x:c r="E1776" s="10" t="s">
        <x:v>5340</x:v>
      </x:c>
      <x:c r="F1776" s="10" t="s">
        <x:v>108</x:v>
      </x:c>
      <x:c r="G1776" s="10" t="s">
        <x:v>109</x:v>
      </x:c>
      <x:c r="H1776" s="10" t="s">
        <x:v>5316</x:v>
      </x:c>
      <x:c r="I1776" s="10" t="s">
        <x:v>5317</x:v>
      </x:c>
      <x:c r="J1776" s="10" t="s">
        <x:v>5318</x:v>
      </x:c>
      <x:c r="K1776" s="10" t="s">
        <x:v>5328</x:v>
      </x:c>
      <x:c r="L1776" s="10" t="s">
        <x:v>5328</x:v>
      </x:c>
      <x:c r="M1776" s="10"/>
      <x:c r="N1776" s="10" t="n">
        <x:v>3</x:v>
      </x:c>
      <x:c r="O1776" s="10" t="s">
        <x:v>1204</x:v>
      </x:c>
      <x:c r="P1776" s="10" t="s">
        <x:v>115</x:v>
      </x:c>
      <x:c r="Q1776" s="10" t="s">
        <x:v>45</x:v>
      </x:c>
      <x:c r="R1776" s="10"/>
      <x:c r="S1776" s="10"/>
      <x:c r="T1776" s="10" t="s">
        <x:v>27</x:v>
      </x:c>
      <x:c r="U1776" s="10" t="s">
        <x:v>20</x:v>
      </x:c>
      <x:c r="V1776" s="10" t="s">
        <x:v>5320</x:v>
      </x:c>
    </x:row>
    <x:row r="1777" ht="15" hidden="0" customHeight="1">
      <x:c r="A1777" s="10" t="s">
        <x:v>5352</x:v>
      </x:c>
      <x:c r="B1777" s="10" t="s">
        <x:v>554</x:v>
      </x:c>
      <x:c r="C1777" s="10" t="s">
        <x:v>5344</x:v>
      </x:c>
      <x:c r="D1777" s="10" t="s">
        <x:v>170</x:v>
      </x:c>
      <x:c r="E1777" s="10" t="s">
        <x:v>5353</x:v>
      </x:c>
      <x:c r="F1777" s="10" t="s">
        <x:v>108</x:v>
      </x:c>
      <x:c r="G1777" s="10" t="s">
        <x:v>109</x:v>
      </x:c>
      <x:c r="H1777" s="10" t="s">
        <x:v>5316</x:v>
      </x:c>
      <x:c r="I1777" s="10" t="s">
        <x:v>5317</x:v>
      </x:c>
      <x:c r="J1777" s="10" t="s">
        <x:v>5318</x:v>
      </x:c>
      <x:c r="K1777" s="10" t="s">
        <x:v>5328</x:v>
      </x:c>
      <x:c r="L1777" s="10" t="s">
        <x:v>5328</x:v>
      </x:c>
      <x:c r="M1777" s="10"/>
      <x:c r="N1777" s="10" t="n">
        <x:v>3</x:v>
      </x:c>
      <x:c r="O1777" s="10" t="s">
        <x:v>1204</x:v>
      </x:c>
      <x:c r="P1777" s="10" t="s">
        <x:v>115</x:v>
      </x:c>
      <x:c r="Q1777" s="10" t="s">
        <x:v>45</x:v>
      </x:c>
      <x:c r="R1777" s="10"/>
      <x:c r="S1777" s="10"/>
      <x:c r="T1777" s="10" t="s">
        <x:v>27</x:v>
      </x:c>
      <x:c r="U1777" s="10" t="s">
        <x:v>20</x:v>
      </x:c>
      <x:c r="V1777" s="10" t="s">
        <x:v>5320</x:v>
      </x:c>
    </x:row>
    <x:row r="1778" ht="15" hidden="0" customHeight="1">
      <x:c r="A1778" s="10" t="s">
        <x:v>5354</x:v>
      </x:c>
      <x:c r="B1778" s="10" t="s">
        <x:v>554</x:v>
      </x:c>
      <x:c r="C1778" s="10" t="s">
        <x:v>5344</x:v>
      </x:c>
      <x:c r="D1778" s="10" t="s">
        <x:v>5355</x:v>
      </x:c>
      <x:c r="E1778" s="10" t="s">
        <x:v>5356</x:v>
      </x:c>
      <x:c r="F1778" s="10" t="s">
        <x:v>108</x:v>
      </x:c>
      <x:c r="G1778" s="10" t="s">
        <x:v>109</x:v>
      </x:c>
      <x:c r="H1778" s="10" t="s">
        <x:v>5316</x:v>
      </x:c>
      <x:c r="I1778" s="10" t="s">
        <x:v>5317</x:v>
      </x:c>
      <x:c r="J1778" s="10" t="s">
        <x:v>5318</x:v>
      </x:c>
      <x:c r="K1778" s="10" t="s">
        <x:v>5328</x:v>
      </x:c>
      <x:c r="L1778" s="10" t="s">
        <x:v>5328</x:v>
      </x:c>
      <x:c r="M1778" s="10"/>
      <x:c r="N1778" s="10" t="n">
        <x:v>3</x:v>
      </x:c>
      <x:c r="O1778" s="10" t="s">
        <x:v>1204</x:v>
      </x:c>
      <x:c r="P1778" s="10" t="s">
        <x:v>115</x:v>
      </x:c>
      <x:c r="Q1778" s="10" t="s">
        <x:v>45</x:v>
      </x:c>
      <x:c r="R1778" s="10"/>
      <x:c r="S1778" s="10"/>
      <x:c r="T1778" s="10" t="s">
        <x:v>27</x:v>
      </x:c>
      <x:c r="U1778" s="10" t="s">
        <x:v>20</x:v>
      </x:c>
      <x:c r="V1778" s="10" t="s">
        <x:v>5320</x:v>
      </x:c>
    </x:row>
    <x:row r="1779" ht="15" hidden="0" customHeight="1">
      <x:c r="A1779" s="10" t="s">
        <x:v>5357</x:v>
      </x:c>
      <x:c r="B1779" s="10" t="s">
        <x:v>554</x:v>
      </x:c>
      <x:c r="C1779" s="10" t="s">
        <x:v>5358</x:v>
      </x:c>
      <x:c r="D1779" s="10" t="s">
        <x:v>5359</x:v>
      </x:c>
      <x:c r="E1779" s="10" t="s">
        <x:v>5360</x:v>
      </x:c>
      <x:c r="F1779" s="10" t="s">
        <x:v>108</x:v>
      </x:c>
      <x:c r="G1779" s="10" t="s">
        <x:v>109</x:v>
      </x:c>
      <x:c r="H1779" s="10" t="s">
        <x:v>5316</x:v>
      </x:c>
      <x:c r="I1779" s="10" t="s">
        <x:v>5317</x:v>
      </x:c>
      <x:c r="J1779" s="10" t="s">
        <x:v>5318</x:v>
      </x:c>
      <x:c r="K1779" s="10" t="s">
        <x:v>5361</x:v>
      </x:c>
      <x:c r="L1779" s="10" t="s">
        <x:v>5361</x:v>
      </x:c>
      <x:c r="M1779" s="10"/>
      <x:c r="N1779" s="10" t="n">
        <x:v>4</x:v>
      </x:c>
      <x:c r="O1779" s="10" t="s">
        <x:v>1204</x:v>
      </x:c>
      <x:c r="P1779" s="10" t="s">
        <x:v>115</x:v>
      </x:c>
      <x:c r="Q1779" s="10" t="s">
        <x:v>45</x:v>
      </x:c>
      <x:c r="R1779" s="10"/>
      <x:c r="S1779" s="10"/>
      <x:c r="T1779" s="10" t="s">
        <x:v>27</x:v>
      </x:c>
      <x:c r="U1779" s="10" t="s">
        <x:v>20</x:v>
      </x:c>
      <x:c r="V1779" s="10" t="s">
        <x:v>5320</x:v>
      </x:c>
    </x:row>
    <x:row r="1780" ht="15" hidden="0" customHeight="1">
      <x:c r="A1780" s="10" t="s">
        <x:v>5362</x:v>
      </x:c>
      <x:c r="B1780" s="10" t="s">
        <x:v>554</x:v>
      </x:c>
      <x:c r="C1780" s="10" t="s">
        <x:v>5358</x:v>
      </x:c>
      <x:c r="D1780" s="10" t="s">
        <x:v>1948</x:v>
      </x:c>
      <x:c r="E1780" s="10" t="s">
        <x:v>5363</x:v>
      </x:c>
      <x:c r="F1780" s="10" t="s">
        <x:v>108</x:v>
      </x:c>
      <x:c r="G1780" s="10" t="s">
        <x:v>109</x:v>
      </x:c>
      <x:c r="H1780" s="10" t="s">
        <x:v>5316</x:v>
      </x:c>
      <x:c r="I1780" s="10" t="s">
        <x:v>5317</x:v>
      </x:c>
      <x:c r="J1780" s="10" t="s">
        <x:v>5318</x:v>
      </x:c>
      <x:c r="K1780" s="10" t="s">
        <x:v>5361</x:v>
      </x:c>
      <x:c r="L1780" s="10" t="s">
        <x:v>5361</x:v>
      </x:c>
      <x:c r="M1780" s="10"/>
      <x:c r="N1780" s="10" t="n">
        <x:v>4</x:v>
      </x:c>
      <x:c r="O1780" s="10" t="s">
        <x:v>1204</x:v>
      </x:c>
      <x:c r="P1780" s="10" t="s">
        <x:v>115</x:v>
      </x:c>
      <x:c r="Q1780" s="10" t="s">
        <x:v>45</x:v>
      </x:c>
      <x:c r="R1780" s="10"/>
      <x:c r="S1780" s="10"/>
      <x:c r="T1780" s="10" t="s">
        <x:v>27</x:v>
      </x:c>
      <x:c r="U1780" s="10" t="s">
        <x:v>20</x:v>
      </x:c>
      <x:c r="V1780" s="10" t="s">
        <x:v>5320</x:v>
      </x:c>
    </x:row>
    <x:row r="1781" ht="15" hidden="0" customHeight="1">
      <x:c r="A1781" s="10" t="s">
        <x:v>5364</x:v>
      </x:c>
      <x:c r="B1781" s="10" t="s">
        <x:v>554</x:v>
      </x:c>
      <x:c r="C1781" s="10" t="s">
        <x:v>5358</x:v>
      </x:c>
      <x:c r="D1781" s="10" t="s">
        <x:v>167</x:v>
      </x:c>
      <x:c r="E1781" s="10" t="s">
        <x:v>5365</x:v>
      </x:c>
      <x:c r="F1781" s="10" t="s">
        <x:v>108</x:v>
      </x:c>
      <x:c r="G1781" s="10" t="s">
        <x:v>109</x:v>
      </x:c>
      <x:c r="H1781" s="10" t="s">
        <x:v>5316</x:v>
      </x:c>
      <x:c r="I1781" s="10" t="s">
        <x:v>5317</x:v>
      </x:c>
      <x:c r="J1781" s="10" t="s">
        <x:v>5318</x:v>
      </x:c>
      <x:c r="K1781" s="10" t="s">
        <x:v>5361</x:v>
      </x:c>
      <x:c r="L1781" s="10" t="s">
        <x:v>5361</x:v>
      </x:c>
      <x:c r="M1781" s="10"/>
      <x:c r="N1781" s="10" t="n">
        <x:v>5</x:v>
      </x:c>
      <x:c r="O1781" s="10" t="s">
        <x:v>1204</x:v>
      </x:c>
      <x:c r="P1781" s="10" t="s">
        <x:v>115</x:v>
      </x:c>
      <x:c r="Q1781" s="10" t="s">
        <x:v>45</x:v>
      </x:c>
      <x:c r="R1781" s="10"/>
      <x:c r="S1781" s="10"/>
      <x:c r="T1781" s="10" t="s">
        <x:v>27</x:v>
      </x:c>
      <x:c r="U1781" s="10" t="s">
        <x:v>20</x:v>
      </x:c>
      <x:c r="V1781" s="10" t="s">
        <x:v>5320</x:v>
      </x:c>
    </x:row>
    <x:row r="1782" ht="15" hidden="0" customHeight="1">
      <x:c r="A1782" s="10" t="s">
        <x:v>5366</x:v>
      </x:c>
      <x:c r="B1782" s="10" t="s">
        <x:v>554</x:v>
      </x:c>
      <x:c r="C1782" s="10" t="s">
        <x:v>5358</x:v>
      </x:c>
      <x:c r="D1782" s="10" t="s">
        <x:v>1358</x:v>
      </x:c>
      <x:c r="E1782" s="10" t="s">
        <x:v>5367</x:v>
      </x:c>
      <x:c r="F1782" s="10" t="s">
        <x:v>108</x:v>
      </x:c>
      <x:c r="G1782" s="10" t="s">
        <x:v>109</x:v>
      </x:c>
      <x:c r="H1782" s="10" t="s">
        <x:v>5316</x:v>
      </x:c>
      <x:c r="I1782" s="10" t="s">
        <x:v>5317</x:v>
      </x:c>
      <x:c r="J1782" s="10" t="s">
        <x:v>5318</x:v>
      </x:c>
      <x:c r="K1782" s="10" t="s">
        <x:v>5361</x:v>
      </x:c>
      <x:c r="L1782" s="10" t="s">
        <x:v>5361</x:v>
      </x:c>
      <x:c r="M1782" s="10"/>
      <x:c r="N1782" s="10" t="n">
        <x:v>5</x:v>
      </x:c>
      <x:c r="O1782" s="10" t="s">
        <x:v>1204</x:v>
      </x:c>
      <x:c r="P1782" s="10" t="s">
        <x:v>115</x:v>
      </x:c>
      <x:c r="Q1782" s="10" t="s">
        <x:v>45</x:v>
      </x:c>
      <x:c r="R1782" s="10"/>
      <x:c r="S1782" s="10"/>
      <x:c r="T1782" s="10" t="s">
        <x:v>27</x:v>
      </x:c>
      <x:c r="U1782" s="10" t="s">
        <x:v>20</x:v>
      </x:c>
      <x:c r="V1782" s="10" t="s">
        <x:v>5320</x:v>
      </x:c>
    </x:row>
    <x:row r="1783" ht="15" hidden="0" customHeight="1">
      <x:c r="A1783" s="10" t="s">
        <x:v>5368</x:v>
      </x:c>
      <x:c r="B1783" s="10" t="s">
        <x:v>554</x:v>
      </x:c>
      <x:c r="C1783" s="10" t="s">
        <x:v>5358</x:v>
      </x:c>
      <x:c r="D1783" s="10" t="s">
        <x:v>5334</x:v>
      </x:c>
      <x:c r="E1783" s="10" t="s">
        <x:v>5369</x:v>
      </x:c>
      <x:c r="F1783" s="10" t="s">
        <x:v>108</x:v>
      </x:c>
      <x:c r="G1783" s="10" t="s">
        <x:v>109</x:v>
      </x:c>
      <x:c r="H1783" s="10" t="s">
        <x:v>5316</x:v>
      </x:c>
      <x:c r="I1783" s="10" t="s">
        <x:v>5317</x:v>
      </x:c>
      <x:c r="J1783" s="10" t="s">
        <x:v>5318</x:v>
      </x:c>
      <x:c r="K1783" s="10" t="s">
        <x:v>5361</x:v>
      </x:c>
      <x:c r="L1783" s="10" t="s">
        <x:v>5361</x:v>
      </x:c>
      <x:c r="M1783" s="10"/>
      <x:c r="N1783" s="10" t="n">
        <x:v>5</x:v>
      </x:c>
      <x:c r="O1783" s="10" t="s">
        <x:v>1204</x:v>
      </x:c>
      <x:c r="P1783" s="10" t="s">
        <x:v>115</x:v>
      </x:c>
      <x:c r="Q1783" s="10" t="s">
        <x:v>45</x:v>
      </x:c>
      <x:c r="R1783" s="10"/>
      <x:c r="S1783" s="10"/>
      <x:c r="T1783" s="10" t="s">
        <x:v>27</x:v>
      </x:c>
      <x:c r="U1783" s="10" t="s">
        <x:v>20</x:v>
      </x:c>
      <x:c r="V1783" s="10" t="s">
        <x:v>5320</x:v>
      </x:c>
    </x:row>
    <x:row r="1784" ht="15" hidden="0" customHeight="1">
      <x:c r="A1784" s="10" t="s">
        <x:v>5370</x:v>
      </x:c>
      <x:c r="B1784" s="10" t="s">
        <x:v>554</x:v>
      </x:c>
      <x:c r="C1784" s="10" t="s">
        <x:v>5358</x:v>
      </x:c>
      <x:c r="D1784" s="10" t="s">
        <x:v>5337</x:v>
      </x:c>
      <x:c r="E1784" s="10" t="s">
        <x:v>5371</x:v>
      </x:c>
      <x:c r="F1784" s="10" t="s">
        <x:v>108</x:v>
      </x:c>
      <x:c r="G1784" s="10" t="s">
        <x:v>109</x:v>
      </x:c>
      <x:c r="H1784" s="10" t="s">
        <x:v>5316</x:v>
      </x:c>
      <x:c r="I1784" s="10" t="s">
        <x:v>5317</x:v>
      </x:c>
      <x:c r="J1784" s="10" t="s">
        <x:v>5318</x:v>
      </x:c>
      <x:c r="K1784" s="10" t="s">
        <x:v>5361</x:v>
      </x:c>
      <x:c r="L1784" s="10" t="s">
        <x:v>5361</x:v>
      </x:c>
      <x:c r="M1784" s="10"/>
      <x:c r="N1784" s="10" t="n">
        <x:v>5</x:v>
      </x:c>
      <x:c r="O1784" s="10" t="s">
        <x:v>1204</x:v>
      </x:c>
      <x:c r="P1784" s="10" t="s">
        <x:v>115</x:v>
      </x:c>
      <x:c r="Q1784" s="10" t="s">
        <x:v>45</x:v>
      </x:c>
      <x:c r="R1784" s="10"/>
      <x:c r="S1784" s="10"/>
      <x:c r="T1784" s="10" t="s">
        <x:v>27</x:v>
      </x:c>
      <x:c r="U1784" s="10" t="s">
        <x:v>20</x:v>
      </x:c>
      <x:c r="V1784" s="10" t="s">
        <x:v>5320</x:v>
      </x:c>
    </x:row>
    <x:row r="1785" ht="15" hidden="0" customHeight="1">
      <x:c r="A1785" s="10" t="s">
        <x:v>5372</x:v>
      </x:c>
      <x:c r="B1785" s="10" t="s">
        <x:v>554</x:v>
      </x:c>
      <x:c r="C1785" s="10" t="s">
        <x:v>5358</x:v>
      </x:c>
      <x:c r="D1785" s="10" t="s">
        <x:v>1864</x:v>
      </x:c>
      <x:c r="E1785" s="10" t="s">
        <x:v>5340</x:v>
      </x:c>
      <x:c r="F1785" s="10" t="s">
        <x:v>108</x:v>
      </x:c>
      <x:c r="G1785" s="10" t="s">
        <x:v>109</x:v>
      </x:c>
      <x:c r="H1785" s="10" t="s">
        <x:v>5316</x:v>
      </x:c>
      <x:c r="I1785" s="10" t="s">
        <x:v>5317</x:v>
      </x:c>
      <x:c r="J1785" s="10" t="s">
        <x:v>5318</x:v>
      </x:c>
      <x:c r="K1785" s="10" t="s">
        <x:v>5361</x:v>
      </x:c>
      <x:c r="L1785" s="10" t="s">
        <x:v>5361</x:v>
      </x:c>
      <x:c r="M1785" s="10"/>
      <x:c r="N1785" s="10" t="n">
        <x:v>5</x:v>
      </x:c>
      <x:c r="O1785" s="10" t="s">
        <x:v>1204</x:v>
      </x:c>
      <x:c r="P1785" s="10" t="s">
        <x:v>115</x:v>
      </x:c>
      <x:c r="Q1785" s="10" t="s">
        <x:v>45</x:v>
      </x:c>
      <x:c r="R1785" s="10"/>
      <x:c r="S1785" s="10"/>
      <x:c r="T1785" s="10" t="s">
        <x:v>27</x:v>
      </x:c>
      <x:c r="U1785" s="10" t="s">
        <x:v>20</x:v>
      </x:c>
      <x:c r="V1785" s="10" t="s">
        <x:v>5320</x:v>
      </x:c>
    </x:row>
    <x:row r="1786" ht="15" hidden="0" customHeight="1">
      <x:c r="A1786" s="10" t="s">
        <x:v>5373</x:v>
      </x:c>
      <x:c r="B1786" s="10" t="s">
        <x:v>554</x:v>
      </x:c>
      <x:c r="C1786" s="10" t="s">
        <x:v>5358</x:v>
      </x:c>
      <x:c r="D1786" s="10" t="s">
        <x:v>170</x:v>
      </x:c>
      <x:c r="E1786" s="10" t="s">
        <x:v>5374</x:v>
      </x:c>
      <x:c r="F1786" s="10" t="s">
        <x:v>108</x:v>
      </x:c>
      <x:c r="G1786" s="10" t="s">
        <x:v>109</x:v>
      </x:c>
      <x:c r="H1786" s="10" t="s">
        <x:v>5316</x:v>
      </x:c>
      <x:c r="I1786" s="10" t="s">
        <x:v>5317</x:v>
      </x:c>
      <x:c r="J1786" s="10" t="s">
        <x:v>5318</x:v>
      </x:c>
      <x:c r="K1786" s="10" t="s">
        <x:v>5361</x:v>
      </x:c>
      <x:c r="L1786" s="10" t="s">
        <x:v>5361</x:v>
      </x:c>
      <x:c r="M1786" s="10"/>
      <x:c r="N1786" s="10" t="n">
        <x:v>5</x:v>
      </x:c>
      <x:c r="O1786" s="10" t="s">
        <x:v>1204</x:v>
      </x:c>
      <x:c r="P1786" s="10" t="s">
        <x:v>115</x:v>
      </x:c>
      <x:c r="Q1786" s="10" t="s">
        <x:v>45</x:v>
      </x:c>
      <x:c r="R1786" s="10"/>
      <x:c r="S1786" s="10"/>
      <x:c r="T1786" s="10" t="s">
        <x:v>27</x:v>
      </x:c>
      <x:c r="U1786" s="10" t="s">
        <x:v>20</x:v>
      </x:c>
      <x:c r="V1786" s="10" t="s">
        <x:v>5320</x:v>
      </x:c>
    </x:row>
    <x:row r="1787" ht="15" hidden="0" customHeight="1">
      <x:c r="A1787" s="10" t="s">
        <x:v>5375</x:v>
      </x:c>
      <x:c r="B1787" s="10" t="s">
        <x:v>554</x:v>
      </x:c>
      <x:c r="C1787" s="10" t="s">
        <x:v>5358</x:v>
      </x:c>
      <x:c r="D1787" s="10" t="s">
        <x:v>318</x:v>
      </x:c>
      <x:c r="E1787" s="10" t="s">
        <x:v>5376</x:v>
      </x:c>
      <x:c r="F1787" s="10" t="s">
        <x:v>108</x:v>
      </x:c>
      <x:c r="G1787" s="10" t="s">
        <x:v>109</x:v>
      </x:c>
      <x:c r="H1787" s="10" t="s">
        <x:v>5316</x:v>
      </x:c>
      <x:c r="I1787" s="10" t="s">
        <x:v>5317</x:v>
      </x:c>
      <x:c r="J1787" s="10" t="s">
        <x:v>5318</x:v>
      </x:c>
      <x:c r="K1787" s="10" t="s">
        <x:v>5361</x:v>
      </x:c>
      <x:c r="L1787" s="10" t="s">
        <x:v>5361</x:v>
      </x:c>
      <x:c r="M1787" s="10"/>
      <x:c r="N1787" s="10" t="n">
        <x:v>5</x:v>
      </x:c>
      <x:c r="O1787" s="10" t="s">
        <x:v>1204</x:v>
      </x:c>
      <x:c r="P1787" s="10" t="s">
        <x:v>115</x:v>
      </x:c>
      <x:c r="Q1787" s="10" t="s">
        <x:v>45</x:v>
      </x:c>
      <x:c r="R1787" s="10"/>
      <x:c r="S1787" s="10"/>
      <x:c r="T1787" s="10" t="s">
        <x:v>27</x:v>
      </x:c>
      <x:c r="U1787" s="10" t="s">
        <x:v>20</x:v>
      </x:c>
      <x:c r="V1787" s="10" t="s">
        <x:v>5320</x:v>
      </x:c>
    </x:row>
    <x:row r="1788" ht="15" hidden="0" customHeight="1">
      <x:c r="A1788" s="10" t="s">
        <x:v>5377</x:v>
      </x:c>
      <x:c r="B1788" s="10" t="s">
        <x:v>554</x:v>
      </x:c>
      <x:c r="C1788" s="10" t="s">
        <x:v>5358</x:v>
      </x:c>
      <x:c r="D1788" s="10" t="s">
        <x:v>5378</x:v>
      </x:c>
      <x:c r="E1788" s="10" t="s">
        <x:v>5379</x:v>
      </x:c>
      <x:c r="F1788" s="10" t="s">
        <x:v>108</x:v>
      </x:c>
      <x:c r="G1788" s="10" t="s">
        <x:v>109</x:v>
      </x:c>
      <x:c r="H1788" s="10" t="s">
        <x:v>5316</x:v>
      </x:c>
      <x:c r="I1788" s="10" t="s">
        <x:v>5317</x:v>
      </x:c>
      <x:c r="J1788" s="10" t="s">
        <x:v>5318</x:v>
      </x:c>
      <x:c r="K1788" s="10" t="s">
        <x:v>5361</x:v>
      </x:c>
      <x:c r="L1788" s="10" t="s">
        <x:v>5361</x:v>
      </x:c>
      <x:c r="M1788" s="10"/>
      <x:c r="N1788" s="10" t="n">
        <x:v>4</x:v>
      </x:c>
      <x:c r="O1788" s="10" t="s">
        <x:v>1204</x:v>
      </x:c>
      <x:c r="P1788" s="10" t="s">
        <x:v>115</x:v>
      </x:c>
      <x:c r="Q1788" s="10" t="s">
        <x:v>45</x:v>
      </x:c>
      <x:c r="R1788" s="10"/>
      <x:c r="S1788" s="10"/>
      <x:c r="T1788" s="10" t="s">
        <x:v>27</x:v>
      </x:c>
      <x:c r="U1788" s="10" t="s">
        <x:v>20</x:v>
      </x:c>
      <x:c r="V1788" s="10" t="s">
        <x:v>5320</x:v>
      </x:c>
    </x:row>
    <x:row r="1789" ht="15" hidden="0" customHeight="1">
      <x:c r="A1789" s="10" t="s">
        <x:v>5380</x:v>
      </x:c>
      <x:c r="B1789" s="10" t="s">
        <x:v>554</x:v>
      </x:c>
      <x:c r="C1789" s="10" t="s">
        <x:v>5358</x:v>
      </x:c>
      <x:c r="D1789" s="10" t="s">
        <x:v>5381</x:v>
      </x:c>
      <x:c r="E1789" s="10" t="s">
        <x:v>5382</x:v>
      </x:c>
      <x:c r="F1789" s="10" t="s">
        <x:v>108</x:v>
      </x:c>
      <x:c r="G1789" s="10" t="s">
        <x:v>109</x:v>
      </x:c>
      <x:c r="H1789" s="10" t="s">
        <x:v>5316</x:v>
      </x:c>
      <x:c r="I1789" s="10" t="s">
        <x:v>5317</x:v>
      </x:c>
      <x:c r="J1789" s="10" t="s">
        <x:v>5318</x:v>
      </x:c>
      <x:c r="K1789" s="10" t="s">
        <x:v>5383</x:v>
      </x:c>
      <x:c r="L1789" s="10" t="s">
        <x:v>5383</x:v>
      </x:c>
      <x:c r="M1789" s="10"/>
      <x:c r="N1789" s="10" t="n">
        <x:v>5</x:v>
      </x:c>
      <x:c r="O1789" s="10" t="s">
        <x:v>1204</x:v>
      </x:c>
      <x:c r="P1789" s="10" t="s">
        <x:v>115</x:v>
      </x:c>
      <x:c r="Q1789" s="10" t="s">
        <x:v>45</x:v>
      </x:c>
      <x:c r="R1789" s="10"/>
      <x:c r="S1789" s="10"/>
      <x:c r="T1789" s="10" t="s">
        <x:v>27</x:v>
      </x:c>
      <x:c r="U1789" s="10" t="s">
        <x:v>20</x:v>
      </x:c>
      <x:c r="V1789" s="10" t="s">
        <x:v>5320</x:v>
      </x:c>
    </x:row>
    <x:row r="1790" ht="15" hidden="0" customHeight="1">
      <x:c r="A1790" s="10" t="s">
        <x:v>5384</x:v>
      </x:c>
      <x:c r="B1790" s="10" t="s">
        <x:v>554</x:v>
      </x:c>
      <x:c r="C1790" s="10" t="s">
        <x:v>5385</x:v>
      </x:c>
      <x:c r="D1790" s="10" t="s">
        <x:v>5386</x:v>
      </x:c>
      <x:c r="E1790" s="10" t="s">
        <x:v>5387</x:v>
      </x:c>
      <x:c r="F1790" s="10" t="s">
        <x:v>108</x:v>
      </x:c>
      <x:c r="G1790" s="10" t="s">
        <x:v>109</x:v>
      </x:c>
      <x:c r="H1790" s="10" t="s">
        <x:v>5316</x:v>
      </x:c>
      <x:c r="I1790" s="10" t="s">
        <x:v>5317</x:v>
      </x:c>
      <x:c r="J1790" s="10" t="s">
        <x:v>5318</x:v>
      </x:c>
      <x:c r="K1790" s="10" t="s">
        <x:v>5388</x:v>
      </x:c>
      <x:c r="L1790" s="10" t="s">
        <x:v>5388</x:v>
      </x:c>
      <x:c r="M1790" s="10"/>
      <x:c r="N1790" s="10" t="n">
        <x:v>5</x:v>
      </x:c>
      <x:c r="O1790" s="10" t="s">
        <x:v>1204</x:v>
      </x:c>
      <x:c r="P1790" s="10" t="s">
        <x:v>115</x:v>
      </x:c>
      <x:c r="Q1790" s="10" t="s">
        <x:v>45</x:v>
      </x:c>
      <x:c r="R1790" s="10"/>
      <x:c r="S1790" s="10"/>
      <x:c r="T1790" s="10" t="s">
        <x:v>27</x:v>
      </x:c>
      <x:c r="U1790" s="10" t="s">
        <x:v>20</x:v>
      </x:c>
      <x:c r="V1790" s="10" t="s">
        <x:v>5320</x:v>
      </x:c>
    </x:row>
    <x:row r="1791" ht="15" hidden="0" customHeight="1">
      <x:c r="A1791" s="10" t="s">
        <x:v>5389</x:v>
      </x:c>
      <x:c r="B1791" s="10" t="s">
        <x:v>554</x:v>
      </x:c>
      <x:c r="C1791" s="10" t="s">
        <x:v>5385</x:v>
      </x:c>
      <x:c r="D1791" s="10" t="s">
        <x:v>1948</x:v>
      </x:c>
      <x:c r="E1791" s="10" t="s">
        <x:v>5390</x:v>
      </x:c>
      <x:c r="F1791" s="10" t="s">
        <x:v>108</x:v>
      </x:c>
      <x:c r="G1791" s="10" t="s">
        <x:v>109</x:v>
      </x:c>
      <x:c r="H1791" s="10" t="s">
        <x:v>5316</x:v>
      </x:c>
      <x:c r="I1791" s="10" t="s">
        <x:v>5317</x:v>
      </x:c>
      <x:c r="J1791" s="10" t="s">
        <x:v>5318</x:v>
      </x:c>
      <x:c r="K1791" s="10" t="s">
        <x:v>5388</x:v>
      </x:c>
      <x:c r="L1791" s="10" t="s">
        <x:v>5388</x:v>
      </x:c>
      <x:c r="M1791" s="10"/>
      <x:c r="N1791" s="10" t="n">
        <x:v>5</x:v>
      </x:c>
      <x:c r="O1791" s="10" t="s">
        <x:v>1204</x:v>
      </x:c>
      <x:c r="P1791" s="10" t="s">
        <x:v>115</x:v>
      </x:c>
      <x:c r="Q1791" s="10" t="s">
        <x:v>45</x:v>
      </x:c>
      <x:c r="R1791" s="10"/>
      <x:c r="S1791" s="10"/>
      <x:c r="T1791" s="10" t="s">
        <x:v>27</x:v>
      </x:c>
      <x:c r="U1791" s="10" t="s">
        <x:v>20</x:v>
      </x:c>
      <x:c r="V1791" s="10" t="s">
        <x:v>5320</x:v>
      </x:c>
    </x:row>
    <x:row r="1792" ht="15" hidden="0" customHeight="1">
      <x:c r="A1792" s="10" t="s">
        <x:v>5391</x:v>
      </x:c>
      <x:c r="B1792" s="10" t="s">
        <x:v>554</x:v>
      </x:c>
      <x:c r="C1792" s="10" t="s">
        <x:v>5385</x:v>
      </x:c>
      <x:c r="D1792" s="10" t="s">
        <x:v>167</x:v>
      </x:c>
      <x:c r="E1792" s="10" t="s">
        <x:v>5392</x:v>
      </x:c>
      <x:c r="F1792" s="10" t="s">
        <x:v>108</x:v>
      </x:c>
      <x:c r="G1792" s="10" t="s">
        <x:v>109</x:v>
      </x:c>
      <x:c r="H1792" s="10" t="s">
        <x:v>5316</x:v>
      </x:c>
      <x:c r="I1792" s="10" t="s">
        <x:v>5317</x:v>
      </x:c>
      <x:c r="J1792" s="10" t="s">
        <x:v>5318</x:v>
      </x:c>
      <x:c r="K1792" s="10" t="s">
        <x:v>5388</x:v>
      </x:c>
      <x:c r="L1792" s="10" t="s">
        <x:v>5388</x:v>
      </x:c>
      <x:c r="M1792" s="10"/>
      <x:c r="N1792" s="10" t="n">
        <x:v>5</x:v>
      </x:c>
      <x:c r="O1792" s="10" t="s">
        <x:v>1204</x:v>
      </x:c>
      <x:c r="P1792" s="10" t="s">
        <x:v>115</x:v>
      </x:c>
      <x:c r="Q1792" s="10" t="s">
        <x:v>45</x:v>
      </x:c>
      <x:c r="R1792" s="10"/>
      <x:c r="S1792" s="10"/>
      <x:c r="T1792" s="10" t="s">
        <x:v>27</x:v>
      </x:c>
      <x:c r="U1792" s="10" t="s">
        <x:v>20</x:v>
      </x:c>
      <x:c r="V1792" s="10" t="s">
        <x:v>5320</x:v>
      </x:c>
    </x:row>
    <x:row r="1793" ht="15" hidden="0" customHeight="1">
      <x:c r="A1793" s="10" t="s">
        <x:v>5393</x:v>
      </x:c>
      <x:c r="B1793" s="10" t="s">
        <x:v>554</x:v>
      </x:c>
      <x:c r="C1793" s="10" t="s">
        <x:v>5385</x:v>
      </x:c>
      <x:c r="D1793" s="10" t="s">
        <x:v>1358</x:v>
      </x:c>
      <x:c r="E1793" s="10" t="s">
        <x:v>5367</x:v>
      </x:c>
      <x:c r="F1793" s="10" t="s">
        <x:v>108</x:v>
      </x:c>
      <x:c r="G1793" s="10" t="s">
        <x:v>109</x:v>
      </x:c>
      <x:c r="H1793" s="10" t="s">
        <x:v>5316</x:v>
      </x:c>
      <x:c r="I1793" s="10" t="s">
        <x:v>5317</x:v>
      </x:c>
      <x:c r="J1793" s="10" t="s">
        <x:v>5318</x:v>
      </x:c>
      <x:c r="K1793" s="10" t="s">
        <x:v>5388</x:v>
      </x:c>
      <x:c r="L1793" s="10" t="s">
        <x:v>5388</x:v>
      </x:c>
      <x:c r="M1793" s="10"/>
      <x:c r="N1793" s="10" t="n">
        <x:v>5</x:v>
      </x:c>
      <x:c r="O1793" s="10" t="s">
        <x:v>1204</x:v>
      </x:c>
      <x:c r="P1793" s="10" t="s">
        <x:v>115</x:v>
      </x:c>
      <x:c r="Q1793" s="10" t="s">
        <x:v>45</x:v>
      </x:c>
      <x:c r="R1793" s="10"/>
      <x:c r="S1793" s="10"/>
      <x:c r="T1793" s="10" t="s">
        <x:v>27</x:v>
      </x:c>
      <x:c r="U1793" s="10" t="s">
        <x:v>20</x:v>
      </x:c>
      <x:c r="V1793" s="10" t="s">
        <x:v>5320</x:v>
      </x:c>
    </x:row>
    <x:row r="1794" ht="15" hidden="0" customHeight="1">
      <x:c r="A1794" s="10" t="s">
        <x:v>5394</x:v>
      </x:c>
      <x:c r="B1794" s="10" t="s">
        <x:v>554</x:v>
      </x:c>
      <x:c r="C1794" s="10" t="s">
        <x:v>5385</x:v>
      </x:c>
      <x:c r="D1794" s="10" t="s">
        <x:v>5334</x:v>
      </x:c>
      <x:c r="E1794" s="10" t="s">
        <x:v>5369</x:v>
      </x:c>
      <x:c r="F1794" s="10" t="s">
        <x:v>108</x:v>
      </x:c>
      <x:c r="G1794" s="10" t="s">
        <x:v>109</x:v>
      </x:c>
      <x:c r="H1794" s="10" t="s">
        <x:v>5316</x:v>
      </x:c>
      <x:c r="I1794" s="10" t="s">
        <x:v>5317</x:v>
      </x:c>
      <x:c r="J1794" s="10" t="s">
        <x:v>5318</x:v>
      </x:c>
      <x:c r="K1794" s="10" t="s">
        <x:v>5388</x:v>
      </x:c>
      <x:c r="L1794" s="10" t="s">
        <x:v>5388</x:v>
      </x:c>
      <x:c r="M1794" s="10"/>
      <x:c r="N1794" s="10" t="n">
        <x:v>5</x:v>
      </x:c>
      <x:c r="O1794" s="10" t="s">
        <x:v>1204</x:v>
      </x:c>
      <x:c r="P1794" s="10" t="s">
        <x:v>115</x:v>
      </x:c>
      <x:c r="Q1794" s="10" t="s">
        <x:v>45</x:v>
      </x:c>
      <x:c r="R1794" s="10"/>
      <x:c r="S1794" s="10"/>
      <x:c r="T1794" s="10" t="s">
        <x:v>27</x:v>
      </x:c>
      <x:c r="U1794" s="10" t="s">
        <x:v>20</x:v>
      </x:c>
      <x:c r="V1794" s="10" t="s">
        <x:v>5320</x:v>
      </x:c>
    </x:row>
    <x:row r="1795" ht="15" hidden="0" customHeight="1">
      <x:c r="A1795" s="10" t="s">
        <x:v>5395</x:v>
      </x:c>
      <x:c r="B1795" s="10" t="s">
        <x:v>554</x:v>
      </x:c>
      <x:c r="C1795" s="10" t="s">
        <x:v>5385</x:v>
      </x:c>
      <x:c r="D1795" s="10" t="s">
        <x:v>5337</x:v>
      </x:c>
      <x:c r="E1795" s="10" t="s">
        <x:v>5396</x:v>
      </x:c>
      <x:c r="F1795" s="10" t="s">
        <x:v>108</x:v>
      </x:c>
      <x:c r="G1795" s="10" t="s">
        <x:v>109</x:v>
      </x:c>
      <x:c r="H1795" s="10" t="s">
        <x:v>5316</x:v>
      </x:c>
      <x:c r="I1795" s="10" t="s">
        <x:v>5317</x:v>
      </x:c>
      <x:c r="J1795" s="10" t="s">
        <x:v>5318</x:v>
      </x:c>
      <x:c r="K1795" s="10" t="s">
        <x:v>5388</x:v>
      </x:c>
      <x:c r="L1795" s="10" t="s">
        <x:v>5388</x:v>
      </x:c>
      <x:c r="M1795" s="10"/>
      <x:c r="N1795" s="10" t="n">
        <x:v>5</x:v>
      </x:c>
      <x:c r="O1795" s="10" t="s">
        <x:v>1204</x:v>
      </x:c>
      <x:c r="P1795" s="10" t="s">
        <x:v>115</x:v>
      </x:c>
      <x:c r="Q1795" s="10" t="s">
        <x:v>45</x:v>
      </x:c>
      <x:c r="R1795" s="10"/>
      <x:c r="S1795" s="10"/>
      <x:c r="T1795" s="10" t="s">
        <x:v>27</x:v>
      </x:c>
      <x:c r="U1795" s="10" t="s">
        <x:v>20</x:v>
      </x:c>
      <x:c r="V1795" s="10" t="s">
        <x:v>5320</x:v>
      </x:c>
    </x:row>
    <x:row r="1796" ht="15" hidden="0" customHeight="1">
      <x:c r="A1796" s="10" t="s">
        <x:v>5397</x:v>
      </x:c>
      <x:c r="B1796" s="10" t="s">
        <x:v>554</x:v>
      </x:c>
      <x:c r="C1796" s="10" t="s">
        <x:v>5385</x:v>
      </x:c>
      <x:c r="D1796" s="10" t="s">
        <x:v>5381</x:v>
      </x:c>
      <x:c r="E1796" s="10" t="s">
        <x:v>5398</x:v>
      </x:c>
      <x:c r="F1796" s="10" t="s">
        <x:v>108</x:v>
      </x:c>
      <x:c r="G1796" s="10" t="s">
        <x:v>109</x:v>
      </x:c>
      <x:c r="H1796" s="10" t="s">
        <x:v>5316</x:v>
      </x:c>
      <x:c r="I1796" s="10" t="s">
        <x:v>5317</x:v>
      </x:c>
      <x:c r="J1796" s="10" t="s">
        <x:v>5318</x:v>
      </x:c>
      <x:c r="K1796" s="10" t="s">
        <x:v>5399</x:v>
      </x:c>
      <x:c r="L1796" s="10" t="s">
        <x:v>5399</x:v>
      </x:c>
      <x:c r="M1796" s="10"/>
      <x:c r="N1796" s="10" t="n">
        <x:v>6</x:v>
      </x:c>
      <x:c r="O1796" s="10" t="s">
        <x:v>1204</x:v>
      </x:c>
      <x:c r="P1796" s="10" t="s">
        <x:v>115</x:v>
      </x:c>
      <x:c r="Q1796" s="10" t="s">
        <x:v>45</x:v>
      </x:c>
      <x:c r="R1796" s="10"/>
      <x:c r="S1796" s="10"/>
      <x:c r="T1796" s="10" t="s">
        <x:v>27</x:v>
      </x:c>
      <x:c r="U1796" s="10" t="s">
        <x:v>20</x:v>
      </x:c>
      <x:c r="V1796" s="10" t="s">
        <x:v>5320</x:v>
      </x:c>
    </x:row>
    <x:row r="1797" ht="15" hidden="0" customHeight="1">
      <x:c r="A1797" s="10" t="s">
        <x:v>5400</x:v>
      </x:c>
      <x:c r="B1797" s="10" t="s">
        <x:v>554</x:v>
      </x:c>
      <x:c r="C1797" s="10" t="s">
        <x:v>5385</x:v>
      </x:c>
      <x:c r="D1797" s="10" t="s">
        <x:v>5401</x:v>
      </x:c>
      <x:c r="E1797" s="10" t="s">
        <x:v>5402</x:v>
      </x:c>
      <x:c r="F1797" s="10" t="s">
        <x:v>108</x:v>
      </x:c>
      <x:c r="G1797" s="10" t="s">
        <x:v>187</x:v>
      </x:c>
      <x:c r="H1797" s="10" t="s">
        <x:v>5316</x:v>
      </x:c>
      <x:c r="I1797" s="10" t="s">
        <x:v>5317</x:v>
      </x:c>
      <x:c r="J1797" s="10" t="s">
        <x:v>5318</x:v>
      </x:c>
      <x:c r="K1797" s="10" t="s">
        <x:v>5403</x:v>
      </x:c>
      <x:c r="L1797" s="10" t="s">
        <x:v>5403</x:v>
      </x:c>
      <x:c r="M1797" s="10"/>
      <x:c r="N1797" s="10" t="n">
        <x:v>5</x:v>
      </x:c>
      <x:c r="O1797" s="10" t="s">
        <x:v>1204</x:v>
      </x:c>
      <x:c r="P1797" s="10" t="s">
        <x:v>115</x:v>
      </x:c>
      <x:c r="Q1797" s="10" t="s">
        <x:v>45</x:v>
      </x:c>
      <x:c r="R1797" s="10"/>
      <x:c r="S1797" s="10"/>
      <x:c r="T1797" s="10" t="s">
        <x:v>27</x:v>
      </x:c>
      <x:c r="U1797" s="10" t="s">
        <x:v>20</x:v>
      </x:c>
      <x:c r="V1797" s="10" t="s">
        <x:v>5320</x:v>
      </x:c>
    </x:row>
    <x:row r="1798" ht="15" hidden="0" customHeight="1">
      <x:c r="A1798" s="10" t="s">
        <x:v>5404</x:v>
      </x:c>
      <x:c r="B1798" s="10" t="s">
        <x:v>554</x:v>
      </x:c>
      <x:c r="C1798" s="10" t="s">
        <x:v>5385</x:v>
      </x:c>
      <x:c r="D1798" s="10" t="s">
        <x:v>5405</x:v>
      </x:c>
      <x:c r="E1798" s="10" t="s">
        <x:v>5406</x:v>
      </x:c>
      <x:c r="F1798" s="10" t="s">
        <x:v>108</x:v>
      </x:c>
      <x:c r="G1798" s="10" t="s">
        <x:v>181</x:v>
      </x:c>
      <x:c r="H1798" s="10" t="s">
        <x:v>5316</x:v>
      </x:c>
      <x:c r="I1798" s="10" t="s">
        <x:v>5317</x:v>
      </x:c>
      <x:c r="J1798" s="10" t="s">
        <x:v>5318</x:v>
      </x:c>
      <x:c r="K1798" s="10" t="s">
        <x:v>5407</x:v>
      </x:c>
      <x:c r="L1798" s="10" t="s">
        <x:v>5407</x:v>
      </x:c>
      <x:c r="M1798" s="10"/>
      <x:c r="N1798" s="10" t="n">
        <x:v>7</x:v>
      </x:c>
      <x:c r="O1798" s="10" t="s">
        <x:v>1204</x:v>
      </x:c>
      <x:c r="P1798" s="10" t="s">
        <x:v>115</x:v>
      </x:c>
      <x:c r="Q1798" s="10" t="s">
        <x:v>45</x:v>
      </x:c>
      <x:c r="R1798" s="10" t="s">
        <x:v>5408</x:v>
      </x:c>
      <x:c r="S1798" s="10"/>
      <x:c r="T1798" s="10" t="s">
        <x:v>27</x:v>
      </x:c>
      <x:c r="U1798" s="10" t="s">
        <x:v>20</x:v>
      </x:c>
      <x:c r="V1798" s="10" t="s">
        <x:v>5320</x:v>
      </x:c>
    </x:row>
    <x:row r="1799" ht="15" hidden="0" customHeight="1">
      <x:c r="A1799" s="10" t="s">
        <x:v>5409</x:v>
      </x:c>
      <x:c r="B1799" s="10" t="s">
        <x:v>554</x:v>
      </x:c>
      <x:c r="C1799" s="10" t="s">
        <x:v>5314</x:v>
      </x:c>
      <x:c r="D1799" s="10" t="s">
        <x:v>164</x:v>
      </x:c>
      <x:c r="E1799" s="10" t="s">
        <x:v>32</x:v>
      </x:c>
      <x:c r="F1799" s="10" t="s">
        <x:v>1070</x:v>
      </x:c>
      <x:c r="G1799" s="10" t="s">
        <x:v>181</x:v>
      </x:c>
      <x:c r="H1799" s="10" t="s">
        <x:v>5316</x:v>
      </x:c>
      <x:c r="I1799" s="10" t="s">
        <x:v>5317</x:v>
      </x:c>
      <x:c r="J1799" s="10" t="s">
        <x:v>5318</x:v>
      </x:c>
      <x:c r="K1799" s="10" t="s">
        <x:v>5410</x:v>
      </x:c>
      <x:c r="L1799" s="10" t="s">
        <x:v>5410</x:v>
      </x:c>
      <x:c r="M1799" s="10"/>
      <x:c r="N1799" s="10"/>
      <x:c r="O1799" s="10" t="s">
        <x:v>1204</x:v>
      </x:c>
      <x:c r="P1799" s="10" t="s">
        <x:v>115</x:v>
      </x:c>
      <x:c r="Q1799" s="10" t="s">
        <x:v>45</x:v>
      </x:c>
      <x:c r="R1799" s="10" t="s">
        <x:v>5411</x:v>
      </x:c>
      <x:c r="S1799" s="10"/>
      <x:c r="T1799" s="10" t="s">
        <x:v>32</x:v>
      </x:c>
      <x:c r="U1799" s="10" t="s">
        <x:v>20</x:v>
      </x:c>
      <x:c r="V1799" s="10" t="s">
        <x:v>5320</x:v>
      </x:c>
    </x:row>
    <x:row r="1800" ht="15" hidden="0" customHeight="1">
      <x:c r="A1800" s="10" t="s">
        <x:v>5412</x:v>
      </x:c>
      <x:c r="B1800" s="10" t="s">
        <x:v>554</x:v>
      </x:c>
      <x:c r="C1800" s="10" t="s">
        <x:v>5314</x:v>
      </x:c>
      <x:c r="D1800" s="10" t="s">
        <x:v>871</x:v>
      </x:c>
      <x:c r="E1800" s="10" t="s">
        <x:v>32</x:v>
      </x:c>
      <x:c r="F1800" s="10" t="s">
        <x:v>1070</x:v>
      </x:c>
      <x:c r="G1800" s="10" t="s">
        <x:v>181</x:v>
      </x:c>
      <x:c r="H1800" s="10" t="s">
        <x:v>5316</x:v>
      </x:c>
      <x:c r="I1800" s="10" t="s">
        <x:v>5317</x:v>
      </x:c>
      <x:c r="J1800" s="10" t="s">
        <x:v>5318</x:v>
      </x:c>
      <x:c r="K1800" s="10" t="s">
        <x:v>5413</x:v>
      </x:c>
      <x:c r="L1800" s="10" t="s">
        <x:v>5413</x:v>
      </x:c>
      <x:c r="M1800" s="10"/>
      <x:c r="N1800" s="10"/>
      <x:c r="O1800" s="10" t="s">
        <x:v>1204</x:v>
      </x:c>
      <x:c r="P1800" s="10" t="s">
        <x:v>115</x:v>
      </x:c>
      <x:c r="Q1800" s="10" t="s">
        <x:v>45</x:v>
      </x:c>
      <x:c r="R1800" s="10"/>
      <x:c r="S1800" s="10"/>
      <x:c r="T1800" s="10" t="s">
        <x:v>32</x:v>
      </x:c>
      <x:c r="U1800" s="10" t="s">
        <x:v>20</x:v>
      </x:c>
      <x:c r="V1800" s="10" t="s">
        <x:v>5320</x:v>
      </x:c>
    </x:row>
    <x:row r="1801" ht="15" hidden="0" customHeight="1">
      <x:c r="A1801" s="10" t="s">
        <x:v>5414</x:v>
      </x:c>
      <x:c r="B1801" s="10" t="s">
        <x:v>628</x:v>
      </x:c>
      <x:c r="C1801" s="10" t="s">
        <x:v>5415</x:v>
      </x:c>
      <x:c r="D1801" s="10" t="s">
        <x:v>4721</x:v>
      </x:c>
      <x:c r="E1801" s="10" t="s">
        <x:v>5416</x:v>
      </x:c>
      <x:c r="F1801" s="10" t="s">
        <x:v>108</x:v>
      </x:c>
      <x:c r="G1801" s="10" t="s">
        <x:v>109</x:v>
      </x:c>
      <x:c r="H1801" s="10" t="s">
        <x:v>5417</x:v>
      </x:c>
      <x:c r="I1801" s="10" t="s">
        <x:v>5418</x:v>
      </x:c>
      <x:c r="J1801" s="10" t="s">
        <x:v>5419</x:v>
      </x:c>
      <x:c r="K1801" s="10" t="s">
        <x:v>1581</x:v>
      </x:c>
      <x:c r="L1801" s="10" t="s">
        <x:v>1581</x:v>
      </x:c>
      <x:c r="M1801" s="10"/>
      <x:c r="N1801" s="10" t="n">
        <x:v>4</x:v>
      </x:c>
      <x:c r="O1801" s="10" t="s">
        <x:v>1204</x:v>
      </x:c>
      <x:c r="P1801" s="10" t="s">
        <x:v>115</x:v>
      </x:c>
      <x:c r="Q1801" s="10" t="s">
        <x:v>45</x:v>
      </x:c>
      <x:c r="R1801" s="10"/>
      <x:c r="S1801" s="10"/>
      <x:c r="T1801" s="10" t="s">
        <x:v>27</x:v>
      </x:c>
      <x:c r="U1801" s="10" t="s">
        <x:v>20</x:v>
      </x:c>
      <x:c r="V1801" s="10" t="s">
        <x:v>5320</x:v>
      </x:c>
    </x:row>
    <x:row r="1802" ht="15" hidden="0" customHeight="1">
      <x:c r="A1802" s="10" t="s">
        <x:v>5420</x:v>
      </x:c>
      <x:c r="B1802" s="10" t="s">
        <x:v>628</x:v>
      </x:c>
      <x:c r="C1802" s="10" t="s">
        <x:v>5415</x:v>
      </x:c>
      <x:c r="D1802" s="10" t="s">
        <x:v>4725</x:v>
      </x:c>
      <x:c r="E1802" s="10" t="s">
        <x:v>5421</x:v>
      </x:c>
      <x:c r="F1802" s="10" t="s">
        <x:v>108</x:v>
      </x:c>
      <x:c r="G1802" s="10" t="s">
        <x:v>109</x:v>
      </x:c>
      <x:c r="H1802" s="10" t="s">
        <x:v>5417</x:v>
      </x:c>
      <x:c r="I1802" s="10" t="s">
        <x:v>5418</x:v>
      </x:c>
      <x:c r="J1802" s="10" t="s">
        <x:v>5419</x:v>
      </x:c>
      <x:c r="K1802" s="10" t="s">
        <x:v>1581</x:v>
      </x:c>
      <x:c r="L1802" s="10" t="s">
        <x:v>1581</x:v>
      </x:c>
      <x:c r="M1802" s="10"/>
      <x:c r="N1802" s="10" t="n">
        <x:v>4</x:v>
      </x:c>
      <x:c r="O1802" s="10" t="s">
        <x:v>1204</x:v>
      </x:c>
      <x:c r="P1802" s="10" t="s">
        <x:v>115</x:v>
      </x:c>
      <x:c r="Q1802" s="10" t="s">
        <x:v>45</x:v>
      </x:c>
      <x:c r="R1802" s="10"/>
      <x:c r="S1802" s="10"/>
      <x:c r="T1802" s="10" t="s">
        <x:v>27</x:v>
      </x:c>
      <x:c r="U1802" s="10" t="s">
        <x:v>20</x:v>
      </x:c>
      <x:c r="V1802" s="10" t="s">
        <x:v>5320</x:v>
      </x:c>
    </x:row>
    <x:row r="1803" ht="15" hidden="0" customHeight="1">
      <x:c r="A1803" s="10" t="s">
        <x:v>5422</x:v>
      </x:c>
      <x:c r="B1803" s="10" t="s">
        <x:v>628</x:v>
      </x:c>
      <x:c r="C1803" s="10" t="s">
        <x:v>5415</x:v>
      </x:c>
      <x:c r="D1803" s="10" t="s">
        <x:v>5423</x:v>
      </x:c>
      <x:c r="E1803" s="10" t="s">
        <x:v>5424</x:v>
      </x:c>
      <x:c r="F1803" s="10" t="s">
        <x:v>108</x:v>
      </x:c>
      <x:c r="G1803" s="10" t="s">
        <x:v>109</x:v>
      </x:c>
      <x:c r="H1803" s="10" t="s">
        <x:v>5417</x:v>
      </x:c>
      <x:c r="I1803" s="10" t="s">
        <x:v>5418</x:v>
      </x:c>
      <x:c r="J1803" s="10" t="s">
        <x:v>5419</x:v>
      </x:c>
      <x:c r="K1803" s="10" t="s">
        <x:v>1500</x:v>
      </x:c>
      <x:c r="L1803" s="10" t="s">
        <x:v>1500</x:v>
      </x:c>
      <x:c r="M1803" s="10"/>
      <x:c r="N1803" s="10" t="n">
        <x:v>4</x:v>
      </x:c>
      <x:c r="O1803" s="10" t="s">
        <x:v>1204</x:v>
      </x:c>
      <x:c r="P1803" s="10" t="s">
        <x:v>115</x:v>
      </x:c>
      <x:c r="Q1803" s="10" t="s">
        <x:v>45</x:v>
      </x:c>
      <x:c r="R1803" s="10"/>
      <x:c r="S1803" s="10"/>
      <x:c r="T1803" s="10" t="s">
        <x:v>27</x:v>
      </x:c>
      <x:c r="U1803" s="10" t="s">
        <x:v>20</x:v>
      </x:c>
      <x:c r="V1803" s="10" t="s">
        <x:v>5320</x:v>
      </x:c>
    </x:row>
    <x:row r="1804" ht="15" hidden="0" customHeight="1">
      <x:c r="A1804" s="10" t="s">
        <x:v>5425</x:v>
      </x:c>
      <x:c r="B1804" s="10" t="s">
        <x:v>628</x:v>
      </x:c>
      <x:c r="C1804" s="10" t="s">
        <x:v>5415</x:v>
      </x:c>
      <x:c r="D1804" s="10" t="s">
        <x:v>4372</x:v>
      </x:c>
      <x:c r="E1804" s="10" t="s">
        <x:v>5426</x:v>
      </x:c>
      <x:c r="F1804" s="10" t="s">
        <x:v>108</x:v>
      </x:c>
      <x:c r="G1804" s="10" t="s">
        <x:v>109</x:v>
      </x:c>
      <x:c r="H1804" s="10" t="s">
        <x:v>5417</x:v>
      </x:c>
      <x:c r="I1804" s="10" t="s">
        <x:v>5418</x:v>
      </x:c>
      <x:c r="J1804" s="10" t="s">
        <x:v>5419</x:v>
      </x:c>
      <x:c r="K1804" s="10" t="s">
        <x:v>5427</x:v>
      </x:c>
      <x:c r="L1804" s="10" t="s">
        <x:v>5427</x:v>
      </x:c>
      <x:c r="M1804" s="10"/>
      <x:c r="N1804" s="10" t="n">
        <x:v>6</x:v>
      </x:c>
      <x:c r="O1804" s="10" t="s">
        <x:v>1204</x:v>
      </x:c>
      <x:c r="P1804" s="10" t="s">
        <x:v>115</x:v>
      </x:c>
      <x:c r="Q1804" s="10" t="s">
        <x:v>45</x:v>
      </x:c>
      <x:c r="R1804" s="10"/>
      <x:c r="S1804" s="10"/>
      <x:c r="T1804" s="10" t="s">
        <x:v>27</x:v>
      </x:c>
      <x:c r="U1804" s="10" t="s">
        <x:v>20</x:v>
      </x:c>
      <x:c r="V1804" s="10" t="s">
        <x:v>5320</x:v>
      </x:c>
    </x:row>
    <x:row r="1805" ht="15" hidden="0" customHeight="1">
      <x:c r="A1805" s="10" t="s">
        <x:v>5428</x:v>
      </x:c>
      <x:c r="B1805" s="10" t="s">
        <x:v>628</x:v>
      </x:c>
      <x:c r="C1805" s="10" t="s">
        <x:v>5415</x:v>
      </x:c>
      <x:c r="D1805" s="10" t="s">
        <x:v>1864</x:v>
      </x:c>
      <x:c r="E1805" s="10" t="s">
        <x:v>5429</x:v>
      </x:c>
      <x:c r="F1805" s="10" t="s">
        <x:v>108</x:v>
      </x:c>
      <x:c r="G1805" s="10" t="s">
        <x:v>109</x:v>
      </x:c>
      <x:c r="H1805" s="10" t="s">
        <x:v>5417</x:v>
      </x:c>
      <x:c r="I1805" s="10" t="s">
        <x:v>5418</x:v>
      </x:c>
      <x:c r="J1805" s="10" t="s">
        <x:v>5419</x:v>
      </x:c>
      <x:c r="K1805" s="10" t="s">
        <x:v>1538</x:v>
      </x:c>
      <x:c r="L1805" s="10" t="s">
        <x:v>1538</x:v>
      </x:c>
      <x:c r="M1805" s="10"/>
      <x:c r="N1805" s="10" t="n">
        <x:v>6</x:v>
      </x:c>
      <x:c r="O1805" s="10" t="s">
        <x:v>1204</x:v>
      </x:c>
      <x:c r="P1805" s="10" t="s">
        <x:v>115</x:v>
      </x:c>
      <x:c r="Q1805" s="10" t="s">
        <x:v>45</x:v>
      </x:c>
      <x:c r="R1805" s="10"/>
      <x:c r="S1805" s="10"/>
      <x:c r="T1805" s="10" t="s">
        <x:v>27</x:v>
      </x:c>
      <x:c r="U1805" s="10" t="s">
        <x:v>20</x:v>
      </x:c>
      <x:c r="V1805" s="10" t="s">
        <x:v>5320</x:v>
      </x:c>
    </x:row>
    <x:row r="1806" ht="15" hidden="0" customHeight="1">
      <x:c r="A1806" s="10" t="s">
        <x:v>5430</x:v>
      </x:c>
      <x:c r="B1806" s="10" t="s">
        <x:v>628</x:v>
      </x:c>
      <x:c r="C1806" s="10" t="s">
        <x:v>5415</x:v>
      </x:c>
      <x:c r="D1806" s="10" t="s">
        <x:v>170</x:v>
      </x:c>
      <x:c r="E1806" s="10" t="s">
        <x:v>5431</x:v>
      </x:c>
      <x:c r="F1806" s="10" t="s">
        <x:v>108</x:v>
      </x:c>
      <x:c r="G1806" s="10" t="s">
        <x:v>109</x:v>
      </x:c>
      <x:c r="H1806" s="10" t="s">
        <x:v>5417</x:v>
      </x:c>
      <x:c r="I1806" s="10" t="s">
        <x:v>5418</x:v>
      </x:c>
      <x:c r="J1806" s="10" t="s">
        <x:v>5419</x:v>
      </x:c>
      <x:c r="K1806" s="10" t="s">
        <x:v>1538</x:v>
      </x:c>
      <x:c r="L1806" s="10" t="s">
        <x:v>1538</x:v>
      </x:c>
      <x:c r="M1806" s="10"/>
      <x:c r="N1806" s="10" t="n">
        <x:v>7</x:v>
      </x:c>
      <x:c r="O1806" s="10" t="s">
        <x:v>1204</x:v>
      </x:c>
      <x:c r="P1806" s="10" t="s">
        <x:v>115</x:v>
      </x:c>
      <x:c r="Q1806" s="10" t="s">
        <x:v>45</x:v>
      </x:c>
      <x:c r="R1806" s="10"/>
      <x:c r="S1806" s="10"/>
      <x:c r="T1806" s="10" t="s">
        <x:v>27</x:v>
      </x:c>
      <x:c r="U1806" s="10" t="s">
        <x:v>20</x:v>
      </x:c>
      <x:c r="V1806" s="10" t="s">
        <x:v>5320</x:v>
      </x:c>
    </x:row>
    <x:row r="1807" ht="15" hidden="0" customHeight="1">
      <x:c r="A1807" s="10" t="s">
        <x:v>5432</x:v>
      </x:c>
      <x:c r="B1807" s="10" t="s">
        <x:v>628</x:v>
      </x:c>
      <x:c r="C1807" s="10" t="s">
        <x:v>5415</x:v>
      </x:c>
      <x:c r="D1807" s="10" t="s">
        <x:v>167</x:v>
      </x:c>
      <x:c r="E1807" s="10" t="s">
        <x:v>5433</x:v>
      </x:c>
      <x:c r="F1807" s="10" t="s">
        <x:v>108</x:v>
      </x:c>
      <x:c r="G1807" s="10" t="s">
        <x:v>109</x:v>
      </x:c>
      <x:c r="H1807" s="10" t="s">
        <x:v>5417</x:v>
      </x:c>
      <x:c r="I1807" s="10" t="s">
        <x:v>5418</x:v>
      </x:c>
      <x:c r="J1807" s="10" t="s">
        <x:v>5419</x:v>
      </x:c>
      <x:c r="K1807" s="10" t="s">
        <x:v>1538</x:v>
      </x:c>
      <x:c r="L1807" s="10" t="s">
        <x:v>1538</x:v>
      </x:c>
      <x:c r="M1807" s="10"/>
      <x:c r="N1807" s="10" t="n">
        <x:v>7</x:v>
      </x:c>
      <x:c r="O1807" s="10" t="s">
        <x:v>1204</x:v>
      </x:c>
      <x:c r="P1807" s="10" t="s">
        <x:v>115</x:v>
      </x:c>
      <x:c r="Q1807" s="10" t="s">
        <x:v>45</x:v>
      </x:c>
      <x:c r="R1807" s="10"/>
      <x:c r="S1807" s="10"/>
      <x:c r="T1807" s="10" t="s">
        <x:v>27</x:v>
      </x:c>
      <x:c r="U1807" s="10" t="s">
        <x:v>20</x:v>
      </x:c>
      <x:c r="V1807" s="10" t="s">
        <x:v>5320</x:v>
      </x:c>
    </x:row>
    <x:row r="1808" ht="15" hidden="0" customHeight="1">
      <x:c r="A1808" s="10" t="s">
        <x:v>5434</x:v>
      </x:c>
      <x:c r="B1808" s="10" t="s">
        <x:v>628</x:v>
      </x:c>
      <x:c r="C1808" s="10" t="s">
        <x:v>5415</x:v>
      </x:c>
      <x:c r="D1808" s="10" t="s">
        <x:v>164</x:v>
      </x:c>
      <x:c r="E1808" s="10" t="s">
        <x:v>5435</x:v>
      </x:c>
      <x:c r="F1808" s="10" t="s">
        <x:v>108</x:v>
      </x:c>
      <x:c r="G1808" s="10" t="s">
        <x:v>109</x:v>
      </x:c>
      <x:c r="H1808" s="10" t="s">
        <x:v>5417</x:v>
      </x:c>
      <x:c r="I1808" s="10" t="s">
        <x:v>5418</x:v>
      </x:c>
      <x:c r="J1808" s="10" t="s">
        <x:v>5419</x:v>
      </x:c>
      <x:c r="K1808" s="10" t="s">
        <x:v>1538</x:v>
      </x:c>
      <x:c r="L1808" s="10" t="s">
        <x:v>1538</x:v>
      </x:c>
      <x:c r="M1808" s="10"/>
      <x:c r="N1808" s="10" t="n">
        <x:v>7</x:v>
      </x:c>
      <x:c r="O1808" s="10" t="s">
        <x:v>1204</x:v>
      </x:c>
      <x:c r="P1808" s="10" t="s">
        <x:v>115</x:v>
      </x:c>
      <x:c r="Q1808" s="10" t="s">
        <x:v>45</x:v>
      </x:c>
      <x:c r="R1808" s="10"/>
      <x:c r="S1808" s="10"/>
      <x:c r="T1808" s="10" t="s">
        <x:v>27</x:v>
      </x:c>
      <x:c r="U1808" s="10" t="s">
        <x:v>20</x:v>
      </x:c>
      <x:c r="V1808" s="10" t="s">
        <x:v>5320</x:v>
      </x:c>
    </x:row>
    <x:row r="1809" ht="15" hidden="0" customHeight="1">
      <x:c r="A1809" s="10" t="s">
        <x:v>5436</x:v>
      </x:c>
      <x:c r="B1809" s="10" t="s">
        <x:v>628</x:v>
      </x:c>
      <x:c r="C1809" s="10" t="s">
        <x:v>5415</x:v>
      </x:c>
      <x:c r="D1809" s="10" t="s">
        <x:v>318</x:v>
      </x:c>
      <x:c r="E1809" s="10" t="s">
        <x:v>5437</x:v>
      </x:c>
      <x:c r="F1809" s="10" t="s">
        <x:v>108</x:v>
      </x:c>
      <x:c r="G1809" s="10" t="s">
        <x:v>109</x:v>
      </x:c>
      <x:c r="H1809" s="10" t="s">
        <x:v>5417</x:v>
      </x:c>
      <x:c r="I1809" s="10" t="s">
        <x:v>5418</x:v>
      </x:c>
      <x:c r="J1809" s="10" t="s">
        <x:v>5419</x:v>
      </x:c>
      <x:c r="K1809" s="10" t="s">
        <x:v>1538</x:v>
      </x:c>
      <x:c r="L1809" s="10" t="s">
        <x:v>1538</x:v>
      </x:c>
      <x:c r="M1809" s="10"/>
      <x:c r="N1809" s="10" t="n">
        <x:v>7</x:v>
      </x:c>
      <x:c r="O1809" s="10" t="s">
        <x:v>1204</x:v>
      </x:c>
      <x:c r="P1809" s="10" t="s">
        <x:v>115</x:v>
      </x:c>
      <x:c r="Q1809" s="10" t="s">
        <x:v>45</x:v>
      </x:c>
      <x:c r="R1809" s="10"/>
      <x:c r="S1809" s="10"/>
      <x:c r="T1809" s="10" t="s">
        <x:v>27</x:v>
      </x:c>
      <x:c r="U1809" s="10" t="s">
        <x:v>20</x:v>
      </x:c>
      <x:c r="V1809" s="10" t="s">
        <x:v>5320</x:v>
      </x:c>
    </x:row>
    <x:row r="1810" ht="15" hidden="0" customHeight="1">
      <x:c r="A1810" s="10" t="s">
        <x:v>5438</x:v>
      </x:c>
      <x:c r="B1810" s="10" t="s">
        <x:v>628</x:v>
      </x:c>
      <x:c r="C1810" s="10" t="s">
        <x:v>5415</x:v>
      </x:c>
      <x:c r="D1810" s="10" t="s">
        <x:v>5439</x:v>
      </x:c>
      <x:c r="E1810" s="10" t="s">
        <x:v>5440</x:v>
      </x:c>
      <x:c r="F1810" s="10" t="s">
        <x:v>108</x:v>
      </x:c>
      <x:c r="G1810" s="10" t="s">
        <x:v>109</x:v>
      </x:c>
      <x:c r="H1810" s="10" t="s">
        <x:v>5417</x:v>
      </x:c>
      <x:c r="I1810" s="10" t="s">
        <x:v>5418</x:v>
      </x:c>
      <x:c r="J1810" s="10" t="s">
        <x:v>5419</x:v>
      </x:c>
      <x:c r="K1810" s="10" t="s">
        <x:v>1538</x:v>
      </x:c>
      <x:c r="L1810" s="10" t="s">
        <x:v>1538</x:v>
      </x:c>
      <x:c r="M1810" s="10"/>
      <x:c r="N1810" s="10" t="n">
        <x:v>7</x:v>
      </x:c>
      <x:c r="O1810" s="10" t="s">
        <x:v>1204</x:v>
      </x:c>
      <x:c r="P1810" s="10" t="s">
        <x:v>115</x:v>
      </x:c>
      <x:c r="Q1810" s="10" t="s">
        <x:v>45</x:v>
      </x:c>
      <x:c r="R1810" s="10"/>
      <x:c r="S1810" s="10"/>
      <x:c r="T1810" s="10" t="s">
        <x:v>27</x:v>
      </x:c>
      <x:c r="U1810" s="10" t="s">
        <x:v>20</x:v>
      </x:c>
      <x:c r="V1810" s="10" t="s">
        <x:v>5320</x:v>
      </x:c>
    </x:row>
    <x:row r="1811" ht="15" hidden="0" customHeight="1">
      <x:c r="A1811" s="10" t="s">
        <x:v>5441</x:v>
      </x:c>
      <x:c r="B1811" s="10" t="s">
        <x:v>628</x:v>
      </x:c>
      <x:c r="C1811" s="10" t="s">
        <x:v>5415</x:v>
      </x:c>
      <x:c r="D1811" s="10" t="s">
        <x:v>5442</x:v>
      </x:c>
      <x:c r="E1811" s="10" t="s">
        <x:v>5443</x:v>
      </x:c>
      <x:c r="F1811" s="10" t="s">
        <x:v>108</x:v>
      </x:c>
      <x:c r="G1811" s="10" t="s">
        <x:v>109</x:v>
      </x:c>
      <x:c r="H1811" s="10" t="s">
        <x:v>5417</x:v>
      </x:c>
      <x:c r="I1811" s="10" t="s">
        <x:v>5418</x:v>
      </x:c>
      <x:c r="J1811" s="10" t="s">
        <x:v>5419</x:v>
      </x:c>
      <x:c r="K1811" s="10" t="s">
        <x:v>5444</x:v>
      </x:c>
      <x:c r="L1811" s="10" t="s">
        <x:v>5444</x:v>
      </x:c>
      <x:c r="M1811" s="10"/>
      <x:c r="N1811" s="10" t="n">
        <x:v>4</x:v>
      </x:c>
      <x:c r="O1811" s="10" t="s">
        <x:v>1204</x:v>
      </x:c>
      <x:c r="P1811" s="10" t="s">
        <x:v>115</x:v>
      </x:c>
      <x:c r="Q1811" s="10" t="s">
        <x:v>45</x:v>
      </x:c>
      <x:c r="R1811" s="10" t="s">
        <x:v>5445</x:v>
      </x:c>
      <x:c r="S1811" s="10"/>
      <x:c r="T1811" s="10" t="s">
        <x:v>27</x:v>
      </x:c>
      <x:c r="U1811" s="10" t="s">
        <x:v>20</x:v>
      </x:c>
      <x:c r="V1811" s="10" t="s">
        <x:v>5320</x:v>
      </x:c>
    </x:row>
    <x:row r="1812" ht="15" hidden="0" customHeight="1">
      <x:c r="A1812" s="10" t="s">
        <x:v>5446</x:v>
      </x:c>
      <x:c r="B1812" s="10" t="s">
        <x:v>628</x:v>
      </x:c>
      <x:c r="C1812" s="10" t="s">
        <x:v>5415</x:v>
      </x:c>
      <x:c r="D1812" s="10" t="s">
        <x:v>2129</x:v>
      </x:c>
      <x:c r="E1812" s="10" t="s">
        <x:v>5447</x:v>
      </x:c>
      <x:c r="F1812" s="10" t="s">
        <x:v>108</x:v>
      </x:c>
      <x:c r="G1812" s="10" t="s">
        <x:v>109</x:v>
      </x:c>
      <x:c r="H1812" s="10" t="s">
        <x:v>5417</x:v>
      </x:c>
      <x:c r="I1812" s="10" t="s">
        <x:v>5418</x:v>
      </x:c>
      <x:c r="J1812" s="10" t="s">
        <x:v>5419</x:v>
      </x:c>
      <x:c r="K1812" s="10" t="s">
        <x:v>406</x:v>
      </x:c>
      <x:c r="L1812" s="10" t="s">
        <x:v>406</x:v>
      </x:c>
      <x:c r="M1812" s="10"/>
      <x:c r="N1812" s="10" t="n">
        <x:v>7</x:v>
      </x:c>
      <x:c r="O1812" s="10" t="s">
        <x:v>1204</x:v>
      </x:c>
      <x:c r="P1812" s="10" t="s">
        <x:v>115</x:v>
      </x:c>
      <x:c r="Q1812" s="10" t="s">
        <x:v>45</x:v>
      </x:c>
      <x:c r="R1812" s="10"/>
      <x:c r="S1812" s="10"/>
      <x:c r="T1812" s="10" t="s">
        <x:v>27</x:v>
      </x:c>
      <x:c r="U1812" s="10" t="s">
        <x:v>20</x:v>
      </x:c>
      <x:c r="V1812" s="10" t="s">
        <x:v>5320</x:v>
      </x:c>
    </x:row>
    <x:row r="1813" ht="15" hidden="0" customHeight="1">
      <x:c r="A1813" s="10" t="s">
        <x:v>5448</x:v>
      </x:c>
      <x:c r="B1813" s="10" t="s">
        <x:v>628</x:v>
      </x:c>
      <x:c r="C1813" s="10" t="s">
        <x:v>5415</x:v>
      </x:c>
      <x:c r="D1813" s="10" t="s">
        <x:v>4449</x:v>
      </x:c>
      <x:c r="E1813" s="10" t="s">
        <x:v>5449</x:v>
      </x:c>
      <x:c r="F1813" s="10" t="s">
        <x:v>108</x:v>
      </x:c>
      <x:c r="G1813" s="10" t="s">
        <x:v>109</x:v>
      </x:c>
      <x:c r="H1813" s="10" t="s">
        <x:v>5417</x:v>
      </x:c>
      <x:c r="I1813" s="10" t="s">
        <x:v>5418</x:v>
      </x:c>
      <x:c r="J1813" s="10" t="s">
        <x:v>5419</x:v>
      </x:c>
      <x:c r="K1813" s="10" t="s">
        <x:v>406</x:v>
      </x:c>
      <x:c r="L1813" s="10" t="s">
        <x:v>406</x:v>
      </x:c>
      <x:c r="M1813" s="10"/>
      <x:c r="N1813" s="10" t="n">
        <x:v>7</x:v>
      </x:c>
      <x:c r="O1813" s="10" t="s">
        <x:v>1204</x:v>
      </x:c>
      <x:c r="P1813" s="10" t="s">
        <x:v>115</x:v>
      </x:c>
      <x:c r="Q1813" s="10" t="s">
        <x:v>45</x:v>
      </x:c>
      <x:c r="R1813" s="10"/>
      <x:c r="S1813" s="10"/>
      <x:c r="T1813" s="10" t="s">
        <x:v>27</x:v>
      </x:c>
      <x:c r="U1813" s="10" t="s">
        <x:v>20</x:v>
      </x:c>
      <x:c r="V1813" s="10" t="s">
        <x:v>5320</x:v>
      </x:c>
    </x:row>
    <x:row r="1814" ht="15" hidden="0" customHeight="1">
      <x:c r="A1814" s="10" t="s">
        <x:v>5450</x:v>
      </x:c>
      <x:c r="B1814" s="10" t="s">
        <x:v>628</x:v>
      </x:c>
      <x:c r="C1814" s="10" t="s">
        <x:v>5415</x:v>
      </x:c>
      <x:c r="D1814" s="10" t="s">
        <x:v>5451</x:v>
      </x:c>
      <x:c r="E1814" s="10" t="s">
        <x:v>5452</x:v>
      </x:c>
      <x:c r="F1814" s="10" t="s">
        <x:v>108</x:v>
      </x:c>
      <x:c r="G1814" s="10" t="s">
        <x:v>109</x:v>
      </x:c>
      <x:c r="H1814" s="10" t="s">
        <x:v>5417</x:v>
      </x:c>
      <x:c r="I1814" s="10" t="s">
        <x:v>5418</x:v>
      </x:c>
      <x:c r="J1814" s="10" t="s">
        <x:v>5419</x:v>
      </x:c>
      <x:c r="K1814" s="10" t="s">
        <x:v>5453</x:v>
      </x:c>
      <x:c r="L1814" s="10" t="s">
        <x:v>5453</x:v>
      </x:c>
      <x:c r="M1814" s="10"/>
      <x:c r="N1814" s="10" t="n">
        <x:v>1</x:v>
      </x:c>
      <x:c r="O1814" s="10" t="s">
        <x:v>1204</x:v>
      </x:c>
      <x:c r="P1814" s="10" t="s">
        <x:v>115</x:v>
      </x:c>
      <x:c r="Q1814" s="10" t="s">
        <x:v>45</x:v>
      </x:c>
      <x:c r="R1814" s="10"/>
      <x:c r="S1814" s="10"/>
      <x:c r="T1814" s="10" t="s">
        <x:v>27</x:v>
      </x:c>
      <x:c r="U1814" s="10" t="s">
        <x:v>20</x:v>
      </x:c>
      <x:c r="V1814" s="10" t="s">
        <x:v>5320</x:v>
      </x:c>
    </x:row>
    <x:row r="1815" ht="15" hidden="0" customHeight="1">
      <x:c r="A1815" s="10" t="s">
        <x:v>5454</x:v>
      </x:c>
      <x:c r="B1815" s="10" t="s">
        <x:v>628</x:v>
      </x:c>
      <x:c r="C1815" s="10" t="s">
        <x:v>5415</x:v>
      </x:c>
      <x:c r="D1815" s="10" t="s">
        <x:v>5455</x:v>
      </x:c>
      <x:c r="E1815" s="10" t="s">
        <x:v>5456</x:v>
      </x:c>
      <x:c r="F1815" s="10" t="s">
        <x:v>108</x:v>
      </x:c>
      <x:c r="G1815" s="10" t="s">
        <x:v>109</x:v>
      </x:c>
      <x:c r="H1815" s="10" t="s">
        <x:v>5417</x:v>
      </x:c>
      <x:c r="I1815" s="10" t="s">
        <x:v>5418</x:v>
      </x:c>
      <x:c r="J1815" s="10" t="s">
        <x:v>5419</x:v>
      </x:c>
      <x:c r="K1815" s="10" t="s">
        <x:v>5457</x:v>
      </x:c>
      <x:c r="L1815" s="10" t="s">
        <x:v>5457</x:v>
      </x:c>
      <x:c r="M1815" s="10"/>
      <x:c r="N1815" s="10" t="n">
        <x:v>1</x:v>
      </x:c>
      <x:c r="O1815" s="10" t="s">
        <x:v>1204</x:v>
      </x:c>
      <x:c r="P1815" s="10" t="s">
        <x:v>115</x:v>
      </x:c>
      <x:c r="Q1815" s="10" t="s">
        <x:v>45</x:v>
      </x:c>
      <x:c r="R1815" s="10"/>
      <x:c r="S1815" s="10"/>
      <x:c r="T1815" s="10" t="s">
        <x:v>27</x:v>
      </x:c>
      <x:c r="U1815" s="10" t="s">
        <x:v>20</x:v>
      </x:c>
      <x:c r="V1815" s="10" t="s">
        <x:v>5320</x:v>
      </x:c>
    </x:row>
    <x:row r="1816" ht="15" hidden="0" customHeight="1">
      <x:c r="A1816" s="10" t="s">
        <x:v>5458</x:v>
      </x:c>
      <x:c r="B1816" s="10" t="s">
        <x:v>628</x:v>
      </x:c>
      <x:c r="C1816" s="10" t="s">
        <x:v>5415</x:v>
      </x:c>
      <x:c r="D1816" s="10" t="s">
        <x:v>1889</x:v>
      </x:c>
      <x:c r="E1816" s="10" t="s">
        <x:v>30</x:v>
      </x:c>
      <x:c r="F1816" s="10" t="s">
        <x:v>1070</x:v>
      </x:c>
      <x:c r="G1816" s="10" t="s">
        <x:v>181</x:v>
      </x:c>
      <x:c r="H1816" s="10" t="s">
        <x:v>5417</x:v>
      </x:c>
      <x:c r="I1816" s="10" t="s">
        <x:v>5418</x:v>
      </x:c>
      <x:c r="J1816" s="10" t="s">
        <x:v>5419</x:v>
      </x:c>
      <x:c r="K1816" s="10" t="s">
        <x:v>5459</x:v>
      </x:c>
      <x:c r="L1816" s="10" t="s">
        <x:v>5459</x:v>
      </x:c>
      <x:c r="M1816" s="10"/>
      <x:c r="N1816" s="10"/>
      <x:c r="O1816" s="10" t="s">
        <x:v>1204</x:v>
      </x:c>
      <x:c r="P1816" s="10" t="s">
        <x:v>115</x:v>
      </x:c>
      <x:c r="Q1816" s="10" t="s">
        <x:v>45</x:v>
      </x:c>
      <x:c r="R1816" s="10"/>
      <x:c r="S1816" s="10"/>
      <x:c r="T1816" s="10" t="s">
        <x:v>30</x:v>
      </x:c>
      <x:c r="U1816" s="10" t="s">
        <x:v>20</x:v>
      </x:c>
      <x:c r="V1816" s="10" t="s">
        <x:v>5320</x:v>
      </x:c>
    </x:row>
    <x:row r="1817" ht="75" customHeight="1">
      <x:c r="A1817" s="14" t="str">
        <x:v>B16-0001</x:v>
      </x:c>
      <x:c r="B1817" s="14" t="str">
        <x:v>OAI-0001</x:v>
      </x:c>
      <x:c r="C1817" s="14" t="str">
        <x:v>OAI-0001:B16_SOURCE_REVIEW</x:v>
      </x:c>
      <x:c r="D1817" s="14" t="str">
        <x:v>architecture.prior_blocks</x:v>
      </x:c>
      <x:c r="E1817" s="14" t="n">
        <x:v>2</x:v>
      </x:c>
      <x:c r="F1817" s="14" t="str">
        <x:v>4DVarNet-SSH; prior-network parameters differ from total solver parameters.</x:v>
      </x:c>
      <x:c r="G1817" s="14" t="str">
        <x:v>AUTHOR_REPORTED_FACT</x:v>
      </x:c>
      <x:c r="H1817" s="14" t="str">
        <x:v>https://gmd.copernicus.org/articles/16/2119/2023/</x:v>
      </x:c>
      <x:c r="I1817" s="14" t="str">
        <x:v>10.5194/gmd-16-2119-2023</x:v>
      </x:c>
      <x:c r="J1817" s="14" t="str">
        <x:v>PUBLISHED_HTML</x:v>
      </x:c>
      <x:c r="K1817" s="14" t="str">
        <x:v>3.2</x:v>
      </x:c>
      <x:c r="L1817" s="14" t="str">
        <x:v>3.2</x:v>
      </x:c>
      <x:c r="M1817" s="14" t="str"/>
      <x:c r="N1817" s="14" t="str"/>
      <x:c r="O1817" s="14" t="str">
        <x:v>SOURCE_SECTION_READ</x:v>
      </x:c>
      <x:c r="P1817" s="14" t="str">
        <x:v>NOT_VERIFIED</x:v>
      </x:c>
      <x:c r="Q1817" s="14" t="str">
        <x:v>PENDING_INDEPENDENT_AUDIT</x:v>
      </x:c>
      <x:c r="R1817" s="14" t="str">
        <x:v>Partial extraction; independent audit and code execution pending.</x:v>
      </x:c>
      <x:c r="S1817" s="14" t="str"/>
      <x:c r="T1817" s="14" t="str">
        <x:v>EXTRACTED</x:v>
      </x:c>
      <x:c r="U1817" s="14" t="str">
        <x:v>2026-09-28</x:v>
      </x:c>
      <x:c r="V1817" s="14" t="str">
        <x:v>B16</x:v>
      </x:c>
    </x:row>
    <x:row r="1818" ht="75" customHeight="1">
      <x:c r="A1818" s="14" t="str">
        <x:v>B16-0002</x:v>
      </x:c>
      <x:c r="B1818" s="14" t="str">
        <x:v>OAI-0001</x:v>
      </x:c>
      <x:c r="C1818" s="14" t="str">
        <x:v>OAI-0001:B16_SOURCE_REVIEW</x:v>
      </x:c>
      <x:c r="D1818" s="14" t="str">
        <x:v>architecture.prior_scales</x:v>
      </x:c>
      <x:c r="E1818" s="14" t="n">
        <x:v>2</x:v>
      </x:c>
      <x:c r="F1818" s="14" t="str">
        <x:v>4DVarNet-SSH; prior-network parameters differ from total solver parameters.</x:v>
      </x:c>
      <x:c r="G1818" s="14" t="str">
        <x:v>AUTHOR_REPORTED_FACT</x:v>
      </x:c>
      <x:c r="H1818" s="14" t="str">
        <x:v>https://gmd.copernicus.org/articles/16/2119/2023/</x:v>
      </x:c>
      <x:c r="I1818" s="14" t="str">
        <x:v>10.5194/gmd-16-2119-2023</x:v>
      </x:c>
      <x:c r="J1818" s="14" t="str">
        <x:v>PUBLISHED_HTML</x:v>
      </x:c>
      <x:c r="K1818" s="14" t="str">
        <x:v>3.2</x:v>
      </x:c>
      <x:c r="L1818" s="14" t="str">
        <x:v>3.2</x:v>
      </x:c>
      <x:c r="M1818" s="14" t="str"/>
      <x:c r="N1818" s="14" t="str"/>
      <x:c r="O1818" s="14" t="str">
        <x:v>SOURCE_SECTION_READ</x:v>
      </x:c>
      <x:c r="P1818" s="14" t="str">
        <x:v>NOT_VERIFIED</x:v>
      </x:c>
      <x:c r="Q1818" s="14" t="str">
        <x:v>PENDING_INDEPENDENT_AUDIT</x:v>
      </x:c>
      <x:c r="R1818" s="14" t="str">
        <x:v>Partial extraction; independent audit and code execution pending.</x:v>
      </x:c>
      <x:c r="S1818" s="14" t="str"/>
      <x:c r="T1818" s="14" t="str">
        <x:v>EXTRACTED</x:v>
      </x:c>
      <x:c r="U1818" s="14" t="str">
        <x:v>2026-09-28</x:v>
      </x:c>
      <x:c r="V1818" s="14" t="str">
        <x:v>B16</x:v>
      </x:c>
    </x:row>
    <x:row r="1819" ht="75" customHeight="1">
      <x:c r="A1819" s="14" t="str">
        <x:v>B16-0003</x:v>
      </x:c>
      <x:c r="B1819" s="14" t="str">
        <x:v>OAI-0001</x:v>
      </x:c>
      <x:c r="C1819" s="14" t="str">
        <x:v>OAI-0001:B16_SOURCE_REVIEW</x:v>
      </x:c>
      <x:c r="D1819" s="14" t="str">
        <x:v>architecture.bilinear_hidden_layers</x:v>
      </x:c>
      <x:c r="E1819" s="14" t="n">
        <x:v>2</x:v>
      </x:c>
      <x:c r="F1819" s="14" t="str">
        <x:v>4DVarNet-SSH; prior-network parameters differ from total solver parameters.</x:v>
      </x:c>
      <x:c r="G1819" s="14" t="str">
        <x:v>AUTHOR_REPORTED_FACT</x:v>
      </x:c>
      <x:c r="H1819" s="14" t="str">
        <x:v>https://gmd.copernicus.org/articles/16/2119/2023/</x:v>
      </x:c>
      <x:c r="I1819" s="14" t="str">
        <x:v>10.5194/gmd-16-2119-2023</x:v>
      </x:c>
      <x:c r="J1819" s="14" t="str">
        <x:v>PUBLISHED_HTML</x:v>
      </x:c>
      <x:c r="K1819" s="14" t="str">
        <x:v>3.2</x:v>
      </x:c>
      <x:c r="L1819" s="14" t="str">
        <x:v>3.2</x:v>
      </x:c>
      <x:c r="M1819" s="14" t="str"/>
      <x:c r="N1819" s="14" t="str"/>
      <x:c r="O1819" s="14" t="str">
        <x:v>SOURCE_SECTION_READ</x:v>
      </x:c>
      <x:c r="P1819" s="14" t="str">
        <x:v>NOT_VERIFIED</x:v>
      </x:c>
      <x:c r="Q1819" s="14" t="str">
        <x:v>PENDING_INDEPENDENT_AUDIT</x:v>
      </x:c>
      <x:c r="R1819" s="14" t="str">
        <x:v>Partial extraction; independent audit and code execution pending.</x:v>
      </x:c>
      <x:c r="S1819" s="14" t="str"/>
      <x:c r="T1819" s="14" t="str">
        <x:v>EXTRACTED</x:v>
      </x:c>
      <x:c r="U1819" s="14" t="str">
        <x:v>2026-09-28</x:v>
      </x:c>
      <x:c r="V1819" s="14" t="str">
        <x:v>B16</x:v>
      </x:c>
    </x:row>
    <x:row r="1820" ht="75" customHeight="1">
      <x:c r="A1820" s="14" t="str">
        <x:v>B16-0004</x:v>
      </x:c>
      <x:c r="B1820" s="14" t="str">
        <x:v>OAI-0001</x:v>
      </x:c>
      <x:c r="C1820" s="14" t="str">
        <x:v>OAI-0001:B16_SOURCE_REVIEW</x:v>
      </x:c>
      <x:c r="D1820" s="14" t="str">
        <x:v>architecture.bilinear_activations</x:v>
      </x:c>
      <x:c r="E1820" s="14" t="str">
        <x:v>Linear; ReLU</x:v>
      </x:c>
      <x:c r="F1820" s="14" t="str">
        <x:v>4DVarNet-SSH; prior-network parameters differ from total solver parameters.</x:v>
      </x:c>
      <x:c r="G1820" s="14" t="str">
        <x:v>AUTHOR_REPORTED_FACT</x:v>
      </x:c>
      <x:c r="H1820" s="14" t="str">
        <x:v>https://gmd.copernicus.org/articles/16/2119/2023/</x:v>
      </x:c>
      <x:c r="I1820" s="14" t="str">
        <x:v>10.5194/gmd-16-2119-2023</x:v>
      </x:c>
      <x:c r="J1820" s="14" t="str">
        <x:v>PUBLISHED_HTML</x:v>
      </x:c>
      <x:c r="K1820" s="14" t="str">
        <x:v>3.2</x:v>
      </x:c>
      <x:c r="L1820" s="14" t="str">
        <x:v>3.2</x:v>
      </x:c>
      <x:c r="M1820" s="14" t="str"/>
      <x:c r="N1820" s="14" t="str"/>
      <x:c r="O1820" s="14" t="str">
        <x:v>SOURCE_SECTION_READ</x:v>
      </x:c>
      <x:c r="P1820" s="14" t="str">
        <x:v>NOT_VERIFIED</x:v>
      </x:c>
      <x:c r="Q1820" s="14" t="str">
        <x:v>PENDING_INDEPENDENT_AUDIT</x:v>
      </x:c>
      <x:c r="R1820" s="14" t="str">
        <x:v>Partial extraction; independent audit and code execution pending.</x:v>
      </x:c>
      <x:c r="S1820" s="14" t="str"/>
      <x:c r="T1820" s="14" t="str">
        <x:v>EXTRACTED</x:v>
      </x:c>
      <x:c r="U1820" s="14" t="str">
        <x:v>2026-09-28</x:v>
      </x:c>
      <x:c r="V1820" s="14" t="str">
        <x:v>B16</x:v>
      </x:c>
    </x:row>
    <x:row r="1821" ht="75" customHeight="1">
      <x:c r="A1821" s="14" t="str">
        <x:v>B16-0005</x:v>
      </x:c>
      <x:c r="B1821" s="14" t="str">
        <x:v>OAI-0001</x:v>
      </x:c>
      <x:c r="C1821" s="14" t="str">
        <x:v>OAI-0001:B16_SOURCE_REVIEW</x:v>
      </x:c>
      <x:c r="D1821" s="14" t="str">
        <x:v>architecture.prior_output_activation</x:v>
      </x:c>
      <x:c r="E1821" s="14" t="str">
        <x:v>Linear</x:v>
      </x:c>
      <x:c r="F1821" s="14" t="str">
        <x:v>4DVarNet-SSH; prior-network parameters differ from total solver parameters.</x:v>
      </x:c>
      <x:c r="G1821" s="14" t="str">
        <x:v>AUTHOR_REPORTED_FACT</x:v>
      </x:c>
      <x:c r="H1821" s="14" t="str">
        <x:v>https://gmd.copernicus.org/articles/16/2119/2023/</x:v>
      </x:c>
      <x:c r="I1821" s="14" t="str">
        <x:v>10.5194/gmd-16-2119-2023</x:v>
      </x:c>
      <x:c r="J1821" s="14" t="str">
        <x:v>PUBLISHED_HTML</x:v>
      </x:c>
      <x:c r="K1821" s="14" t="str">
        <x:v>3.2</x:v>
      </x:c>
      <x:c r="L1821" s="14" t="str">
        <x:v>3.2</x:v>
      </x:c>
      <x:c r="M1821" s="14" t="str"/>
      <x:c r="N1821" s="14" t="str"/>
      <x:c r="O1821" s="14" t="str">
        <x:v>SOURCE_SECTION_READ</x:v>
      </x:c>
      <x:c r="P1821" s="14" t="str">
        <x:v>NOT_VERIFIED</x:v>
      </x:c>
      <x:c r="Q1821" s="14" t="str">
        <x:v>PENDING_INDEPENDENT_AUDIT</x:v>
      </x:c>
      <x:c r="R1821" s="14" t="str">
        <x:v>Partial extraction; independent audit and code execution pending.</x:v>
      </x:c>
      <x:c r="S1821" s="14" t="str"/>
      <x:c r="T1821" s="14" t="str">
        <x:v>EXTRACTED</x:v>
      </x:c>
      <x:c r="U1821" s="14" t="str">
        <x:v>2026-09-28</x:v>
      </x:c>
      <x:c r="V1821" s="14" t="str">
        <x:v>B16</x:v>
      </x:c>
    </x:row>
    <x:row r="1822" ht="75" customHeight="1">
      <x:c r="A1822" s="14" t="str">
        <x:v>B16-0006</x:v>
      </x:c>
      <x:c r="B1822" s="14" t="str">
        <x:v>OAI-0001</x:v>
      </x:c>
      <x:c r="C1822" s="14" t="str">
        <x:v>OAI-0001:B16_SOURCE_REVIEW</x:v>
      </x:c>
      <x:c r="D1822" s="14" t="str">
        <x:v>architecture.prior_parameter_count</x:v>
      </x:c>
      <x:c r="E1822" s="14" t="str">
        <x:v>~500000</x:v>
      </x:c>
      <x:c r="F1822" s="14" t="str">
        <x:v>4DVarNet-SSH; prior-network parameters differ from total solver parameters.</x:v>
      </x:c>
      <x:c r="G1822" s="14" t="str">
        <x:v>AUTHOR_REPORTED_FACT</x:v>
      </x:c>
      <x:c r="H1822" s="14" t="str">
        <x:v>https://gmd.copernicus.org/articles/16/2119/2023/</x:v>
      </x:c>
      <x:c r="I1822" s="14" t="str">
        <x:v>10.5194/gmd-16-2119-2023</x:v>
      </x:c>
      <x:c r="J1822" s="14" t="str">
        <x:v>PUBLISHED_HTML</x:v>
      </x:c>
      <x:c r="K1822" s="14" t="str">
        <x:v>3.2</x:v>
      </x:c>
      <x:c r="L1822" s="14" t="str">
        <x:v>3.2</x:v>
      </x:c>
      <x:c r="M1822" s="14" t="str"/>
      <x:c r="N1822" s="14" t="str"/>
      <x:c r="O1822" s="14" t="str">
        <x:v>SOURCE_SECTION_READ</x:v>
      </x:c>
      <x:c r="P1822" s="14" t="str">
        <x:v>NOT_VERIFIED</x:v>
      </x:c>
      <x:c r="Q1822" s="14" t="str">
        <x:v>PENDING_INDEPENDENT_AUDIT</x:v>
      </x:c>
      <x:c r="R1822" s="14" t="str">
        <x:v>Partial extraction; independent audit and code execution pending.</x:v>
      </x:c>
      <x:c r="S1822" s="14" t="str"/>
      <x:c r="T1822" s="14" t="str">
        <x:v>EXTRACTED</x:v>
      </x:c>
      <x:c r="U1822" s="14" t="str">
        <x:v>2026-09-28</x:v>
      </x:c>
      <x:c r="V1822" s="14" t="str">
        <x:v>B16</x:v>
      </x:c>
    </x:row>
    <x:row r="1823" ht="75" customHeight="1">
      <x:c r="A1823" s="14" t="str">
        <x:v>B16-0007</x:v>
      </x:c>
      <x:c r="B1823" s="14" t="str">
        <x:v>OAI-0001</x:v>
      </x:c>
      <x:c r="C1823" s="14" t="str">
        <x:v>OAI-0001:B16_SOURCE_REVIEW</x:v>
      </x:c>
      <x:c r="D1823" s="14" t="str">
        <x:v>architecture.solver_iterations</x:v>
      </x:c>
      <x:c r="E1823" s="14" t="n">
        <x:v>5</x:v>
      </x:c>
      <x:c r="F1823" s="14" t="str">
        <x:v>4DVarNet-SSH; prior-network parameters differ from total solver parameters.</x:v>
      </x:c>
      <x:c r="G1823" s="14" t="str">
        <x:v>AUTHOR_REPORTED_FACT</x:v>
      </x:c>
      <x:c r="H1823" s="14" t="str">
        <x:v>https://gmd.copernicus.org/articles/16/2119/2023/</x:v>
      </x:c>
      <x:c r="I1823" s="14" t="str">
        <x:v>10.5194/gmd-16-2119-2023</x:v>
      </x:c>
      <x:c r="J1823" s="14" t="str">
        <x:v>PUBLISHED_HTML</x:v>
      </x:c>
      <x:c r="K1823" s="14" t="str">
        <x:v>3.2</x:v>
      </x:c>
      <x:c r="L1823" s="14" t="str">
        <x:v>3.2</x:v>
      </x:c>
      <x:c r="M1823" s="14" t="str"/>
      <x:c r="N1823" s="14" t="str"/>
      <x:c r="O1823" s="14" t="str">
        <x:v>SOURCE_SECTION_READ</x:v>
      </x:c>
      <x:c r="P1823" s="14" t="str">
        <x:v>NOT_VERIFIED</x:v>
      </x:c>
      <x:c r="Q1823" s="14" t="str">
        <x:v>PENDING_INDEPENDENT_AUDIT</x:v>
      </x:c>
      <x:c r="R1823" s="14" t="str">
        <x:v>Partial extraction; independent audit and code execution pending.</x:v>
      </x:c>
      <x:c r="S1823" s="14" t="str"/>
      <x:c r="T1823" s="14" t="str">
        <x:v>EXTRACTED</x:v>
      </x:c>
      <x:c r="U1823" s="14" t="str">
        <x:v>2026-09-28</x:v>
      </x:c>
      <x:c r="V1823" s="14" t="str">
        <x:v>B16</x:v>
      </x:c>
    </x:row>
    <x:row r="1824" ht="75" customHeight="1">
      <x:c r="A1824" s="14" t="str">
        <x:v>B16-0008</x:v>
      </x:c>
      <x:c r="B1824" s="14" t="str">
        <x:v>OAI-0001</x:v>
      </x:c>
      <x:c r="C1824" s="14" t="str">
        <x:v>OAI-0001:B16_SOURCE_REVIEW</x:v>
      </x:c>
      <x:c r="D1824" s="14" t="str">
        <x:v>ablations.solver_iterations</x:v>
      </x:c>
      <x:c r="E1824" s="14" t="str">
        <x:v>More iterations: slower training; insignificant skill gain</x:v>
      </x:c>
      <x:c r="F1824" s="14" t="str">
        <x:v>4DVarNet-SSH; prior-network parameters differ from total solver parameters.</x:v>
      </x:c>
      <x:c r="G1824" s="14" t="str">
        <x:v>AUTHOR_REPORTED_FACT</x:v>
      </x:c>
      <x:c r="H1824" s="14" t="str">
        <x:v>https://gmd.copernicus.org/articles/16/2119/2023/</x:v>
      </x:c>
      <x:c r="I1824" s="14" t="str">
        <x:v>10.5194/gmd-16-2119-2023</x:v>
      </x:c>
      <x:c r="J1824" s="14" t="str">
        <x:v>PUBLISHED_HTML</x:v>
      </x:c>
      <x:c r="K1824" s="14" t="str">
        <x:v>3.2</x:v>
      </x:c>
      <x:c r="L1824" s="14" t="str">
        <x:v>3.2</x:v>
      </x:c>
      <x:c r="M1824" s="14" t="str"/>
      <x:c r="N1824" s="14" t="str"/>
      <x:c r="O1824" s="14" t="str">
        <x:v>SOURCE_SECTION_READ</x:v>
      </x:c>
      <x:c r="P1824" s="14" t="str">
        <x:v>NOT_VERIFIED</x:v>
      </x:c>
      <x:c r="Q1824" s="14" t="str">
        <x:v>PENDING_INDEPENDENT_AUDIT</x:v>
      </x:c>
      <x:c r="R1824" s="14" t="str">
        <x:v>Partial extraction; independent audit and code execution pending.</x:v>
      </x:c>
      <x:c r="S1824" s="14" t="str"/>
      <x:c r="T1824" s="14" t="str">
        <x:v>EXTRACTED</x:v>
      </x:c>
      <x:c r="U1824" s="14" t="str">
        <x:v>2026-09-28</x:v>
      </x:c>
      <x:c r="V1824" s="14" t="str">
        <x:v>B16</x:v>
      </x:c>
    </x:row>
    <x:row r="1825" ht="75" customHeight="1">
      <x:c r="A1825" s="14" t="str">
        <x:v>B16-0009</x:v>
      </x:c>
      <x:c r="B1825" s="14" t="str">
        <x:v>OAI-0001</x:v>
      </x:c>
      <x:c r="C1825" s="14" t="str">
        <x:v>OAI-0001:B16_SOURCE_REVIEW</x:v>
      </x:c>
      <x:c r="D1825" s="14" t="str">
        <x:v>assimilation.augmented_state</x:v>
      </x:c>
      <x:c r="E1825" s="14" t="str">
        <x:v>Coarse field; observed anomaly; latent anomaly</x:v>
      </x:c>
      <x:c r="F1825" s="14" t="str">
        <x:v>4DVarNet-SSH; prior-network parameters differ from total solver parameters.</x:v>
      </x:c>
      <x:c r="G1825" s="14" t="str">
        <x:v>AUTHOR_REPORTED_FACT</x:v>
      </x:c>
      <x:c r="H1825" s="14" t="str">
        <x:v>https://gmd.copernicus.org/articles/16/2119/2023/</x:v>
      </x:c>
      <x:c r="I1825" s="14" t="str">
        <x:v>10.5194/gmd-16-2119-2023</x:v>
      </x:c>
      <x:c r="J1825" s="14" t="str">
        <x:v>PUBLISHED_HTML</x:v>
      </x:c>
      <x:c r="K1825" s="14" t="str">
        <x:v>3.2, Eq.6</x:v>
      </x:c>
      <x:c r="L1825" s="14" t="str">
        <x:v>3.2, Eq.6</x:v>
      </x:c>
      <x:c r="M1825" s="14" t="str"/>
      <x:c r="N1825" s="14" t="str"/>
      <x:c r="O1825" s="14" t="str">
        <x:v>SOURCE_SECTION_READ</x:v>
      </x:c>
      <x:c r="P1825" s="14" t="str">
        <x:v>NOT_VERIFIED</x:v>
      </x:c>
      <x:c r="Q1825" s="14" t="str">
        <x:v>PENDING_INDEPENDENT_AUDIT</x:v>
      </x:c>
      <x:c r="R1825" s="14" t="str">
        <x:v>Partial extraction; independent audit and code execution pending.</x:v>
      </x:c>
      <x:c r="S1825" s="14" t="str"/>
      <x:c r="T1825" s="14" t="str">
        <x:v>EXTRACTED</x:v>
      </x:c>
      <x:c r="U1825" s="14" t="str">
        <x:v>2026-09-28</x:v>
      </x:c>
      <x:c r="V1825" s="14" t="str">
        <x:v>B16</x:v>
      </x:c>
    </x:row>
    <x:row r="1826" ht="75" customHeight="1">
      <x:c r="A1826" s="14" t="str">
        <x:v>B16-0010</x:v>
      </x:c>
      <x:c r="B1826" s="14" t="str">
        <x:v>OAI-0001</x:v>
      </x:c>
      <x:c r="C1826" s="14" t="str">
        <x:v>OAI-0001:B16_SOURCE_REVIEW</x:v>
      </x:c>
      <x:c r="D1826" s="14" t="str">
        <x:v>assimilation.initialization</x:v>
      </x:c>
      <x:c r="E1826" s="14" t="str">
        <x:v>OI; observed-minus-OI anomaly; zero latent anomaly</x:v>
      </x:c>
      <x:c r="F1826" s="14" t="str">
        <x:v>4DVarNet-SSH; prior-network parameters differ from total solver parameters.</x:v>
      </x:c>
      <x:c r="G1826" s="14" t="str">
        <x:v>AUTHOR_REPORTED_FACT</x:v>
      </x:c>
      <x:c r="H1826" s="14" t="str">
        <x:v>https://gmd.copernicus.org/articles/16/2119/2023/</x:v>
      </x:c>
      <x:c r="I1826" s="14" t="str">
        <x:v>10.5194/gmd-16-2119-2023</x:v>
      </x:c>
      <x:c r="J1826" s="14" t="str">
        <x:v>PUBLISHED_HTML</x:v>
      </x:c>
      <x:c r="K1826" s="14" t="str">
        <x:v>3.2</x:v>
      </x:c>
      <x:c r="L1826" s="14" t="str">
        <x:v>3.2</x:v>
      </x:c>
      <x:c r="M1826" s="14" t="str"/>
      <x:c r="N1826" s="14" t="str"/>
      <x:c r="O1826" s="14" t="str">
        <x:v>SOURCE_SECTION_READ</x:v>
      </x:c>
      <x:c r="P1826" s="14" t="str">
        <x:v>NOT_VERIFIED</x:v>
      </x:c>
      <x:c r="Q1826" s="14" t="str">
        <x:v>PENDING_INDEPENDENT_AUDIT</x:v>
      </x:c>
      <x:c r="R1826" s="14" t="str">
        <x:v>Partial extraction; independent audit and code execution pending.</x:v>
      </x:c>
      <x:c r="S1826" s="14" t="str"/>
      <x:c r="T1826" s="14" t="str">
        <x:v>EXTRACTED</x:v>
      </x:c>
      <x:c r="U1826" s="14" t="str">
        <x:v>2026-09-28</x:v>
      </x:c>
      <x:c r="V1826" s="14" t="str">
        <x:v>B16</x:v>
      </x:c>
    </x:row>
    <x:row r="1827" ht="75" customHeight="1">
      <x:c r="A1827" s="14" t="str">
        <x:v>B16-0011</x:v>
      </x:c>
      <x:c r="B1827" s="14" t="str">
        <x:v>OAI-0001</x:v>
      </x:c>
      <x:c r="C1827" s="14" t="str">
        <x:v>OAI-0001:B16_SOURCE_REVIEW</x:v>
      </x:c>
      <x:c r="D1827" s="14" t="str">
        <x:v>preprocessing.missing_anomaly</x:v>
      </x:c>
      <x:c r="E1827" s="14" t="str">
        <x:v>Initialize gaps to zero</x:v>
      </x:c>
      <x:c r="F1827" s="14" t="str">
        <x:v>4DVarNet-SSH; prior-network parameters differ from total solver parameters.</x:v>
      </x:c>
      <x:c r="G1827" s="14" t="str">
        <x:v>AUTHOR_REPORTED_FACT</x:v>
      </x:c>
      <x:c r="H1827" s="14" t="str">
        <x:v>https://gmd.copernicus.org/articles/16/2119/2023/</x:v>
      </x:c>
      <x:c r="I1827" s="14" t="str">
        <x:v>10.5194/gmd-16-2119-2023</x:v>
      </x:c>
      <x:c r="J1827" s="14" t="str">
        <x:v>PUBLISHED_HTML</x:v>
      </x:c>
      <x:c r="K1827" s="14" t="str">
        <x:v>3.2</x:v>
      </x:c>
      <x:c r="L1827" s="14" t="str">
        <x:v>3.2</x:v>
      </x:c>
      <x:c r="M1827" s="14" t="str"/>
      <x:c r="N1827" s="14" t="str"/>
      <x:c r="O1827" s="14" t="str">
        <x:v>SOURCE_SECTION_READ</x:v>
      </x:c>
      <x:c r="P1827" s="14" t="str">
        <x:v>NOT_VERIFIED</x:v>
      </x:c>
      <x:c r="Q1827" s="14" t="str">
        <x:v>PENDING_INDEPENDENT_AUDIT</x:v>
      </x:c>
      <x:c r="R1827" s="14" t="str">
        <x:v>Partial extraction; independent audit and code execution pending.</x:v>
      </x:c>
      <x:c r="S1827" s="14" t="str"/>
      <x:c r="T1827" s="14" t="str">
        <x:v>EXTRACTED</x:v>
      </x:c>
      <x:c r="U1827" s="14" t="str">
        <x:v>2026-09-28</x:v>
      </x:c>
      <x:c r="V1827" s="14" t="str">
        <x:v>B16</x:v>
      </x:c>
    </x:row>
    <x:row r="1828" ht="75" customHeight="1">
      <x:c r="A1828" s="14" t="str">
        <x:v>B16-0012</x:v>
      </x:c>
      <x:c r="B1828" s="14" t="str">
        <x:v>OAI-0001</x:v>
      </x:c>
      <x:c r="C1828" s="14" t="str">
        <x:v>OAI-0001:B16_SOURCE_REVIEW</x:v>
      </x:c>
      <x:c r="D1828" s="14" t="str">
        <x:v>loss.nested_objectives</x:v>
      </x:c>
      <x:c r="E1828" s="14" t="str">
        <x:v>Inner variational cost differs from supervised training loss</x:v>
      </x:c>
      <x:c r="F1828" s="14" t="str">
        <x:v>4DVarNet-SSH; prior-network parameters differ from total solver parameters.</x:v>
      </x:c>
      <x:c r="G1828" s="14" t="str">
        <x:v>AUTHOR_REPORTED_FACT</x:v>
      </x:c>
      <x:c r="H1828" s="14" t="str">
        <x:v>https://gmd.copernicus.org/articles/16/2119/2023/</x:v>
      </x:c>
      <x:c r="I1828" s="14" t="str">
        <x:v>10.5194/gmd-16-2119-2023</x:v>
      </x:c>
      <x:c r="J1828" s="14" t="str">
        <x:v>PUBLISHED_HTML</x:v>
      </x:c>
      <x:c r="K1828" s="14" t="str">
        <x:v>3.1, Eqs.2-4</x:v>
      </x:c>
      <x:c r="L1828" s="14" t="str">
        <x:v>3.1, Eqs.2-4</x:v>
      </x:c>
      <x:c r="M1828" s="14" t="str"/>
      <x:c r="N1828" s="14" t="str"/>
      <x:c r="O1828" s="14" t="str">
        <x:v>SOURCE_SECTION_READ</x:v>
      </x:c>
      <x:c r="P1828" s="14" t="str">
        <x:v>NOT_VERIFIED</x:v>
      </x:c>
      <x:c r="Q1828" s="14" t="str">
        <x:v>PENDING_INDEPENDENT_AUDIT</x:v>
      </x:c>
      <x:c r="R1828" s="14" t="str">
        <x:v>Partial extraction; independent audit and code execution pending.</x:v>
      </x:c>
      <x:c r="S1828" s="14" t="str"/>
      <x:c r="T1828" s="14" t="str">
        <x:v>EXTRACTED</x:v>
      </x:c>
      <x:c r="U1828" s="14" t="str">
        <x:v>2026-09-28</x:v>
      </x:c>
      <x:c r="V1828" s="14" t="str">
        <x:v>B16</x:v>
      </x:c>
    </x:row>
    <x:row r="1829" ht="75" customHeight="1">
      <x:c r="A1829" s="14" t="str">
        <x:v>B16-0013</x:v>
      </x:c>
      <x:c r="B1829" s="14" t="str">
        <x:v>OAI-0001</x:v>
      </x:c>
      <x:c r="C1829" s="14" t="str">
        <x:v>OAI-0001:B16_SOURCE_REVIEW</x:v>
      </x:c>
      <x:c r="D1829" s="14" t="str">
        <x:v>inputs.patch_shape</x:v>
      </x:c>
      <x:c r="E1829" s="14" t="str">
        <x:v>7×240×240</x:v>
      </x:c>
      <x:c r="F1829" s="14" t="str">
        <x:v>4DVarNet-SSH; prior-network parameters differ from total solver parameters.</x:v>
      </x:c>
      <x:c r="G1829" s="14" t="str">
        <x:v>AUTHOR_REPORTED_FACT</x:v>
      </x:c>
      <x:c r="H1829" s="14" t="str">
        <x:v>https://gmd.copernicus.org/articles/16/2119/2023/</x:v>
      </x:c>
      <x:c r="I1829" s="14" t="str">
        <x:v>10.5194/gmd-16-2119-2023</x:v>
      </x:c>
      <x:c r="J1829" s="14" t="str">
        <x:v>PUBLISHED_HTML</x:v>
      </x:c>
      <x:c r="K1829" s="14" t="str">
        <x:v>3.4</x:v>
      </x:c>
      <x:c r="L1829" s="14" t="str">
        <x:v>3.4</x:v>
      </x:c>
      <x:c r="M1829" s="14" t="str"/>
      <x:c r="N1829" s="14" t="str"/>
      <x:c r="O1829" s="14" t="str">
        <x:v>SOURCE_SECTION_READ</x:v>
      </x:c>
      <x:c r="P1829" s="14" t="str">
        <x:v>NOT_VERIFIED</x:v>
      </x:c>
      <x:c r="Q1829" s="14" t="str">
        <x:v>PENDING_INDEPENDENT_AUDIT</x:v>
      </x:c>
      <x:c r="R1829" s="14" t="str">
        <x:v>Partial extraction; independent audit and code execution pending.</x:v>
      </x:c>
      <x:c r="S1829" s="14" t="str"/>
      <x:c r="T1829" s="14" t="str">
        <x:v>EXTRACTED</x:v>
      </x:c>
      <x:c r="U1829" s="14" t="str">
        <x:v>2026-09-28</x:v>
      </x:c>
      <x:c r="V1829" s="14" t="str">
        <x:v>B16</x:v>
      </x:c>
    </x:row>
    <x:row r="1830" ht="75" customHeight="1">
      <x:c r="A1830" s="14" t="str">
        <x:v>B16-0014</x:v>
      </x:c>
      <x:c r="B1830" s="14" t="str">
        <x:v>OAI-0001</x:v>
      </x:c>
      <x:c r="C1830" s="14" t="str">
        <x:v>OAI-0001:B16_SOURCE_REVIEW</x:v>
      </x:c>
      <x:c r="D1830" s="14" t="str">
        <x:v>assimilation.window_days</x:v>
      </x:c>
      <x:c r="E1830" s="14" t="n">
        <x:v>7</x:v>
      </x:c>
      <x:c r="F1830" s="14" t="str">
        <x:v>4DVarNet-SSH; prior-network parameters differ from total solver parameters.</x:v>
      </x:c>
      <x:c r="G1830" s="14" t="str">
        <x:v>AUTHOR_REPORTED_FACT</x:v>
      </x:c>
      <x:c r="H1830" s="14" t="str">
        <x:v>https://gmd.copernicus.org/articles/16/2119/2023/</x:v>
      </x:c>
      <x:c r="I1830" s="14" t="str">
        <x:v>10.5194/gmd-16-2119-2023</x:v>
      </x:c>
      <x:c r="J1830" s="14" t="str">
        <x:v>PUBLISHED_HTML</x:v>
      </x:c>
      <x:c r="K1830" s="14" t="str">
        <x:v>3.4</x:v>
      </x:c>
      <x:c r="L1830" s="14" t="str">
        <x:v>3.4</x:v>
      </x:c>
      <x:c r="M1830" s="14" t="str"/>
      <x:c r="N1830" s="14" t="str"/>
      <x:c r="O1830" s="14" t="str">
        <x:v>SOURCE_SECTION_READ</x:v>
      </x:c>
      <x:c r="P1830" s="14" t="str">
        <x:v>NOT_VERIFIED</x:v>
      </x:c>
      <x:c r="Q1830" s="14" t="str">
        <x:v>PENDING_INDEPENDENT_AUDIT</x:v>
      </x:c>
      <x:c r="R1830" s="14" t="str">
        <x:v>Partial extraction; independent audit and code execution pending.</x:v>
      </x:c>
      <x:c r="S1830" s="14" t="str">
        <x:v>days</x:v>
      </x:c>
      <x:c r="T1830" s="14" t="str">
        <x:v>EXTRACTED</x:v>
      </x:c>
      <x:c r="U1830" s="14" t="str">
        <x:v>2026-09-28</x:v>
      </x:c>
      <x:c r="V1830" s="14" t="str">
        <x:v>B16</x:v>
      </x:c>
    </x:row>
    <x:row r="1831" ht="75" customHeight="1">
      <x:c r="A1831" s="14" t="str">
        <x:v>B16-0015</x:v>
      </x:c>
      <x:c r="B1831" s="14" t="str">
        <x:v>OAI-0001</x:v>
      </x:c>
      <x:c r="C1831" s="14" t="str">
        <x:v>OAI-0001:B16_SOURCE_REVIEW</x:v>
      </x:c>
      <x:c r="D1831" s="14" t="str">
        <x:v>limitations.memory</x:v>
      </x:c>
      <x:c r="E1831" s="14" t="str">
        <x:v>GPU memory limits direct large-domain training</x:v>
      </x:c>
      <x:c r="F1831" s="14" t="str">
        <x:v>4DVarNet-SSH; prior-network parameters differ from total solver parameters.</x:v>
      </x:c>
      <x:c r="G1831" s="14" t="str">
        <x:v>AUTHOR_REPORTED_LIMITATION</x:v>
      </x:c>
      <x:c r="H1831" s="14" t="str">
        <x:v>https://gmd.copernicus.org/articles/16/2119/2023/</x:v>
      </x:c>
      <x:c r="I1831" s="14" t="str">
        <x:v>10.5194/gmd-16-2119-2023</x:v>
      </x:c>
      <x:c r="J1831" s="14" t="str">
        <x:v>PUBLISHED_HTML</x:v>
      </x:c>
      <x:c r="K1831" s="14" t="str">
        <x:v>3.4</x:v>
      </x:c>
      <x:c r="L1831" s="14" t="str">
        <x:v>3.4</x:v>
      </x:c>
      <x:c r="M1831" s="14" t="str"/>
      <x:c r="N1831" s="14" t="str"/>
      <x:c r="O1831" s="14" t="str">
        <x:v>SOURCE_SECTION_READ</x:v>
      </x:c>
      <x:c r="P1831" s="14" t="str">
        <x:v>NOT_VERIFIED</x:v>
      </x:c>
      <x:c r="Q1831" s="14" t="str">
        <x:v>PENDING_INDEPENDENT_AUDIT</x:v>
      </x:c>
      <x:c r="R1831" s="14" t="str">
        <x:v>Partial extraction; independent audit and code execution pending.</x:v>
      </x:c>
      <x:c r="S1831" s="14" t="str"/>
      <x:c r="T1831" s="14" t="str">
        <x:v>EXTRACTED</x:v>
      </x:c>
      <x:c r="U1831" s="14" t="str">
        <x:v>2026-09-28</x:v>
      </x:c>
      <x:c r="V1831" s="14" t="str">
        <x:v>B16</x:v>
      </x:c>
    </x:row>
    <x:row r="1832" ht="75" customHeight="1">
      <x:c r="A1832" s="14" t="str">
        <x:v>B16-0016</x:v>
      </x:c>
      <x:c r="B1832" s="14" t="str">
        <x:v>OAI-0001</x:v>
      </x:c>
      <x:c r="C1832" s="14" t="str">
        <x:v>OAI-0001:B16_SOURCE_REVIEW</x:v>
      </x:c>
      <x:c r="D1832" s="14" t="str">
        <x:v>reproducibility.code_archive</x:v>
      </x:c>
      <x:c r="E1832" s="14" t="str">
        <x:v>https://doi.org/10.5281/zenodo.7186322</x:v>
      </x:c>
      <x:c r="F1832" s="14" t="str">
        <x:v>4DVarNet-SSH; prior-network parameters differ from total solver parameters.</x:v>
      </x:c>
      <x:c r="G1832" s="14" t="str">
        <x:v>AUTHOR_REPORTED_FACT</x:v>
      </x:c>
      <x:c r="H1832" s="14" t="str">
        <x:v>https://gmd.copernicus.org/articles/16/2119/2023/</x:v>
      </x:c>
      <x:c r="I1832" s="14" t="str">
        <x:v>10.5194/gmd-16-2119-2023</x:v>
      </x:c>
      <x:c r="J1832" s="14" t="str">
        <x:v>PUBLISHED_HTML</x:v>
      </x:c>
      <x:c r="K1832" s="14" t="str">
        <x:v>3.4</x:v>
      </x:c>
      <x:c r="L1832" s="14" t="str">
        <x:v>3.4</x:v>
      </x:c>
      <x:c r="M1832" s="14" t="str"/>
      <x:c r="N1832" s="14" t="str"/>
      <x:c r="O1832" s="14" t="str">
        <x:v>SOURCE_SECTION_READ</x:v>
      </x:c>
      <x:c r="P1832" s="14" t="str">
        <x:v>NOT_VERIFIED</x:v>
      </x:c>
      <x:c r="Q1832" s="14" t="str">
        <x:v>PENDING_INDEPENDENT_AUDIT</x:v>
      </x:c>
      <x:c r="R1832" s="14" t="str">
        <x:v>Partial extraction; independent audit and code execution pending.</x:v>
      </x:c>
      <x:c r="S1832" s="14" t="str"/>
      <x:c r="T1832" s="14" t="str">
        <x:v>EXTRACTED</x:v>
      </x:c>
      <x:c r="U1832" s="14" t="str">
        <x:v>2026-09-28</x:v>
      </x:c>
      <x:c r="V1832" s="14" t="str">
        <x:v>B16</x:v>
      </x:c>
    </x:row>
    <x:row r="1833" ht="75" customHeight="1">
      <x:c r="A1833" s="14" t="str">
        <x:v>B16-0017</x:v>
      </x:c>
      <x:c r="B1833" s="14" t="str">
        <x:v>OAI-0001</x:v>
      </x:c>
      <x:c r="C1833" s="14" t="str">
        <x:v>OAI-0001:B16_SOURCE_REVIEW</x:v>
      </x:c>
      <x:c r="D1833" s="14" t="str">
        <x:v>reproducibility.framework</x:v>
      </x:c>
      <x:c r="E1833" s="14" t="str">
        <x:v>PyTorch; Lightning; Hydra</x:v>
      </x:c>
      <x:c r="F1833" s="14" t="str">
        <x:v>4DVarNet-SSH; prior-network parameters differ from total solver parameters.</x:v>
      </x:c>
      <x:c r="G1833" s="14" t="str">
        <x:v>AUTHOR_REPORTED_FACT</x:v>
      </x:c>
      <x:c r="H1833" s="14" t="str">
        <x:v>https://gmd.copernicus.org/articles/16/2119/2023/</x:v>
      </x:c>
      <x:c r="I1833" s="14" t="str">
        <x:v>10.5194/gmd-16-2119-2023</x:v>
      </x:c>
      <x:c r="J1833" s="14" t="str">
        <x:v>PUBLISHED_HTML</x:v>
      </x:c>
      <x:c r="K1833" s="14" t="str">
        <x:v>3.4</x:v>
      </x:c>
      <x:c r="L1833" s="14" t="str">
        <x:v>3.4</x:v>
      </x:c>
      <x:c r="M1833" s="14" t="str"/>
      <x:c r="N1833" s="14" t="str"/>
      <x:c r="O1833" s="14" t="str">
        <x:v>SOURCE_SECTION_READ</x:v>
      </x:c>
      <x:c r="P1833" s="14" t="str">
        <x:v>NOT_VERIFIED</x:v>
      </x:c>
      <x:c r="Q1833" s="14" t="str">
        <x:v>PENDING_INDEPENDENT_AUDIT</x:v>
      </x:c>
      <x:c r="R1833" s="14" t="str">
        <x:v>Partial extraction; independent audit and code execution pending.</x:v>
      </x:c>
      <x:c r="S1833" s="14" t="str"/>
      <x:c r="T1833" s="14" t="str">
        <x:v>EXTRACTED</x:v>
      </x:c>
      <x:c r="U1833" s="14" t="str">
        <x:v>2026-09-28</x:v>
      </x:c>
      <x:c r="V1833" s="14" t="str">
        <x:v>B16</x:v>
      </x:c>
    </x:row>
    <x:row r="1834" ht="75" customHeight="1">
      <x:c r="A1834" s="14" t="str">
        <x:v>B16-0018</x:v>
      </x:c>
      <x:c r="B1834" s="14" t="str">
        <x:v>OAI-0001</x:v>
      </x:c>
      <x:c r="C1834" s="14" t="str">
        <x:v>OAI-0001:B16_SOURCE_REVIEW</x:v>
      </x:c>
      <x:c r="D1834" s="14" t="str">
        <x:v>limitations.swot_noise</x:v>
      </x:c>
      <x:c r="E1834" s="14" t="str">
        <x:v>Experiments assume error-free SWOT</x:v>
      </x:c>
      <x:c r="F1834" s="14" t="str">
        <x:v>4DVarNet-SSH; prior-network parameters differ from total solver parameters.</x:v>
      </x:c>
      <x:c r="G1834" s="14" t="str">
        <x:v>AUTHOR_REPORTED_LIMITATION</x:v>
      </x:c>
      <x:c r="H1834" s="14" t="str">
        <x:v>https://gmd.copernicus.org/articles/16/2119/2023/</x:v>
      </x:c>
      <x:c r="I1834" s="14" t="str">
        <x:v>10.5194/gmd-16-2119-2023</x:v>
      </x:c>
      <x:c r="J1834" s="14" t="str">
        <x:v>PUBLISHED_HTML</x:v>
      </x:c>
      <x:c r="K1834" s="14" t="str">
        <x:v>6 Conclusions</x:v>
      </x:c>
      <x:c r="L1834" s="14" t="str">
        <x:v>6 Conclusions</x:v>
      </x:c>
      <x:c r="M1834" s="14" t="str"/>
      <x:c r="N1834" s="14" t="str"/>
      <x:c r="O1834" s="14" t="str">
        <x:v>SOURCE_SECTION_READ</x:v>
      </x:c>
      <x:c r="P1834" s="14" t="str">
        <x:v>NOT_VERIFIED</x:v>
      </x:c>
      <x:c r="Q1834" s="14" t="str">
        <x:v>PENDING_INDEPENDENT_AUDIT</x:v>
      </x:c>
      <x:c r="R1834" s="14" t="str">
        <x:v>Partial extraction; independent audit and code execution pending.</x:v>
      </x:c>
      <x:c r="S1834" s="14" t="str"/>
      <x:c r="T1834" s="14" t="str">
        <x:v>EXTRACTED</x:v>
      </x:c>
      <x:c r="U1834" s="14" t="str">
        <x:v>2026-09-28</x:v>
      </x:c>
      <x:c r="V1834" s="14" t="str">
        <x:v>B16</x:v>
      </x:c>
    </x:row>
    <x:row r="1835" ht="75" customHeight="1">
      <x:c r="A1835" s="14" t="str">
        <x:v>B16-0019</x:v>
      </x:c>
      <x:c r="B1835" s="14" t="str">
        <x:v>OAI-0001</x:v>
      </x:c>
      <x:c r="C1835" s="14" t="str">
        <x:v>OAI-0001:B16_SOURCE_REVIEW</x:v>
      </x:c>
      <x:c r="D1835" s="14" t="str">
        <x:v>future_work.noisy_swot</x:v>
      </x:c>
      <x:c r="E1835" s="14" t="str">
        <x:v>Assess noisy, uncalibrated SWOT</x:v>
      </x:c>
      <x:c r="F1835" s="14" t="str">
        <x:v>4DVarNet-SSH; prior-network parameters differ from total solver parameters.</x:v>
      </x:c>
      <x:c r="G1835" s="14" t="str">
        <x:v>AUTHOR_REPORTED_FACT</x:v>
      </x:c>
      <x:c r="H1835" s="14" t="str">
        <x:v>https://gmd.copernicus.org/articles/16/2119/2023/</x:v>
      </x:c>
      <x:c r="I1835" s="14" t="str">
        <x:v>10.5194/gmd-16-2119-2023</x:v>
      </x:c>
      <x:c r="J1835" s="14" t="str">
        <x:v>PUBLISHED_HTML</x:v>
      </x:c>
      <x:c r="K1835" s="14" t="str">
        <x:v>6 Conclusions</x:v>
      </x:c>
      <x:c r="L1835" s="14" t="str">
        <x:v>6 Conclusions</x:v>
      </x:c>
      <x:c r="M1835" s="14" t="str"/>
      <x:c r="N1835" s="14" t="str"/>
      <x:c r="O1835" s="14" t="str">
        <x:v>SOURCE_SECTION_READ</x:v>
      </x:c>
      <x:c r="P1835" s="14" t="str">
        <x:v>NOT_VERIFIED</x:v>
      </x:c>
      <x:c r="Q1835" s="14" t="str">
        <x:v>PENDING_INDEPENDENT_AUDIT</x:v>
      </x:c>
      <x:c r="R1835" s="14" t="str">
        <x:v>Partial extraction; independent audit and code execution pending.</x:v>
      </x:c>
      <x:c r="S1835" s="14" t="str"/>
      <x:c r="T1835" s="14" t="str">
        <x:v>EXTRACTED</x:v>
      </x:c>
      <x:c r="U1835" s="14" t="str">
        <x:v>2026-09-28</x:v>
      </x:c>
      <x:c r="V1835" s="14" t="str">
        <x:v>B16</x:v>
      </x:c>
    </x:row>
    <x:row r="1836" ht="75" customHeight="1">
      <x:c r="A1836" s="14" t="str">
        <x:v>B16-0020</x:v>
      </x:c>
      <x:c r="B1836" s="14" t="str">
        <x:v>OAI-0001</x:v>
      </x:c>
      <x:c r="C1836" s="14" t="str">
        <x:v>OAI-0001:B16_SOURCE_REVIEW</x:v>
      </x:c>
      <x:c r="D1836" s="14" t="str">
        <x:v>future_work.global</x:v>
      </x:c>
      <x:c r="E1836" s="14" t="str">
        <x:v>Basin/global scaling; richer dynamical prior</x:v>
      </x:c>
      <x:c r="F1836" s="14" t="str">
        <x:v>4DVarNet-SSH; prior-network parameters differ from total solver parameters.</x:v>
      </x:c>
      <x:c r="G1836" s="14" t="str">
        <x:v>AUTHOR_REPORTED_FACT</x:v>
      </x:c>
      <x:c r="H1836" s="14" t="str">
        <x:v>https://gmd.copernicus.org/articles/16/2119/2023/</x:v>
      </x:c>
      <x:c r="I1836" s="14" t="str">
        <x:v>10.5194/gmd-16-2119-2023</x:v>
      </x:c>
      <x:c r="J1836" s="14" t="str">
        <x:v>PUBLISHED_HTML</x:v>
      </x:c>
      <x:c r="K1836" s="14" t="str">
        <x:v>6 Conclusions</x:v>
      </x:c>
      <x:c r="L1836" s="14" t="str">
        <x:v>6 Conclusions</x:v>
      </x:c>
      <x:c r="M1836" s="14" t="str"/>
      <x:c r="N1836" s="14" t="str"/>
      <x:c r="O1836" s="14" t="str">
        <x:v>SOURCE_SECTION_READ</x:v>
      </x:c>
      <x:c r="P1836" s="14" t="str">
        <x:v>NOT_VERIFIED</x:v>
      </x:c>
      <x:c r="Q1836" s="14" t="str">
        <x:v>PENDING_INDEPENDENT_AUDIT</x:v>
      </x:c>
      <x:c r="R1836" s="14" t="str">
        <x:v>Partial extraction; independent audit and code execution pending.</x:v>
      </x:c>
      <x:c r="S1836" s="14" t="str"/>
      <x:c r="T1836" s="14" t="str">
        <x:v>EXTRACTED</x:v>
      </x:c>
      <x:c r="U1836" s="14" t="str">
        <x:v>2026-09-28</x:v>
      </x:c>
      <x:c r="V1836" s="14" t="str">
        <x:v>B16</x:v>
      </x:c>
    </x:row>
    <x:row r="1837" ht="75" customHeight="1">
      <x:c r="A1837" s="14" t="str">
        <x:v>B16-0021</x:v>
      </x:c>
      <x:c r="B1837" s="14" t="str">
        <x:v>OAI-0003</x:v>
      </x:c>
      <x:c r="C1837" s="14" t="str">
        <x:v>OAI-0003:B16_SOURCE_REVIEW</x:v>
      </x:c>
      <x:c r="D1837" s="14" t="str">
        <x:v>architecture.fourier_operator</x:v>
      </x:c>
      <x:c r="E1837" s="14" t="str">
        <x:v>InverseFFT(σ(W·FFT(Ht)))</x:v>
      </x:c>
      <x:c r="F1837" s="14" t="str">
        <x:v>Published GLONET configuration; new details do not imply reproduced training.</x:v>
      </x:c>
      <x:c r="G1837" s="14" t="str">
        <x:v>AUTHOR_REPORTED_FACT</x:v>
      </x:c>
      <x:c r="H1837" s="14" t="str">
        <x:v>https://www.researchgate.net/publication/395537174_GLONET_Mercator%27s_End-to-End_Neural_Global_Ocean_Forecasting_System</x:v>
      </x:c>
      <x:c r="I1837" s="14" t="str">
        <x:v>10.1029/2025JH000686</x:v>
      </x:c>
      <x:c r="J1837" s="14" t="str">
        <x:v>PUBLISHED_PAPER_COPY</x:v>
      </x:c>
      <x:c r="K1837" s="14" t="str">
        <x:v>2, Eq.3, p.3</x:v>
      </x:c>
      <x:c r="L1837" s="14" t="str">
        <x:v>2, Eq.3, p.3</x:v>
      </x:c>
      <x:c r="M1837" s="14" t="str"/>
      <x:c r="N1837" s="14" t="str">
        <x:v>3</x:v>
      </x:c>
      <x:c r="O1837" s="14" t="str">
        <x:v>SOURCE_SECTION_READ</x:v>
      </x:c>
      <x:c r="P1837" s="14" t="str">
        <x:v>NOT_VERIFIED</x:v>
      </x:c>
      <x:c r="Q1837" s="14" t="str">
        <x:v>PENDING_INDEPENDENT_AUDIT</x:v>
      </x:c>
      <x:c r="R1837" s="14" t="str">
        <x:v>Partial extraction; independent audit and code execution pending.</x:v>
      </x:c>
      <x:c r="S1837" s="14" t="str"/>
      <x:c r="T1837" s="14" t="str">
        <x:v>EXTRACTED</x:v>
      </x:c>
      <x:c r="U1837" s="14" t="str">
        <x:v>2026-09-28</x:v>
      </x:c>
      <x:c r="V1837" s="14" t="str">
        <x:v>B16</x:v>
      </x:c>
    </x:row>
    <x:row r="1838" ht="75" customHeight="1">
      <x:c r="A1838" s="14" t="str">
        <x:v>B16-0022</x:v>
      </x:c>
      <x:c r="B1838" s="14" t="str">
        <x:v>OAI-0003</x:v>
      </x:c>
      <x:c r="C1838" s="14" t="str">
        <x:v>OAI-0003:B16_SOURCE_REVIEW</x:v>
      </x:c>
      <x:c r="D1838" s="14" t="str">
        <x:v>training.parallelism</x:v>
      </x:c>
      <x:c r="E1838" s="14" t="str">
        <x:v>Pipeline parallelism</x:v>
      </x:c>
      <x:c r="F1838" s="14" t="str">
        <x:v>Published GLONET configuration; new details do not imply reproduced training.</x:v>
      </x:c>
      <x:c r="G1838" s="14" t="str">
        <x:v>AUTHOR_REPORTED_FACT</x:v>
      </x:c>
      <x:c r="H1838" s="14" t="str">
        <x:v>https://www.researchgate.net/publication/395537174_GLONET_Mercator%27s_End-to-End_Neural_Global_Ocean_Forecasting_System</x:v>
      </x:c>
      <x:c r="I1838" s="14" t="str">
        <x:v>10.1029/2025JH000686</x:v>
      </x:c>
      <x:c r="J1838" s="14" t="str">
        <x:v>PUBLISHED_PAPER_COPY</x:v>
      </x:c>
      <x:c r="K1838" s="14" t="str">
        <x:v>2, p.4</x:v>
      </x:c>
      <x:c r="L1838" s="14" t="str">
        <x:v>2, p.4</x:v>
      </x:c>
      <x:c r="M1838" s="14" t="str"/>
      <x:c r="N1838" s="14" t="str">
        <x:v>4</x:v>
      </x:c>
      <x:c r="O1838" s="14" t="str">
        <x:v>SOURCE_SECTION_READ</x:v>
      </x:c>
      <x:c r="P1838" s="14" t="str">
        <x:v>NOT_VERIFIED</x:v>
      </x:c>
      <x:c r="Q1838" s="14" t="str">
        <x:v>PENDING_INDEPENDENT_AUDIT</x:v>
      </x:c>
      <x:c r="R1838" s="14" t="str">
        <x:v>Partial extraction; independent audit and code execution pending.</x:v>
      </x:c>
      <x:c r="S1838" s="14" t="str"/>
      <x:c r="T1838" s="14" t="str">
        <x:v>EXTRACTED</x:v>
      </x:c>
      <x:c r="U1838" s="14" t="str">
        <x:v>2026-09-28</x:v>
      </x:c>
      <x:c r="V1838" s="14" t="str">
        <x:v>B16</x:v>
      </x:c>
    </x:row>
    <x:row r="1839" ht="75" customHeight="1">
      <x:c r="A1839" s="14" t="str">
        <x:v>B16-0023</x:v>
      </x:c>
      <x:c r="B1839" s="14" t="str">
        <x:v>OAI-0003</x:v>
      </x:c>
      <x:c r="C1839" s="14" t="str">
        <x:v>OAI-0003:B16_SOURCE_REVIEW</x:v>
      </x:c>
      <x:c r="D1839" s="14" t="str">
        <x:v>training.memory_strategy</x:v>
      </x:c>
      <x:c r="E1839" s="14" t="str">
        <x:v>Activation checkpointing</x:v>
      </x:c>
      <x:c r="F1839" s="14" t="str">
        <x:v>Published GLONET configuration; new details do not imply reproduced training.</x:v>
      </x:c>
      <x:c r="G1839" s="14" t="str">
        <x:v>AUTHOR_REPORTED_FACT</x:v>
      </x:c>
      <x:c r="H1839" s="14" t="str">
        <x:v>https://www.researchgate.net/publication/395537174_GLONET_Mercator%27s_End-to-End_Neural_Global_Ocean_Forecasting_System</x:v>
      </x:c>
      <x:c r="I1839" s="14" t="str">
        <x:v>10.1029/2025JH000686</x:v>
      </x:c>
      <x:c r="J1839" s="14" t="str">
        <x:v>PUBLISHED_PAPER_COPY</x:v>
      </x:c>
      <x:c r="K1839" s="14" t="str">
        <x:v>2, p.4</x:v>
      </x:c>
      <x:c r="L1839" s="14" t="str">
        <x:v>2, p.4</x:v>
      </x:c>
      <x:c r="M1839" s="14" t="str"/>
      <x:c r="N1839" s="14" t="str">
        <x:v>4</x:v>
      </x:c>
      <x:c r="O1839" s="14" t="str">
        <x:v>SOURCE_SECTION_READ</x:v>
      </x:c>
      <x:c r="P1839" s="14" t="str">
        <x:v>NOT_VERIFIED</x:v>
      </x:c>
      <x:c r="Q1839" s="14" t="str">
        <x:v>PENDING_INDEPENDENT_AUDIT</x:v>
      </x:c>
      <x:c r="R1839" s="14" t="str">
        <x:v>Partial extraction; independent audit and code execution pending.</x:v>
      </x:c>
      <x:c r="S1839" s="14" t="str"/>
      <x:c r="T1839" s="14" t="str">
        <x:v>EXTRACTED</x:v>
      </x:c>
      <x:c r="U1839" s="14" t="str">
        <x:v>2026-09-28</x:v>
      </x:c>
      <x:c r="V1839" s="14" t="str">
        <x:v>B16</x:v>
      </x:c>
    </x:row>
    <x:row r="1840" ht="75" customHeight="1">
      <x:c r="A1840" s="14" t="str">
        <x:v>B16-0024</x:v>
      </x:c>
      <x:c r="B1840" s="14" t="str">
        <x:v>OAI-0003</x:v>
      </x:c>
      <x:c r="C1840" s="14" t="str">
        <x:v>OAI-0003:B16_SOURCE_REVIEW</x:v>
      </x:c>
      <x:c r="D1840" s="14" t="str">
        <x:v>datasets.validation_year</x:v>
      </x:c>
      <x:c r="E1840" s="14" t="n">
        <x:v>2020</x:v>
      </x:c>
      <x:c r="F1840" s="14" t="str">
        <x:v>Published GLONET configuration; new details do not imply reproduced training.</x:v>
      </x:c>
      <x:c r="G1840" s="14" t="str">
        <x:v>AUTHOR_REPORTED_FACT</x:v>
      </x:c>
      <x:c r="H1840" s="14" t="str">
        <x:v>https://www.researchgate.net/publication/395537174_GLONET_Mercator%27s_End-to-End_Neural_Global_Ocean_Forecasting_System</x:v>
      </x:c>
      <x:c r="I1840" s="14" t="str">
        <x:v>10.1029/2025JH000686</x:v>
      </x:c>
      <x:c r="J1840" s="14" t="str">
        <x:v>PUBLISHED_PAPER_COPY</x:v>
      </x:c>
      <x:c r="K1840" s="14" t="str">
        <x:v>3.2, p.6</x:v>
      </x:c>
      <x:c r="L1840" s="14" t="str">
        <x:v>3.2, p.6</x:v>
      </x:c>
      <x:c r="M1840" s="14" t="str"/>
      <x:c r="N1840" s="14" t="str">
        <x:v>6</x:v>
      </x:c>
      <x:c r="O1840" s="14" t="str">
        <x:v>SOURCE_SECTION_READ</x:v>
      </x:c>
      <x:c r="P1840" s="14" t="str">
        <x:v>NOT_VERIFIED</x:v>
      </x:c>
      <x:c r="Q1840" s="14" t="str">
        <x:v>PENDING_INDEPENDENT_AUDIT</x:v>
      </x:c>
      <x:c r="R1840" s="14" t="str">
        <x:v>Partial extraction; independent audit and code execution pending.</x:v>
      </x:c>
      <x:c r="S1840" s="14" t="str"/>
      <x:c r="T1840" s="14" t="str">
        <x:v>EXTRACTED</x:v>
      </x:c>
      <x:c r="U1840" s="14" t="str">
        <x:v>2026-09-28</x:v>
      </x:c>
      <x:c r="V1840" s="14" t="str">
        <x:v>B16</x:v>
      </x:c>
    </x:row>
    <x:row r="1841" ht="75" customHeight="1">
      <x:c r="A1841" s="14" t="str">
        <x:v>B16-0025</x:v>
      </x:c>
      <x:c r="B1841" s="14" t="str">
        <x:v>OAI-0003</x:v>
      </x:c>
      <x:c r="C1841" s="14" t="str">
        <x:v>OAI-0003:B16_SOURCE_REVIEW</x:v>
      </x:c>
      <x:c r="D1841" s="14" t="str">
        <x:v>datasets.test_initialization</x:v>
      </x:c>
      <x:c r="E1841" s="14" t="str">
        <x:v>Operational GLO12</x:v>
      </x:c>
      <x:c r="F1841" s="14" t="str">
        <x:v>Published GLONET configuration; new details do not imply reproduced training.</x:v>
      </x:c>
      <x:c r="G1841" s="14" t="str">
        <x:v>AUTHOR_REPORTED_FACT</x:v>
      </x:c>
      <x:c r="H1841" s="14" t="str">
        <x:v>https://www.researchgate.net/publication/395537174_GLONET_Mercator%27s_End-to-End_Neural_Global_Ocean_Forecasting_System</x:v>
      </x:c>
      <x:c r="I1841" s="14" t="str">
        <x:v>10.1029/2025JH000686</x:v>
      </x:c>
      <x:c r="J1841" s="14" t="str">
        <x:v>PUBLISHED_PAPER_COPY</x:v>
      </x:c>
      <x:c r="K1841" s="14" t="str">
        <x:v>3.2, p.6</x:v>
      </x:c>
      <x:c r="L1841" s="14" t="str">
        <x:v>3.2, p.6</x:v>
      </x:c>
      <x:c r="M1841" s="14" t="str"/>
      <x:c r="N1841" s="14" t="str">
        <x:v>6</x:v>
      </x:c>
      <x:c r="O1841" s="14" t="str">
        <x:v>SOURCE_SECTION_READ</x:v>
      </x:c>
      <x:c r="P1841" s="14" t="str">
        <x:v>NOT_VERIFIED</x:v>
      </x:c>
      <x:c r="Q1841" s="14" t="str">
        <x:v>PENDING_INDEPENDENT_AUDIT</x:v>
      </x:c>
      <x:c r="R1841" s="14" t="str">
        <x:v>Partial extraction; independent audit and code execution pending.</x:v>
      </x:c>
      <x:c r="S1841" s="14" t="str"/>
      <x:c r="T1841" s="14" t="str">
        <x:v>EXTRACTED</x:v>
      </x:c>
      <x:c r="U1841" s="14" t="str">
        <x:v>2026-09-28</x:v>
      </x:c>
      <x:c r="V1841" s="14" t="str">
        <x:v>B16</x:v>
      </x:c>
    </x:row>
    <x:row r="1842" ht="75" customHeight="1">
      <x:c r="A1842" s="14" t="str">
        <x:v>B16-0026</x:v>
      </x:c>
      <x:c r="B1842" s="14" t="str">
        <x:v>OAI-0003</x:v>
      </x:c>
      <x:c r="C1842" s="14" t="str">
        <x:v>OAI-0003:B16_SOURCE_REVIEW</x:v>
      </x:c>
      <x:c r="D1842" s="14" t="str">
        <x:v>preprocessing.training_shuffle</x:v>
      </x:c>
      <x:c r="E1842" s="14" t="str">
        <x:v>Random sample shuffling</x:v>
      </x:c>
      <x:c r="F1842" s="14" t="str">
        <x:v>Published GLONET configuration; new details do not imply reproduced training.</x:v>
      </x:c>
      <x:c r="G1842" s="14" t="str">
        <x:v>AUTHOR_REPORTED_FACT</x:v>
      </x:c>
      <x:c r="H1842" s="14" t="str">
        <x:v>https://www.researchgate.net/publication/395537174_GLONET_Mercator%27s_End-to-End_Neural_Global_Ocean_Forecasting_System</x:v>
      </x:c>
      <x:c r="I1842" s="14" t="str">
        <x:v>10.1029/2025JH000686</x:v>
      </x:c>
      <x:c r="J1842" s="14" t="str">
        <x:v>PUBLISHED_PAPER_COPY</x:v>
      </x:c>
      <x:c r="K1842" s="14" t="str">
        <x:v>3.2, p.6</x:v>
      </x:c>
      <x:c r="L1842" s="14" t="str">
        <x:v>3.2, p.6</x:v>
      </x:c>
      <x:c r="M1842" s="14" t="str"/>
      <x:c r="N1842" s="14" t="str">
        <x:v>6</x:v>
      </x:c>
      <x:c r="O1842" s="14" t="str">
        <x:v>SOURCE_SECTION_READ</x:v>
      </x:c>
      <x:c r="P1842" s="14" t="str">
        <x:v>NOT_VERIFIED</x:v>
      </x:c>
      <x:c r="Q1842" s="14" t="str">
        <x:v>PENDING_INDEPENDENT_AUDIT</x:v>
      </x:c>
      <x:c r="R1842" s="14" t="str">
        <x:v>Partial extraction; independent audit and code execution pending.</x:v>
      </x:c>
      <x:c r="S1842" s="14" t="str"/>
      <x:c r="T1842" s="14" t="str">
        <x:v>EXTRACTED</x:v>
      </x:c>
      <x:c r="U1842" s="14" t="str">
        <x:v>2026-09-28</x:v>
      </x:c>
      <x:c r="V1842" s="14" t="str">
        <x:v>B16</x:v>
      </x:c>
    </x:row>
    <x:row r="1843" ht="75" customHeight="1">
      <x:c r="A1843" s="14" t="str">
        <x:v>B16-0027</x:v>
      </x:c>
      <x:c r="B1843" s="14" t="str">
        <x:v>OAI-0003</x:v>
      </x:c>
      <x:c r="C1843" s="14" t="str">
        <x:v>OAI-0003:B16_SOURCE_REVIEW</x:v>
      </x:c>
      <x:c r="D1843" s="14" t="str">
        <x:v>training.pretraining_horizon</x:v>
      </x:c>
      <x:c r="E1843" s="14" t="n">
        <x:v>1</x:v>
      </x:c>
      <x:c r="F1843" s="14" t="str">
        <x:v>Published GLONET configuration; new details do not imply reproduced training.</x:v>
      </x:c>
      <x:c r="G1843" s="14" t="str">
        <x:v>AUTHOR_REPORTED_FACT</x:v>
      </x:c>
      <x:c r="H1843" s="14" t="str">
        <x:v>https://www.researchgate.net/publication/395537174_GLONET_Mercator%27s_End-to-End_Neural_Global_Ocean_Forecasting_System</x:v>
      </x:c>
      <x:c r="I1843" s="14" t="str">
        <x:v>10.1029/2025JH000686</x:v>
      </x:c>
      <x:c r="J1843" s="14" t="str">
        <x:v>PUBLISHED_PAPER_COPY</x:v>
      </x:c>
      <x:c r="K1843" s="14" t="str">
        <x:v>3.2, p.6</x:v>
      </x:c>
      <x:c r="L1843" s="14" t="str">
        <x:v>3.2, p.6</x:v>
      </x:c>
      <x:c r="M1843" s="14" t="str"/>
      <x:c r="N1843" s="14" t="str">
        <x:v>6</x:v>
      </x:c>
      <x:c r="O1843" s="14" t="str">
        <x:v>SOURCE_SECTION_READ</x:v>
      </x:c>
      <x:c r="P1843" s="14" t="str">
        <x:v>NOT_VERIFIED</x:v>
      </x:c>
      <x:c r="Q1843" s="14" t="str">
        <x:v>PENDING_INDEPENDENT_AUDIT</x:v>
      </x:c>
      <x:c r="R1843" s="14" t="str">
        <x:v>Partial extraction; independent audit and code execution pending.</x:v>
      </x:c>
      <x:c r="S1843" s="14" t="str">
        <x:v>day</x:v>
      </x:c>
      <x:c r="T1843" s="14" t="str">
        <x:v>EXTRACTED</x:v>
      </x:c>
      <x:c r="U1843" s="14" t="str">
        <x:v>2026-09-28</x:v>
      </x:c>
      <x:c r="V1843" s="14" t="str">
        <x:v>B16</x:v>
      </x:c>
    </x:row>
    <x:row r="1844" ht="75" customHeight="1">
      <x:c r="A1844" s="14" t="str">
        <x:v>B16-0028</x:v>
      </x:c>
      <x:c r="B1844" s="14" t="str">
        <x:v>OAI-0003</x:v>
      </x:c>
      <x:c r="C1844" s="14" t="str">
        <x:v>OAI-0003:B16_SOURCE_REVIEW</x:v>
      </x:c>
      <x:c r="D1844" s="14" t="str">
        <x:v>training.finetuning_backpropagation</x:v>
      </x:c>
      <x:c r="E1844" s="14" t="str">
        <x:v>Gradients through all four forecast days</x:v>
      </x:c>
      <x:c r="F1844" s="14" t="str">
        <x:v>Published GLONET configuration; new details do not imply reproduced training.</x:v>
      </x:c>
      <x:c r="G1844" s="14" t="str">
        <x:v>AUTHOR_REPORTED_FACT</x:v>
      </x:c>
      <x:c r="H1844" s="14" t="str">
        <x:v>https://www.researchgate.net/publication/395537174_GLONET_Mercator%27s_End-to-End_Neural_Global_Ocean_Forecasting_System</x:v>
      </x:c>
      <x:c r="I1844" s="14" t="str">
        <x:v>10.1029/2025JH000686</x:v>
      </x:c>
      <x:c r="J1844" s="14" t="str">
        <x:v>PUBLISHED_PAPER_COPY</x:v>
      </x:c>
      <x:c r="K1844" s="14" t="str">
        <x:v>3.2, p.6</x:v>
      </x:c>
      <x:c r="L1844" s="14" t="str">
        <x:v>3.2, p.6</x:v>
      </x:c>
      <x:c r="M1844" s="14" t="str"/>
      <x:c r="N1844" s="14" t="str">
        <x:v>6</x:v>
      </x:c>
      <x:c r="O1844" s="14" t="str">
        <x:v>SOURCE_SECTION_READ</x:v>
      </x:c>
      <x:c r="P1844" s="14" t="str">
        <x:v>NOT_VERIFIED</x:v>
      </x:c>
      <x:c r="Q1844" s="14" t="str">
        <x:v>PENDING_INDEPENDENT_AUDIT</x:v>
      </x:c>
      <x:c r="R1844" s="14" t="str">
        <x:v>Partial extraction; independent audit and code execution pending.</x:v>
      </x:c>
      <x:c r="S1844" s="14" t="str"/>
      <x:c r="T1844" s="14" t="str">
        <x:v>EXTRACTED</x:v>
      </x:c>
      <x:c r="U1844" s="14" t="str">
        <x:v>2026-09-28</x:v>
      </x:c>
      <x:c r="V1844" s="14" t="str">
        <x:v>B16</x:v>
      </x:c>
    </x:row>
    <x:row r="1845" ht="75" customHeight="1">
      <x:c r="A1845" s="14" t="str">
        <x:v>B16-0029</x:v>
      </x:c>
      <x:c r="B1845" s="14" t="str">
        <x:v>OAI-0003</x:v>
      </x:c>
      <x:c r="C1845" s="14" t="str">
        <x:v>OAI-0003:B16_SOURCE_REVIEW</x:v>
      </x:c>
      <x:c r="D1845" s="14" t="str">
        <x:v>outputs.rollout</x:v>
      </x:c>
      <x:c r="E1845" s="14" t="str">
        <x:v>Autoregressive</x:v>
      </x:c>
      <x:c r="F1845" s="14" t="str">
        <x:v>Published GLONET configuration; new details do not imply reproduced training.</x:v>
      </x:c>
      <x:c r="G1845" s="14" t="str">
        <x:v>AUTHOR_REPORTED_FACT</x:v>
      </x:c>
      <x:c r="H1845" s="14" t="str">
        <x:v>https://www.researchgate.net/publication/395537174_GLONET_Mercator%27s_End-to-End_Neural_Global_Ocean_Forecasting_System</x:v>
      </x:c>
      <x:c r="I1845" s="14" t="str">
        <x:v>10.1029/2025JH000686</x:v>
      </x:c>
      <x:c r="J1845" s="14" t="str">
        <x:v>PUBLISHED_PAPER_COPY</x:v>
      </x:c>
      <x:c r="K1845" s="14" t="str">
        <x:v>3.2, p.6</x:v>
      </x:c>
      <x:c r="L1845" s="14" t="str">
        <x:v>3.2, p.6</x:v>
      </x:c>
      <x:c r="M1845" s="14" t="str"/>
      <x:c r="N1845" s="14" t="str">
        <x:v>6</x:v>
      </x:c>
      <x:c r="O1845" s="14" t="str">
        <x:v>SOURCE_SECTION_READ</x:v>
      </x:c>
      <x:c r="P1845" s="14" t="str">
        <x:v>NOT_VERIFIED</x:v>
      </x:c>
      <x:c r="Q1845" s="14" t="str">
        <x:v>PENDING_INDEPENDENT_AUDIT</x:v>
      </x:c>
      <x:c r="R1845" s="14" t="str">
        <x:v>Partial extraction; independent audit and code execution pending.</x:v>
      </x:c>
      <x:c r="S1845" s="14" t="str"/>
      <x:c r="T1845" s="14" t="str">
        <x:v>EXTRACTED</x:v>
      </x:c>
      <x:c r="U1845" s="14" t="str">
        <x:v>2026-09-28</x:v>
      </x:c>
      <x:c r="V1845" s="14" t="str">
        <x:v>B16</x:v>
      </x:c>
    </x:row>
    <x:row r="1846" ht="75" customHeight="1">
      <x:c r="A1846" s="14" t="str">
        <x:v>B16-0030</x:v>
      </x:c>
      <x:c r="B1846" s="14" t="str">
        <x:v>OAI-0003</x:v>
      </x:c>
      <x:c r="C1846" s="14" t="str">
        <x:v>OAI-0003:B16_SOURCE_REVIEW</x:v>
      </x:c>
      <x:c r="D1846" s="14" t="str">
        <x:v>loss.specification_caveat</x:v>
      </x:c>
      <x:c r="E1846" s="14" t="str">
        <x:v>MSE is an example; exact implemented objective remains unconfirmed</x:v>
      </x:c>
      <x:c r="F1846" s="14" t="str">
        <x:v>Published GLONET configuration; new details do not imply reproduced training.</x:v>
      </x:c>
      <x:c r="G1846" s="14" t="str">
        <x:v>AI_INTERPRETATION</x:v>
      </x:c>
      <x:c r="H1846" s="14" t="str">
        <x:v>https://www.researchgate.net/publication/395537174_GLONET_Mercator%27s_End-to-End_Neural_Global_Ocean_Forecasting_System</x:v>
      </x:c>
      <x:c r="I1846" s="14" t="str">
        <x:v>10.1029/2025JH000686</x:v>
      </x:c>
      <x:c r="J1846" s="14" t="str">
        <x:v>PUBLISHED_PAPER_COPY</x:v>
      </x:c>
      <x:c r="K1846" s="14" t="str">
        <x:v>3.2, Eq.8, p.6</x:v>
      </x:c>
      <x:c r="L1846" s="14" t="str">
        <x:v>3.2, Eq.8, p.6</x:v>
      </x:c>
      <x:c r="M1846" s="14" t="str"/>
      <x:c r="N1846" s="14" t="str">
        <x:v>6</x:v>
      </x:c>
      <x:c r="O1846" s="14" t="str">
        <x:v>SOURCE_SECTION_READ</x:v>
      </x:c>
      <x:c r="P1846" s="14" t="str">
        <x:v>NOT_VERIFIED</x:v>
      </x:c>
      <x:c r="Q1846" s="14" t="str">
        <x:v>PENDING_INDEPENDENT_AUDIT</x:v>
      </x:c>
      <x:c r="R1846" s="14" t="str">
        <x:v>Partial extraction; independent audit and code execution pending. Flag only; resolve against PDF and code. Existing rows retained.</x:v>
      </x:c>
      <x:c r="S1846" s="14" t="str"/>
      <x:c r="T1846" s="14" t="str">
        <x:v>EXTRACTED</x:v>
      </x:c>
      <x:c r="U1846" s="14" t="str">
        <x:v>2026-09-28</x:v>
      </x:c>
      <x:c r="V1846" s="14" t="str">
        <x:v>B16</x:v>
      </x:c>
    </x:row>
    <x:row r="1847" ht="75" customHeight="1">
      <x:c r="A1847" s="14" t="str">
        <x:v>B16-0031</x:v>
      </x:c>
      <x:c r="B1847" s="14" t="str">
        <x:v>OAI-0003</x:v>
      </x:c>
      <x:c r="C1847" s="14" t="str">
        <x:v>OAI-0003:B16_SOURCE_REVIEW</x:v>
      </x:c>
      <x:c r="D1847" s="14" t="str">
        <x:v>datasets.validation_observations</x:v>
      </x:c>
      <x:c r="E1847" s="14" t="str">
        <x:v>Argo; SST drifters; along-track SLA; GDP currents</x:v>
      </x:c>
      <x:c r="F1847" s="14" t="str">
        <x:v>Published GLONET configuration; new details do not imply reproduced training.</x:v>
      </x:c>
      <x:c r="G1847" s="14" t="str">
        <x:v>AUTHOR_REPORTED_FACT</x:v>
      </x:c>
      <x:c r="H1847" s="14" t="str">
        <x:v>https://www.researchgate.net/publication/395537174_GLONET_Mercator%27s_End-to-End_Neural_Global_Ocean_Forecasting_System</x:v>
      </x:c>
      <x:c r="I1847" s="14" t="str">
        <x:v>10.1029/2025JH000686</x:v>
      </x:c>
      <x:c r="J1847" s="14" t="str">
        <x:v>PUBLISHED_PAPER_COPY</x:v>
      </x:c>
      <x:c r="K1847" s="14" t="str">
        <x:v>4.1, pp.7–8</x:v>
      </x:c>
      <x:c r="L1847" s="14" t="str">
        <x:v>4.1, pp.7–8</x:v>
      </x:c>
      <x:c r="M1847" s="14" t="str"/>
      <x:c r="N1847" s="14" t="str">
        <x:v>7–8</x:v>
      </x:c>
      <x:c r="O1847" s="14" t="str">
        <x:v>SOURCE_SECTION_READ</x:v>
      </x:c>
      <x:c r="P1847" s="14" t="str">
        <x:v>NOT_VERIFIED</x:v>
      </x:c>
      <x:c r="Q1847" s="14" t="str">
        <x:v>PENDING_INDEPENDENT_AUDIT</x:v>
      </x:c>
      <x:c r="R1847" s="14" t="str">
        <x:v>Partial extraction; independent audit and code execution pending.</x:v>
      </x:c>
      <x:c r="S1847" s="14" t="str"/>
      <x:c r="T1847" s="14" t="str">
        <x:v>EXTRACTED</x:v>
      </x:c>
      <x:c r="U1847" s="14" t="str">
        <x:v>2026-09-28</x:v>
      </x:c>
      <x:c r="V1847" s="14" t="str">
        <x:v>B16</x:v>
      </x:c>
    </x:row>
    <x:row r="1848" ht="75" customHeight="1">
      <x:c r="A1848" s="14" t="str">
        <x:v>B16-0032</x:v>
      </x:c>
      <x:c r="B1848" s="14" t="str">
        <x:v>OAI-0003</x:v>
      </x:c>
      <x:c r="C1848" s="14" t="str">
        <x:v>OAI-0003:B16_SOURCE_REVIEW</x:v>
      </x:c>
      <x:c r="D1848" s="14" t="str">
        <x:v>datasets.current_observation_depth</x:v>
      </x:c>
      <x:c r="E1848" s="14" t="n">
        <x:v>15</x:v>
      </x:c>
      <x:c r="F1848" s="14" t="str">
        <x:v>Published GLONET configuration; new details do not imply reproduced training.</x:v>
      </x:c>
      <x:c r="G1848" s="14" t="str">
        <x:v>AUTHOR_REPORTED_FACT</x:v>
      </x:c>
      <x:c r="H1848" s="14" t="str">
        <x:v>https://www.researchgate.net/publication/395537174_GLONET_Mercator%27s_End-to-End_Neural_Global_Ocean_Forecasting_System</x:v>
      </x:c>
      <x:c r="I1848" s="14" t="str">
        <x:v>10.1029/2025JH000686</x:v>
      </x:c>
      <x:c r="J1848" s="14" t="str">
        <x:v>PUBLISHED_PAPER_COPY</x:v>
      </x:c>
      <x:c r="K1848" s="14" t="str">
        <x:v>4.1, p.8</x:v>
      </x:c>
      <x:c r="L1848" s="14" t="str">
        <x:v>4.1, p.8</x:v>
      </x:c>
      <x:c r="M1848" s="14" t="str"/>
      <x:c r="N1848" s="14" t="str">
        <x:v>8</x:v>
      </x:c>
      <x:c r="O1848" s="14" t="str">
        <x:v>SOURCE_SECTION_READ</x:v>
      </x:c>
      <x:c r="P1848" s="14" t="str">
        <x:v>NOT_VERIFIED</x:v>
      </x:c>
      <x:c r="Q1848" s="14" t="str">
        <x:v>PENDING_INDEPENDENT_AUDIT</x:v>
      </x:c>
      <x:c r="R1848" s="14" t="str">
        <x:v>Partial extraction; independent audit and code execution pending.</x:v>
      </x:c>
      <x:c r="S1848" s="14" t="str">
        <x:v>m</x:v>
      </x:c>
      <x:c r="T1848" s="14" t="str">
        <x:v>EXTRACTED</x:v>
      </x:c>
      <x:c r="U1848" s="14" t="str">
        <x:v>2026-09-28</x:v>
      </x:c>
      <x:c r="V1848" s="14" t="str">
        <x:v>B16</x:v>
      </x:c>
    </x:row>
    <x:row r="1849" ht="75" customHeight="1">
      <x:c r="A1849" s="14" t="str">
        <x:v>B16-0033</x:v>
      </x:c>
      <x:c r="B1849" s="14" t="str">
        <x:v>OAI-0003</x:v>
      </x:c>
      <x:c r="C1849" s="14" t="str">
        <x:v>OAI-0003:B16_SOURCE_REVIEW</x:v>
      </x:c>
      <x:c r="D1849" s="14" t="str">
        <x:v>metrics.pointwise</x:v>
      </x:c>
      <x:c r="E1849" s="14" t="str">
        <x:v>RMSE/RMSD; MAE</x:v>
      </x:c>
      <x:c r="F1849" s="14" t="str">
        <x:v>Published GLONET configuration; new details do not imply reproduced training.</x:v>
      </x:c>
      <x:c r="G1849" s="14" t="str">
        <x:v>AUTHOR_REPORTED_FACT</x:v>
      </x:c>
      <x:c r="H1849" s="14" t="str">
        <x:v>https://www.researchgate.net/publication/395537174_GLONET_Mercator%27s_End-to-End_Neural_Global_Ocean_Forecasting_System</x:v>
      </x:c>
      <x:c r="I1849" s="14" t="str">
        <x:v>10.1029/2025JH000686</x:v>
      </x:c>
      <x:c r="J1849" s="14" t="str">
        <x:v>PUBLISHED_PAPER_COPY</x:v>
      </x:c>
      <x:c r="K1849" s="14" t="str">
        <x:v>4.1, p.8</x:v>
      </x:c>
      <x:c r="L1849" s="14" t="str">
        <x:v>4.1, p.8</x:v>
      </x:c>
      <x:c r="M1849" s="14" t="str"/>
      <x:c r="N1849" s="14" t="str">
        <x:v>8</x:v>
      </x:c>
      <x:c r="O1849" s="14" t="str">
        <x:v>SOURCE_SECTION_READ</x:v>
      </x:c>
      <x:c r="P1849" s="14" t="str">
        <x:v>NOT_VERIFIED</x:v>
      </x:c>
      <x:c r="Q1849" s="14" t="str">
        <x:v>PENDING_INDEPENDENT_AUDIT</x:v>
      </x:c>
      <x:c r="R1849" s="14" t="str">
        <x:v>Partial extraction; independent audit and code execution pending.</x:v>
      </x:c>
      <x:c r="S1849" s="14" t="str"/>
      <x:c r="T1849" s="14" t="str">
        <x:v>EXTRACTED</x:v>
      </x:c>
      <x:c r="U1849" s="14" t="str">
        <x:v>2026-09-28</x:v>
      </x:c>
      <x:c r="V1849" s="14" t="str">
        <x:v>B16</x:v>
      </x:c>
    </x:row>
    <x:row r="1850" ht="75" customHeight="1">
      <x:c r="A1850" s="14" t="str">
        <x:v>B16-0034</x:v>
      </x:c>
      <x:c r="B1850" s="14" t="str">
        <x:v>OAI-0003</x:v>
      </x:c>
      <x:c r="C1850" s="14" t="str">
        <x:v>OAI-0003:B16_SOURCE_REVIEW</x:v>
      </x:c>
      <x:c r="D1850" s="14" t="str">
        <x:v>architecture.legacy_conflict</x:v>
      </x:c>
      <x:c r="E1850" s="14" t="str">
        <x:v>Legacy hierarchical-Transformer label needs reconciliation with FNO/CNN description</x:v>
      </x:c>
      <x:c r="F1850" s="14" t="str">
        <x:v>Published GLONET configuration; new details do not imply reproduced training.</x:v>
      </x:c>
      <x:c r="G1850" s="14" t="str">
        <x:v>AI_INTERPRETATION</x:v>
      </x:c>
      <x:c r="H1850" s="14" t="str">
        <x:v>https://www.researchgate.net/publication/395537174_GLONET_Mercator%27s_End-to-End_Neural_Global_Ocean_Forecasting_System</x:v>
      </x:c>
      <x:c r="I1850" s="14" t="str">
        <x:v>10.1029/2025JH000686</x:v>
      </x:c>
      <x:c r="J1850" s="14" t="str">
        <x:v>PUBLISHED_PAPER_COPY</x:v>
      </x:c>
      <x:c r="K1850" s="14" t="str">
        <x:v>2, pp.2–4</x:v>
      </x:c>
      <x:c r="L1850" s="14" t="str">
        <x:v>2, pp.2–4</x:v>
      </x:c>
      <x:c r="M1850" s="14" t="str"/>
      <x:c r="N1850" s="14" t="str">
        <x:v>2–4</x:v>
      </x:c>
      <x:c r="O1850" s="14" t="str">
        <x:v>SOURCE_SECTION_READ</x:v>
      </x:c>
      <x:c r="P1850" s="14" t="str">
        <x:v>NOT_VERIFIED</x:v>
      </x:c>
      <x:c r="Q1850" s="14" t="str">
        <x:v>PENDING_INDEPENDENT_AUDIT</x:v>
      </x:c>
      <x:c r="R1850" s="14" t="str">
        <x:v>Partial extraction; independent audit and code execution pending. Flag only; resolve against PDF and code. Existing rows retained.</x:v>
      </x:c>
      <x:c r="S1850" s="14" t="str"/>
      <x:c r="T1850" s="14" t="str">
        <x:v>EXTRACTED</x:v>
      </x:c>
      <x:c r="U1850" s="14" t="str">
        <x:v>2026-09-28</x:v>
      </x:c>
      <x:c r="V1850" s="14" t="str">
        <x:v>B16</x:v>
      </x:c>
    </x:row>
    <x:row r="1851" ht="75" customHeight="1">
      <x:c r="A1851" s="14" t="str">
        <x:v>B16-0035</x:v>
      </x:c>
      <x:c r="B1851" s="14" t="str">
        <x:v>OAI-0045</x:v>
      </x:c>
      <x:c r="C1851" s="14" t="str">
        <x:v>OAI-0045:B16_SOURCE_REVIEW</x:v>
      </x:c>
      <x:c r="D1851" s="14" t="str">
        <x:v>metrics.mae</x:v>
      </x:c>
      <x:c r="E1851" s="14" t="str">
        <x:v>Mean absolute error</x:v>
      </x:c>
      <x:c r="F1851" s="14" t="str">
        <x:v>CNN SST forecast; source and supplementary-access review.</x:v>
      </x:c>
      <x:c r="G1851" s="14" t="str">
        <x:v>AUTHOR_REPORTED_FACT</x:v>
      </x:c>
      <x:c r="H1851" s="14" t="str">
        <x:v>https://www.frontiersin.org/journals/marine-science/articles/10.3389/fmars.2025.1543177/full</x:v>
      </x:c>
      <x:c r="I1851" s="14" t="str">
        <x:v>10.3389/fmars.2025.1543177</x:v>
      </x:c>
      <x:c r="J1851" s="14" t="str">
        <x:v>PUBLISHED_HTML</x:v>
      </x:c>
      <x:c r="K1851" s="14" t="str">
        <x:v>2.2, Eq.10</x:v>
      </x:c>
      <x:c r="L1851" s="14" t="str">
        <x:v>2.2, Eq.10</x:v>
      </x:c>
      <x:c r="M1851" s="14" t="str"/>
      <x:c r="N1851" s="14" t="str"/>
      <x:c r="O1851" s="14" t="str">
        <x:v>SOURCE_SECTION_READ</x:v>
      </x:c>
      <x:c r="P1851" s="14" t="str">
        <x:v>NOT_VERIFIED</x:v>
      </x:c>
      <x:c r="Q1851" s="14" t="str">
        <x:v>PENDING_INDEPENDENT_AUDIT</x:v>
      </x:c>
      <x:c r="R1851" s="14" t="str">
        <x:v>Partial extraction; independent audit and code execution pending.</x:v>
      </x:c>
      <x:c r="S1851" s="14" t="str"/>
      <x:c r="T1851" s="14" t="str">
        <x:v>EXTRACTED</x:v>
      </x:c>
      <x:c r="U1851" s="14" t="str">
        <x:v>2026-09-28</x:v>
      </x:c>
      <x:c r="V1851" s="14" t="str">
        <x:v>B16</x:v>
      </x:c>
    </x:row>
    <x:row r="1852" ht="75" customHeight="1">
      <x:c r="A1852" s="14" t="str">
        <x:v>B16-0036</x:v>
      </x:c>
      <x:c r="B1852" s="14" t="str">
        <x:v>OAI-0045</x:v>
      </x:c>
      <x:c r="C1852" s="14" t="str">
        <x:v>OAI-0045:B16_SOURCE_REVIEW</x:v>
      </x:c>
      <x:c r="D1852" s="14" t="str">
        <x:v>reproducibility.supplement_search</x:v>
      </x:c>
      <x:c r="E1852" s="14" t="str">
        <x:v>No supplementary download located in consulted publisher page; existence unresolved</x:v>
      </x:c>
      <x:c r="F1852" s="14" t="str">
        <x:v>CNN SST forecast; source and supplementary-access review.</x:v>
      </x:c>
      <x:c r="G1852" s="14" t="str">
        <x:v>AI_INTERPRETATION</x:v>
      </x:c>
      <x:c r="H1852" s="14" t="str">
        <x:v>https://www.frontiersin.org/journals/marine-science/articles/10.3389/fmars.2025.1543177/full</x:v>
      </x:c>
      <x:c r="I1852" s="14" t="str">
        <x:v>10.3389/fmars.2025.1543177</x:v>
      </x:c>
      <x:c r="J1852" s="14" t="str">
        <x:v>PUBLISHED_HTML</x:v>
      </x:c>
      <x:c r="K1852" s="14" t="str">
        <x:v>Data availability statement</x:v>
      </x:c>
      <x:c r="L1852" s="14" t="str">
        <x:v>Data availability statement</x:v>
      </x:c>
      <x:c r="M1852" s="14" t="str"/>
      <x:c r="N1852" s="14" t="str"/>
      <x:c r="O1852" s="14" t="str">
        <x:v>SOURCE_SECTION_READ</x:v>
      </x:c>
      <x:c r="P1852" s="14" t="str">
        <x:v>NOT_VERIFIED</x:v>
      </x:c>
      <x:c r="Q1852" s="14" t="str">
        <x:v>PENDING_INDEPENDENT_AUDIT</x:v>
      </x:c>
      <x:c r="R1852" s="14" t="str">
        <x:v>Partial extraction; independent audit and code execution pending.</x:v>
      </x:c>
      <x:c r="S1852" s="14" t="str"/>
      <x:c r="T1852" s="14" t="str">
        <x:v>EXTRACTED</x:v>
      </x:c>
      <x:c r="U1852" s="14" t="str">
        <x:v>2026-09-28</x:v>
      </x:c>
      <x:c r="V1852" s="14" t="str">
        <x:v>B16</x:v>
      </x:c>
    </x:row>
    <x:row r="1853" ht="75" customHeight="1">
      <x:c r="A1853" s="14" t="str">
        <x:v>B16-0037</x:v>
      </x:c>
      <x:c r="B1853" s="14" t="str">
        <x:v>OAI-0054</x:v>
      </x:c>
      <x:c r="C1853" s="14" t="str">
        <x:v>OAI-0054:B16_SOURCE_REVIEW</x:v>
      </x:c>
      <x:c r="D1853" s="14" t="str">
        <x:v>datasets.forecast_system</x:v>
      </x:c>
      <x:c r="E1853" s="14" t="str">
        <x:v>ECMWF S2S IFS 48r1</x:v>
      </x:c>
      <x:c r="F1853" s="14" t="str">
        <x:v>MHWCorrNet; separately trained lead-week variants; SI hyperparameter table not read.</x:v>
      </x:c>
      <x:c r="G1853" s="14" t="str">
        <x:v>AUTHOR_REPORTED_FACT</x:v>
      </x:c>
      <x:c r="H1853" s="14" t="str">
        <x:v>https://agupubs.onlinelibrary.wiley.com/doi/10.1029/2026JH001380</x:v>
      </x:c>
      <x:c r="I1853" s="14" t="str">
        <x:v>10.1029/2026JH001380</x:v>
      </x:c>
      <x:c r="J1853" s="14" t="str">
        <x:v>PUBLISHED_HTML</x:v>
      </x:c>
      <x:c r="K1853" s="14" t="str">
        <x:v>2.1</x:v>
      </x:c>
      <x:c r="L1853" s="14" t="str">
        <x:v>2.1</x:v>
      </x:c>
      <x:c r="M1853" s="14" t="str"/>
      <x:c r="N1853" s="14" t="str"/>
      <x:c r="O1853" s="14" t="str">
        <x:v>SOURCE_SECTION_READ</x:v>
      </x:c>
      <x:c r="P1853" s="14" t="str">
        <x:v>NOT_VERIFIED</x:v>
      </x:c>
      <x:c r="Q1853" s="14" t="str">
        <x:v>PENDING_INDEPENDENT_AUDIT</x:v>
      </x:c>
      <x:c r="R1853" s="14" t="str">
        <x:v>Partial extraction; independent audit and code execution pending.</x:v>
      </x:c>
      <x:c r="S1853" s="14" t="str"/>
      <x:c r="T1853" s="14" t="str">
        <x:v>EXTRACTED</x:v>
      </x:c>
      <x:c r="U1853" s="14" t="str">
        <x:v>2026-09-28</x:v>
      </x:c>
      <x:c r="V1853" s="14" t="str">
        <x:v>B16</x:v>
      </x:c>
    </x:row>
    <x:row r="1854" ht="75" customHeight="1">
      <x:c r="A1854" s="14" t="str">
        <x:v>B16-0038</x:v>
      </x:c>
      <x:c r="B1854" s="14" t="str">
        <x:v>OAI-0054</x:v>
      </x:c>
      <x:c r="C1854" s="14" t="str">
        <x:v>OAI-0054:B16_SOURCE_REVIEW</x:v>
      </x:c>
      <x:c r="D1854" s="14" t="str">
        <x:v>datasets.reference</x:v>
      </x:c>
      <x:c r="E1854" s="14" t="str">
        <x:v>NOAA OISST v2</x:v>
      </x:c>
      <x:c r="F1854" s="14" t="str">
        <x:v>MHWCorrNet; separately trained lead-week variants; SI hyperparameter table not read.</x:v>
      </x:c>
      <x:c r="G1854" s="14" t="str">
        <x:v>AUTHOR_REPORTED_FACT</x:v>
      </x:c>
      <x:c r="H1854" s="14" t="str">
        <x:v>https://agupubs.onlinelibrary.wiley.com/doi/10.1029/2026JH001380</x:v>
      </x:c>
      <x:c r="I1854" s="14" t="str">
        <x:v>10.1029/2026JH001380</x:v>
      </x:c>
      <x:c r="J1854" s="14" t="str">
        <x:v>PUBLISHED_HTML</x:v>
      </x:c>
      <x:c r="K1854" s="14" t="str">
        <x:v>2.1</x:v>
      </x:c>
      <x:c r="L1854" s="14" t="str">
        <x:v>2.1</x:v>
      </x:c>
      <x:c r="M1854" s="14" t="str"/>
      <x:c r="N1854" s="14" t="str"/>
      <x:c r="O1854" s="14" t="str">
        <x:v>SOURCE_SECTION_READ</x:v>
      </x:c>
      <x:c r="P1854" s="14" t="str">
        <x:v>NOT_VERIFIED</x:v>
      </x:c>
      <x:c r="Q1854" s="14" t="str">
        <x:v>PENDING_INDEPENDENT_AUDIT</x:v>
      </x:c>
      <x:c r="R1854" s="14" t="str">
        <x:v>Partial extraction; independent audit and code execution pending.</x:v>
      </x:c>
      <x:c r="S1854" s="14" t="str"/>
      <x:c r="T1854" s="14" t="str">
        <x:v>EXTRACTED</x:v>
      </x:c>
      <x:c r="U1854" s="14" t="str">
        <x:v>2026-09-28</x:v>
      </x:c>
      <x:c r="V1854" s="14" t="str">
        <x:v>B16</x:v>
      </x:c>
    </x:row>
    <x:row r="1855" ht="75" customHeight="1">
      <x:c r="A1855" s="14" t="str">
        <x:v>B16-0039</x:v>
      </x:c>
      <x:c r="B1855" s="14" t="str">
        <x:v>OAI-0054</x:v>
      </x:c>
      <x:c r="C1855" s="14" t="str">
        <x:v>OAI-0054:B16_SOURCE_REVIEW</x:v>
      </x:c>
      <x:c r="D1855" s="14" t="str">
        <x:v>datasets.ensemble_members</x:v>
      </x:c>
      <x:c r="E1855" s="14" t="n">
        <x:v>11</x:v>
      </x:c>
      <x:c r="F1855" s="14" t="str">
        <x:v>MHWCorrNet; separately trained lead-week variants; SI hyperparameter table not read.</x:v>
      </x:c>
      <x:c r="G1855" s="14" t="str">
        <x:v>AUTHOR_REPORTED_FACT</x:v>
      </x:c>
      <x:c r="H1855" s="14" t="str">
        <x:v>https://agupubs.onlinelibrary.wiley.com/doi/10.1029/2026JH001380</x:v>
      </x:c>
      <x:c r="I1855" s="14" t="str">
        <x:v>10.1029/2026JH001380</x:v>
      </x:c>
      <x:c r="J1855" s="14" t="str">
        <x:v>PUBLISHED_HTML</x:v>
      </x:c>
      <x:c r="K1855" s="14" t="str">
        <x:v>2.1</x:v>
      </x:c>
      <x:c r="L1855" s="14" t="str">
        <x:v>2.1</x:v>
      </x:c>
      <x:c r="M1855" s="14" t="str"/>
      <x:c r="N1855" s="14" t="str"/>
      <x:c r="O1855" s="14" t="str">
        <x:v>SOURCE_SECTION_READ</x:v>
      </x:c>
      <x:c r="P1855" s="14" t="str">
        <x:v>NOT_VERIFIED</x:v>
      </x:c>
      <x:c r="Q1855" s="14" t="str">
        <x:v>PENDING_INDEPENDENT_AUDIT</x:v>
      </x:c>
      <x:c r="R1855" s="14" t="str">
        <x:v>Partial extraction; independent audit and code execution pending.</x:v>
      </x:c>
      <x:c r="S1855" s="14" t="str"/>
      <x:c r="T1855" s="14" t="str">
        <x:v>EXTRACTED</x:v>
      </x:c>
      <x:c r="U1855" s="14" t="str">
        <x:v>2026-09-28</x:v>
      </x:c>
      <x:c r="V1855" s="14" t="str">
        <x:v>B16</x:v>
      </x:c>
    </x:row>
    <x:row r="1856" ht="75" customHeight="1">
      <x:c r="A1856" s="14" t="str">
        <x:v>B16-0040</x:v>
      </x:c>
      <x:c r="B1856" s="14" t="str">
        <x:v>OAI-0054</x:v>
      </x:c>
      <x:c r="C1856" s="14" t="str">
        <x:v>OAI-0054:B16_SOURCE_REVIEW</x:v>
      </x:c>
      <x:c r="D1856" s="14" t="str">
        <x:v>datasets.forecast_length</x:v>
      </x:c>
      <x:c r="E1856" s="14" t="n">
        <x:v>46</x:v>
      </x:c>
      <x:c r="F1856" s="14" t="str">
        <x:v>MHWCorrNet; separately trained lead-week variants; SI hyperparameter table not read.</x:v>
      </x:c>
      <x:c r="G1856" s="14" t="str">
        <x:v>AUTHOR_REPORTED_FACT</x:v>
      </x:c>
      <x:c r="H1856" s="14" t="str">
        <x:v>https://agupubs.onlinelibrary.wiley.com/doi/10.1029/2026JH001380</x:v>
      </x:c>
      <x:c r="I1856" s="14" t="str">
        <x:v>10.1029/2026JH001380</x:v>
      </x:c>
      <x:c r="J1856" s="14" t="str">
        <x:v>PUBLISHED_HTML</x:v>
      </x:c>
      <x:c r="K1856" s="14" t="str">
        <x:v>2.1</x:v>
      </x:c>
      <x:c r="L1856" s="14" t="str">
        <x:v>2.1</x:v>
      </x:c>
      <x:c r="M1856" s="14" t="str"/>
      <x:c r="N1856" s="14" t="str"/>
      <x:c r="O1856" s="14" t="str">
        <x:v>SOURCE_SECTION_READ</x:v>
      </x:c>
      <x:c r="P1856" s="14" t="str">
        <x:v>NOT_VERIFIED</x:v>
      </x:c>
      <x:c r="Q1856" s="14" t="str">
        <x:v>PENDING_INDEPENDENT_AUDIT</x:v>
      </x:c>
      <x:c r="R1856" s="14" t="str">
        <x:v>Partial extraction; independent audit and code execution pending.</x:v>
      </x:c>
      <x:c r="S1856" s="14" t="str">
        <x:v>days</x:v>
      </x:c>
      <x:c r="T1856" s="14" t="str">
        <x:v>EXTRACTED</x:v>
      </x:c>
      <x:c r="U1856" s="14" t="str">
        <x:v>2026-09-28</x:v>
      </x:c>
      <x:c r="V1856" s="14" t="str">
        <x:v>B16</x:v>
      </x:c>
    </x:row>
    <x:row r="1857" ht="75" customHeight="1">
      <x:c r="A1857" s="14" t="str">
        <x:v>B16-0041</x:v>
      </x:c>
      <x:c r="B1857" s="14" t="str">
        <x:v>OAI-0054</x:v>
      </x:c>
      <x:c r="C1857" s="14" t="str">
        <x:v>OAI-0054:B16_SOURCE_REVIEW</x:v>
      </x:c>
      <x:c r="D1857" s="14" t="str">
        <x:v>preprocessing.ensemble</x:v>
      </x:c>
      <x:c r="E1857" s="14" t="str">
        <x:v>Ensemble mean</x:v>
      </x:c>
      <x:c r="F1857" s="14" t="str">
        <x:v>MHWCorrNet; separately trained lead-week variants; SI hyperparameter table not read.</x:v>
      </x:c>
      <x:c r="G1857" s="14" t="str">
        <x:v>AUTHOR_REPORTED_FACT</x:v>
      </x:c>
      <x:c r="H1857" s="14" t="str">
        <x:v>https://agupubs.onlinelibrary.wiley.com/doi/10.1029/2026JH001380</x:v>
      </x:c>
      <x:c r="I1857" s="14" t="str">
        <x:v>10.1029/2026JH001380</x:v>
      </x:c>
      <x:c r="J1857" s="14" t="str">
        <x:v>PUBLISHED_HTML</x:v>
      </x:c>
      <x:c r="K1857" s="14" t="str">
        <x:v>2.1</x:v>
      </x:c>
      <x:c r="L1857" s="14" t="str">
        <x:v>2.1</x:v>
      </x:c>
      <x:c r="M1857" s="14" t="str"/>
      <x:c r="N1857" s="14" t="str"/>
      <x:c r="O1857" s="14" t="str">
        <x:v>SOURCE_SECTION_READ</x:v>
      </x:c>
      <x:c r="P1857" s="14" t="str">
        <x:v>NOT_VERIFIED</x:v>
      </x:c>
      <x:c r="Q1857" s="14" t="str">
        <x:v>PENDING_INDEPENDENT_AUDIT</x:v>
      </x:c>
      <x:c r="R1857" s="14" t="str">
        <x:v>Partial extraction; independent audit and code execution pending.</x:v>
      </x:c>
      <x:c r="S1857" s="14" t="str"/>
      <x:c r="T1857" s="14" t="str">
        <x:v>EXTRACTED</x:v>
      </x:c>
      <x:c r="U1857" s="14" t="str">
        <x:v>2026-09-28</x:v>
      </x:c>
      <x:c r="V1857" s="14" t="str">
        <x:v>B16</x:v>
      </x:c>
    </x:row>
    <x:row r="1858" ht="75" customHeight="1">
      <x:c r="A1858" s="14" t="str">
        <x:v>B16-0042</x:v>
      </x:c>
      <x:c r="B1858" s="14" t="str">
        <x:v>OAI-0054</x:v>
      </x:c>
      <x:c r="C1858" s="14" t="str">
        <x:v>OAI-0054:B16_SOURCE_REVIEW</x:v>
      </x:c>
      <x:c r="D1858" s="14" t="str">
        <x:v>preprocessing.interpolation</x:v>
      </x:c>
      <x:c r="E1858" s="14" t="str">
        <x:v>Bilinear</x:v>
      </x:c>
      <x:c r="F1858" s="14" t="str">
        <x:v>MHWCorrNet; separately trained lead-week variants; SI hyperparameter table not read.</x:v>
      </x:c>
      <x:c r="G1858" s="14" t="str">
        <x:v>AUTHOR_REPORTED_FACT</x:v>
      </x:c>
      <x:c r="H1858" s="14" t="str">
        <x:v>https://agupubs.onlinelibrary.wiley.com/doi/10.1029/2026JH001380</x:v>
      </x:c>
      <x:c r="I1858" s="14" t="str">
        <x:v>10.1029/2026JH001380</x:v>
      </x:c>
      <x:c r="J1858" s="14" t="str">
        <x:v>PUBLISHED_HTML</x:v>
      </x:c>
      <x:c r="K1858" s="14" t="str">
        <x:v>2.1</x:v>
      </x:c>
      <x:c r="L1858" s="14" t="str">
        <x:v>2.1</x:v>
      </x:c>
      <x:c r="M1858" s="14" t="str"/>
      <x:c r="N1858" s="14" t="str"/>
      <x:c r="O1858" s="14" t="str">
        <x:v>SOURCE_SECTION_READ</x:v>
      </x:c>
      <x:c r="P1858" s="14" t="str">
        <x:v>NOT_VERIFIED</x:v>
      </x:c>
      <x:c r="Q1858" s="14" t="str">
        <x:v>PENDING_INDEPENDENT_AUDIT</x:v>
      </x:c>
      <x:c r="R1858" s="14" t="str">
        <x:v>Partial extraction; independent audit and code execution pending.</x:v>
      </x:c>
      <x:c r="S1858" s="14" t="str"/>
      <x:c r="T1858" s="14" t="str">
        <x:v>EXTRACTED</x:v>
      </x:c>
      <x:c r="U1858" s="14" t="str">
        <x:v>2026-09-28</x:v>
      </x:c>
      <x:c r="V1858" s="14" t="str">
        <x:v>B16</x:v>
      </x:c>
    </x:row>
    <x:row r="1859" ht="75" customHeight="1">
      <x:c r="A1859" s="14" t="str">
        <x:v>B16-0043</x:v>
      </x:c>
      <x:c r="B1859" s="14" t="str">
        <x:v>OAI-0054</x:v>
      </x:c>
      <x:c r="C1859" s="14" t="str">
        <x:v>OAI-0054:B16_SOURCE_REVIEW</x:v>
      </x:c>
      <x:c r="D1859" s="14" t="str">
        <x:v>datasets.common_grid</x:v>
      </x:c>
      <x:c r="E1859" s="14" t="str">
        <x:v>1.5×1.5</x:v>
      </x:c>
      <x:c r="F1859" s="14" t="str">
        <x:v>MHWCorrNet; separately trained lead-week variants; SI hyperparameter table not read.</x:v>
      </x:c>
      <x:c r="G1859" s="14" t="str">
        <x:v>AUTHOR_REPORTED_FACT</x:v>
      </x:c>
      <x:c r="H1859" s="14" t="str">
        <x:v>https://agupubs.onlinelibrary.wiley.com/doi/10.1029/2026JH001380</x:v>
      </x:c>
      <x:c r="I1859" s="14" t="str">
        <x:v>10.1029/2026JH001380</x:v>
      </x:c>
      <x:c r="J1859" s="14" t="str">
        <x:v>PUBLISHED_HTML</x:v>
      </x:c>
      <x:c r="K1859" s="14" t="str">
        <x:v>2.1</x:v>
      </x:c>
      <x:c r="L1859" s="14" t="str">
        <x:v>2.1</x:v>
      </x:c>
      <x:c r="M1859" s="14" t="str"/>
      <x:c r="N1859" s="14" t="str"/>
      <x:c r="O1859" s="14" t="str">
        <x:v>SOURCE_SECTION_READ</x:v>
      </x:c>
      <x:c r="P1859" s="14" t="str">
        <x:v>NOT_VERIFIED</x:v>
      </x:c>
      <x:c r="Q1859" s="14" t="str">
        <x:v>PENDING_INDEPENDENT_AUDIT</x:v>
      </x:c>
      <x:c r="R1859" s="14" t="str">
        <x:v>Partial extraction; independent audit and code execution pending.</x:v>
      </x:c>
      <x:c r="S1859" s="14" t="str">
        <x:v>degree</x:v>
      </x:c>
      <x:c r="T1859" s="14" t="str">
        <x:v>EXTRACTED</x:v>
      </x:c>
      <x:c r="U1859" s="14" t="str">
        <x:v>2026-09-28</x:v>
      </x:c>
      <x:c r="V1859" s="14" t="str">
        <x:v>B16</x:v>
      </x:c>
    </x:row>
    <x:row r="1860" ht="75" customHeight="1">
      <x:c r="A1860" s="14" t="str">
        <x:v>B16-0044</x:v>
      </x:c>
      <x:c r="B1860" s="14" t="str">
        <x:v>OAI-0054</x:v>
      </x:c>
      <x:c r="C1860" s="14" t="str">
        <x:v>OAI-0054:B16_SOURCE_REVIEW</x:v>
      </x:c>
      <x:c r="D1860" s="14" t="str">
        <x:v>datasets.domain</x:v>
      </x:c>
      <x:c r="E1860" s="14" t="str">
        <x:v>60°S–60°N; 0°–360°E</x:v>
      </x:c>
      <x:c r="F1860" s="14" t="str">
        <x:v>MHWCorrNet; separately trained lead-week variants; SI hyperparameter table not read.</x:v>
      </x:c>
      <x:c r="G1860" s="14" t="str">
        <x:v>AUTHOR_REPORTED_FACT</x:v>
      </x:c>
      <x:c r="H1860" s="14" t="str">
        <x:v>https://agupubs.onlinelibrary.wiley.com/doi/10.1029/2026JH001380</x:v>
      </x:c>
      <x:c r="I1860" s="14" t="str">
        <x:v>10.1029/2026JH001380</x:v>
      </x:c>
      <x:c r="J1860" s="14" t="str">
        <x:v>PUBLISHED_HTML</x:v>
      </x:c>
      <x:c r="K1860" s="14" t="str">
        <x:v>2.1</x:v>
      </x:c>
      <x:c r="L1860" s="14" t="str">
        <x:v>2.1</x:v>
      </x:c>
      <x:c r="M1860" s="14" t="str"/>
      <x:c r="N1860" s="14" t="str"/>
      <x:c r="O1860" s="14" t="str">
        <x:v>SOURCE_SECTION_READ</x:v>
      </x:c>
      <x:c r="P1860" s="14" t="str">
        <x:v>NOT_VERIFIED</x:v>
      </x:c>
      <x:c r="Q1860" s="14" t="str">
        <x:v>PENDING_INDEPENDENT_AUDIT</x:v>
      </x:c>
      <x:c r="R1860" s="14" t="str">
        <x:v>Partial extraction; independent audit and code execution pending.</x:v>
      </x:c>
      <x:c r="S1860" s="14" t="str"/>
      <x:c r="T1860" s="14" t="str">
        <x:v>EXTRACTED</x:v>
      </x:c>
      <x:c r="U1860" s="14" t="str">
        <x:v>2026-09-28</x:v>
      </x:c>
      <x:c r="V1860" s="14" t="str">
        <x:v>B16</x:v>
      </x:c>
    </x:row>
    <x:row r="1861" ht="75" customHeight="1">
      <x:c r="A1861" s="14" t="str">
        <x:v>B16-0045</x:v>
      </x:c>
      <x:c r="B1861" s="14" t="str">
        <x:v>OAI-0054</x:v>
      </x:c>
      <x:c r="C1861" s="14" t="str">
        <x:v>OAI-0054:B16_SOURCE_REVIEW</x:v>
      </x:c>
      <x:c r="D1861" s="14" t="str">
        <x:v>datasets.train_period</x:v>
      </x:c>
      <x:c r="E1861" s="14" t="str">
        <x:v>2004–2016</x:v>
      </x:c>
      <x:c r="F1861" s="14" t="str">
        <x:v>MHWCorrNet; separately trained lead-week variants; SI hyperparameter table not read.</x:v>
      </x:c>
      <x:c r="G1861" s="14" t="str">
        <x:v>AUTHOR_REPORTED_FACT</x:v>
      </x:c>
      <x:c r="H1861" s="14" t="str">
        <x:v>https://agupubs.onlinelibrary.wiley.com/doi/10.1029/2026JH001380</x:v>
      </x:c>
      <x:c r="I1861" s="14" t="str">
        <x:v>10.1029/2026JH001380</x:v>
      </x:c>
      <x:c r="J1861" s="14" t="str">
        <x:v>PUBLISHED_HTML</x:v>
      </x:c>
      <x:c r="K1861" s="14" t="str">
        <x:v>2.1</x:v>
      </x:c>
      <x:c r="L1861" s="14" t="str">
        <x:v>2.1</x:v>
      </x:c>
      <x:c r="M1861" s="14" t="str"/>
      <x:c r="N1861" s="14" t="str"/>
      <x:c r="O1861" s="14" t="str">
        <x:v>SOURCE_SECTION_READ</x:v>
      </x:c>
      <x:c r="P1861" s="14" t="str">
        <x:v>NOT_VERIFIED</x:v>
      </x:c>
      <x:c r="Q1861" s="14" t="str">
        <x:v>PENDING_INDEPENDENT_AUDIT</x:v>
      </x:c>
      <x:c r="R1861" s="14" t="str">
        <x:v>Partial extraction; independent audit and code execution pending.</x:v>
      </x:c>
      <x:c r="S1861" s="14" t="str"/>
      <x:c r="T1861" s="14" t="str">
        <x:v>EXTRACTED</x:v>
      </x:c>
      <x:c r="U1861" s="14" t="str">
        <x:v>2026-09-28</x:v>
      </x:c>
      <x:c r="V1861" s="14" t="str">
        <x:v>B16</x:v>
      </x:c>
    </x:row>
    <x:row r="1862" ht="75" customHeight="1">
      <x:c r="A1862" s="14" t="str">
        <x:v>B16-0046</x:v>
      </x:c>
      <x:c r="B1862" s="14" t="str">
        <x:v>OAI-0054</x:v>
      </x:c>
      <x:c r="C1862" s="14" t="str">
        <x:v>OAI-0054:B16_SOURCE_REVIEW</x:v>
      </x:c>
      <x:c r="D1862" s="14" t="str">
        <x:v>datasets.validation_period</x:v>
      </x:c>
      <x:c r="E1862" s="14" t="str">
        <x:v>2017–2019</x:v>
      </x:c>
      <x:c r="F1862" s="14" t="str">
        <x:v>MHWCorrNet; separately trained lead-week variants; SI hyperparameter table not read.</x:v>
      </x:c>
      <x:c r="G1862" s="14" t="str">
        <x:v>AUTHOR_REPORTED_FACT</x:v>
      </x:c>
      <x:c r="H1862" s="14" t="str">
        <x:v>https://agupubs.onlinelibrary.wiley.com/doi/10.1029/2026JH001380</x:v>
      </x:c>
      <x:c r="I1862" s="14" t="str">
        <x:v>10.1029/2026JH001380</x:v>
      </x:c>
      <x:c r="J1862" s="14" t="str">
        <x:v>PUBLISHED_HTML</x:v>
      </x:c>
      <x:c r="K1862" s="14" t="str">
        <x:v>2.1</x:v>
      </x:c>
      <x:c r="L1862" s="14" t="str">
        <x:v>2.1</x:v>
      </x:c>
      <x:c r="M1862" s="14" t="str"/>
      <x:c r="N1862" s="14" t="str"/>
      <x:c r="O1862" s="14" t="str">
        <x:v>SOURCE_SECTION_READ</x:v>
      </x:c>
      <x:c r="P1862" s="14" t="str">
        <x:v>NOT_VERIFIED</x:v>
      </x:c>
      <x:c r="Q1862" s="14" t="str">
        <x:v>PENDING_INDEPENDENT_AUDIT</x:v>
      </x:c>
      <x:c r="R1862" s="14" t="str">
        <x:v>Partial extraction; independent audit and code execution pending.</x:v>
      </x:c>
      <x:c r="S1862" s="14" t="str"/>
      <x:c r="T1862" s="14" t="str">
        <x:v>EXTRACTED</x:v>
      </x:c>
      <x:c r="U1862" s="14" t="str">
        <x:v>2026-09-28</x:v>
      </x:c>
      <x:c r="V1862" s="14" t="str">
        <x:v>B16</x:v>
      </x:c>
    </x:row>
    <x:row r="1863" ht="75" customHeight="1">
      <x:c r="A1863" s="14" t="str">
        <x:v>B16-0047</x:v>
      </x:c>
      <x:c r="B1863" s="14" t="str">
        <x:v>OAI-0054</x:v>
      </x:c>
      <x:c r="C1863" s="14" t="str">
        <x:v>OAI-0054:B16_SOURCE_REVIEW</x:v>
      </x:c>
      <x:c r="D1863" s="14" t="str">
        <x:v>datasets.test_period</x:v>
      </x:c>
      <x:c r="E1863" s="14" t="str">
        <x:v>2020–2023</x:v>
      </x:c>
      <x:c r="F1863" s="14" t="str">
        <x:v>MHWCorrNet; separately trained lead-week variants; SI hyperparameter table not read.</x:v>
      </x:c>
      <x:c r="G1863" s="14" t="str">
        <x:v>AUTHOR_REPORTED_FACT</x:v>
      </x:c>
      <x:c r="H1863" s="14" t="str">
        <x:v>https://agupubs.onlinelibrary.wiley.com/doi/10.1029/2026JH001380</x:v>
      </x:c>
      <x:c r="I1863" s="14" t="str">
        <x:v>10.1029/2026JH001380</x:v>
      </x:c>
      <x:c r="J1863" s="14" t="str">
        <x:v>PUBLISHED_HTML</x:v>
      </x:c>
      <x:c r="K1863" s="14" t="str">
        <x:v>2.1</x:v>
      </x:c>
      <x:c r="L1863" s="14" t="str">
        <x:v>2.1</x:v>
      </x:c>
      <x:c r="M1863" s="14" t="str"/>
      <x:c r="N1863" s="14" t="str"/>
      <x:c r="O1863" s="14" t="str">
        <x:v>SOURCE_SECTION_READ</x:v>
      </x:c>
      <x:c r="P1863" s="14" t="str">
        <x:v>NOT_VERIFIED</x:v>
      </x:c>
      <x:c r="Q1863" s="14" t="str">
        <x:v>PENDING_INDEPENDENT_AUDIT</x:v>
      </x:c>
      <x:c r="R1863" s="14" t="str">
        <x:v>Partial extraction; independent audit and code execution pending.</x:v>
      </x:c>
      <x:c r="S1863" s="14" t="str"/>
      <x:c r="T1863" s="14" t="str">
        <x:v>EXTRACTED</x:v>
      </x:c>
      <x:c r="U1863" s="14" t="str">
        <x:v>2026-09-28</x:v>
      </x:c>
      <x:c r="V1863" s="14" t="str">
        <x:v>B16</x:v>
      </x:c>
    </x:row>
    <x:row r="1864" ht="75" customHeight="1">
      <x:c r="A1864" s="14" t="str">
        <x:v>B16-0048</x:v>
      </x:c>
      <x:c r="B1864" s="14" t="str">
        <x:v>OAI-0054</x:v>
      </x:c>
      <x:c r="C1864" s="14" t="str">
        <x:v>OAI-0054:B16_SOURCE_REVIEW</x:v>
      </x:c>
      <x:c r="D1864" s="14" t="str">
        <x:v>architecture.lead_models</x:v>
      </x:c>
      <x:c r="E1864" s="14" t="str">
        <x:v>6 separate lead-week models</x:v>
      </x:c>
      <x:c r="F1864" s="14" t="str">
        <x:v>MHWCorrNet; separately trained lead-week variants; SI hyperparameter table not read.</x:v>
      </x:c>
      <x:c r="G1864" s="14" t="str">
        <x:v>AUTHOR_REPORTED_FACT</x:v>
      </x:c>
      <x:c r="H1864" s="14" t="str">
        <x:v>https://agupubs.onlinelibrary.wiley.com/doi/10.1029/2026JH001380</x:v>
      </x:c>
      <x:c r="I1864" s="14" t="str">
        <x:v>10.1029/2026JH001380</x:v>
      </x:c>
      <x:c r="J1864" s="14" t="str">
        <x:v>PUBLISHED_HTML</x:v>
      </x:c>
      <x:c r="K1864" s="14" t="str">
        <x:v>2.1</x:v>
      </x:c>
      <x:c r="L1864" s="14" t="str">
        <x:v>2.1</x:v>
      </x:c>
      <x:c r="M1864" s="14" t="str"/>
      <x:c r="N1864" s="14" t="str"/>
      <x:c r="O1864" s="14" t="str">
        <x:v>SOURCE_SECTION_READ</x:v>
      </x:c>
      <x:c r="P1864" s="14" t="str">
        <x:v>NOT_VERIFIED</x:v>
      </x:c>
      <x:c r="Q1864" s="14" t="str">
        <x:v>PENDING_INDEPENDENT_AUDIT</x:v>
      </x:c>
      <x:c r="R1864" s="14" t="str">
        <x:v>Partial extraction; independent audit and code execution pending.</x:v>
      </x:c>
      <x:c r="S1864" s="14" t="str"/>
      <x:c r="T1864" s="14" t="str">
        <x:v>EXTRACTED</x:v>
      </x:c>
      <x:c r="U1864" s="14" t="str">
        <x:v>2026-09-28</x:v>
      </x:c>
      <x:c r="V1864" s="14" t="str">
        <x:v>B16</x:v>
      </x:c>
    </x:row>
    <x:row r="1865" ht="75" customHeight="1">
      <x:c r="A1865" s="14" t="str">
        <x:v>B16-0049</x:v>
      </x:c>
      <x:c r="B1865" s="14" t="str">
        <x:v>OAI-0054</x:v>
      </x:c>
      <x:c r="C1865" s="14" t="str">
        <x:v>OAI-0054:B16_SOURCE_REVIEW</x:v>
      </x:c>
      <x:c r="D1865" s="14" t="str">
        <x:v>inputs.variables</x:v>
      </x:c>
      <x:c r="E1865" s="14" t="str">
        <x:v>SST; MLD; Qnet; wind speed</x:v>
      </x:c>
      <x:c r="F1865" s="14" t="str">
        <x:v>MHWCorrNet; separately trained lead-week variants; SI hyperparameter table not read.</x:v>
      </x:c>
      <x:c r="G1865" s="14" t="str">
        <x:v>AUTHOR_REPORTED_FACT</x:v>
      </x:c>
      <x:c r="H1865" s="14" t="str">
        <x:v>https://agupubs.onlinelibrary.wiley.com/doi/10.1029/2026JH001380</x:v>
      </x:c>
      <x:c r="I1865" s="14" t="str">
        <x:v>10.1029/2026JH001380</x:v>
      </x:c>
      <x:c r="J1865" s="14" t="str">
        <x:v>PUBLISHED_HTML</x:v>
      </x:c>
      <x:c r="K1865" s="14" t="str">
        <x:v>2.1</x:v>
      </x:c>
      <x:c r="L1865" s="14" t="str">
        <x:v>2.1</x:v>
      </x:c>
      <x:c r="M1865" s="14" t="str"/>
      <x:c r="N1865" s="14" t="str"/>
      <x:c r="O1865" s="14" t="str">
        <x:v>SOURCE_SECTION_READ</x:v>
      </x:c>
      <x:c r="P1865" s="14" t="str">
        <x:v>NOT_VERIFIED</x:v>
      </x:c>
      <x:c r="Q1865" s="14" t="str">
        <x:v>PENDING_INDEPENDENT_AUDIT</x:v>
      </x:c>
      <x:c r="R1865" s="14" t="str">
        <x:v>Partial extraction; independent audit and code execution pending.</x:v>
      </x:c>
      <x:c r="S1865" s="14" t="str"/>
      <x:c r="T1865" s="14" t="str">
        <x:v>EXTRACTED</x:v>
      </x:c>
      <x:c r="U1865" s="14" t="str">
        <x:v>2026-09-28</x:v>
      </x:c>
      <x:c r="V1865" s="14" t="str">
        <x:v>B16</x:v>
      </x:c>
    </x:row>
    <x:row r="1866" ht="75" customHeight="1">
      <x:c r="A1866" s="14" t="str">
        <x:v>B16-0050</x:v>
      </x:c>
      <x:c r="B1866" s="14" t="str">
        <x:v>OAI-0054</x:v>
      </x:c>
      <x:c r="C1866" s="14" t="str">
        <x:v>OAI-0054:B16_SOURCE_REVIEW</x:v>
      </x:c>
      <x:c r="D1866" s="14" t="str">
        <x:v>preprocessing.mhw_threshold</x:v>
      </x:c>
      <x:c r="E1866" s="14" t="str">
        <x:v>Seasonal 90th percentile</x:v>
      </x:c>
      <x:c r="F1866" s="14" t="str">
        <x:v>MHWCorrNet; separately trained lead-week variants; SI hyperparameter table not read.</x:v>
      </x:c>
      <x:c r="G1866" s="14" t="str">
        <x:v>AUTHOR_REPORTED_FACT</x:v>
      </x:c>
      <x:c r="H1866" s="14" t="str">
        <x:v>https://agupubs.onlinelibrary.wiley.com/doi/10.1029/2026JH001380</x:v>
      </x:c>
      <x:c r="I1866" s="14" t="str">
        <x:v>10.1029/2026JH001380</x:v>
      </x:c>
      <x:c r="J1866" s="14" t="str">
        <x:v>PUBLISHED_HTML</x:v>
      </x:c>
      <x:c r="K1866" s="14" t="str">
        <x:v>2.2</x:v>
      </x:c>
      <x:c r="L1866" s="14" t="str">
        <x:v>2.2</x:v>
      </x:c>
      <x:c r="M1866" s="14" t="str"/>
      <x:c r="N1866" s="14" t="str"/>
      <x:c r="O1866" s="14" t="str">
        <x:v>SOURCE_SECTION_READ</x:v>
      </x:c>
      <x:c r="P1866" s="14" t="str">
        <x:v>NOT_VERIFIED</x:v>
      </x:c>
      <x:c r="Q1866" s="14" t="str">
        <x:v>PENDING_INDEPENDENT_AUDIT</x:v>
      </x:c>
      <x:c r="R1866" s="14" t="str">
        <x:v>Partial extraction; independent audit and code execution pending.</x:v>
      </x:c>
      <x:c r="S1866" s="14" t="str"/>
      <x:c r="T1866" s="14" t="str">
        <x:v>EXTRACTED</x:v>
      </x:c>
      <x:c r="U1866" s="14" t="str">
        <x:v>2026-09-28</x:v>
      </x:c>
      <x:c r="V1866" s="14" t="str">
        <x:v>B16</x:v>
      </x:c>
    </x:row>
    <x:row r="1867" ht="75" customHeight="1">
      <x:c r="A1867" s="14" t="str">
        <x:v>B16-0051</x:v>
      </x:c>
      <x:c r="B1867" s="14" t="str">
        <x:v>OAI-0054</x:v>
      </x:c>
      <x:c r="C1867" s="14" t="str">
        <x:v>OAI-0054:B16_SOURCE_REVIEW</x:v>
      </x:c>
      <x:c r="D1867" s="14" t="str">
        <x:v>preprocessing.mhw_min_duration</x:v>
      </x:c>
      <x:c r="E1867" s="14" t="n">
        <x:v>5</x:v>
      </x:c>
      <x:c r="F1867" s="14" t="str">
        <x:v>MHWCorrNet; separately trained lead-week variants; SI hyperparameter table not read.</x:v>
      </x:c>
      <x:c r="G1867" s="14" t="str">
        <x:v>AUTHOR_REPORTED_FACT</x:v>
      </x:c>
      <x:c r="H1867" s="14" t="str">
        <x:v>https://agupubs.onlinelibrary.wiley.com/doi/10.1029/2026JH001380</x:v>
      </x:c>
      <x:c r="I1867" s="14" t="str">
        <x:v>10.1029/2026JH001380</x:v>
      </x:c>
      <x:c r="J1867" s="14" t="str">
        <x:v>PUBLISHED_HTML</x:v>
      </x:c>
      <x:c r="K1867" s="14" t="str">
        <x:v>2.2</x:v>
      </x:c>
      <x:c r="L1867" s="14" t="str">
        <x:v>2.2</x:v>
      </x:c>
      <x:c r="M1867" s="14" t="str"/>
      <x:c r="N1867" s="14" t="str"/>
      <x:c r="O1867" s="14" t="str">
        <x:v>SOURCE_SECTION_READ</x:v>
      </x:c>
      <x:c r="P1867" s="14" t="str">
        <x:v>NOT_VERIFIED</x:v>
      </x:c>
      <x:c r="Q1867" s="14" t="str">
        <x:v>PENDING_INDEPENDENT_AUDIT</x:v>
      </x:c>
      <x:c r="R1867" s="14" t="str">
        <x:v>Partial extraction; independent audit and code execution pending.</x:v>
      </x:c>
      <x:c r="S1867" s="14" t="str">
        <x:v>days</x:v>
      </x:c>
      <x:c r="T1867" s="14" t="str">
        <x:v>EXTRACTED</x:v>
      </x:c>
      <x:c r="U1867" s="14" t="str">
        <x:v>2026-09-28</x:v>
      </x:c>
      <x:c r="V1867" s="14" t="str">
        <x:v>B16</x:v>
      </x:c>
    </x:row>
    <x:row r="1868" ht="75" customHeight="1">
      <x:c r="A1868" s="14" t="str">
        <x:v>B16-0052</x:v>
      </x:c>
      <x:c r="B1868" s="14" t="str">
        <x:v>OAI-0054</x:v>
      </x:c>
      <x:c r="C1868" s="14" t="str">
        <x:v>OAI-0054:B16_SOURCE_REVIEW</x:v>
      </x:c>
      <x:c r="D1868" s="14" t="str">
        <x:v>preprocessing.climatology</x:v>
      </x:c>
      <x:c r="E1868" s="14" t="str">
        <x:v>1991–2020</x:v>
      </x:c>
      <x:c r="F1868" s="14" t="str">
        <x:v>MHWCorrNet; separately trained lead-week variants; SI hyperparameter table not read.</x:v>
      </x:c>
      <x:c r="G1868" s="14" t="str">
        <x:v>AUTHOR_REPORTED_FACT</x:v>
      </x:c>
      <x:c r="H1868" s="14" t="str">
        <x:v>https://agupubs.onlinelibrary.wiley.com/doi/10.1029/2026JH001380</x:v>
      </x:c>
      <x:c r="I1868" s="14" t="str">
        <x:v>10.1029/2026JH001380</x:v>
      </x:c>
      <x:c r="J1868" s="14" t="str">
        <x:v>PUBLISHED_HTML</x:v>
      </x:c>
      <x:c r="K1868" s="14" t="str">
        <x:v>2.2</x:v>
      </x:c>
      <x:c r="L1868" s="14" t="str">
        <x:v>2.2</x:v>
      </x:c>
      <x:c r="M1868" s="14" t="str"/>
      <x:c r="N1868" s="14" t="str"/>
      <x:c r="O1868" s="14" t="str">
        <x:v>SOURCE_SECTION_READ</x:v>
      </x:c>
      <x:c r="P1868" s="14" t="str">
        <x:v>NOT_VERIFIED</x:v>
      </x:c>
      <x:c r="Q1868" s="14" t="str">
        <x:v>PENDING_INDEPENDENT_AUDIT</x:v>
      </x:c>
      <x:c r="R1868" s="14" t="str">
        <x:v>Partial extraction; independent audit and code execution pending.</x:v>
      </x:c>
      <x:c r="S1868" s="14" t="str"/>
      <x:c r="T1868" s="14" t="str">
        <x:v>EXTRACTED</x:v>
      </x:c>
      <x:c r="U1868" s="14" t="str">
        <x:v>2026-09-28</x:v>
      </x:c>
      <x:c r="V1868" s="14" t="str">
        <x:v>B16</x:v>
      </x:c>
    </x:row>
    <x:row r="1869" ht="75" customHeight="1">
      <x:c r="A1869" s="14" t="str">
        <x:v>B16-0053</x:v>
      </x:c>
      <x:c r="B1869" s="14" t="str">
        <x:v>OAI-0054</x:v>
      </x:c>
      <x:c r="C1869" s="14" t="str">
        <x:v>OAI-0054:B16_SOURCE_REVIEW</x:v>
      </x:c>
      <x:c r="D1869" s="14" t="str">
        <x:v>architecture.family</x:v>
      </x:c>
      <x:c r="E1869" s="14" t="str">
        <x:v>3D U-Net-like</x:v>
      </x:c>
      <x:c r="F1869" s="14" t="str">
        <x:v>MHWCorrNet; separately trained lead-week variants; SI hyperparameter table not read.</x:v>
      </x:c>
      <x:c r="G1869" s="14" t="str">
        <x:v>AUTHOR_REPORTED_FACT</x:v>
      </x:c>
      <x:c r="H1869" s="14" t="str">
        <x:v>https://agupubs.onlinelibrary.wiley.com/doi/10.1029/2026JH001380</x:v>
      </x:c>
      <x:c r="I1869" s="14" t="str">
        <x:v>10.1029/2026JH001380</x:v>
      </x:c>
      <x:c r="J1869" s="14" t="str">
        <x:v>PUBLISHED_HTML</x:v>
      </x:c>
      <x:c r="K1869" s="14" t="str">
        <x:v>2.3.1</x:v>
      </x:c>
      <x:c r="L1869" s="14" t="str">
        <x:v>2.3.1</x:v>
      </x:c>
      <x:c r="M1869" s="14" t="str"/>
      <x:c r="N1869" s="14" t="str"/>
      <x:c r="O1869" s="14" t="str">
        <x:v>SOURCE_SECTION_READ</x:v>
      </x:c>
      <x:c r="P1869" s="14" t="str">
        <x:v>NOT_VERIFIED</x:v>
      </x:c>
      <x:c r="Q1869" s="14" t="str">
        <x:v>PENDING_INDEPENDENT_AUDIT</x:v>
      </x:c>
      <x:c r="R1869" s="14" t="str">
        <x:v>Partial extraction; independent audit and code execution pending.</x:v>
      </x:c>
      <x:c r="S1869" s="14" t="str"/>
      <x:c r="T1869" s="14" t="str">
        <x:v>EXTRACTED</x:v>
      </x:c>
      <x:c r="U1869" s="14" t="str">
        <x:v>2026-09-28</x:v>
      </x:c>
      <x:c r="V1869" s="14" t="str">
        <x:v>B16</x:v>
      </x:c>
    </x:row>
    <x:row r="1870" ht="75" customHeight="1">
      <x:c r="A1870" s="14" t="str">
        <x:v>B16-0054</x:v>
      </x:c>
      <x:c r="B1870" s="14" t="str">
        <x:v>OAI-0054</x:v>
      </x:c>
      <x:c r="C1870" s="14" t="str">
        <x:v>OAI-0054:B16_SOURCE_REVIEW</x:v>
      </x:c>
      <x:c r="D1870" s="14" t="str">
        <x:v>architecture.encoder_stages</x:v>
      </x:c>
      <x:c r="E1870" s="14" t="str">
        <x:v>2 downsampling stages</x:v>
      </x:c>
      <x:c r="F1870" s="14" t="str">
        <x:v>MHWCorrNet; separately trained lead-week variants; SI hyperparameter table not read.</x:v>
      </x:c>
      <x:c r="G1870" s="14" t="str">
        <x:v>AUTHOR_REPORTED_FACT</x:v>
      </x:c>
      <x:c r="H1870" s="14" t="str">
        <x:v>https://agupubs.onlinelibrary.wiley.com/doi/10.1029/2026JH001380</x:v>
      </x:c>
      <x:c r="I1870" s="14" t="str">
        <x:v>10.1029/2026JH001380</x:v>
      </x:c>
      <x:c r="J1870" s="14" t="str">
        <x:v>PUBLISHED_HTML</x:v>
      </x:c>
      <x:c r="K1870" s="14" t="str">
        <x:v>2.3.1</x:v>
      </x:c>
      <x:c r="L1870" s="14" t="str">
        <x:v>2.3.1</x:v>
      </x:c>
      <x:c r="M1870" s="14" t="str"/>
      <x:c r="N1870" s="14" t="str"/>
      <x:c r="O1870" s="14" t="str">
        <x:v>SOURCE_SECTION_READ</x:v>
      </x:c>
      <x:c r="P1870" s="14" t="str">
        <x:v>NOT_VERIFIED</x:v>
      </x:c>
      <x:c r="Q1870" s="14" t="str">
        <x:v>PENDING_INDEPENDENT_AUDIT</x:v>
      </x:c>
      <x:c r="R1870" s="14" t="str">
        <x:v>Partial extraction; independent audit and code execution pending.</x:v>
      </x:c>
      <x:c r="S1870" s="14" t="str"/>
      <x:c r="T1870" s="14" t="str">
        <x:v>EXTRACTED</x:v>
      </x:c>
      <x:c r="U1870" s="14" t="str">
        <x:v>2026-09-28</x:v>
      </x:c>
      <x:c r="V1870" s="14" t="str">
        <x:v>B16</x:v>
      </x:c>
    </x:row>
    <x:row r="1871" ht="75" customHeight="1">
      <x:c r="A1871" s="14" t="str">
        <x:v>B16-0055</x:v>
      </x:c>
      <x:c r="B1871" s="14" t="str">
        <x:v>OAI-0054</x:v>
      </x:c>
      <x:c r="C1871" s="14" t="str">
        <x:v>OAI-0054:B16_SOURCE_REVIEW</x:v>
      </x:c>
      <x:c r="D1871" s="14" t="str">
        <x:v>architecture.decoder_stages</x:v>
      </x:c>
      <x:c r="E1871" s="14" t="str">
        <x:v>2 upsampling stages</x:v>
      </x:c>
      <x:c r="F1871" s="14" t="str">
        <x:v>MHWCorrNet; separately trained lead-week variants; SI hyperparameter table not read.</x:v>
      </x:c>
      <x:c r="G1871" s="14" t="str">
        <x:v>AUTHOR_REPORTED_FACT</x:v>
      </x:c>
      <x:c r="H1871" s="14" t="str">
        <x:v>https://agupubs.onlinelibrary.wiley.com/doi/10.1029/2026JH001380</x:v>
      </x:c>
      <x:c r="I1871" s="14" t="str">
        <x:v>10.1029/2026JH001380</x:v>
      </x:c>
      <x:c r="J1871" s="14" t="str">
        <x:v>PUBLISHED_HTML</x:v>
      </x:c>
      <x:c r="K1871" s="14" t="str">
        <x:v>2.3.1</x:v>
      </x:c>
      <x:c r="L1871" s="14" t="str">
        <x:v>2.3.1</x:v>
      </x:c>
      <x:c r="M1871" s="14" t="str"/>
      <x:c r="N1871" s="14" t="str"/>
      <x:c r="O1871" s="14" t="str">
        <x:v>SOURCE_SECTION_READ</x:v>
      </x:c>
      <x:c r="P1871" s="14" t="str">
        <x:v>NOT_VERIFIED</x:v>
      </x:c>
      <x:c r="Q1871" s="14" t="str">
        <x:v>PENDING_INDEPENDENT_AUDIT</x:v>
      </x:c>
      <x:c r="R1871" s="14" t="str">
        <x:v>Partial extraction; independent audit and code execution pending.</x:v>
      </x:c>
      <x:c r="S1871" s="14" t="str"/>
      <x:c r="T1871" s="14" t="str">
        <x:v>EXTRACTED</x:v>
      </x:c>
      <x:c r="U1871" s="14" t="str">
        <x:v>2026-09-28</x:v>
      </x:c>
      <x:c r="V1871" s="14" t="str">
        <x:v>B16</x:v>
      </x:c>
    </x:row>
    <x:row r="1872" ht="75" customHeight="1">
      <x:c r="A1872" s="14" t="str">
        <x:v>B16-0056</x:v>
      </x:c>
      <x:c r="B1872" s="14" t="str">
        <x:v>OAI-0054</x:v>
      </x:c>
      <x:c r="C1872" s="14" t="str">
        <x:v>OAI-0054:B16_SOURCE_REVIEW</x:v>
      </x:c>
      <x:c r="D1872" s="14" t="str">
        <x:v>architecture.encoder_convolutions</x:v>
      </x:c>
      <x:c r="E1872" s="14" t="str">
        <x:v>2 per block</x:v>
      </x:c>
      <x:c r="F1872" s="14" t="str">
        <x:v>MHWCorrNet; separately trained lead-week variants; SI hyperparameter table not read.</x:v>
      </x:c>
      <x:c r="G1872" s="14" t="str">
        <x:v>AUTHOR_REPORTED_FACT</x:v>
      </x:c>
      <x:c r="H1872" s="14" t="str">
        <x:v>https://agupubs.onlinelibrary.wiley.com/doi/10.1029/2026JH001380</x:v>
      </x:c>
      <x:c r="I1872" s="14" t="str">
        <x:v>10.1029/2026JH001380</x:v>
      </x:c>
      <x:c r="J1872" s="14" t="str">
        <x:v>PUBLISHED_HTML</x:v>
      </x:c>
      <x:c r="K1872" s="14" t="str">
        <x:v>2.3.1</x:v>
      </x:c>
      <x:c r="L1872" s="14" t="str">
        <x:v>2.3.1</x:v>
      </x:c>
      <x:c r="M1872" s="14" t="str"/>
      <x:c r="N1872" s="14" t="str"/>
      <x:c r="O1872" s="14" t="str">
        <x:v>SOURCE_SECTION_READ</x:v>
      </x:c>
      <x:c r="P1872" s="14" t="str">
        <x:v>NOT_VERIFIED</x:v>
      </x:c>
      <x:c r="Q1872" s="14" t="str">
        <x:v>PENDING_INDEPENDENT_AUDIT</x:v>
      </x:c>
      <x:c r="R1872" s="14" t="str">
        <x:v>Partial extraction; independent audit and code execution pending.</x:v>
      </x:c>
      <x:c r="S1872" s="14" t="str"/>
      <x:c r="T1872" s="14" t="str">
        <x:v>EXTRACTED</x:v>
      </x:c>
      <x:c r="U1872" s="14" t="str">
        <x:v>2026-09-28</x:v>
      </x:c>
      <x:c r="V1872" s="14" t="str">
        <x:v>B16</x:v>
      </x:c>
    </x:row>
    <x:row r="1873" ht="75" customHeight="1">
      <x:c r="A1873" s="14" t="str">
        <x:v>B16-0057</x:v>
      </x:c>
      <x:c r="B1873" s="14" t="str">
        <x:v>OAI-0054</x:v>
      </x:c>
      <x:c r="C1873" s="14" t="str">
        <x:v>OAI-0054:B16_SOURCE_REVIEW</x:v>
      </x:c>
      <x:c r="D1873" s="14" t="str">
        <x:v>architecture.conv_kernel</x:v>
      </x:c>
      <x:c r="E1873" s="14" t="str">
        <x:v>3×3×3</x:v>
      </x:c>
      <x:c r="F1873" s="14" t="str">
        <x:v>MHWCorrNet; separately trained lead-week variants; SI hyperparameter table not read.</x:v>
      </x:c>
      <x:c r="G1873" s="14" t="str">
        <x:v>AUTHOR_REPORTED_FACT</x:v>
      </x:c>
      <x:c r="H1873" s="14" t="str">
        <x:v>https://www.researchgate.net/publication/411117346_Global_Subseasonal-to-Seasonal_Marine_Heatwave_Forecasts_Boosted_by_Explainable_Deep_Learning</x:v>
      </x:c>
      <x:c r="I1873" s="14" t="str">
        <x:v>10.1029/2026JH001380</x:v>
      </x:c>
      <x:c r="J1873" s="14" t="str">
        <x:v>PUBLISHED_PAPER_COPY</x:v>
      </x:c>
      <x:c r="K1873" s="14" t="str">
        <x:v>2.3.1</x:v>
      </x:c>
      <x:c r="L1873" s="14" t="str">
        <x:v>2.3.1</x:v>
      </x:c>
      <x:c r="M1873" s="14" t="str"/>
      <x:c r="N1873" s="14" t="str"/>
      <x:c r="O1873" s="14" t="str">
        <x:v>SOURCE_SECTION_READ</x:v>
      </x:c>
      <x:c r="P1873" s="14" t="str">
        <x:v>NOT_VERIFIED</x:v>
      </x:c>
      <x:c r="Q1873" s="14" t="str">
        <x:v>PENDING_INDEPENDENT_AUDIT</x:v>
      </x:c>
      <x:c r="R1873" s="14" t="str">
        <x:v>Partial extraction; independent audit and code execution pending. Publisher HTML omits mathematical symbols; published-paper copy used.</x:v>
      </x:c>
      <x:c r="S1873" s="14" t="str"/>
      <x:c r="T1873" s="14" t="str">
        <x:v>EXTRACTED</x:v>
      </x:c>
      <x:c r="U1873" s="14" t="str">
        <x:v>2026-09-28</x:v>
      </x:c>
      <x:c r="V1873" s="14" t="str">
        <x:v>B16</x:v>
      </x:c>
    </x:row>
    <x:row r="1874" ht="75" customHeight="1">
      <x:c r="A1874" s="14" t="str">
        <x:v>B16-0058</x:v>
      </x:c>
      <x:c r="B1874" s="14" t="str">
        <x:v>OAI-0054</x:v>
      </x:c>
      <x:c r="C1874" s="14" t="str">
        <x:v>OAI-0054:B16_SOURCE_REVIEW</x:v>
      </x:c>
      <x:c r="D1874" s="14" t="str">
        <x:v>architecture.normalization</x:v>
      </x:c>
      <x:c r="E1874" s="14" t="str">
        <x:v>Layer normalization</x:v>
      </x:c>
      <x:c r="F1874" s="14" t="str">
        <x:v>MHWCorrNet; separately trained lead-week variants; SI hyperparameter table not read.</x:v>
      </x:c>
      <x:c r="G1874" s="14" t="str">
        <x:v>AUTHOR_REPORTED_FACT</x:v>
      </x:c>
      <x:c r="H1874" s="14" t="str">
        <x:v>https://agupubs.onlinelibrary.wiley.com/doi/10.1029/2026JH001380</x:v>
      </x:c>
      <x:c r="I1874" s="14" t="str">
        <x:v>10.1029/2026JH001380</x:v>
      </x:c>
      <x:c r="J1874" s="14" t="str">
        <x:v>PUBLISHED_HTML</x:v>
      </x:c>
      <x:c r="K1874" s="14" t="str">
        <x:v>2.3.1</x:v>
      </x:c>
      <x:c r="L1874" s="14" t="str">
        <x:v>2.3.1</x:v>
      </x:c>
      <x:c r="M1874" s="14" t="str"/>
      <x:c r="N1874" s="14" t="str"/>
      <x:c r="O1874" s="14" t="str">
        <x:v>SOURCE_SECTION_READ</x:v>
      </x:c>
      <x:c r="P1874" s="14" t="str">
        <x:v>NOT_VERIFIED</x:v>
      </x:c>
      <x:c r="Q1874" s="14" t="str">
        <x:v>PENDING_INDEPENDENT_AUDIT</x:v>
      </x:c>
      <x:c r="R1874" s="14" t="str">
        <x:v>Partial extraction; independent audit and code execution pending.</x:v>
      </x:c>
      <x:c r="S1874" s="14" t="str"/>
      <x:c r="T1874" s="14" t="str">
        <x:v>EXTRACTED</x:v>
      </x:c>
      <x:c r="U1874" s="14" t="str">
        <x:v>2026-09-28</x:v>
      </x:c>
      <x:c r="V1874" s="14" t="str">
        <x:v>B16</x:v>
      </x:c>
    </x:row>
    <x:row r="1875" ht="75" customHeight="1">
      <x:c r="A1875" s="14" t="str">
        <x:v>B16-0059</x:v>
      </x:c>
      <x:c r="B1875" s="14" t="str">
        <x:v>OAI-0054</x:v>
      </x:c>
      <x:c r="C1875" s="14" t="str">
        <x:v>OAI-0054:B16_SOURCE_REVIEW</x:v>
      </x:c>
      <x:c r="D1875" s="14" t="str">
        <x:v>architecture.activation</x:v>
      </x:c>
      <x:c r="E1875" s="14" t="str">
        <x:v>GELU</x:v>
      </x:c>
      <x:c r="F1875" s="14" t="str">
        <x:v>MHWCorrNet; separately trained lead-week variants; SI hyperparameter table not read.</x:v>
      </x:c>
      <x:c r="G1875" s="14" t="str">
        <x:v>AUTHOR_REPORTED_FACT</x:v>
      </x:c>
      <x:c r="H1875" s="14" t="str">
        <x:v>https://agupubs.onlinelibrary.wiley.com/doi/10.1029/2026JH001380</x:v>
      </x:c>
      <x:c r="I1875" s="14" t="str">
        <x:v>10.1029/2026JH001380</x:v>
      </x:c>
      <x:c r="J1875" s="14" t="str">
        <x:v>PUBLISHED_HTML</x:v>
      </x:c>
      <x:c r="K1875" s="14" t="str">
        <x:v>2.3.1</x:v>
      </x:c>
      <x:c r="L1875" s="14" t="str">
        <x:v>2.3.1</x:v>
      </x:c>
      <x:c r="M1875" s="14" t="str"/>
      <x:c r="N1875" s="14" t="str"/>
      <x:c r="O1875" s="14" t="str">
        <x:v>SOURCE_SECTION_READ</x:v>
      </x:c>
      <x:c r="P1875" s="14" t="str">
        <x:v>NOT_VERIFIED</x:v>
      </x:c>
      <x:c r="Q1875" s="14" t="str">
        <x:v>PENDING_INDEPENDENT_AUDIT</x:v>
      </x:c>
      <x:c r="R1875" s="14" t="str">
        <x:v>Partial extraction; independent audit and code execution pending.</x:v>
      </x:c>
      <x:c r="S1875" s="14" t="str"/>
      <x:c r="T1875" s="14" t="str">
        <x:v>EXTRACTED</x:v>
      </x:c>
      <x:c r="U1875" s="14" t="str">
        <x:v>2026-09-28</x:v>
      </x:c>
      <x:c r="V1875" s="14" t="str">
        <x:v>B16</x:v>
      </x:c>
    </x:row>
    <x:row r="1876" ht="75" customHeight="1">
      <x:c r="A1876" s="14" t="str">
        <x:v>B16-0060</x:v>
      </x:c>
      <x:c r="B1876" s="14" t="str">
        <x:v>OAI-0054</x:v>
      </x:c>
      <x:c r="C1876" s="14" t="str">
        <x:v>OAI-0054:B16_SOURCE_REVIEW</x:v>
      </x:c>
      <x:c r="D1876" s="14" t="str">
        <x:v>regularization.dropout</x:v>
      </x:c>
      <x:c r="E1876" s="14" t="n">
        <x:v>0.3</x:v>
      </x:c>
      <x:c r="F1876" s="14" t="str">
        <x:v>MHWCorrNet; separately trained lead-week variants; SI hyperparameter table not read.</x:v>
      </x:c>
      <x:c r="G1876" s="14" t="str">
        <x:v>AUTHOR_REPORTED_FACT</x:v>
      </x:c>
      <x:c r="H1876" s="14" t="str">
        <x:v>https://agupubs.onlinelibrary.wiley.com/doi/10.1029/2026JH001380</x:v>
      </x:c>
      <x:c r="I1876" s="14" t="str">
        <x:v>10.1029/2026JH001380</x:v>
      </x:c>
      <x:c r="J1876" s="14" t="str">
        <x:v>PUBLISHED_HTML</x:v>
      </x:c>
      <x:c r="K1876" s="14" t="str">
        <x:v>2.3.1</x:v>
      </x:c>
      <x:c r="L1876" s="14" t="str">
        <x:v>2.3.1</x:v>
      </x:c>
      <x:c r="M1876" s="14" t="str"/>
      <x:c r="N1876" s="14" t="str"/>
      <x:c r="O1876" s="14" t="str">
        <x:v>SOURCE_SECTION_READ</x:v>
      </x:c>
      <x:c r="P1876" s="14" t="str">
        <x:v>NOT_VERIFIED</x:v>
      </x:c>
      <x:c r="Q1876" s="14" t="str">
        <x:v>PENDING_INDEPENDENT_AUDIT</x:v>
      </x:c>
      <x:c r="R1876" s="14" t="str">
        <x:v>Partial extraction; independent audit and code execution pending.</x:v>
      </x:c>
      <x:c r="S1876" s="14" t="str"/>
      <x:c r="T1876" s="14" t="str">
        <x:v>EXTRACTED</x:v>
      </x:c>
      <x:c r="U1876" s="14" t="str">
        <x:v>2026-09-28</x:v>
      </x:c>
      <x:c r="V1876" s="14" t="str">
        <x:v>B16</x:v>
      </x:c>
    </x:row>
    <x:row r="1877" ht="75" customHeight="1">
      <x:c r="A1877" s="14" t="str">
        <x:v>B16-0061</x:v>
      </x:c>
      <x:c r="B1877" s="14" t="str">
        <x:v>OAI-0054</x:v>
      </x:c>
      <x:c r="C1877" s="14" t="str">
        <x:v>OAI-0054:B16_SOURCE_REVIEW</x:v>
      </x:c>
      <x:c r="D1877" s="14" t="str">
        <x:v>architecture.pool_stride</x:v>
      </x:c>
      <x:c r="E1877" s="14" t="str">
        <x:v>2×2×2</x:v>
      </x:c>
      <x:c r="F1877" s="14" t="str">
        <x:v>MHWCorrNet; separately trained lead-week variants; SI hyperparameter table not read.</x:v>
      </x:c>
      <x:c r="G1877" s="14" t="str">
        <x:v>AUTHOR_REPORTED_FACT</x:v>
      </x:c>
      <x:c r="H1877" s="14" t="str">
        <x:v>https://www.researchgate.net/publication/411117346_Global_Subseasonal-to-Seasonal_Marine_Heatwave_Forecasts_Boosted_by_Explainable_Deep_Learning</x:v>
      </x:c>
      <x:c r="I1877" s="14" t="str">
        <x:v>10.1029/2026JH001380</x:v>
      </x:c>
      <x:c r="J1877" s="14" t="str">
        <x:v>PUBLISHED_PAPER_COPY</x:v>
      </x:c>
      <x:c r="K1877" s="14" t="str">
        <x:v>2.3.1</x:v>
      </x:c>
      <x:c r="L1877" s="14" t="str">
        <x:v>2.3.1</x:v>
      </x:c>
      <x:c r="M1877" s="14" t="str"/>
      <x:c r="N1877" s="14" t="str"/>
      <x:c r="O1877" s="14" t="str">
        <x:v>SOURCE_SECTION_READ</x:v>
      </x:c>
      <x:c r="P1877" s="14" t="str">
        <x:v>NOT_VERIFIED</x:v>
      </x:c>
      <x:c r="Q1877" s="14" t="str">
        <x:v>PENDING_INDEPENDENT_AUDIT</x:v>
      </x:c>
      <x:c r="R1877" s="14" t="str">
        <x:v>Partial extraction; independent audit and code execution pending. Publisher HTML omits mathematical symbols; published-paper copy used.</x:v>
      </x:c>
      <x:c r="S1877" s="14" t="str"/>
      <x:c r="T1877" s="14" t="str">
        <x:v>EXTRACTED</x:v>
      </x:c>
      <x:c r="U1877" s="14" t="str">
        <x:v>2026-09-28</x:v>
      </x:c>
      <x:c r="V1877" s="14" t="str">
        <x:v>B16</x:v>
      </x:c>
    </x:row>
    <x:row r="1878" ht="75" customHeight="1">
      <x:c r="A1878" s="14" t="str">
        <x:v>B16-0062</x:v>
      </x:c>
      <x:c r="B1878" s="14" t="str">
        <x:v>OAI-0054</x:v>
      </x:c>
      <x:c r="C1878" s="14" t="str">
        <x:v>OAI-0054:B16_SOURCE_REVIEW</x:v>
      </x:c>
      <x:c r="D1878" s="14" t="str">
        <x:v>architecture.decoder_transpose_kernel</x:v>
      </x:c>
      <x:c r="E1878" s="14" t="str">
        <x:v>2×2×2</x:v>
      </x:c>
      <x:c r="F1878" s="14" t="str">
        <x:v>MHWCorrNet; separately trained lead-week variants; SI hyperparameter table not read.</x:v>
      </x:c>
      <x:c r="G1878" s="14" t="str">
        <x:v>AUTHOR_REPORTED_FACT</x:v>
      </x:c>
      <x:c r="H1878" s="14" t="str">
        <x:v>https://www.researchgate.net/publication/411117346_Global_Subseasonal-to-Seasonal_Marine_Heatwave_Forecasts_Boosted_by_Explainable_Deep_Learning</x:v>
      </x:c>
      <x:c r="I1878" s="14" t="str">
        <x:v>10.1029/2026JH001380</x:v>
      </x:c>
      <x:c r="J1878" s="14" t="str">
        <x:v>PUBLISHED_PAPER_COPY</x:v>
      </x:c>
      <x:c r="K1878" s="14" t="str">
        <x:v>2.3.1</x:v>
      </x:c>
      <x:c r="L1878" s="14" t="str">
        <x:v>2.3.1</x:v>
      </x:c>
      <x:c r="M1878" s="14" t="str"/>
      <x:c r="N1878" s="14" t="str"/>
      <x:c r="O1878" s="14" t="str">
        <x:v>SOURCE_SECTION_READ</x:v>
      </x:c>
      <x:c r="P1878" s="14" t="str">
        <x:v>NOT_VERIFIED</x:v>
      </x:c>
      <x:c r="Q1878" s="14" t="str">
        <x:v>PENDING_INDEPENDENT_AUDIT</x:v>
      </x:c>
      <x:c r="R1878" s="14" t="str">
        <x:v>Partial extraction; independent audit and code execution pending. Publisher HTML omits mathematical symbols; published-paper copy used.</x:v>
      </x:c>
      <x:c r="S1878" s="14" t="str"/>
      <x:c r="T1878" s="14" t="str">
        <x:v>EXTRACTED</x:v>
      </x:c>
      <x:c r="U1878" s="14" t="str">
        <x:v>2026-09-28</x:v>
      </x:c>
      <x:c r="V1878" s="14" t="str">
        <x:v>B16</x:v>
      </x:c>
    </x:row>
    <x:row r="1879" ht="75" customHeight="1">
      <x:c r="A1879" s="14" t="str">
        <x:v>B16-0063</x:v>
      </x:c>
      <x:c r="B1879" s="14" t="str">
        <x:v>OAI-0054</x:v>
      </x:c>
      <x:c r="C1879" s="14" t="str">
        <x:v>OAI-0054:B16_SOURCE_REVIEW</x:v>
      </x:c>
      <x:c r="D1879" s="14" t="str">
        <x:v>architecture.decoder_transpose_stride</x:v>
      </x:c>
      <x:c r="E1879" s="14" t="str">
        <x:v>2×2×2</x:v>
      </x:c>
      <x:c r="F1879" s="14" t="str">
        <x:v>MHWCorrNet; separately trained lead-week variants; SI hyperparameter table not read.</x:v>
      </x:c>
      <x:c r="G1879" s="14" t="str">
        <x:v>AUTHOR_REPORTED_FACT</x:v>
      </x:c>
      <x:c r="H1879" s="14" t="str">
        <x:v>https://www.researchgate.net/publication/411117346_Global_Subseasonal-to-Seasonal_Marine_Heatwave_Forecasts_Boosted_by_Explainable_Deep_Learning</x:v>
      </x:c>
      <x:c r="I1879" s="14" t="str">
        <x:v>10.1029/2026JH001380</x:v>
      </x:c>
      <x:c r="J1879" s="14" t="str">
        <x:v>PUBLISHED_PAPER_COPY</x:v>
      </x:c>
      <x:c r="K1879" s="14" t="str">
        <x:v>2.3.1</x:v>
      </x:c>
      <x:c r="L1879" s="14" t="str">
        <x:v>2.3.1</x:v>
      </x:c>
      <x:c r="M1879" s="14" t="str"/>
      <x:c r="N1879" s="14" t="str"/>
      <x:c r="O1879" s="14" t="str">
        <x:v>SOURCE_SECTION_READ</x:v>
      </x:c>
      <x:c r="P1879" s="14" t="str">
        <x:v>NOT_VERIFIED</x:v>
      </x:c>
      <x:c r="Q1879" s="14" t="str">
        <x:v>PENDING_INDEPENDENT_AUDIT</x:v>
      </x:c>
      <x:c r="R1879" s="14" t="str">
        <x:v>Partial extraction; independent audit and code execution pending. Publisher HTML omits mathematical symbols; published-paper copy used.</x:v>
      </x:c>
      <x:c r="S1879" s="14" t="str"/>
      <x:c r="T1879" s="14" t="str">
        <x:v>EXTRACTED</x:v>
      </x:c>
      <x:c r="U1879" s="14" t="str">
        <x:v>2026-09-28</x:v>
      </x:c>
      <x:c r="V1879" s="14" t="str">
        <x:v>B16</x:v>
      </x:c>
    </x:row>
    <x:row r="1880" ht="75" customHeight="1">
      <x:c r="A1880" s="14" t="str">
        <x:v>B16-0064</x:v>
      </x:c>
      <x:c r="B1880" s="14" t="str">
        <x:v>OAI-0054</x:v>
      </x:c>
      <x:c r="C1880" s="14" t="str">
        <x:v>OAI-0054:B16_SOURCE_REVIEW</x:v>
      </x:c>
      <x:c r="D1880" s="14" t="str">
        <x:v>architecture.skip_connections</x:v>
      </x:c>
      <x:c r="E1880" s="14" t="str">
        <x:v>Encoder-to-decoder</x:v>
      </x:c>
      <x:c r="F1880" s="14" t="str">
        <x:v>MHWCorrNet; separately trained lead-week variants; SI hyperparameter table not read.</x:v>
      </x:c>
      <x:c r="G1880" s="14" t="str">
        <x:v>AUTHOR_REPORTED_FACT</x:v>
      </x:c>
      <x:c r="H1880" s="14" t="str">
        <x:v>https://agupubs.onlinelibrary.wiley.com/doi/10.1029/2026JH001380</x:v>
      </x:c>
      <x:c r="I1880" s="14" t="str">
        <x:v>10.1029/2026JH001380</x:v>
      </x:c>
      <x:c r="J1880" s="14" t="str">
        <x:v>PUBLISHED_HTML</x:v>
      </x:c>
      <x:c r="K1880" s="14" t="str">
        <x:v>2.3.1</x:v>
      </x:c>
      <x:c r="L1880" s="14" t="str">
        <x:v>2.3.1</x:v>
      </x:c>
      <x:c r="M1880" s="14" t="str"/>
      <x:c r="N1880" s="14" t="str"/>
      <x:c r="O1880" s="14" t="str">
        <x:v>SOURCE_SECTION_READ</x:v>
      </x:c>
      <x:c r="P1880" s="14" t="str">
        <x:v>NOT_VERIFIED</x:v>
      </x:c>
      <x:c r="Q1880" s="14" t="str">
        <x:v>PENDING_INDEPENDENT_AUDIT</x:v>
      </x:c>
      <x:c r="R1880" s="14" t="str">
        <x:v>Partial extraction; independent audit and code execution pending.</x:v>
      </x:c>
      <x:c r="S1880" s="14" t="str"/>
      <x:c r="T1880" s="14" t="str">
        <x:v>EXTRACTED</x:v>
      </x:c>
      <x:c r="U1880" s="14" t="str">
        <x:v>2026-09-28</x:v>
      </x:c>
      <x:c r="V1880" s="14" t="str">
        <x:v>B16</x:v>
      </x:c>
    </x:row>
    <x:row r="1881" ht="75" customHeight="1">
      <x:c r="A1881" s="14" t="str">
        <x:v>B16-0065</x:v>
      </x:c>
      <x:c r="B1881" s="14" t="str">
        <x:v>OAI-0054</x:v>
      </x:c>
      <x:c r="C1881" s="14" t="str">
        <x:v>OAI-0054:B16_SOURCE_REVIEW</x:v>
      </x:c>
      <x:c r="D1881" s="14" t="str">
        <x:v>architecture.aspp_dilations</x:v>
      </x:c>
      <x:c r="E1881" s="14" t="str">
        <x:v>1,2,4</x:v>
      </x:c>
      <x:c r="F1881" s="14" t="str">
        <x:v>MHWCorrNet; separately trained lead-week variants; SI hyperparameter table not read.</x:v>
      </x:c>
      <x:c r="G1881" s="14" t="str">
        <x:v>AUTHOR_REPORTED_FACT</x:v>
      </x:c>
      <x:c r="H1881" s="14" t="str">
        <x:v>https://agupubs.onlinelibrary.wiley.com/doi/10.1029/2026JH001380</x:v>
      </x:c>
      <x:c r="I1881" s="14" t="str">
        <x:v>10.1029/2026JH001380</x:v>
      </x:c>
      <x:c r="J1881" s="14" t="str">
        <x:v>PUBLISHED_HTML</x:v>
      </x:c>
      <x:c r="K1881" s="14" t="str">
        <x:v>2.3.1</x:v>
      </x:c>
      <x:c r="L1881" s="14" t="str">
        <x:v>2.3.1</x:v>
      </x:c>
      <x:c r="M1881" s="14" t="str"/>
      <x:c r="N1881" s="14" t="str"/>
      <x:c r="O1881" s="14" t="str">
        <x:v>SOURCE_SECTION_READ</x:v>
      </x:c>
      <x:c r="P1881" s="14" t="str">
        <x:v>NOT_VERIFIED</x:v>
      </x:c>
      <x:c r="Q1881" s="14" t="str">
        <x:v>PENDING_INDEPENDENT_AUDIT</x:v>
      </x:c>
      <x:c r="R1881" s="14" t="str">
        <x:v>Partial extraction; independent audit and code execution pending.</x:v>
      </x:c>
      <x:c r="S1881" s="14" t="str"/>
      <x:c r="T1881" s="14" t="str">
        <x:v>EXTRACTED</x:v>
      </x:c>
      <x:c r="U1881" s="14" t="str">
        <x:v>2026-09-28</x:v>
      </x:c>
      <x:c r="V1881" s="14" t="str">
        <x:v>B16</x:v>
      </x:c>
    </x:row>
    <x:row r="1882" ht="75" customHeight="1">
      <x:c r="A1882" s="14" t="str">
        <x:v>B16-0066</x:v>
      </x:c>
      <x:c r="B1882" s="14" t="str">
        <x:v>OAI-0054</x:v>
      </x:c>
      <x:c r="C1882" s="14" t="str">
        <x:v>OAI-0054:B16_SOURCE_REVIEW</x:v>
      </x:c>
      <x:c r="D1882" s="14" t="str">
        <x:v>architecture.attention</x:v>
      </x:c>
      <x:c r="E1882" s="14" t="str">
        <x:v>3D spatial-channel squeeze-and-excitation</x:v>
      </x:c>
      <x:c r="F1882" s="14" t="str">
        <x:v>MHWCorrNet; separately trained lead-week variants; SI hyperparameter table not read.</x:v>
      </x:c>
      <x:c r="G1882" s="14" t="str">
        <x:v>AUTHOR_REPORTED_FACT</x:v>
      </x:c>
      <x:c r="H1882" s="14" t="str">
        <x:v>https://agupubs.onlinelibrary.wiley.com/doi/10.1029/2026JH001380</x:v>
      </x:c>
      <x:c r="I1882" s="14" t="str">
        <x:v>10.1029/2026JH001380</x:v>
      </x:c>
      <x:c r="J1882" s="14" t="str">
        <x:v>PUBLISHED_HTML</x:v>
      </x:c>
      <x:c r="K1882" s="14" t="str">
        <x:v>2.3.1</x:v>
      </x:c>
      <x:c r="L1882" s="14" t="str">
        <x:v>2.3.1</x:v>
      </x:c>
      <x:c r="M1882" s="14" t="str"/>
      <x:c r="N1882" s="14" t="str"/>
      <x:c r="O1882" s="14" t="str">
        <x:v>SOURCE_SECTION_READ</x:v>
      </x:c>
      <x:c r="P1882" s="14" t="str">
        <x:v>NOT_VERIFIED</x:v>
      </x:c>
      <x:c r="Q1882" s="14" t="str">
        <x:v>PENDING_INDEPENDENT_AUDIT</x:v>
      </x:c>
      <x:c r="R1882" s="14" t="str">
        <x:v>Partial extraction; independent audit and code execution pending.</x:v>
      </x:c>
      <x:c r="S1882" s="14" t="str"/>
      <x:c r="T1882" s="14" t="str">
        <x:v>EXTRACTED</x:v>
      </x:c>
      <x:c r="U1882" s="14" t="str">
        <x:v>2026-09-28</x:v>
      </x:c>
      <x:c r="V1882" s="14" t="str">
        <x:v>B16</x:v>
      </x:c>
    </x:row>
    <x:row r="1883" ht="75" customHeight="1">
      <x:c r="A1883" s="14" t="str">
        <x:v>B16-0067</x:v>
      </x:c>
      <x:c r="B1883" s="14" t="str">
        <x:v>OAI-0054</x:v>
      </x:c>
      <x:c r="C1883" s="14" t="str">
        <x:v>OAI-0054:B16_SOURCE_REVIEW</x:v>
      </x:c>
      <x:c r="D1883" s="14" t="str">
        <x:v>inputs.tensor_shape</x:v>
      </x:c>
      <x:c r="E1883" s="14" t="str">
        <x:v>B×16×4×80×240</x:v>
      </x:c>
      <x:c r="F1883" s="14" t="str">
        <x:v>MHWCorrNet; separately trained lead-week variants; SI hyperparameter table not read.</x:v>
      </x:c>
      <x:c r="G1883" s="14" t="str">
        <x:v>AUTHOR_REPORTED_FACT</x:v>
      </x:c>
      <x:c r="H1883" s="14" t="str">
        <x:v>https://agupubs.onlinelibrary.wiley.com/doi/10.1029/2026JH001380</x:v>
      </x:c>
      <x:c r="I1883" s="14" t="str">
        <x:v>10.1029/2026JH001380</x:v>
      </x:c>
      <x:c r="J1883" s="14" t="str">
        <x:v>PUBLISHED_HTML</x:v>
      </x:c>
      <x:c r="K1883" s="14" t="str">
        <x:v>2.3.1</x:v>
      </x:c>
      <x:c r="L1883" s="14" t="str">
        <x:v>2.3.1</x:v>
      </x:c>
      <x:c r="M1883" s="14" t="str"/>
      <x:c r="N1883" s="14" t="str"/>
      <x:c r="O1883" s="14" t="str">
        <x:v>SOURCE_SECTION_READ</x:v>
      </x:c>
      <x:c r="P1883" s="14" t="str">
        <x:v>NOT_VERIFIED</x:v>
      </x:c>
      <x:c r="Q1883" s="14" t="str">
        <x:v>PENDING_INDEPENDENT_AUDIT</x:v>
      </x:c>
      <x:c r="R1883" s="14" t="str">
        <x:v>Partial extraction; independent audit and code execution pending.</x:v>
      </x:c>
      <x:c r="S1883" s="14" t="str"/>
      <x:c r="T1883" s="14" t="str">
        <x:v>EXTRACTED</x:v>
      </x:c>
      <x:c r="U1883" s="14" t="str">
        <x:v>2026-09-28</x:v>
      </x:c>
      <x:c r="V1883" s="14" t="str">
        <x:v>B16</x:v>
      </x:c>
    </x:row>
    <x:row r="1884" ht="75" customHeight="1">
      <x:c r="A1884" s="14" t="str">
        <x:v>B16-0068</x:v>
      </x:c>
      <x:c r="B1884" s="14" t="str">
        <x:v>OAI-0054</x:v>
      </x:c>
      <x:c r="C1884" s="14" t="str">
        <x:v>OAI-0054:B16_SOURCE_REVIEW</x:v>
      </x:c>
      <x:c r="D1884" s="14" t="str">
        <x:v>outputs.tensor_shape</x:v>
      </x:c>
      <x:c r="E1884" s="14" t="str">
        <x:v>B×16×1×80×240</x:v>
      </x:c>
      <x:c r="F1884" s="14" t="str">
        <x:v>MHWCorrNet; separately trained lead-week variants; SI hyperparameter table not read.</x:v>
      </x:c>
      <x:c r="G1884" s="14" t="str">
        <x:v>AUTHOR_REPORTED_FACT</x:v>
      </x:c>
      <x:c r="H1884" s="14" t="str">
        <x:v>https://agupubs.onlinelibrary.wiley.com/doi/10.1029/2026JH001380</x:v>
      </x:c>
      <x:c r="I1884" s="14" t="str">
        <x:v>10.1029/2026JH001380</x:v>
      </x:c>
      <x:c r="J1884" s="14" t="str">
        <x:v>PUBLISHED_HTML</x:v>
      </x:c>
      <x:c r="K1884" s="14" t="str">
        <x:v>2.3.1</x:v>
      </x:c>
      <x:c r="L1884" s="14" t="str">
        <x:v>2.3.1</x:v>
      </x:c>
      <x:c r="M1884" s="14" t="str"/>
      <x:c r="N1884" s="14" t="str"/>
      <x:c r="O1884" s="14" t="str">
        <x:v>SOURCE_SECTION_READ</x:v>
      </x:c>
      <x:c r="P1884" s="14" t="str">
        <x:v>NOT_VERIFIED</x:v>
      </x:c>
      <x:c r="Q1884" s="14" t="str">
        <x:v>PENDING_INDEPENDENT_AUDIT</x:v>
      </x:c>
      <x:c r="R1884" s="14" t="str">
        <x:v>Partial extraction; independent audit and code execution pending.</x:v>
      </x:c>
      <x:c r="S1884" s="14" t="str"/>
      <x:c r="T1884" s="14" t="str">
        <x:v>EXTRACTED</x:v>
      </x:c>
      <x:c r="U1884" s="14" t="str">
        <x:v>2026-09-28</x:v>
      </x:c>
      <x:c r="V1884" s="14" t="str">
        <x:v>B16</x:v>
      </x:c>
    </x:row>
    <x:row r="1885" ht="75" customHeight="1">
      <x:c r="A1885" s="14" t="str">
        <x:v>B16-0069</x:v>
      </x:c>
      <x:c r="B1885" s="14" t="str">
        <x:v>OAI-0054</x:v>
      </x:c>
      <x:c r="C1885" s="14" t="str">
        <x:v>OAI-0054:B16_SOURCE_REVIEW</x:v>
      </x:c>
      <x:c r="D1885" s="14" t="str">
        <x:v>outputs.residual</x:v>
      </x:c>
      <x:c r="E1885" s="14" t="str">
        <x:v>SSTobs−SSTmodel</x:v>
      </x:c>
      <x:c r="F1885" s="14" t="str">
        <x:v>MHWCorrNet; separately trained lead-week variants; SI hyperparameter table not read.</x:v>
      </x:c>
      <x:c r="G1885" s="14" t="str">
        <x:v>AUTHOR_REPORTED_FACT</x:v>
      </x:c>
      <x:c r="H1885" s="14" t="str">
        <x:v>https://agupubs.onlinelibrary.wiley.com/doi/10.1029/2026JH001380</x:v>
      </x:c>
      <x:c r="I1885" s="14" t="str">
        <x:v>10.1029/2026JH001380</x:v>
      </x:c>
      <x:c r="J1885" s="14" t="str">
        <x:v>PUBLISHED_HTML</x:v>
      </x:c>
      <x:c r="K1885" s="14" t="str">
        <x:v>2.3.1</x:v>
      </x:c>
      <x:c r="L1885" s="14" t="str">
        <x:v>2.3.1</x:v>
      </x:c>
      <x:c r="M1885" s="14" t="str"/>
      <x:c r="N1885" s="14" t="str"/>
      <x:c r="O1885" s="14" t="str">
        <x:v>SOURCE_SECTION_READ</x:v>
      </x:c>
      <x:c r="P1885" s="14" t="str">
        <x:v>NOT_VERIFIED</x:v>
      </x:c>
      <x:c r="Q1885" s="14" t="str">
        <x:v>PENDING_INDEPENDENT_AUDIT</x:v>
      </x:c>
      <x:c r="R1885" s="14" t="str">
        <x:v>Partial extraction; independent audit and code execution pending.</x:v>
      </x:c>
      <x:c r="S1885" s="14" t="str"/>
      <x:c r="T1885" s="14" t="str">
        <x:v>EXTRACTED</x:v>
      </x:c>
      <x:c r="U1885" s="14" t="str">
        <x:v>2026-09-28</x:v>
      </x:c>
      <x:c r="V1885" s="14" t="str">
        <x:v>B16</x:v>
      </x:c>
    </x:row>
    <x:row r="1886" ht="75" customHeight="1">
      <x:c r="A1886" s="14" t="str">
        <x:v>B16-0070</x:v>
      </x:c>
      <x:c r="B1886" s="14" t="str">
        <x:v>OAI-0054</x:v>
      </x:c>
      <x:c r="C1886" s="14" t="str">
        <x:v>OAI-0054:B16_SOURCE_REVIEW</x:v>
      </x:c>
      <x:c r="D1886" s="14" t="str">
        <x:v>training.optimizer</x:v>
      </x:c>
      <x:c r="E1886" s="14" t="str">
        <x:v>AdamW</x:v>
      </x:c>
      <x:c r="F1886" s="14" t="str">
        <x:v>MHWCorrNet; separately trained lead-week variants; SI hyperparameter table not read.</x:v>
      </x:c>
      <x:c r="G1886" s="14" t="str">
        <x:v>AUTHOR_REPORTED_FACT</x:v>
      </x:c>
      <x:c r="H1886" s="14" t="str">
        <x:v>https://agupubs.onlinelibrary.wiley.com/doi/10.1029/2026JH001380</x:v>
      </x:c>
      <x:c r="I1886" s="14" t="str">
        <x:v>10.1029/2026JH001380</x:v>
      </x:c>
      <x:c r="J1886" s="14" t="str">
        <x:v>PUBLISHED_HTML</x:v>
      </x:c>
      <x:c r="K1886" s="14" t="str">
        <x:v>2.3.2</x:v>
      </x:c>
      <x:c r="L1886" s="14" t="str">
        <x:v>2.3.2</x:v>
      </x:c>
      <x:c r="M1886" s="14" t="str"/>
      <x:c r="N1886" s="14" t="str"/>
      <x:c r="O1886" s="14" t="str">
        <x:v>SOURCE_SECTION_READ</x:v>
      </x:c>
      <x:c r="P1886" s="14" t="str">
        <x:v>NOT_VERIFIED</x:v>
      </x:c>
      <x:c r="Q1886" s="14" t="str">
        <x:v>PENDING_INDEPENDENT_AUDIT</x:v>
      </x:c>
      <x:c r="R1886" s="14" t="str">
        <x:v>Partial extraction; independent audit and code execution pending.</x:v>
      </x:c>
      <x:c r="S1886" s="14" t="str"/>
      <x:c r="T1886" s="14" t="str">
        <x:v>EXTRACTED</x:v>
      </x:c>
      <x:c r="U1886" s="14" t="str">
        <x:v>2026-09-28</x:v>
      </x:c>
      <x:c r="V1886" s="14" t="str">
        <x:v>B16</x:v>
      </x:c>
    </x:row>
    <x:row r="1887" ht="75" customHeight="1">
      <x:c r="A1887" s="14" t="str">
        <x:v>B16-0071</x:v>
      </x:c>
      <x:c r="B1887" s="14" t="str">
        <x:v>OAI-0054</x:v>
      </x:c>
      <x:c r="C1887" s="14" t="str">
        <x:v>OAI-0054:B16_SOURCE_REVIEW</x:v>
      </x:c>
      <x:c r="D1887" s="14" t="str">
        <x:v>training.learning_rate</x:v>
      </x:c>
      <x:c r="E1887" s="14" t="n">
        <x:v>0.0003</x:v>
      </x:c>
      <x:c r="F1887" s="14" t="str">
        <x:v>MHWCorrNet; separately trained lead-week variants; SI hyperparameter table not read.</x:v>
      </x:c>
      <x:c r="G1887" s="14" t="str">
        <x:v>AUTHOR_REPORTED_FACT</x:v>
      </x:c>
      <x:c r="H1887" s="14" t="str">
        <x:v>https://www.researchgate.net/publication/411117346_Global_Subseasonal-to-Seasonal_Marine_Heatwave_Forecasts_Boosted_by_Explainable_Deep_Learning</x:v>
      </x:c>
      <x:c r="I1887" s="14" t="str">
        <x:v>10.1029/2026JH001380</x:v>
      </x:c>
      <x:c r="J1887" s="14" t="str">
        <x:v>PUBLISHED_PAPER_COPY</x:v>
      </x:c>
      <x:c r="K1887" s="14" t="str">
        <x:v>2.3.2</x:v>
      </x:c>
      <x:c r="L1887" s="14" t="str">
        <x:v>2.3.2</x:v>
      </x:c>
      <x:c r="M1887" s="14" t="str"/>
      <x:c r="N1887" s="14" t="str"/>
      <x:c r="O1887" s="14" t="str">
        <x:v>SOURCE_SECTION_READ</x:v>
      </x:c>
      <x:c r="P1887" s="14" t="str">
        <x:v>NOT_VERIFIED</x:v>
      </x:c>
      <x:c r="Q1887" s="14" t="str">
        <x:v>PENDING_INDEPENDENT_AUDIT</x:v>
      </x:c>
      <x:c r="R1887" s="14" t="str">
        <x:v>Partial extraction; independent audit and code execution pending. Publisher HTML omits mathematical symbols; published-paper copy used.</x:v>
      </x:c>
      <x:c r="S1887" s="14" t="str"/>
      <x:c r="T1887" s="14" t="str">
        <x:v>EXTRACTED</x:v>
      </x:c>
      <x:c r="U1887" s="14" t="str">
        <x:v>2026-09-28</x:v>
      </x:c>
      <x:c r="V1887" s="14" t="str">
        <x:v>B16</x:v>
      </x:c>
    </x:row>
    <x:row r="1888" ht="75" customHeight="1">
      <x:c r="A1888" s="14" t="str">
        <x:v>B16-0072</x:v>
      </x:c>
      <x:c r="B1888" s="14" t="str">
        <x:v>OAI-0054</x:v>
      </x:c>
      <x:c r="C1888" s="14" t="str">
        <x:v>OAI-0054:B16_SOURCE_REVIEW</x:v>
      </x:c>
      <x:c r="D1888" s="14" t="str">
        <x:v>training.weight_decay</x:v>
      </x:c>
      <x:c r="E1888" s="14" t="n">
        <x:v>0.0001</x:v>
      </x:c>
      <x:c r="F1888" s="14" t="str">
        <x:v>MHWCorrNet; separately trained lead-week variants; SI hyperparameter table not read.</x:v>
      </x:c>
      <x:c r="G1888" s="14" t="str">
        <x:v>AUTHOR_REPORTED_FACT</x:v>
      </x:c>
      <x:c r="H1888" s="14" t="str">
        <x:v>https://www.researchgate.net/publication/411117346_Global_Subseasonal-to-Seasonal_Marine_Heatwave_Forecasts_Boosted_by_Explainable_Deep_Learning</x:v>
      </x:c>
      <x:c r="I1888" s="14" t="str">
        <x:v>10.1029/2026JH001380</x:v>
      </x:c>
      <x:c r="J1888" s="14" t="str">
        <x:v>PUBLISHED_PAPER_COPY</x:v>
      </x:c>
      <x:c r="K1888" s="14" t="str">
        <x:v>2.3.2</x:v>
      </x:c>
      <x:c r="L1888" s="14" t="str">
        <x:v>2.3.2</x:v>
      </x:c>
      <x:c r="M1888" s="14" t="str"/>
      <x:c r="N1888" s="14" t="str"/>
      <x:c r="O1888" s="14" t="str">
        <x:v>SOURCE_SECTION_READ</x:v>
      </x:c>
      <x:c r="P1888" s="14" t="str">
        <x:v>NOT_VERIFIED</x:v>
      </x:c>
      <x:c r="Q1888" s="14" t="str">
        <x:v>PENDING_INDEPENDENT_AUDIT</x:v>
      </x:c>
      <x:c r="R1888" s="14" t="str">
        <x:v>Partial extraction; independent audit and code execution pending. Publisher HTML omits mathematical symbols; published-paper copy used.</x:v>
      </x:c>
      <x:c r="S1888" s="14" t="str"/>
      <x:c r="T1888" s="14" t="str">
        <x:v>EXTRACTED</x:v>
      </x:c>
      <x:c r="U1888" s="14" t="str">
        <x:v>2026-09-28</x:v>
      </x:c>
      <x:c r="V1888" s="14" t="str">
        <x:v>B16</x:v>
      </x:c>
    </x:row>
    <x:row r="1889" ht="75" customHeight="1">
      <x:c r="A1889" s="14" t="str">
        <x:v>B16-0073</x:v>
      </x:c>
      <x:c r="B1889" s="14" t="str">
        <x:v>OAI-0054</x:v>
      </x:c>
      <x:c r="C1889" s="14" t="str">
        <x:v>OAI-0054:B16_SOURCE_REVIEW</x:v>
      </x:c>
      <x:c r="D1889" s="14" t="str">
        <x:v>training.scheduler</x:v>
      </x:c>
      <x:c r="E1889" s="14" t="str">
        <x:v>Halve after 3 unimproved validation epochs</x:v>
      </x:c>
      <x:c r="F1889" s="14" t="str">
        <x:v>MHWCorrNet; separately trained lead-week variants; SI hyperparameter table not read.</x:v>
      </x:c>
      <x:c r="G1889" s="14" t="str">
        <x:v>AUTHOR_REPORTED_FACT</x:v>
      </x:c>
      <x:c r="H1889" s="14" t="str">
        <x:v>https://agupubs.onlinelibrary.wiley.com/doi/10.1029/2026JH001380</x:v>
      </x:c>
      <x:c r="I1889" s="14" t="str">
        <x:v>10.1029/2026JH001380</x:v>
      </x:c>
      <x:c r="J1889" s="14" t="str">
        <x:v>PUBLISHED_HTML</x:v>
      </x:c>
      <x:c r="K1889" s="14" t="str">
        <x:v>2.3.2</x:v>
      </x:c>
      <x:c r="L1889" s="14" t="str">
        <x:v>2.3.2</x:v>
      </x:c>
      <x:c r="M1889" s="14" t="str"/>
      <x:c r="N1889" s="14" t="str"/>
      <x:c r="O1889" s="14" t="str">
        <x:v>SOURCE_SECTION_READ</x:v>
      </x:c>
      <x:c r="P1889" s="14" t="str">
        <x:v>NOT_VERIFIED</x:v>
      </x:c>
      <x:c r="Q1889" s="14" t="str">
        <x:v>PENDING_INDEPENDENT_AUDIT</x:v>
      </x:c>
      <x:c r="R1889" s="14" t="str">
        <x:v>Partial extraction; independent audit and code execution pending.</x:v>
      </x:c>
      <x:c r="S1889" s="14" t="str"/>
      <x:c r="T1889" s="14" t="str">
        <x:v>EXTRACTED</x:v>
      </x:c>
      <x:c r="U1889" s="14" t="str">
        <x:v>2026-09-28</x:v>
      </x:c>
      <x:c r="V1889" s="14" t="str">
        <x:v>B16</x:v>
      </x:c>
    </x:row>
    <x:row r="1890" ht="75" customHeight="1">
      <x:c r="A1890" s="14" t="str">
        <x:v>B16-0074</x:v>
      </x:c>
      <x:c r="B1890" s="14" t="str">
        <x:v>OAI-0054</x:v>
      </x:c>
      <x:c r="C1890" s="14" t="str">
        <x:v>OAI-0054:B16_SOURCE_REVIEW</x:v>
      </x:c>
      <x:c r="D1890" s="14" t="str">
        <x:v>training.learning_rate_min</x:v>
      </x:c>
      <x:c r="E1890" s="14" t="n">
        <x:v>1e-7</x:v>
      </x:c>
      <x:c r="F1890" s="14" t="str">
        <x:v>MHWCorrNet; separately trained lead-week variants; SI hyperparameter table not read.</x:v>
      </x:c>
      <x:c r="G1890" s="14" t="str">
        <x:v>AUTHOR_REPORTED_FACT</x:v>
      </x:c>
      <x:c r="H1890" s="14" t="str">
        <x:v>https://www.researchgate.net/publication/411117346_Global_Subseasonal-to-Seasonal_Marine_Heatwave_Forecasts_Boosted_by_Explainable_Deep_Learning</x:v>
      </x:c>
      <x:c r="I1890" s="14" t="str">
        <x:v>10.1029/2026JH001380</x:v>
      </x:c>
      <x:c r="J1890" s="14" t="str">
        <x:v>PUBLISHED_PAPER_COPY</x:v>
      </x:c>
      <x:c r="K1890" s="14" t="str">
        <x:v>2.3.2</x:v>
      </x:c>
      <x:c r="L1890" s="14" t="str">
        <x:v>2.3.2</x:v>
      </x:c>
      <x:c r="M1890" s="14" t="str"/>
      <x:c r="N1890" s="14" t="str"/>
      <x:c r="O1890" s="14" t="str">
        <x:v>SOURCE_SECTION_READ</x:v>
      </x:c>
      <x:c r="P1890" s="14" t="str">
        <x:v>NOT_VERIFIED</x:v>
      </x:c>
      <x:c r="Q1890" s="14" t="str">
        <x:v>PENDING_INDEPENDENT_AUDIT</x:v>
      </x:c>
      <x:c r="R1890" s="14" t="str">
        <x:v>Partial extraction; independent audit and code execution pending. Publisher HTML omits mathematical symbols; published-paper copy used.</x:v>
      </x:c>
      <x:c r="S1890" s="14" t="str"/>
      <x:c r="T1890" s="14" t="str">
        <x:v>EXTRACTED</x:v>
      </x:c>
      <x:c r="U1890" s="14" t="str">
        <x:v>2026-09-28</x:v>
      </x:c>
      <x:c r="V1890" s="14" t="str">
        <x:v>B16</x:v>
      </x:c>
    </x:row>
    <x:row r="1891" ht="75" customHeight="1">
      <x:c r="A1891" s="14" t="str">
        <x:v>B16-0075</x:v>
      </x:c>
      <x:c r="B1891" s="14" t="str">
        <x:v>OAI-0054</x:v>
      </x:c>
      <x:c r="C1891" s="14" t="str">
        <x:v>OAI-0054:B16_SOURCE_REVIEW</x:v>
      </x:c>
      <x:c r="D1891" s="14" t="str">
        <x:v>training.max_epochs</x:v>
      </x:c>
      <x:c r="E1891" s="14" t="n">
        <x:v>200</x:v>
      </x:c>
      <x:c r="F1891" s="14" t="str">
        <x:v>MHWCorrNet; separately trained lead-week variants; SI hyperparameter table not read.</x:v>
      </x:c>
      <x:c r="G1891" s="14" t="str">
        <x:v>AUTHOR_REPORTED_FACT</x:v>
      </x:c>
      <x:c r="H1891" s="14" t="str">
        <x:v>https://agupubs.onlinelibrary.wiley.com/doi/10.1029/2026JH001380</x:v>
      </x:c>
      <x:c r="I1891" s="14" t="str">
        <x:v>10.1029/2026JH001380</x:v>
      </x:c>
      <x:c r="J1891" s="14" t="str">
        <x:v>PUBLISHED_HTML</x:v>
      </x:c>
      <x:c r="K1891" s="14" t="str">
        <x:v>2.3.2</x:v>
      </x:c>
      <x:c r="L1891" s="14" t="str">
        <x:v>2.3.2</x:v>
      </x:c>
      <x:c r="M1891" s="14" t="str"/>
      <x:c r="N1891" s="14" t="str"/>
      <x:c r="O1891" s="14" t="str">
        <x:v>SOURCE_SECTION_READ</x:v>
      </x:c>
      <x:c r="P1891" s="14" t="str">
        <x:v>NOT_VERIFIED</x:v>
      </x:c>
      <x:c r="Q1891" s="14" t="str">
        <x:v>PENDING_INDEPENDENT_AUDIT</x:v>
      </x:c>
      <x:c r="R1891" s="14" t="str">
        <x:v>Partial extraction; independent audit and code execution pending.</x:v>
      </x:c>
      <x:c r="S1891" s="14" t="str"/>
      <x:c r="T1891" s="14" t="str">
        <x:v>EXTRACTED</x:v>
      </x:c>
      <x:c r="U1891" s="14" t="str">
        <x:v>2026-09-28</x:v>
      </x:c>
      <x:c r="V1891" s="14" t="str">
        <x:v>B16</x:v>
      </x:c>
    </x:row>
    <x:row r="1892" ht="75" customHeight="1">
      <x:c r="A1892" s="14" t="str">
        <x:v>B16-0076</x:v>
      </x:c>
      <x:c r="B1892" s="14" t="str">
        <x:v>OAI-0054</x:v>
      </x:c>
      <x:c r="C1892" s="14" t="str">
        <x:v>OAI-0054:B16_SOURCE_REVIEW</x:v>
      </x:c>
      <x:c r="D1892" s="14" t="str">
        <x:v>training.batch_size</x:v>
      </x:c>
      <x:c r="E1892" s="14" t="n">
        <x:v>16</x:v>
      </x:c>
      <x:c r="F1892" s="14" t="str">
        <x:v>MHWCorrNet; separately trained lead-week variants; SI hyperparameter table not read.</x:v>
      </x:c>
      <x:c r="G1892" s="14" t="str">
        <x:v>AUTHOR_REPORTED_FACT</x:v>
      </x:c>
      <x:c r="H1892" s="14" t="str">
        <x:v>https://agupubs.onlinelibrary.wiley.com/doi/10.1029/2026JH001380</x:v>
      </x:c>
      <x:c r="I1892" s="14" t="str">
        <x:v>10.1029/2026JH001380</x:v>
      </x:c>
      <x:c r="J1892" s="14" t="str">
        <x:v>PUBLISHED_HTML</x:v>
      </x:c>
      <x:c r="K1892" s="14" t="str">
        <x:v>2.3.2</x:v>
      </x:c>
      <x:c r="L1892" s="14" t="str">
        <x:v>2.3.2</x:v>
      </x:c>
      <x:c r="M1892" s="14" t="str"/>
      <x:c r="N1892" s="14" t="str"/>
      <x:c r="O1892" s="14" t="str">
        <x:v>SOURCE_SECTION_READ</x:v>
      </x:c>
      <x:c r="P1892" s="14" t="str">
        <x:v>NOT_VERIFIED</x:v>
      </x:c>
      <x:c r="Q1892" s="14" t="str">
        <x:v>PENDING_INDEPENDENT_AUDIT</x:v>
      </x:c>
      <x:c r="R1892" s="14" t="str">
        <x:v>Partial extraction; independent audit and code execution pending.</x:v>
      </x:c>
      <x:c r="S1892" s="14" t="str"/>
      <x:c r="T1892" s="14" t="str">
        <x:v>EXTRACTED</x:v>
      </x:c>
      <x:c r="U1892" s="14" t="str">
        <x:v>2026-09-28</x:v>
      </x:c>
      <x:c r="V1892" s="14" t="str">
        <x:v>B16</x:v>
      </x:c>
    </x:row>
    <x:row r="1893" ht="75" customHeight="1">
      <x:c r="A1893" s="14" t="str">
        <x:v>B16-0077</x:v>
      </x:c>
      <x:c r="B1893" s="14" t="str">
        <x:v>OAI-0054</x:v>
      </x:c>
      <x:c r="C1893" s="14" t="str">
        <x:v>OAI-0054:B16_SOURCE_REVIEW</x:v>
      </x:c>
      <x:c r="D1893" s="14" t="str">
        <x:v>training.early_stopping</x:v>
      </x:c>
      <x:c r="E1893" s="14" t="str">
        <x:v>9 unimproved validation epochs</x:v>
      </x:c>
      <x:c r="F1893" s="14" t="str">
        <x:v>MHWCorrNet; separately trained lead-week variants; SI hyperparameter table not read.</x:v>
      </x:c>
      <x:c r="G1893" s="14" t="str">
        <x:v>AUTHOR_REPORTED_FACT</x:v>
      </x:c>
      <x:c r="H1893" s="14" t="str">
        <x:v>https://agupubs.onlinelibrary.wiley.com/doi/10.1029/2026JH001380</x:v>
      </x:c>
      <x:c r="I1893" s="14" t="str">
        <x:v>10.1029/2026JH001380</x:v>
      </x:c>
      <x:c r="J1893" s="14" t="str">
        <x:v>PUBLISHED_HTML</x:v>
      </x:c>
      <x:c r="K1893" s="14" t="str">
        <x:v>2.3.2</x:v>
      </x:c>
      <x:c r="L1893" s="14" t="str">
        <x:v>2.3.2</x:v>
      </x:c>
      <x:c r="M1893" s="14" t="str"/>
      <x:c r="N1893" s="14" t="str"/>
      <x:c r="O1893" s="14" t="str">
        <x:v>SOURCE_SECTION_READ</x:v>
      </x:c>
      <x:c r="P1893" s="14" t="str">
        <x:v>NOT_VERIFIED</x:v>
      </x:c>
      <x:c r="Q1893" s="14" t="str">
        <x:v>PENDING_INDEPENDENT_AUDIT</x:v>
      </x:c>
      <x:c r="R1893" s="14" t="str">
        <x:v>Partial extraction; independent audit and code execution pending.</x:v>
      </x:c>
      <x:c r="S1893" s="14" t="str"/>
      <x:c r="T1893" s="14" t="str">
        <x:v>EXTRACTED</x:v>
      </x:c>
      <x:c r="U1893" s="14" t="str">
        <x:v>2026-09-28</x:v>
      </x:c>
      <x:c r="V1893" s="14" t="str">
        <x:v>B16</x:v>
      </x:c>
    </x:row>
    <x:row r="1894" ht="75" customHeight="1">
      <x:c r="A1894" s="14" t="str">
        <x:v>B16-0078</x:v>
      </x:c>
      <x:c r="B1894" s="14" t="str">
        <x:v>OAI-0054</x:v>
      </x:c>
      <x:c r="C1894" s="14" t="str">
        <x:v>OAI-0054:B16_SOURCE_REVIEW</x:v>
      </x:c>
      <x:c r="D1894" s="14" t="str">
        <x:v>training.hardware</x:v>
      </x:c>
      <x:c r="E1894" s="14" t="str">
        <x:v>1 NVIDIA RTX 5090</x:v>
      </x:c>
      <x:c r="F1894" s="14" t="str">
        <x:v>MHWCorrNet; separately trained lead-week variants; SI hyperparameter table not read.</x:v>
      </x:c>
      <x:c r="G1894" s="14" t="str">
        <x:v>AUTHOR_REPORTED_FACT</x:v>
      </x:c>
      <x:c r="H1894" s="14" t="str">
        <x:v>https://agupubs.onlinelibrary.wiley.com/doi/10.1029/2026JH001380</x:v>
      </x:c>
      <x:c r="I1894" s="14" t="str">
        <x:v>10.1029/2026JH001380</x:v>
      </x:c>
      <x:c r="J1894" s="14" t="str">
        <x:v>PUBLISHED_HTML</x:v>
      </x:c>
      <x:c r="K1894" s="14" t="str">
        <x:v>2.3.2</x:v>
      </x:c>
      <x:c r="L1894" s="14" t="str">
        <x:v>2.3.2</x:v>
      </x:c>
      <x:c r="M1894" s="14" t="str"/>
      <x:c r="N1894" s="14" t="str"/>
      <x:c r="O1894" s="14" t="str">
        <x:v>SOURCE_SECTION_READ</x:v>
      </x:c>
      <x:c r="P1894" s="14" t="str">
        <x:v>NOT_VERIFIED</x:v>
      </x:c>
      <x:c r="Q1894" s="14" t="str">
        <x:v>PENDING_INDEPENDENT_AUDIT</x:v>
      </x:c>
      <x:c r="R1894" s="14" t="str">
        <x:v>Partial extraction; independent audit and code execution pending.</x:v>
      </x:c>
      <x:c r="S1894" s="14" t="str"/>
      <x:c r="T1894" s="14" t="str">
        <x:v>EXTRACTED</x:v>
      </x:c>
      <x:c r="U1894" s="14" t="str">
        <x:v>2026-09-28</x:v>
      </x:c>
      <x:c r="V1894" s="14" t="str">
        <x:v>B16</x:v>
      </x:c>
    </x:row>
    <x:row r="1895" ht="75" customHeight="1">
      <x:c r="A1895" s="14" t="str">
        <x:v>B16-0079</x:v>
      </x:c>
      <x:c r="B1895" s="14" t="str">
        <x:v>OAI-0054</x:v>
      </x:c>
      <x:c r="C1895" s="14" t="str">
        <x:v>OAI-0054:B16_SOURCE_REVIEW</x:v>
      </x:c>
      <x:c r="D1895" s="14" t="str">
        <x:v>reproducibility.software</x:v>
      </x:c>
      <x:c r="E1895" s="14" t="str">
        <x:v>Python3.12; PyTorch2.8.0; CUDA12.9</x:v>
      </x:c>
      <x:c r="F1895" s="14" t="str">
        <x:v>MHWCorrNet; separately trained lead-week variants; SI hyperparameter table not read.</x:v>
      </x:c>
      <x:c r="G1895" s="14" t="str">
        <x:v>AUTHOR_REPORTED_FACT</x:v>
      </x:c>
      <x:c r="H1895" s="14" t="str">
        <x:v>https://agupubs.onlinelibrary.wiley.com/doi/10.1029/2026JH001380</x:v>
      </x:c>
      <x:c r="I1895" s="14" t="str">
        <x:v>10.1029/2026JH001380</x:v>
      </x:c>
      <x:c r="J1895" s="14" t="str">
        <x:v>PUBLISHED_HTML</x:v>
      </x:c>
      <x:c r="K1895" s="14" t="str">
        <x:v>2.3.2</x:v>
      </x:c>
      <x:c r="L1895" s="14" t="str">
        <x:v>2.3.2</x:v>
      </x:c>
      <x:c r="M1895" s="14" t="str"/>
      <x:c r="N1895" s="14" t="str"/>
      <x:c r="O1895" s="14" t="str">
        <x:v>SOURCE_SECTION_READ</x:v>
      </x:c>
      <x:c r="P1895" s="14" t="str">
        <x:v>NOT_VERIFIED</x:v>
      </x:c>
      <x:c r="Q1895" s="14" t="str">
        <x:v>PENDING_INDEPENDENT_AUDIT</x:v>
      </x:c>
      <x:c r="R1895" s="14" t="str">
        <x:v>Partial extraction; independent audit and code execution pending.</x:v>
      </x:c>
      <x:c r="S1895" s="14" t="str"/>
      <x:c r="T1895" s="14" t="str">
        <x:v>EXTRACTED</x:v>
      </x:c>
      <x:c r="U1895" s="14" t="str">
        <x:v>2026-09-28</x:v>
      </x:c>
      <x:c r="V1895" s="14" t="str">
        <x:v>B16</x:v>
      </x:c>
    </x:row>
    <x:row r="1896" ht="75" customHeight="1">
      <x:c r="A1896" s="14" t="str">
        <x:v>B16-0080</x:v>
      </x:c>
      <x:c r="B1896" s="14" t="str">
        <x:v>OAI-0054</x:v>
      </x:c>
      <x:c r="C1896" s="14" t="str">
        <x:v>OAI-0054:B16_SOURCE_REVIEW</x:v>
      </x:c>
      <x:c r="D1896" s="14" t="str">
        <x:v>loss.total</x:v>
      </x:c>
      <x:c r="E1896" s="14" t="str">
        <x:v>SmoothL1 + γ(1−F1diff)</x:v>
      </x:c>
      <x:c r="F1896" s="14" t="str">
        <x:v>MHWCorrNet; separately trained lead-week variants; SI hyperparameter table not read.</x:v>
      </x:c>
      <x:c r="G1896" s="14" t="str">
        <x:v>AUTHOR_REPORTED_FACT</x:v>
      </x:c>
      <x:c r="H1896" s="14" t="str">
        <x:v>https://www.researchgate.net/publication/411117346_Global_Subseasonal-to-Seasonal_Marine_Heatwave_Forecasts_Boosted_by_Explainable_Deep_Learning</x:v>
      </x:c>
      <x:c r="I1896" s="14" t="str">
        <x:v>10.1029/2026JH001380</x:v>
      </x:c>
      <x:c r="J1896" s="14" t="str">
        <x:v>PUBLISHED_PAPER_COPY</x:v>
      </x:c>
      <x:c r="K1896" s="14" t="str">
        <x:v>2.3.2, Eq.11</x:v>
      </x:c>
      <x:c r="L1896" s="14" t="str">
        <x:v>2.3.2, Eq.11</x:v>
      </x:c>
      <x:c r="M1896" s="14" t="str"/>
      <x:c r="N1896" s="14" t="str"/>
      <x:c r="O1896" s="14" t="str">
        <x:v>SOURCE_SECTION_READ</x:v>
      </x:c>
      <x:c r="P1896" s="14" t="str">
        <x:v>NOT_VERIFIED</x:v>
      </x:c>
      <x:c r="Q1896" s="14" t="str">
        <x:v>PENDING_INDEPENDENT_AUDIT</x:v>
      </x:c>
      <x:c r="R1896" s="14" t="str">
        <x:v>Partial extraction; independent audit and code execution pending. Publisher HTML omits mathematical symbols; published-paper copy used.</x:v>
      </x:c>
      <x:c r="S1896" s="14" t="str"/>
      <x:c r="T1896" s="14" t="str">
        <x:v>EXTRACTED</x:v>
      </x:c>
      <x:c r="U1896" s="14" t="str">
        <x:v>2026-09-28</x:v>
      </x:c>
      <x:c r="V1896" s="14" t="str">
        <x:v>B16</x:v>
      </x:c>
    </x:row>
    <x:row r="1897" ht="75" customHeight="1">
      <x:c r="A1897" s="14" t="str">
        <x:v>B16-0081</x:v>
      </x:c>
      <x:c r="B1897" s="14" t="str">
        <x:v>OAI-0054</x:v>
      </x:c>
      <x:c r="C1897" s="14" t="str">
        <x:v>OAI-0054:B16_SOURCE_REVIEW</x:v>
      </x:c>
      <x:c r="D1897" s="14" t="str">
        <x:v>loss.component_regression</x:v>
      </x:c>
      <x:c r="E1897" s="14" t="str">
        <x:v>SmoothL1</x:v>
      </x:c>
      <x:c r="F1897" s="14" t="str">
        <x:v>MHWCorrNet; separately trained lead-week variants; SI hyperparameter table not read.</x:v>
      </x:c>
      <x:c r="G1897" s="14" t="str">
        <x:v>AUTHOR_REPORTED_FACT</x:v>
      </x:c>
      <x:c r="H1897" s="14" t="str">
        <x:v>https://agupubs.onlinelibrary.wiley.com/doi/10.1029/2026JH001380</x:v>
      </x:c>
      <x:c r="I1897" s="14" t="str">
        <x:v>10.1029/2026JH001380</x:v>
      </x:c>
      <x:c r="J1897" s="14" t="str">
        <x:v>PUBLISHED_HTML</x:v>
      </x:c>
      <x:c r="K1897" s="14" t="str">
        <x:v>2.3.2, Eq.4</x:v>
      </x:c>
      <x:c r="L1897" s="14" t="str">
        <x:v>2.3.2, Eq.4</x:v>
      </x:c>
      <x:c r="M1897" s="14" t="str"/>
      <x:c r="N1897" s="14" t="str"/>
      <x:c r="O1897" s="14" t="str">
        <x:v>SOURCE_SECTION_READ</x:v>
      </x:c>
      <x:c r="P1897" s="14" t="str">
        <x:v>NOT_VERIFIED</x:v>
      </x:c>
      <x:c r="Q1897" s="14" t="str">
        <x:v>PENDING_INDEPENDENT_AUDIT</x:v>
      </x:c>
      <x:c r="R1897" s="14" t="str">
        <x:v>Partial extraction; independent audit and code execution pending.</x:v>
      </x:c>
      <x:c r="S1897" s="14" t="str"/>
      <x:c r="T1897" s="14" t="str">
        <x:v>EXTRACTED</x:v>
      </x:c>
      <x:c r="U1897" s="14" t="str">
        <x:v>2026-09-28</x:v>
      </x:c>
      <x:c r="V1897" s="14" t="str">
        <x:v>B16</x:v>
      </x:c>
    </x:row>
    <x:row r="1898" ht="75" customHeight="1">
      <x:c r="A1898" s="14" t="str">
        <x:v>B16-0082</x:v>
      </x:c>
      <x:c r="B1898" s="14" t="str">
        <x:v>OAI-0054</x:v>
      </x:c>
      <x:c r="C1898" s="14" t="str">
        <x:v>OAI-0054:B16_SOURCE_REVIEW</x:v>
      </x:c>
      <x:c r="D1898" s="14" t="str">
        <x:v>loss.component_detection</x:v>
      </x:c>
      <x:c r="E1898" s="14" t="str">
        <x:v>1−F1diff</x:v>
      </x:c>
      <x:c r="F1898" s="14" t="str">
        <x:v>MHWCorrNet; separately trained lead-week variants; SI hyperparameter table not read.</x:v>
      </x:c>
      <x:c r="G1898" s="14" t="str">
        <x:v>AUTHOR_REPORTED_FACT</x:v>
      </x:c>
      <x:c r="H1898" s="14" t="str">
        <x:v>https://www.researchgate.net/publication/411117346_Global_Subseasonal-to-Seasonal_Marine_Heatwave_Forecasts_Boosted_by_Explainable_Deep_Learning</x:v>
      </x:c>
      <x:c r="I1898" s="14" t="str">
        <x:v>10.1029/2026JH001380</x:v>
      </x:c>
      <x:c r="J1898" s="14" t="str">
        <x:v>PUBLISHED_PAPER_COPY</x:v>
      </x:c>
      <x:c r="K1898" s="14" t="str">
        <x:v>2.3.2, Eq.10</x:v>
      </x:c>
      <x:c r="L1898" s="14" t="str">
        <x:v>2.3.2, Eq.10</x:v>
      </x:c>
      <x:c r="M1898" s="14" t="str"/>
      <x:c r="N1898" s="14" t="str"/>
      <x:c r="O1898" s="14" t="str">
        <x:v>SOURCE_SECTION_READ</x:v>
      </x:c>
      <x:c r="P1898" s="14" t="str">
        <x:v>NOT_VERIFIED</x:v>
      </x:c>
      <x:c r="Q1898" s="14" t="str">
        <x:v>PENDING_INDEPENDENT_AUDIT</x:v>
      </x:c>
      <x:c r="R1898" s="14" t="str">
        <x:v>Partial extraction; independent audit and code execution pending. Publisher HTML omits mathematical symbols; published-paper copy used.</x:v>
      </x:c>
      <x:c r="S1898" s="14" t="str"/>
      <x:c r="T1898" s="14" t="str">
        <x:v>EXTRACTED</x:v>
      </x:c>
      <x:c r="U1898" s="14" t="str">
        <x:v>2026-09-28</x:v>
      </x:c>
      <x:c r="V1898" s="14" t="str">
        <x:v>B16</x:v>
      </x:c>
    </x:row>
    <x:row r="1899" ht="75" customHeight="1">
      <x:c r="A1899" s="14" t="str">
        <x:v>B16-0083</x:v>
      </x:c>
      <x:c r="B1899" s="14" t="str">
        <x:v>OAI-0054</x:v>
      </x:c>
      <x:c r="C1899" s="14" t="str">
        <x:v>OAI-0054:B16_SOURCE_REVIEW</x:v>
      </x:c>
      <x:c r="D1899" s="14" t="str">
        <x:v>loss.weight_selection</x:v>
      </x:c>
      <x:c r="E1899" s="14" t="str">
        <x:v>Validation-tuned γ; lead-specific</x:v>
      </x:c>
      <x:c r="F1899" s="14" t="str">
        <x:v>MHWCorrNet; separately trained lead-week variants; SI hyperparameter table not read.</x:v>
      </x:c>
      <x:c r="G1899" s="14" t="str">
        <x:v>AUTHOR_REPORTED_FACT</x:v>
      </x:c>
      <x:c r="H1899" s="14" t="str">
        <x:v>https://www.researchgate.net/publication/411117346_Global_Subseasonal-to-Seasonal_Marine_Heatwave_Forecasts_Boosted_by_Explainable_Deep_Learning</x:v>
      </x:c>
      <x:c r="I1899" s="14" t="str">
        <x:v>10.1029/2026JH001380</x:v>
      </x:c>
      <x:c r="J1899" s="14" t="str">
        <x:v>PUBLISHED_PAPER_COPY</x:v>
      </x:c>
      <x:c r="K1899" s="14" t="str">
        <x:v>2.3.2</x:v>
      </x:c>
      <x:c r="L1899" s="14" t="str">
        <x:v>2.3.2</x:v>
      </x:c>
      <x:c r="M1899" s="14" t="str"/>
      <x:c r="N1899" s="14" t="str"/>
      <x:c r="O1899" s="14" t="str">
        <x:v>SOURCE_SECTION_READ</x:v>
      </x:c>
      <x:c r="P1899" s="14" t="str">
        <x:v>NOT_VERIFIED</x:v>
      </x:c>
      <x:c r="Q1899" s="14" t="str">
        <x:v>PENDING_INDEPENDENT_AUDIT</x:v>
      </x:c>
      <x:c r="R1899" s="14" t="str">
        <x:v>Partial extraction; independent audit and code execution pending. Publisher HTML omits mathematical symbols; published-paper copy used.</x:v>
      </x:c>
      <x:c r="S1899" s="14" t="str"/>
      <x:c r="T1899" s="14" t="str">
        <x:v>EXTRACTED</x:v>
      </x:c>
      <x:c r="U1899" s="14" t="str">
        <x:v>2026-09-28</x:v>
      </x:c>
      <x:c r="V1899" s="14" t="str">
        <x:v>B16</x:v>
      </x:c>
    </x:row>
    <x:row r="1900" ht="75" customHeight="1">
      <x:c r="A1900" s="14" t="str">
        <x:v>B16-0084</x:v>
      </x:c>
      <x:c r="B1900" s="14" t="str">
        <x:v>OAI-0054</x:v>
      </x:c>
      <x:c r="C1900" s="14" t="str">
        <x:v>OAI-0054:B16_SOURCE_REVIEW</x:v>
      </x:c>
      <x:c r="D1900" s="14" t="str">
        <x:v>baselines.list</x:v>
      </x:c>
      <x:c r="E1900" s="14" t="str">
        <x:v>QDM; raw ECMWF; U-Net; 3D U-Net; persistence</x:v>
      </x:c>
      <x:c r="F1900" s="14" t="str">
        <x:v>MHWCorrNet; separately trained lead-week variants; SI hyperparameter table not read.</x:v>
      </x:c>
      <x:c r="G1900" s="14" t="str">
        <x:v>AUTHOR_REPORTED_FACT</x:v>
      </x:c>
      <x:c r="H1900" s="14" t="str">
        <x:v>https://agupubs.onlinelibrary.wiley.com/doi/10.1029/2026JH001380</x:v>
      </x:c>
      <x:c r="I1900" s="14" t="str">
        <x:v>10.1029/2026JH001380</x:v>
      </x:c>
      <x:c r="J1900" s="14" t="str">
        <x:v>PUBLISHED_HTML</x:v>
      </x:c>
      <x:c r="K1900" s="14" t="str">
        <x:v>2.3.3; 3.1</x:v>
      </x:c>
      <x:c r="L1900" s="14" t="str">
        <x:v>2.3.3; 3.1</x:v>
      </x:c>
      <x:c r="M1900" s="14" t="str"/>
      <x:c r="N1900" s="14" t="str"/>
      <x:c r="O1900" s="14" t="str">
        <x:v>SOURCE_SECTION_READ</x:v>
      </x:c>
      <x:c r="P1900" s="14" t="str">
        <x:v>NOT_VERIFIED</x:v>
      </x:c>
      <x:c r="Q1900" s="14" t="str">
        <x:v>PENDING_INDEPENDENT_AUDIT</x:v>
      </x:c>
      <x:c r="R1900" s="14" t="str">
        <x:v>Partial extraction; independent audit and code execution pending.</x:v>
      </x:c>
      <x:c r="S1900" s="14" t="str"/>
      <x:c r="T1900" s="14" t="str">
        <x:v>EXTRACTED</x:v>
      </x:c>
      <x:c r="U1900" s="14" t="str">
        <x:v>2026-09-28</x:v>
      </x:c>
      <x:c r="V1900" s="14" t="str">
        <x:v>B16</x:v>
      </x:c>
    </x:row>
    <x:row r="1901" ht="75" customHeight="1">
      <x:c r="A1901" s="14" t="str">
        <x:v>B16-0085</x:v>
      </x:c>
      <x:c r="B1901" s="14" t="str">
        <x:v>OAI-0054</x:v>
      </x:c>
      <x:c r="C1901" s="14" t="str">
        <x:v>OAI-0054:B16_SOURCE_REVIEW</x:v>
      </x:c>
      <x:c r="D1901" s="14" t="str">
        <x:v>metrics.list</x:v>
      </x:c>
      <x:c r="E1901" s="14" t="str">
        <x:v>POD; FAR; CSI; SEDI</x:v>
      </x:c>
      <x:c r="F1901" s="14" t="str">
        <x:v>MHWCorrNet; separately trained lead-week variants; SI hyperparameter table not read.</x:v>
      </x:c>
      <x:c r="G1901" s="14" t="str">
        <x:v>AUTHOR_REPORTED_FACT</x:v>
      </x:c>
      <x:c r="H1901" s="14" t="str">
        <x:v>https://agupubs.onlinelibrary.wiley.com/doi/10.1029/2026JH001380</x:v>
      </x:c>
      <x:c r="I1901" s="14" t="str">
        <x:v>10.1029/2026JH001380</x:v>
      </x:c>
      <x:c r="J1901" s="14" t="str">
        <x:v>PUBLISHED_HTML</x:v>
      </x:c>
      <x:c r="K1901" s="14" t="str">
        <x:v>2.4</x:v>
      </x:c>
      <x:c r="L1901" s="14" t="str">
        <x:v>2.4</x:v>
      </x:c>
      <x:c r="M1901" s="14" t="str"/>
      <x:c r="N1901" s="14" t="str"/>
      <x:c r="O1901" s="14" t="str">
        <x:v>SOURCE_SECTION_READ</x:v>
      </x:c>
      <x:c r="P1901" s="14" t="str">
        <x:v>NOT_VERIFIED</x:v>
      </x:c>
      <x:c r="Q1901" s="14" t="str">
        <x:v>PENDING_INDEPENDENT_AUDIT</x:v>
      </x:c>
      <x:c r="R1901" s="14" t="str">
        <x:v>Partial extraction; independent audit and code execution pending.</x:v>
      </x:c>
      <x:c r="S1901" s="14" t="str"/>
      <x:c r="T1901" s="14" t="str">
        <x:v>EXTRACTED</x:v>
      </x:c>
      <x:c r="U1901" s="14" t="str">
        <x:v>2026-09-28</x:v>
      </x:c>
      <x:c r="V1901" s="14" t="str">
        <x:v>B16</x:v>
      </x:c>
    </x:row>
    <x:row r="1902" ht="75" customHeight="1">
      <x:c r="A1902" s="14" t="str">
        <x:v>B16-0086</x:v>
      </x:c>
      <x:c r="B1902" s="14" t="str">
        <x:v>OAI-0054</x:v>
      </x:c>
      <x:c r="C1902" s="14" t="str">
        <x:v>OAI-0054:B16_SOURCE_REVIEW</x:v>
      </x:c>
      <x:c r="D1902" s="14" t="str">
        <x:v>methods.interpretability</x:v>
      </x:c>
      <x:c r="E1902" s="14" t="str">
        <x:v>Absolute input-output gradients</x:v>
      </x:c>
      <x:c r="F1902" s="14" t="str">
        <x:v>MHWCorrNet; separately trained lead-week variants; SI hyperparameter table not read.</x:v>
      </x:c>
      <x:c r="G1902" s="14" t="str">
        <x:v>AUTHOR_REPORTED_FACT</x:v>
      </x:c>
      <x:c r="H1902" s="14" t="str">
        <x:v>https://agupubs.onlinelibrary.wiley.com/doi/10.1029/2026JH001380</x:v>
      </x:c>
      <x:c r="I1902" s="14" t="str">
        <x:v>10.1029/2026JH001380</x:v>
      </x:c>
      <x:c r="J1902" s="14" t="str">
        <x:v>PUBLISHED_HTML</x:v>
      </x:c>
      <x:c r="K1902" s="14" t="str">
        <x:v>2.5</x:v>
      </x:c>
      <x:c r="L1902" s="14" t="str">
        <x:v>2.5</x:v>
      </x:c>
      <x:c r="M1902" s="14" t="str"/>
      <x:c r="N1902" s="14" t="str"/>
      <x:c r="O1902" s="14" t="str">
        <x:v>SOURCE_SECTION_READ</x:v>
      </x:c>
      <x:c r="P1902" s="14" t="str">
        <x:v>NOT_VERIFIED</x:v>
      </x:c>
      <x:c r="Q1902" s="14" t="str">
        <x:v>PENDING_INDEPENDENT_AUDIT</x:v>
      </x:c>
      <x:c r="R1902" s="14" t="str">
        <x:v>Partial extraction; independent audit and code execution pending.</x:v>
      </x:c>
      <x:c r="S1902" s="14" t="str"/>
      <x:c r="T1902" s="14" t="str">
        <x:v>EXTRACTED</x:v>
      </x:c>
      <x:c r="U1902" s="14" t="str">
        <x:v>2026-09-28</x:v>
      </x:c>
      <x:c r="V1902" s="14" t="str">
        <x:v>B16</x:v>
      </x:c>
    </x:row>
    <x:row r="1903" ht="75" customHeight="1">
      <x:c r="A1903" s="14" t="str">
        <x:v>B16-0087</x:v>
      </x:c>
      <x:c r="B1903" s="14" t="str">
        <x:v>OAI-0054</x:v>
      </x:c>
      <x:c r="C1903" s="14" t="str">
        <x:v>OAI-0054:B16_SOURCE_REVIEW</x:v>
      </x:c>
      <x:c r="D1903" s="14" t="str">
        <x:v>limitations.missing_physics</x:v>
      </x:c>
      <x:c r="E1903" s="14" t="str">
        <x:v>Postprocessing cannot recover missing physical processes</x:v>
      </x:c>
      <x:c r="F1903" s="14" t="str">
        <x:v>MHWCorrNet; separately trained lead-week variants; SI hyperparameter table not read.</x:v>
      </x:c>
      <x:c r="G1903" s="14" t="str">
        <x:v>AUTHOR_REPORTED_LIMITATION</x:v>
      </x:c>
      <x:c r="H1903" s="14" t="str">
        <x:v>https://agupubs.onlinelibrary.wiley.com/doi/10.1029/2026JH001380</x:v>
      </x:c>
      <x:c r="I1903" s="14" t="str">
        <x:v>10.1029/2026JH001380</x:v>
      </x:c>
      <x:c r="J1903" s="14" t="str">
        <x:v>PUBLISHED_HTML</x:v>
      </x:c>
      <x:c r="K1903" s="14" t="str">
        <x:v>4 Discussion</x:v>
      </x:c>
      <x:c r="L1903" s="14" t="str">
        <x:v>4 Discussion</x:v>
      </x:c>
      <x:c r="M1903" s="14" t="str"/>
      <x:c r="N1903" s="14" t="str"/>
      <x:c r="O1903" s="14" t="str">
        <x:v>SOURCE_SECTION_READ</x:v>
      </x:c>
      <x:c r="P1903" s="14" t="str">
        <x:v>NOT_VERIFIED</x:v>
      </x:c>
      <x:c r="Q1903" s="14" t="str">
        <x:v>PENDING_INDEPENDENT_AUDIT</x:v>
      </x:c>
      <x:c r="R1903" s="14" t="str">
        <x:v>Partial extraction; independent audit and code execution pending.</x:v>
      </x:c>
      <x:c r="S1903" s="14" t="str"/>
      <x:c r="T1903" s="14" t="str">
        <x:v>EXTRACTED</x:v>
      </x:c>
      <x:c r="U1903" s="14" t="str">
        <x:v>2026-09-28</x:v>
      </x:c>
      <x:c r="V1903" s="14" t="str">
        <x:v>B16</x:v>
      </x:c>
    </x:row>
    <x:row r="1904" ht="75" customHeight="1">
      <x:c r="A1904" s="14" t="str">
        <x:v>B16-0088</x:v>
      </x:c>
      <x:c r="B1904" s="14" t="str">
        <x:v>OAI-0054</x:v>
      </x:c>
      <x:c r="C1904" s="14" t="str">
        <x:v>OAI-0054:B16_SOURCE_REVIEW</x:v>
      </x:c>
      <x:c r="D1904" s="14" t="str">
        <x:v>future_work.physics</x:v>
      </x:c>
      <x:c r="E1904" s="14" t="str">
        <x:v>Mixed-layer heat-budget constraints</x:v>
      </x:c>
      <x:c r="F1904" s="14" t="str">
        <x:v>MHWCorrNet; separately trained lead-week variants; SI hyperparameter table not read.</x:v>
      </x:c>
      <x:c r="G1904" s="14" t="str">
        <x:v>AUTHOR_REPORTED_FACT</x:v>
      </x:c>
      <x:c r="H1904" s="14" t="str">
        <x:v>https://agupubs.onlinelibrary.wiley.com/doi/10.1029/2026JH001380</x:v>
      </x:c>
      <x:c r="I1904" s="14" t="str">
        <x:v>10.1029/2026JH001380</x:v>
      </x:c>
      <x:c r="J1904" s="14" t="str">
        <x:v>PUBLISHED_HTML</x:v>
      </x:c>
      <x:c r="K1904" s="14" t="str">
        <x:v>4 Discussion</x:v>
      </x:c>
      <x:c r="L1904" s="14" t="str">
        <x:v>4 Discussion</x:v>
      </x:c>
      <x:c r="M1904" s="14" t="str"/>
      <x:c r="N1904" s="14" t="str"/>
      <x:c r="O1904" s="14" t="str">
        <x:v>SOURCE_SECTION_READ</x:v>
      </x:c>
      <x:c r="P1904" s="14" t="str">
        <x:v>NOT_VERIFIED</x:v>
      </x:c>
      <x:c r="Q1904" s="14" t="str">
        <x:v>PENDING_INDEPENDENT_AUDIT</x:v>
      </x:c>
      <x:c r="R1904" s="14" t="str">
        <x:v>Partial extraction; independent audit and code execution pending.</x:v>
      </x:c>
      <x:c r="S1904" s="14" t="str"/>
      <x:c r="T1904" s="14" t="str">
        <x:v>EXTRACTED</x:v>
      </x:c>
      <x:c r="U1904" s="14" t="str">
        <x:v>2026-09-28</x:v>
      </x:c>
      <x:c r="V1904" s="14" t="str">
        <x:v>B16</x:v>
      </x:c>
    </x:row>
    <x:row r="1905" ht="75" customHeight="1">
      <x:c r="A1905" s="14" t="str">
        <x:v>B16-0089</x:v>
      </x:c>
      <x:c r="B1905" s="14" t="str">
        <x:v>OAI-0054</x:v>
      </x:c>
      <x:c r="C1905" s="14" t="str">
        <x:v>OAI-0054:B16_SOURCE_REVIEW</x:v>
      </x:c>
      <x:c r="D1905" s="14" t="str">
        <x:v>reproducibility.code</x:v>
      </x:c>
      <x:c r="E1905" s="14" t="str">
        <x:v>https://doi.org/10.5281/zenodo.21149351</x:v>
      </x:c>
      <x:c r="F1905" s="14" t="str">
        <x:v>MHWCorrNet; separately trained lead-week variants; SI hyperparameter table not read.</x:v>
      </x:c>
      <x:c r="G1905" s="14" t="str">
        <x:v>AUTHOR_REPORTED_FACT</x:v>
      </x:c>
      <x:c r="H1905" s="14" t="str">
        <x:v>https://agupubs.onlinelibrary.wiley.com/doi/10.1029/2026JH001380</x:v>
      </x:c>
      <x:c r="I1905" s="14" t="str">
        <x:v>10.1029/2026JH001380</x:v>
      </x:c>
      <x:c r="J1905" s="14" t="str">
        <x:v>PUBLISHED_HTML</x:v>
      </x:c>
      <x:c r="K1905" s="14" t="str">
        <x:v>Availability Statement</x:v>
      </x:c>
      <x:c r="L1905" s="14" t="str">
        <x:v>Availability Statement</x:v>
      </x:c>
      <x:c r="M1905" s="14" t="str"/>
      <x:c r="N1905" s="14" t="str"/>
      <x:c r="O1905" s="14" t="str">
        <x:v>SOURCE_SECTION_READ</x:v>
      </x:c>
      <x:c r="P1905" s="14" t="str">
        <x:v>NOT_VERIFIED</x:v>
      </x:c>
      <x:c r="Q1905" s="14" t="str">
        <x:v>PENDING_INDEPENDENT_AUDIT</x:v>
      </x:c>
      <x:c r="R1905" s="14" t="str">
        <x:v>Partial extraction; independent audit and code execution pending.</x:v>
      </x:c>
      <x:c r="S1905" s="14" t="str"/>
      <x:c r="T1905" s="14" t="str">
        <x:v>EXTRACTED</x:v>
      </x:c>
      <x:c r="U1905" s="14" t="str">
        <x:v>2026-09-28</x:v>
      </x:c>
      <x:c r="V1905" s="14" t="str">
        <x:v>B16</x:v>
      </x:c>
    </x:row>
    <x:row r="1906" ht="75" customHeight="1">
      <x:c r="A1906" s="14" t="str">
        <x:v>B16-0090</x:v>
      </x:c>
      <x:c r="B1906" s="14" t="str">
        <x:v>OAI-0111</x:v>
      </x:c>
      <x:c r="C1906" s="14" t="str">
        <x:v>OAI-0111:B16_SOURCE_REVIEW</x:v>
      </x:c>
      <x:c r="D1906" s="14" t="str">
        <x:v>datasets.swot</x:v>
      </x:c>
      <x:c r="E1906" s="14" t="str">
        <x:v>SWOT_L3_SSH v0.3</x:v>
      </x:c>
      <x:c r="F1906" s="14" t="str">
        <x:v>LightGBM or DNN as named; low latitude=0–30°, high=60–90°; total surface velocity.</x:v>
      </x:c>
      <x:c r="G1906" s="14" t="str">
        <x:v>AUTHOR_REPORTED_FACT</x:v>
      </x:c>
      <x:c r="H1906" s="14" t="str">
        <x:v>https://doi.org/10.1029/2024GL110731</x:v>
      </x:c>
      <x:c r="I1906" s="14" t="str">
        <x:v>10.1029/2024GL110731</x:v>
      </x:c>
      <x:c r="J1906" s="14" t="str">
        <x:v>PUBLISHED_HTML</x:v>
      </x:c>
      <x:c r="K1906" s="14" t="str">
        <x:v>2.1</x:v>
      </x:c>
      <x:c r="L1906" s="14" t="str">
        <x:v>2.1</x:v>
      </x:c>
      <x:c r="M1906" s="14" t="str"/>
      <x:c r="N1906" s="14" t="str"/>
      <x:c r="O1906" s="14" t="str">
        <x:v>SOURCE_SECTION_READ</x:v>
      </x:c>
      <x:c r="P1906" s="14" t="str">
        <x:v>NOT_VERIFIED</x:v>
      </x:c>
      <x:c r="Q1906" s="14" t="str">
        <x:v>PENDING_INDEPENDENT_AUDIT</x:v>
      </x:c>
      <x:c r="R1906" s="14" t="str">
        <x:v>Partial extraction; independent audit and code execution pending.</x:v>
      </x:c>
      <x:c r="S1906" s="14" t="str"/>
      <x:c r="T1906" s="14" t="str">
        <x:v>EXTRACTED</x:v>
      </x:c>
      <x:c r="U1906" s="14" t="str">
        <x:v>2026-09-28</x:v>
      </x:c>
      <x:c r="V1906" s="14" t="str">
        <x:v>B16</x:v>
      </x:c>
    </x:row>
    <x:row r="1907" ht="75" customHeight="1">
      <x:c r="A1907" s="14" t="str">
        <x:v>B16-0091</x:v>
      </x:c>
      <x:c r="B1907" s="14" t="str">
        <x:v>OAI-0111</x:v>
      </x:c>
      <x:c r="C1907" s="14" t="str">
        <x:v>OAI-0111:B16_SOURCE_REVIEW</x:v>
      </x:c>
      <x:c r="D1907" s="14" t="str">
        <x:v>datasets.labels</x:v>
      </x:c>
      <x:c r="E1907" s="14" t="str">
        <x:v>6-hourly surface drifters</x:v>
      </x:c>
      <x:c r="F1907" s="14" t="str">
        <x:v>LightGBM or DNN as named; low latitude=0–30°, high=60–90°; total surface velocity.</x:v>
      </x:c>
      <x:c r="G1907" s="14" t="str">
        <x:v>AUTHOR_REPORTED_FACT</x:v>
      </x:c>
      <x:c r="H1907" s="14" t="str">
        <x:v>https://doi.org/10.1029/2024GL110731</x:v>
      </x:c>
      <x:c r="I1907" s="14" t="str">
        <x:v>10.1029/2024GL110731</x:v>
      </x:c>
      <x:c r="J1907" s="14" t="str">
        <x:v>PUBLISHED_HTML</x:v>
      </x:c>
      <x:c r="K1907" s="14" t="str">
        <x:v>2.1</x:v>
      </x:c>
      <x:c r="L1907" s="14" t="str">
        <x:v>2.1</x:v>
      </x:c>
      <x:c r="M1907" s="14" t="str"/>
      <x:c r="N1907" s="14" t="str"/>
      <x:c r="O1907" s="14" t="str">
        <x:v>SOURCE_SECTION_READ</x:v>
      </x:c>
      <x:c r="P1907" s="14" t="str">
        <x:v>NOT_VERIFIED</x:v>
      </x:c>
      <x:c r="Q1907" s="14" t="str">
        <x:v>PENDING_INDEPENDENT_AUDIT</x:v>
      </x:c>
      <x:c r="R1907" s="14" t="str">
        <x:v>Partial extraction; independent audit and code execution pending.</x:v>
      </x:c>
      <x:c r="S1907" s="14" t="str"/>
      <x:c r="T1907" s="14" t="str">
        <x:v>EXTRACTED</x:v>
      </x:c>
      <x:c r="U1907" s="14" t="str">
        <x:v>2026-09-28</x:v>
      </x:c>
      <x:c r="V1907" s="14" t="str">
        <x:v>B16</x:v>
      </x:c>
    </x:row>
    <x:row r="1908" ht="75" customHeight="1">
      <x:c r="A1908" s="14" t="str">
        <x:v>B16-0092</x:v>
      </x:c>
      <x:c r="B1908" s="14" t="str">
        <x:v>OAI-0111</x:v>
      </x:c>
      <x:c r="C1908" s="14" t="str">
        <x:v>OAI-0111:B16_SOURCE_REVIEW</x:v>
      </x:c>
      <x:c r="D1908" s="14" t="str">
        <x:v>preprocessing.match_radius</x:v>
      </x:c>
      <x:c r="E1908" s="14" t="n">
        <x:v>2</x:v>
      </x:c>
      <x:c r="F1908" s="14" t="str">
        <x:v>LightGBM or DNN as named; low latitude=0–30°, high=60–90°; total surface velocity.</x:v>
      </x:c>
      <x:c r="G1908" s="14" t="str">
        <x:v>AUTHOR_REPORTED_FACT</x:v>
      </x:c>
      <x:c r="H1908" s="14" t="str">
        <x:v>https://doi.org/10.1029/2024GL110731</x:v>
      </x:c>
      <x:c r="I1908" s="14" t="str">
        <x:v>10.1029/2024GL110731</x:v>
      </x:c>
      <x:c r="J1908" s="14" t="str">
        <x:v>PUBLISHED_HTML</x:v>
      </x:c>
      <x:c r="K1908" s="14" t="str">
        <x:v>2.1</x:v>
      </x:c>
      <x:c r="L1908" s="14" t="str">
        <x:v>2.1</x:v>
      </x:c>
      <x:c r="M1908" s="14" t="str"/>
      <x:c r="N1908" s="14" t="str"/>
      <x:c r="O1908" s="14" t="str">
        <x:v>SOURCE_SECTION_READ</x:v>
      </x:c>
      <x:c r="P1908" s="14" t="str">
        <x:v>NOT_VERIFIED</x:v>
      </x:c>
      <x:c r="Q1908" s="14" t="str">
        <x:v>PENDING_INDEPENDENT_AUDIT</x:v>
      </x:c>
      <x:c r="R1908" s="14" t="str">
        <x:v>Partial extraction; independent audit and code execution pending.</x:v>
      </x:c>
      <x:c r="S1908" s="14" t="str">
        <x:v>km</x:v>
      </x:c>
      <x:c r="T1908" s="14" t="str">
        <x:v>EXTRACTED</x:v>
      </x:c>
      <x:c r="U1908" s="14" t="str">
        <x:v>2026-09-28</x:v>
      </x:c>
      <x:c r="V1908" s="14" t="str">
        <x:v>B16</x:v>
      </x:c>
    </x:row>
    <x:row r="1909" ht="75" customHeight="1">
      <x:c r="A1909" s="14" t="str">
        <x:v>B16-0093</x:v>
      </x:c>
      <x:c r="B1909" s="14" t="str">
        <x:v>OAI-0111</x:v>
      </x:c>
      <x:c r="C1909" s="14" t="str">
        <x:v>OAI-0111:B16_SOURCE_REVIEW</x:v>
      </x:c>
      <x:c r="D1909" s="14" t="str">
        <x:v>preprocessing.match_window</x:v>
      </x:c>
      <x:c r="E1909" s="14" t="str">
        <x:v>±3</x:v>
      </x:c>
      <x:c r="F1909" s="14" t="str">
        <x:v>LightGBM or DNN as named; low latitude=0–30°, high=60–90°; total surface velocity.</x:v>
      </x:c>
      <x:c r="G1909" s="14" t="str">
        <x:v>AUTHOR_REPORTED_FACT</x:v>
      </x:c>
      <x:c r="H1909" s="14" t="str">
        <x:v>https://doi.org/10.1029/2024GL110731</x:v>
      </x:c>
      <x:c r="I1909" s="14" t="str">
        <x:v>10.1029/2024GL110731</x:v>
      </x:c>
      <x:c r="J1909" s="14" t="str">
        <x:v>PUBLISHED_HTML</x:v>
      </x:c>
      <x:c r="K1909" s="14" t="str">
        <x:v>2.1</x:v>
      </x:c>
      <x:c r="L1909" s="14" t="str">
        <x:v>2.1</x:v>
      </x:c>
      <x:c r="M1909" s="14" t="str"/>
      <x:c r="N1909" s="14" t="str"/>
      <x:c r="O1909" s="14" t="str">
        <x:v>SOURCE_SECTION_READ</x:v>
      </x:c>
      <x:c r="P1909" s="14" t="str">
        <x:v>NOT_VERIFIED</x:v>
      </x:c>
      <x:c r="Q1909" s="14" t="str">
        <x:v>PENDING_INDEPENDENT_AUDIT</x:v>
      </x:c>
      <x:c r="R1909" s="14" t="str">
        <x:v>Partial extraction; independent audit and code execution pending.</x:v>
      </x:c>
      <x:c r="S1909" s="14" t="str">
        <x:v>h</x:v>
      </x:c>
      <x:c r="T1909" s="14" t="str">
        <x:v>EXTRACTED</x:v>
      </x:c>
      <x:c r="U1909" s="14" t="str">
        <x:v>2026-09-28</x:v>
      </x:c>
      <x:c r="V1909" s="14" t="str">
        <x:v>B16</x:v>
      </x:c>
    </x:row>
    <x:row r="1910" ht="75" customHeight="1">
      <x:c r="A1910" s="14" t="str">
        <x:v>B16-0094</x:v>
      </x:c>
      <x:c r="B1910" s="14" t="str">
        <x:v>OAI-0111</x:v>
      </x:c>
      <x:c r="C1910" s="14" t="str">
        <x:v>OAI-0111:B16_SOURCE_REVIEW</x:v>
      </x:c>
      <x:c r="D1910" s="14" t="str">
        <x:v>preprocessing.missing_values</x:v>
      </x:c>
      <x:c r="E1910" s="14" t="str">
        <x:v>Discard incomplete SWOT samples</x:v>
      </x:c>
      <x:c r="F1910" s="14" t="str">
        <x:v>LightGBM or DNN as named; low latitude=0–30°, high=60–90°; total surface velocity.</x:v>
      </x:c>
      <x:c r="G1910" s="14" t="str">
        <x:v>AUTHOR_REPORTED_FACT</x:v>
      </x:c>
      <x:c r="H1910" s="14" t="str">
        <x:v>https://doi.org/10.1029/2024GL110731</x:v>
      </x:c>
      <x:c r="I1910" s="14" t="str">
        <x:v>10.1029/2024GL110731</x:v>
      </x:c>
      <x:c r="J1910" s="14" t="str">
        <x:v>PUBLISHED_HTML</x:v>
      </x:c>
      <x:c r="K1910" s="14" t="str">
        <x:v>2.1</x:v>
      </x:c>
      <x:c r="L1910" s="14" t="str">
        <x:v>2.1</x:v>
      </x:c>
      <x:c r="M1910" s="14" t="str"/>
      <x:c r="N1910" s="14" t="str"/>
      <x:c r="O1910" s="14" t="str">
        <x:v>SOURCE_SECTION_READ</x:v>
      </x:c>
      <x:c r="P1910" s="14" t="str">
        <x:v>NOT_VERIFIED</x:v>
      </x:c>
      <x:c r="Q1910" s="14" t="str">
        <x:v>PENDING_INDEPENDENT_AUDIT</x:v>
      </x:c>
      <x:c r="R1910" s="14" t="str">
        <x:v>Partial extraction; independent audit and code execution pending.</x:v>
      </x:c>
      <x:c r="S1910" s="14" t="str"/>
      <x:c r="T1910" s="14" t="str">
        <x:v>EXTRACTED</x:v>
      </x:c>
      <x:c r="U1910" s="14" t="str">
        <x:v>2026-09-28</x:v>
      </x:c>
      <x:c r="V1910" s="14" t="str">
        <x:v>B16</x:v>
      </x:c>
    </x:row>
    <x:row r="1911" ht="75" customHeight="1">
      <x:c r="A1911" s="14" t="str">
        <x:v>B16-0095</x:v>
      </x:c>
      <x:c r="B1911" s="14" t="str">
        <x:v>OAI-0111</x:v>
      </x:c>
      <x:c r="C1911" s="14" t="str">
        <x:v>OAI-0111:B16_SOURCE_REVIEW</x:v>
      </x:c>
      <x:c r="D1911" s="14" t="str">
        <x:v>datasets.matched_samples</x:v>
      </x:c>
      <x:c r="E1911" s="14" t="n">
        <x:v>13768</x:v>
      </x:c>
      <x:c r="F1911" s="14" t="str">
        <x:v>LightGBM or DNN as named; low latitude=0–30°, high=60–90°; total surface velocity.</x:v>
      </x:c>
      <x:c r="G1911" s="14" t="str">
        <x:v>AUTHOR_REPORTED_FACT</x:v>
      </x:c>
      <x:c r="H1911" s="14" t="str">
        <x:v>https://doi.org/10.1029/2024GL110731</x:v>
      </x:c>
      <x:c r="I1911" s="14" t="str">
        <x:v>10.1029/2024GL110731</x:v>
      </x:c>
      <x:c r="J1911" s="14" t="str">
        <x:v>PUBLISHED_HTML</x:v>
      </x:c>
      <x:c r="K1911" s="14" t="str">
        <x:v>2.1</x:v>
      </x:c>
      <x:c r="L1911" s="14" t="str">
        <x:v>2.1</x:v>
      </x:c>
      <x:c r="M1911" s="14" t="str"/>
      <x:c r="N1911" s="14" t="str"/>
      <x:c r="O1911" s="14" t="str">
        <x:v>SOURCE_SECTION_READ</x:v>
      </x:c>
      <x:c r="P1911" s="14" t="str">
        <x:v>NOT_VERIFIED</x:v>
      </x:c>
      <x:c r="Q1911" s="14" t="str">
        <x:v>PENDING_INDEPENDENT_AUDIT</x:v>
      </x:c>
      <x:c r="R1911" s="14" t="str">
        <x:v>Partial extraction; independent audit and code execution pending.</x:v>
      </x:c>
      <x:c r="S1911" s="14" t="str"/>
      <x:c r="T1911" s="14" t="str">
        <x:v>EXTRACTED</x:v>
      </x:c>
      <x:c r="U1911" s="14" t="str">
        <x:v>2026-09-28</x:v>
      </x:c>
      <x:c r="V1911" s="14" t="str">
        <x:v>B16</x:v>
      </x:c>
    </x:row>
    <x:row r="1912" ht="75" customHeight="1">
      <x:c r="A1912" s="14" t="str">
        <x:v>B16-0096</x:v>
      </x:c>
      <x:c r="B1912" s="14" t="str">
        <x:v>OAI-0111</x:v>
      </x:c>
      <x:c r="C1912" s="14" t="str">
        <x:v>OAI-0111:B16_SOURCE_REVIEW</x:v>
      </x:c>
      <x:c r="D1912" s="14" t="str">
        <x:v>datasets.split</x:v>
      </x:c>
      <x:c r="E1912" s="14" t="str">
        <x:v>60:20:20 train/validation/test</x:v>
      </x:c>
      <x:c r="F1912" s="14" t="str">
        <x:v>LightGBM or DNN as named; low latitude=0–30°, high=60–90°; total surface velocity.</x:v>
      </x:c>
      <x:c r="G1912" s="14" t="str">
        <x:v>AUTHOR_REPORTED_FACT</x:v>
      </x:c>
      <x:c r="H1912" s="14" t="str">
        <x:v>https://doi.org/10.1029/2024GL110731</x:v>
      </x:c>
      <x:c r="I1912" s="14" t="str">
        <x:v>10.1029/2024GL110731</x:v>
      </x:c>
      <x:c r="J1912" s="14" t="str">
        <x:v>PUBLISHED_HTML</x:v>
      </x:c>
      <x:c r="K1912" s="14" t="str">
        <x:v>2.1</x:v>
      </x:c>
      <x:c r="L1912" s="14" t="str">
        <x:v>2.1</x:v>
      </x:c>
      <x:c r="M1912" s="14" t="str"/>
      <x:c r="N1912" s="14" t="str"/>
      <x:c r="O1912" s="14" t="str">
        <x:v>SOURCE_SECTION_READ</x:v>
      </x:c>
      <x:c r="P1912" s="14" t="str">
        <x:v>NOT_VERIFIED</x:v>
      </x:c>
      <x:c r="Q1912" s="14" t="str">
        <x:v>PENDING_INDEPENDENT_AUDIT</x:v>
      </x:c>
      <x:c r="R1912" s="14" t="str">
        <x:v>Partial extraction; independent audit and code execution pending.</x:v>
      </x:c>
      <x:c r="S1912" s="14" t="str"/>
      <x:c r="T1912" s="14" t="str">
        <x:v>EXTRACTED</x:v>
      </x:c>
      <x:c r="U1912" s="14" t="str">
        <x:v>2026-09-28</x:v>
      </x:c>
      <x:c r="V1912" s="14" t="str">
        <x:v>B16</x:v>
      </x:c>
    </x:row>
    <x:row r="1913" ht="75" customHeight="1">
      <x:c r="A1913" s="14" t="str">
        <x:v>B16-0097</x:v>
      </x:c>
      <x:c r="B1913" s="14" t="str">
        <x:v>OAI-0111</x:v>
      </x:c>
      <x:c r="C1913" s="14" t="str">
        <x:v>OAI-0111:B16_SOURCE_REVIEW</x:v>
      </x:c>
      <x:c r="D1913" s="14" t="str">
        <x:v>architecture.lgb_leaves</x:v>
      </x:c>
      <x:c r="E1913" s="14" t="n">
        <x:v>32</x:v>
      </x:c>
      <x:c r="F1913" s="14" t="str">
        <x:v>LightGBM or DNN as named; low latitude=0–30°, high=60–90°; total surface velocity.</x:v>
      </x:c>
      <x:c r="G1913" s="14" t="str">
        <x:v>AUTHOR_REPORTED_FACT</x:v>
      </x:c>
      <x:c r="H1913" s="14" t="str">
        <x:v>https://doi.org/10.1029/2024GL110731</x:v>
      </x:c>
      <x:c r="I1913" s="14" t="str">
        <x:v>10.1029/2024GL110731</x:v>
      </x:c>
      <x:c r="J1913" s="14" t="str">
        <x:v>PUBLISHED_HTML</x:v>
      </x:c>
      <x:c r="K1913" s="14" t="str">
        <x:v>2.2</x:v>
      </x:c>
      <x:c r="L1913" s="14" t="str">
        <x:v>2.2</x:v>
      </x:c>
      <x:c r="M1913" s="14" t="str"/>
      <x:c r="N1913" s="14" t="str"/>
      <x:c r="O1913" s="14" t="str">
        <x:v>SOURCE_SECTION_READ</x:v>
      </x:c>
      <x:c r="P1913" s="14" t="str">
        <x:v>NOT_VERIFIED</x:v>
      </x:c>
      <x:c r="Q1913" s="14" t="str">
        <x:v>PENDING_INDEPENDENT_AUDIT</x:v>
      </x:c>
      <x:c r="R1913" s="14" t="str">
        <x:v>Partial extraction; independent audit and code execution pending.</x:v>
      </x:c>
      <x:c r="S1913" s="14" t="str"/>
      <x:c r="T1913" s="14" t="str">
        <x:v>EXTRACTED</x:v>
      </x:c>
      <x:c r="U1913" s="14" t="str">
        <x:v>2026-09-28</x:v>
      </x:c>
      <x:c r="V1913" s="14" t="str">
        <x:v>B16</x:v>
      </x:c>
    </x:row>
    <x:row r="1914" ht="75" customHeight="1">
      <x:c r="A1914" s="14" t="str">
        <x:v>B16-0098</x:v>
      </x:c>
      <x:c r="B1914" s="14" t="str">
        <x:v>OAI-0111</x:v>
      </x:c>
      <x:c r="C1914" s="14" t="str">
        <x:v>OAI-0111:B16_SOURCE_REVIEW</x:v>
      </x:c>
      <x:c r="D1914" s="14" t="str">
        <x:v>training.lgb_learning_rate</x:v>
      </x:c>
      <x:c r="E1914" s="14" t="n">
        <x:v>0.001</x:v>
      </x:c>
      <x:c r="F1914" s="14" t="str">
        <x:v>LightGBM or DNN as named; low latitude=0–30°, high=60–90°; total surface velocity.</x:v>
      </x:c>
      <x:c r="G1914" s="14" t="str">
        <x:v>AUTHOR_REPORTED_FACT</x:v>
      </x:c>
      <x:c r="H1914" s="14" t="str">
        <x:v>https://doi.org/10.1029/2024GL110731</x:v>
      </x:c>
      <x:c r="I1914" s="14" t="str">
        <x:v>10.1029/2024GL110731</x:v>
      </x:c>
      <x:c r="J1914" s="14" t="str">
        <x:v>PUBLISHED_HTML</x:v>
      </x:c>
      <x:c r="K1914" s="14" t="str">
        <x:v>2.2</x:v>
      </x:c>
      <x:c r="L1914" s="14" t="str">
        <x:v>2.2</x:v>
      </x:c>
      <x:c r="M1914" s="14" t="str"/>
      <x:c r="N1914" s="14" t="str"/>
      <x:c r="O1914" s="14" t="str">
        <x:v>SOURCE_SECTION_READ</x:v>
      </x:c>
      <x:c r="P1914" s="14" t="str">
        <x:v>NOT_VERIFIED</x:v>
      </x:c>
      <x:c r="Q1914" s="14" t="str">
        <x:v>PENDING_INDEPENDENT_AUDIT</x:v>
      </x:c>
      <x:c r="R1914" s="14" t="str">
        <x:v>Partial extraction; independent audit and code execution pending.</x:v>
      </x:c>
      <x:c r="S1914" s="14" t="str"/>
      <x:c r="T1914" s="14" t="str">
        <x:v>EXTRACTED</x:v>
      </x:c>
      <x:c r="U1914" s="14" t="str">
        <x:v>2026-09-28</x:v>
      </x:c>
      <x:c r="V1914" s="14" t="str">
        <x:v>B16</x:v>
      </x:c>
    </x:row>
    <x:row r="1915" ht="75" customHeight="1">
      <x:c r="A1915" s="14" t="str">
        <x:v>B16-0099</x:v>
      </x:c>
      <x:c r="B1915" s="14" t="str">
        <x:v>OAI-0111</x:v>
      </x:c>
      <x:c r="C1915" s="14" t="str">
        <x:v>OAI-0111:B16_SOURCE_REVIEW</x:v>
      </x:c>
      <x:c r="D1915" s="14" t="str">
        <x:v>training.lgb_min_child_samples</x:v>
      </x:c>
      <x:c r="E1915" s="14" t="n">
        <x:v>13</x:v>
      </x:c>
      <x:c r="F1915" s="14" t="str">
        <x:v>LightGBM or DNN as named; low latitude=0–30°, high=60–90°; total surface velocity.</x:v>
      </x:c>
      <x:c r="G1915" s="14" t="str">
        <x:v>AUTHOR_REPORTED_FACT</x:v>
      </x:c>
      <x:c r="H1915" s="14" t="str">
        <x:v>https://doi.org/10.1029/2024GL110731</x:v>
      </x:c>
      <x:c r="I1915" s="14" t="str">
        <x:v>10.1029/2024GL110731</x:v>
      </x:c>
      <x:c r="J1915" s="14" t="str">
        <x:v>PUBLISHED_HTML</x:v>
      </x:c>
      <x:c r="K1915" s="14" t="str">
        <x:v>2.2</x:v>
      </x:c>
      <x:c r="L1915" s="14" t="str">
        <x:v>2.2</x:v>
      </x:c>
      <x:c r="M1915" s="14" t="str"/>
      <x:c r="N1915" s="14" t="str"/>
      <x:c r="O1915" s="14" t="str">
        <x:v>SOURCE_SECTION_READ</x:v>
      </x:c>
      <x:c r="P1915" s="14" t="str">
        <x:v>NOT_VERIFIED</x:v>
      </x:c>
      <x:c r="Q1915" s="14" t="str">
        <x:v>PENDING_INDEPENDENT_AUDIT</x:v>
      </x:c>
      <x:c r="R1915" s="14" t="str">
        <x:v>Partial extraction; independent audit and code execution pending.</x:v>
      </x:c>
      <x:c r="S1915" s="14" t="str"/>
      <x:c r="T1915" s="14" t="str">
        <x:v>EXTRACTED</x:v>
      </x:c>
      <x:c r="U1915" s="14" t="str">
        <x:v>2026-09-28</x:v>
      </x:c>
      <x:c r="V1915" s="14" t="str">
        <x:v>B16</x:v>
      </x:c>
    </x:row>
    <x:row r="1916" ht="75" customHeight="1">
      <x:c r="A1916" s="14" t="str">
        <x:v>B16-0100</x:v>
      </x:c>
      <x:c r="B1916" s="14" t="str">
        <x:v>OAI-0111</x:v>
      </x:c>
      <x:c r="C1916" s="14" t="str">
        <x:v>OAI-0111:B16_SOURCE_REVIEW</x:v>
      </x:c>
      <x:c r="D1916" s="14" t="str">
        <x:v>inference.lgb_compilation</x:v>
      </x:c>
      <x:c r="E1916" s="14" t="str">
        <x:v>lleaves precompilation</x:v>
      </x:c>
      <x:c r="F1916" s="14" t="str">
        <x:v>LightGBM or DNN as named; low latitude=0–30°, high=60–90°; total surface velocity.</x:v>
      </x:c>
      <x:c r="G1916" s="14" t="str">
        <x:v>AUTHOR_REPORTED_FACT</x:v>
      </x:c>
      <x:c r="H1916" s="14" t="str">
        <x:v>https://doi.org/10.1029/2024GL110731</x:v>
      </x:c>
      <x:c r="I1916" s="14" t="str">
        <x:v>10.1029/2024GL110731</x:v>
      </x:c>
      <x:c r="J1916" s="14" t="str">
        <x:v>PUBLISHED_HTML</x:v>
      </x:c>
      <x:c r="K1916" s="14" t="str">
        <x:v>2.2</x:v>
      </x:c>
      <x:c r="L1916" s="14" t="str">
        <x:v>2.2</x:v>
      </x:c>
      <x:c r="M1916" s="14" t="str"/>
      <x:c r="N1916" s="14" t="str"/>
      <x:c r="O1916" s="14" t="str">
        <x:v>SOURCE_SECTION_READ</x:v>
      </x:c>
      <x:c r="P1916" s="14" t="str">
        <x:v>NOT_VERIFIED</x:v>
      </x:c>
      <x:c r="Q1916" s="14" t="str">
        <x:v>PENDING_INDEPENDENT_AUDIT</x:v>
      </x:c>
      <x:c r="R1916" s="14" t="str">
        <x:v>Partial extraction; independent audit and code execution pending.</x:v>
      </x:c>
      <x:c r="S1916" s="14" t="str"/>
      <x:c r="T1916" s="14" t="str">
        <x:v>EXTRACTED</x:v>
      </x:c>
      <x:c r="U1916" s="14" t="str">
        <x:v>2026-09-28</x:v>
      </x:c>
      <x:c r="V1916" s="14" t="str">
        <x:v>B16</x:v>
      </x:c>
    </x:row>
    <x:row r="1917" ht="75" customHeight="1">
      <x:c r="A1917" s="14" t="str">
        <x:v>B16-0101</x:v>
      </x:c>
      <x:c r="B1917" s="14" t="str">
        <x:v>OAI-0111</x:v>
      </x:c>
      <x:c r="C1917" s="14" t="str">
        <x:v>OAI-0111:B16_SOURCE_REVIEW</x:v>
      </x:c>
      <x:c r="D1917" s="14" t="str">
        <x:v>architecture.dnn_total_layers</x:v>
      </x:c>
      <x:c r="E1917" s="14" t="n">
        <x:v>5</x:v>
      </x:c>
      <x:c r="F1917" s="14" t="str">
        <x:v>LightGBM or DNN as named; low latitude=0–30°, high=60–90°; total surface velocity.</x:v>
      </x:c>
      <x:c r="G1917" s="14" t="str">
        <x:v>AUTHOR_REPORTED_FACT</x:v>
      </x:c>
      <x:c r="H1917" s="14" t="str">
        <x:v>https://doi.org/10.1029/2024GL110731</x:v>
      </x:c>
      <x:c r="I1917" s="14" t="str">
        <x:v>10.1029/2024GL110731</x:v>
      </x:c>
      <x:c r="J1917" s="14" t="str">
        <x:v>PUBLISHED_HTML</x:v>
      </x:c>
      <x:c r="K1917" s="14" t="str">
        <x:v>2.2</x:v>
      </x:c>
      <x:c r="L1917" s="14" t="str">
        <x:v>2.2</x:v>
      </x:c>
      <x:c r="M1917" s="14" t="str"/>
      <x:c r="N1917" s="14" t="str"/>
      <x:c r="O1917" s="14" t="str">
        <x:v>SOURCE_SECTION_READ</x:v>
      </x:c>
      <x:c r="P1917" s="14" t="str">
        <x:v>NOT_VERIFIED</x:v>
      </x:c>
      <x:c r="Q1917" s="14" t="str">
        <x:v>PENDING_INDEPENDENT_AUDIT</x:v>
      </x:c>
      <x:c r="R1917" s="14" t="str">
        <x:v>Partial extraction; independent audit and code execution pending.</x:v>
      </x:c>
      <x:c r="S1917" s="14" t="str"/>
      <x:c r="T1917" s="14" t="str">
        <x:v>EXTRACTED</x:v>
      </x:c>
      <x:c r="U1917" s="14" t="str">
        <x:v>2026-09-28</x:v>
      </x:c>
      <x:c r="V1917" s="14" t="str">
        <x:v>B16</x:v>
      </x:c>
    </x:row>
    <x:row r="1918" ht="75" customHeight="1">
      <x:c r="A1918" s="14" t="str">
        <x:v>B16-0102</x:v>
      </x:c>
      <x:c r="B1918" s="14" t="str">
        <x:v>OAI-0111</x:v>
      </x:c>
      <x:c r="C1918" s="14" t="str">
        <x:v>OAI-0111:B16_SOURCE_REVIEW</x:v>
      </x:c>
      <x:c r="D1918" s="14" t="str">
        <x:v>architecture.dnn_hidden_layers</x:v>
      </x:c>
      <x:c r="E1918" s="14" t="n">
        <x:v>3</x:v>
      </x:c>
      <x:c r="F1918" s="14" t="str">
        <x:v>LightGBM or DNN as named; low latitude=0–30°, high=60–90°; total surface velocity.</x:v>
      </x:c>
      <x:c r="G1918" s="14" t="str">
        <x:v>AUTHOR_REPORTED_FACT</x:v>
      </x:c>
      <x:c r="H1918" s="14" t="str">
        <x:v>https://doi.org/10.1029/2024GL110731</x:v>
      </x:c>
      <x:c r="I1918" s="14" t="str">
        <x:v>10.1029/2024GL110731</x:v>
      </x:c>
      <x:c r="J1918" s="14" t="str">
        <x:v>PUBLISHED_HTML</x:v>
      </x:c>
      <x:c r="K1918" s="14" t="str">
        <x:v>2.2</x:v>
      </x:c>
      <x:c r="L1918" s="14" t="str">
        <x:v>2.2</x:v>
      </x:c>
      <x:c r="M1918" s="14" t="str"/>
      <x:c r="N1918" s="14" t="str"/>
      <x:c r="O1918" s="14" t="str">
        <x:v>SOURCE_SECTION_READ</x:v>
      </x:c>
      <x:c r="P1918" s="14" t="str">
        <x:v>NOT_VERIFIED</x:v>
      </x:c>
      <x:c r="Q1918" s="14" t="str">
        <x:v>PENDING_INDEPENDENT_AUDIT</x:v>
      </x:c>
      <x:c r="R1918" s="14" t="str">
        <x:v>Partial extraction; independent audit and code execution pending.</x:v>
      </x:c>
      <x:c r="S1918" s="14" t="str"/>
      <x:c r="T1918" s="14" t="str">
        <x:v>EXTRACTED</x:v>
      </x:c>
      <x:c r="U1918" s="14" t="str">
        <x:v>2026-09-28</x:v>
      </x:c>
      <x:c r="V1918" s="14" t="str">
        <x:v>B16</x:v>
      </x:c>
    </x:row>
    <x:row r="1919" ht="75" customHeight="1">
      <x:c r="A1919" s="14" t="str">
        <x:v>B16-0103</x:v>
      </x:c>
      <x:c r="B1919" s="14" t="str">
        <x:v>OAI-0111</x:v>
      </x:c>
      <x:c r="C1919" s="14" t="str">
        <x:v>OAI-0111:B16_SOURCE_REVIEW</x:v>
      </x:c>
      <x:c r="D1919" s="14" t="str">
        <x:v>architecture.dnn_hidden_dimensions</x:v>
      </x:c>
      <x:c r="E1919" s="14" t="str">
        <x:v>32,16,8</x:v>
      </x:c>
      <x:c r="F1919" s="14" t="str">
        <x:v>LightGBM or DNN as named; low latitude=0–30°, high=60–90°; total surface velocity.</x:v>
      </x:c>
      <x:c r="G1919" s="14" t="str">
        <x:v>AUTHOR_REPORTED_FACT</x:v>
      </x:c>
      <x:c r="H1919" s="14" t="str">
        <x:v>https://doi.org/10.1029/2024GL110731</x:v>
      </x:c>
      <x:c r="I1919" s="14" t="str">
        <x:v>10.1029/2024GL110731</x:v>
      </x:c>
      <x:c r="J1919" s="14" t="str">
        <x:v>PUBLISHED_HTML</x:v>
      </x:c>
      <x:c r="K1919" s="14" t="str">
        <x:v>2.2</x:v>
      </x:c>
      <x:c r="L1919" s="14" t="str">
        <x:v>2.2</x:v>
      </x:c>
      <x:c r="M1919" s="14" t="str"/>
      <x:c r="N1919" s="14" t="str"/>
      <x:c r="O1919" s="14" t="str">
        <x:v>SOURCE_SECTION_READ</x:v>
      </x:c>
      <x:c r="P1919" s="14" t="str">
        <x:v>NOT_VERIFIED</x:v>
      </x:c>
      <x:c r="Q1919" s="14" t="str">
        <x:v>PENDING_INDEPENDENT_AUDIT</x:v>
      </x:c>
      <x:c r="R1919" s="14" t="str">
        <x:v>Partial extraction; independent audit and code execution pending.</x:v>
      </x:c>
      <x:c r="S1919" s="14" t="str"/>
      <x:c r="T1919" s="14" t="str">
        <x:v>EXTRACTED</x:v>
      </x:c>
      <x:c r="U1919" s="14" t="str">
        <x:v>2026-09-28</x:v>
      </x:c>
      <x:c r="V1919" s="14" t="str">
        <x:v>B16</x:v>
      </x:c>
    </x:row>
    <x:row r="1920" ht="75" customHeight="1">
      <x:c r="A1920" s="14" t="str">
        <x:v>B16-0104</x:v>
      </x:c>
      <x:c r="B1920" s="14" t="str">
        <x:v>OAI-0111</x:v>
      </x:c>
      <x:c r="C1920" s="14" t="str">
        <x:v>OAI-0111:B16_SOURCE_REVIEW</x:v>
      </x:c>
      <x:c r="D1920" s="14" t="str">
        <x:v>architecture.dnn_activation</x:v>
      </x:c>
      <x:c r="E1920" s="14" t="str">
        <x:v>ReLU except final layer</x:v>
      </x:c>
      <x:c r="F1920" s="14" t="str">
        <x:v>LightGBM or DNN as named; low latitude=0–30°, high=60–90°; total surface velocity.</x:v>
      </x:c>
      <x:c r="G1920" s="14" t="str">
        <x:v>AUTHOR_REPORTED_FACT</x:v>
      </x:c>
      <x:c r="H1920" s="14" t="str">
        <x:v>https://doi.org/10.1029/2024GL110731</x:v>
      </x:c>
      <x:c r="I1920" s="14" t="str">
        <x:v>10.1029/2024GL110731</x:v>
      </x:c>
      <x:c r="J1920" s="14" t="str">
        <x:v>PUBLISHED_HTML</x:v>
      </x:c>
      <x:c r="K1920" s="14" t="str">
        <x:v>2.2</x:v>
      </x:c>
      <x:c r="L1920" s="14" t="str">
        <x:v>2.2</x:v>
      </x:c>
      <x:c r="M1920" s="14" t="str"/>
      <x:c r="N1920" s="14" t="str"/>
      <x:c r="O1920" s="14" t="str">
        <x:v>SOURCE_SECTION_READ</x:v>
      </x:c>
      <x:c r="P1920" s="14" t="str">
        <x:v>NOT_VERIFIED</x:v>
      </x:c>
      <x:c r="Q1920" s="14" t="str">
        <x:v>PENDING_INDEPENDENT_AUDIT</x:v>
      </x:c>
      <x:c r="R1920" s="14" t="str">
        <x:v>Partial extraction; independent audit and code execution pending.</x:v>
      </x:c>
      <x:c r="S1920" s="14" t="str"/>
      <x:c r="T1920" s="14" t="str">
        <x:v>EXTRACTED</x:v>
      </x:c>
      <x:c r="U1920" s="14" t="str">
        <x:v>2026-09-28</x:v>
      </x:c>
      <x:c r="V1920" s="14" t="str">
        <x:v>B16</x:v>
      </x:c>
    </x:row>
    <x:row r="1921" ht="75" customHeight="1">
      <x:c r="A1921" s="14" t="str">
        <x:v>B16-0105</x:v>
      </x:c>
      <x:c r="B1921" s="14" t="str">
        <x:v>OAI-0111</x:v>
      </x:c>
      <x:c r="C1921" s="14" t="str">
        <x:v>OAI-0111:B16_SOURCE_REVIEW</x:v>
      </x:c>
      <x:c r="D1921" s="14" t="str">
        <x:v>training.dnn_early_stopping</x:v>
      </x:c>
      <x:c r="E1921" s="14" t="str">
        <x:v>Used; patience not extracted</x:v>
      </x:c>
      <x:c r="F1921" s="14" t="str">
        <x:v>LightGBM or DNN as named; low latitude=0–30°, high=60–90°; total surface velocity.</x:v>
      </x:c>
      <x:c r="G1921" s="14" t="str">
        <x:v>AUTHOR_REPORTED_FACT</x:v>
      </x:c>
      <x:c r="H1921" s="14" t="str">
        <x:v>https://doi.org/10.1029/2024GL110731</x:v>
      </x:c>
      <x:c r="I1921" s="14" t="str">
        <x:v>10.1029/2024GL110731</x:v>
      </x:c>
      <x:c r="J1921" s="14" t="str">
        <x:v>PUBLISHED_HTML</x:v>
      </x:c>
      <x:c r="K1921" s="14" t="str">
        <x:v>2.2</x:v>
      </x:c>
      <x:c r="L1921" s="14" t="str">
        <x:v>2.2</x:v>
      </x:c>
      <x:c r="M1921" s="14" t="str"/>
      <x:c r="N1921" s="14" t="str"/>
      <x:c r="O1921" s="14" t="str">
        <x:v>SOURCE_SECTION_READ</x:v>
      </x:c>
      <x:c r="P1921" s="14" t="str">
        <x:v>NOT_VERIFIED</x:v>
      </x:c>
      <x:c r="Q1921" s="14" t="str">
        <x:v>PENDING_INDEPENDENT_AUDIT</x:v>
      </x:c>
      <x:c r="R1921" s="14" t="str">
        <x:v>Partial extraction; independent audit and code execution pending.</x:v>
      </x:c>
      <x:c r="S1921" s="14" t="str"/>
      <x:c r="T1921" s="14" t="str">
        <x:v>EXTRACTED</x:v>
      </x:c>
      <x:c r="U1921" s="14" t="str">
        <x:v>2026-09-28</x:v>
      </x:c>
      <x:c r="V1921" s="14" t="str">
        <x:v>B16</x:v>
      </x:c>
    </x:row>
    <x:row r="1922" ht="75" customHeight="1">
      <x:c r="A1922" s="14" t="str">
        <x:v>B16-0106</x:v>
      </x:c>
      <x:c r="B1922" s="14" t="str">
        <x:v>OAI-0111</x:v>
      </x:c>
      <x:c r="C1922" s="14" t="str">
        <x:v>OAI-0111:B16_SOURCE_REVIEW</x:v>
      </x:c>
      <x:c r="D1922" s="14" t="str">
        <x:v>inputs.count</x:v>
      </x:c>
      <x:c r="E1922" s="14" t="n">
        <x:v>11</x:v>
      </x:c>
      <x:c r="F1922" s="14" t="str">
        <x:v>LightGBM or DNN as named; low latitude=0–30°, high=60–90°; total surface velocity.</x:v>
      </x:c>
      <x:c r="G1922" s="14" t="str">
        <x:v>AUTHOR_REPORTED_FACT</x:v>
      </x:c>
      <x:c r="H1922" s="14" t="str">
        <x:v>https://doi.org/10.1029/2024GL110731</x:v>
      </x:c>
      <x:c r="I1922" s="14" t="str">
        <x:v>10.1029/2024GL110731</x:v>
      </x:c>
      <x:c r="J1922" s="14" t="str">
        <x:v>PUBLISHED_HTML</x:v>
      </x:c>
      <x:c r="K1922" s="14" t="str">
        <x:v>2.2</x:v>
      </x:c>
      <x:c r="L1922" s="14" t="str">
        <x:v>2.2</x:v>
      </x:c>
      <x:c r="M1922" s="14" t="str"/>
      <x:c r="N1922" s="14" t="str"/>
      <x:c r="O1922" s="14" t="str">
        <x:v>SOURCE_SECTION_READ</x:v>
      </x:c>
      <x:c r="P1922" s="14" t="str">
        <x:v>NOT_VERIFIED</x:v>
      </x:c>
      <x:c r="Q1922" s="14" t="str">
        <x:v>PENDING_INDEPENDENT_AUDIT</x:v>
      </x:c>
      <x:c r="R1922" s="14" t="str">
        <x:v>Partial extraction; independent audit and code execution pending.</x:v>
      </x:c>
      <x:c r="S1922" s="14" t="str"/>
      <x:c r="T1922" s="14" t="str">
        <x:v>EXTRACTED</x:v>
      </x:c>
      <x:c r="U1922" s="14" t="str">
        <x:v>2026-09-28</x:v>
      </x:c>
      <x:c r="V1922" s="14" t="str">
        <x:v>B16</x:v>
      </x:c>
    </x:row>
    <x:row r="1923" ht="75" customHeight="1">
      <x:c r="A1923" s="14" t="str">
        <x:v>B16-0107</x:v>
      </x:c>
      <x:c r="B1923" s="14" t="str">
        <x:v>OAI-0111</x:v>
      </x:c>
      <x:c r="C1923" s="14" t="str">
        <x:v>OAI-0111:B16_SOURCE_REVIEW</x:v>
      </x:c>
      <x:c r="D1923" s="14" t="str">
        <x:v>inputs.variables</x:v>
      </x:c>
      <x:c r="E1923" s="14" t="str">
        <x:v>Lat; Ugos,Vgos,Ugosa,Vgosa; MSS; MDT; Tide; SSHA; denoised SSHA; DAC</x:v>
      </x:c>
      <x:c r="F1923" s="14" t="str">
        <x:v>LightGBM or DNN as named; low latitude=0–30°, high=60–90°; total surface velocity.</x:v>
      </x:c>
      <x:c r="G1923" s="14" t="str">
        <x:v>AUTHOR_REPORTED_FACT</x:v>
      </x:c>
      <x:c r="H1923" s="14" t="str">
        <x:v>https://doi.org/10.1029/2024GL110731</x:v>
      </x:c>
      <x:c r="I1923" s="14" t="str">
        <x:v>10.1029/2024GL110731</x:v>
      </x:c>
      <x:c r="J1923" s="14" t="str">
        <x:v>PUBLISHED_HTML</x:v>
      </x:c>
      <x:c r="K1923" s="14" t="str">
        <x:v>2.1; 2.2</x:v>
      </x:c>
      <x:c r="L1923" s="14" t="str">
        <x:v>2.1; 2.2</x:v>
      </x:c>
      <x:c r="M1923" s="14" t="str"/>
      <x:c r="N1923" s="14" t="str"/>
      <x:c r="O1923" s="14" t="str">
        <x:v>SOURCE_SECTION_READ</x:v>
      </x:c>
      <x:c r="P1923" s="14" t="str">
        <x:v>NOT_VERIFIED</x:v>
      </x:c>
      <x:c r="Q1923" s="14" t="str">
        <x:v>PENDING_INDEPENDENT_AUDIT</x:v>
      </x:c>
      <x:c r="R1923" s="14" t="str">
        <x:v>Partial extraction; independent audit and code execution pending. Ugosa supported by Section 2.1 and Results; Section 2.2 repeats Ugos typographically. No silent claim of exact quotation.</x:v>
      </x:c>
      <x:c r="S1923" s="14" t="str"/>
      <x:c r="T1923" s="14" t="str">
        <x:v>EXTRACTED</x:v>
      </x:c>
      <x:c r="U1923" s="14" t="str">
        <x:v>2026-09-28</x:v>
      </x:c>
      <x:c r="V1923" s="14" t="str">
        <x:v>B16</x:v>
      </x:c>
    </x:row>
    <x:row r="1924" ht="75" customHeight="1">
      <x:c r="A1924" s="14" t="str">
        <x:v>B16-0108</x:v>
      </x:c>
      <x:c r="B1924" s="14" t="str">
        <x:v>OAI-0111</x:v>
      </x:c>
      <x:c r="C1924" s="14" t="str">
        <x:v>OAI-0111:B16_SOURCE_REVIEW</x:v>
      </x:c>
      <x:c r="D1924" s="14" t="str">
        <x:v>outputs.variables</x:v>
      </x:c>
      <x:c r="E1924" s="14" t="str">
        <x:v>Total zonal/meridional velocity</x:v>
      </x:c>
      <x:c r="F1924" s="14" t="str">
        <x:v>LightGBM or DNN as named; low latitude=0–30°, high=60–90°; total surface velocity.</x:v>
      </x:c>
      <x:c r="G1924" s="14" t="str">
        <x:v>AUTHOR_REPORTED_FACT</x:v>
      </x:c>
      <x:c r="H1924" s="14" t="str">
        <x:v>https://doi.org/10.1029/2024GL110731</x:v>
      </x:c>
      <x:c r="I1924" s="14" t="str">
        <x:v>10.1029/2024GL110731</x:v>
      </x:c>
      <x:c r="J1924" s="14" t="str">
        <x:v>PUBLISHED_HTML</x:v>
      </x:c>
      <x:c r="K1924" s="14" t="str">
        <x:v>2.2</x:v>
      </x:c>
      <x:c r="L1924" s="14" t="str">
        <x:v>2.2</x:v>
      </x:c>
      <x:c r="M1924" s="14" t="str"/>
      <x:c r="N1924" s="14" t="str"/>
      <x:c r="O1924" s="14" t="str">
        <x:v>SOURCE_SECTION_READ</x:v>
      </x:c>
      <x:c r="P1924" s="14" t="str">
        <x:v>NOT_VERIFIED</x:v>
      </x:c>
      <x:c r="Q1924" s="14" t="str">
        <x:v>PENDING_INDEPENDENT_AUDIT</x:v>
      </x:c>
      <x:c r="R1924" s="14" t="str">
        <x:v>Partial extraction; independent audit and code execution pending.</x:v>
      </x:c>
      <x:c r="S1924" s="14" t="str">
        <x:v>m/s</x:v>
      </x:c>
      <x:c r="T1924" s="14" t="str">
        <x:v>EXTRACTED</x:v>
      </x:c>
      <x:c r="U1924" s="14" t="str">
        <x:v>2026-09-28</x:v>
      </x:c>
      <x:c r="V1924" s="14" t="str">
        <x:v>B16</x:v>
      </x:c>
    </x:row>
    <x:row r="1925" ht="75" customHeight="1">
      <x:c r="A1925" s="14" t="str">
        <x:v>B16-0109</x:v>
      </x:c>
      <x:c r="B1925" s="14" t="str">
        <x:v>OAI-0111</x:v>
      </x:c>
      <x:c r="C1925" s="14" t="str">
        <x:v>OAI-0111:B16_SOURCE_REVIEW</x:v>
      </x:c>
      <x:c r="D1925" s="14" t="str">
        <x:v>methods.importance</x:v>
      </x:c>
      <x:c r="E1925" s="14" t="str">
        <x:v>Predictor permutation</x:v>
      </x:c>
      <x:c r="F1925" s="14" t="str">
        <x:v>LightGBM or DNN as named; low latitude=0–30°, high=60–90°; total surface velocity.</x:v>
      </x:c>
      <x:c r="G1925" s="14" t="str">
        <x:v>AUTHOR_REPORTED_FACT</x:v>
      </x:c>
      <x:c r="H1925" s="14" t="str">
        <x:v>https://doi.org/10.1029/2024GL110731</x:v>
      </x:c>
      <x:c r="I1925" s="14" t="str">
        <x:v>10.1029/2024GL110731</x:v>
      </x:c>
      <x:c r="J1925" s="14" t="str">
        <x:v>PUBLISHED_HTML</x:v>
      </x:c>
      <x:c r="K1925" s="14" t="str">
        <x:v>2.3</x:v>
      </x:c>
      <x:c r="L1925" s="14" t="str">
        <x:v>2.3</x:v>
      </x:c>
      <x:c r="M1925" s="14" t="str"/>
      <x:c r="N1925" s="14" t="str"/>
      <x:c r="O1925" s="14" t="str">
        <x:v>SOURCE_SECTION_READ</x:v>
      </x:c>
      <x:c r="P1925" s="14" t="str">
        <x:v>NOT_VERIFIED</x:v>
      </x:c>
      <x:c r="Q1925" s="14" t="str">
        <x:v>PENDING_INDEPENDENT_AUDIT</x:v>
      </x:c>
      <x:c r="R1925" s="14" t="str">
        <x:v>Partial extraction; independent audit and code execution pending.</x:v>
      </x:c>
      <x:c r="S1925" s="14" t="str"/>
      <x:c r="T1925" s="14" t="str">
        <x:v>EXTRACTED</x:v>
      </x:c>
      <x:c r="U1925" s="14" t="str">
        <x:v>2026-09-28</x:v>
      </x:c>
      <x:c r="V1925" s="14" t="str">
        <x:v>B16</x:v>
      </x:c>
    </x:row>
    <x:row r="1926" ht="75" customHeight="1">
      <x:c r="A1926" s="14" t="str">
        <x:v>B16-0110</x:v>
      </x:c>
      <x:c r="B1926" s="14" t="str">
        <x:v>OAI-0111</x:v>
      </x:c>
      <x:c r="C1926" s="14" t="str">
        <x:v>OAI-0111:B16_SOURCE_REVIEW</x:v>
      </x:c>
      <x:c r="D1926" s="14" t="str">
        <x:v>preprocessing.ke_grid</x:v>
      </x:c>
      <x:c r="E1926" s="14" t="n">
        <x:v>0.25</x:v>
      </x:c>
      <x:c r="F1926" s="14" t="str">
        <x:v>LightGBM or DNN as named; low latitude=0–30°, high=60–90°; total surface velocity.</x:v>
      </x:c>
      <x:c r="G1926" s="14" t="str">
        <x:v>AUTHOR_REPORTED_FACT</x:v>
      </x:c>
      <x:c r="H1926" s="14" t="str">
        <x:v>https://doi.org/10.1029/2024GL110731</x:v>
      </x:c>
      <x:c r="I1926" s="14" t="str">
        <x:v>10.1029/2024GL110731</x:v>
      </x:c>
      <x:c r="J1926" s="14" t="str">
        <x:v>PUBLISHED_HTML</x:v>
      </x:c>
      <x:c r="K1926" s="14" t="str">
        <x:v>2.4</x:v>
      </x:c>
      <x:c r="L1926" s="14" t="str">
        <x:v>2.4</x:v>
      </x:c>
      <x:c r="M1926" s="14" t="str"/>
      <x:c r="N1926" s="14" t="str"/>
      <x:c r="O1926" s="14" t="str">
        <x:v>SOURCE_SECTION_READ</x:v>
      </x:c>
      <x:c r="P1926" s="14" t="str">
        <x:v>NOT_VERIFIED</x:v>
      </x:c>
      <x:c r="Q1926" s="14" t="str">
        <x:v>PENDING_INDEPENDENT_AUDIT</x:v>
      </x:c>
      <x:c r="R1926" s="14" t="str">
        <x:v>Partial extraction; independent audit and code execution pending.</x:v>
      </x:c>
      <x:c r="S1926" s="14" t="str">
        <x:v>degree</x:v>
      </x:c>
      <x:c r="T1926" s="14" t="str">
        <x:v>EXTRACTED</x:v>
      </x:c>
      <x:c r="U1926" s="14" t="str">
        <x:v>2026-09-28</x:v>
      </x:c>
      <x:c r="V1926" s="14" t="str">
        <x:v>B16</x:v>
      </x:c>
    </x:row>
    <x:row r="1927" ht="75" customHeight="1">
      <x:c r="A1927" s="14" t="str">
        <x:v>B16-0111</x:v>
      </x:c>
      <x:c r="B1927" s="14" t="str">
        <x:v>OAI-0111</x:v>
      </x:c>
      <x:c r="C1927" s="14" t="str">
        <x:v>OAI-0111:B16_SOURCE_REVIEW</x:v>
      </x:c>
      <x:c r="D1927" s="14" t="str">
        <x:v>results.lowlat_lgb_u_rmse</x:v>
      </x:c>
      <x:c r="E1927" s="14" t="n">
        <x:v>0.161</x:v>
      </x:c>
      <x:c r="F1927" s="14" t="str">
        <x:v>LightGBM or DNN as named; low latitude=0–30°, high=60–90°; total surface velocity.</x:v>
      </x:c>
      <x:c r="G1927" s="14" t="str">
        <x:v>AUTHOR_REPORTED_FACT</x:v>
      </x:c>
      <x:c r="H1927" s="14" t="str">
        <x:v>https://doi.org/10.1029/2024GL110731</x:v>
      </x:c>
      <x:c r="I1927" s="14" t="str">
        <x:v>10.1029/2024GL110731</x:v>
      </x:c>
      <x:c r="J1927" s="14" t="str">
        <x:v>PUBLISHED_HTML</x:v>
      </x:c>
      <x:c r="K1927" s="14" t="str">
        <x:v>Table 1</x:v>
      </x:c>
      <x:c r="L1927" s="14" t="str">
        <x:v>Table 1</x:v>
      </x:c>
      <x:c r="M1927" s="14" t="str"/>
      <x:c r="N1927" s="14" t="str"/>
      <x:c r="O1927" s="14" t="str">
        <x:v>SOURCE_SECTION_READ</x:v>
      </x:c>
      <x:c r="P1927" s="14" t="str">
        <x:v>NOT_VERIFIED</x:v>
      </x:c>
      <x:c r="Q1927" s="14" t="str">
        <x:v>PENDING_INDEPENDENT_AUDIT</x:v>
      </x:c>
      <x:c r="R1927" s="14" t="str">
        <x:v>Partial extraction; independent audit and code execution pending.</x:v>
      </x:c>
      <x:c r="S1927" s="14" t="str">
        <x:v>m/s</x:v>
      </x:c>
      <x:c r="T1927" s="14" t="str">
        <x:v>EXTRACTED</x:v>
      </x:c>
      <x:c r="U1927" s="14" t="str">
        <x:v>2026-09-28</x:v>
      </x:c>
      <x:c r="V1927" s="14" t="str">
        <x:v>B16</x:v>
      </x:c>
    </x:row>
    <x:row r="1928" ht="75" customHeight="1">
      <x:c r="A1928" s="14" t="str">
        <x:v>B16-0112</x:v>
      </x:c>
      <x:c r="B1928" s="14" t="str">
        <x:v>OAI-0111</x:v>
      </x:c>
      <x:c r="C1928" s="14" t="str">
        <x:v>OAI-0111:B16_SOURCE_REVIEW</x:v>
      </x:c>
      <x:c r="D1928" s="14" t="str">
        <x:v>results.lowlat_lgb_v_rmse</x:v>
      </x:c>
      <x:c r="E1928" s="14" t="n">
        <x:v>0.131</x:v>
      </x:c>
      <x:c r="F1928" s="14" t="str">
        <x:v>LightGBM or DNN as named; low latitude=0–30°, high=60–90°; total surface velocity.</x:v>
      </x:c>
      <x:c r="G1928" s="14" t="str">
        <x:v>AUTHOR_REPORTED_FACT</x:v>
      </x:c>
      <x:c r="H1928" s="14" t="str">
        <x:v>https://doi.org/10.1029/2024GL110731</x:v>
      </x:c>
      <x:c r="I1928" s="14" t="str">
        <x:v>10.1029/2024GL110731</x:v>
      </x:c>
      <x:c r="J1928" s="14" t="str">
        <x:v>PUBLISHED_HTML</x:v>
      </x:c>
      <x:c r="K1928" s="14" t="str">
        <x:v>Table 1</x:v>
      </x:c>
      <x:c r="L1928" s="14" t="str">
        <x:v>Table 1</x:v>
      </x:c>
      <x:c r="M1928" s="14" t="str"/>
      <x:c r="N1928" s="14" t="str"/>
      <x:c r="O1928" s="14" t="str">
        <x:v>SOURCE_SECTION_READ</x:v>
      </x:c>
      <x:c r="P1928" s="14" t="str">
        <x:v>NOT_VERIFIED</x:v>
      </x:c>
      <x:c r="Q1928" s="14" t="str">
        <x:v>PENDING_INDEPENDENT_AUDIT</x:v>
      </x:c>
      <x:c r="R1928" s="14" t="str">
        <x:v>Partial extraction; independent audit and code execution pending.</x:v>
      </x:c>
      <x:c r="S1928" s="14" t="str">
        <x:v>m/s</x:v>
      </x:c>
      <x:c r="T1928" s="14" t="str">
        <x:v>EXTRACTED</x:v>
      </x:c>
      <x:c r="U1928" s="14" t="str">
        <x:v>2026-09-28</x:v>
      </x:c>
      <x:c r="V1928" s="14" t="str">
        <x:v>B16</x:v>
      </x:c>
    </x:row>
    <x:row r="1929" ht="75" customHeight="1">
      <x:c r="A1929" s="14" t="str">
        <x:v>B16-0113</x:v>
      </x:c>
      <x:c r="B1929" s="14" t="str">
        <x:v>OAI-0111</x:v>
      </x:c>
      <x:c r="C1929" s="14" t="str">
        <x:v>OAI-0111:B16_SOURCE_REVIEW</x:v>
      </x:c>
      <x:c r="D1929" s="14" t="str">
        <x:v>results.highlat_dnn_u_rmse</x:v>
      </x:c>
      <x:c r="E1929" s="14" t="n">
        <x:v>0.123</x:v>
      </x:c>
      <x:c r="F1929" s="14" t="str">
        <x:v>LightGBM or DNN as named; low latitude=0–30°, high=60–90°; total surface velocity.</x:v>
      </x:c>
      <x:c r="G1929" s="14" t="str">
        <x:v>AUTHOR_REPORTED_FACT</x:v>
      </x:c>
      <x:c r="H1929" s="14" t="str">
        <x:v>https://doi.org/10.1029/2024GL110731</x:v>
      </x:c>
      <x:c r="I1929" s="14" t="str">
        <x:v>10.1029/2024GL110731</x:v>
      </x:c>
      <x:c r="J1929" s="14" t="str">
        <x:v>PUBLISHED_HTML</x:v>
      </x:c>
      <x:c r="K1929" s="14" t="str">
        <x:v>Table 1</x:v>
      </x:c>
      <x:c r="L1929" s="14" t="str">
        <x:v>Table 1</x:v>
      </x:c>
      <x:c r="M1929" s="14" t="str"/>
      <x:c r="N1929" s="14" t="str"/>
      <x:c r="O1929" s="14" t="str">
        <x:v>SOURCE_SECTION_READ</x:v>
      </x:c>
      <x:c r="P1929" s="14" t="str">
        <x:v>NOT_VERIFIED</x:v>
      </x:c>
      <x:c r="Q1929" s="14" t="str">
        <x:v>PENDING_INDEPENDENT_AUDIT</x:v>
      </x:c>
      <x:c r="R1929" s="14" t="str">
        <x:v>Partial extraction; independent audit and code execution pending.</x:v>
      </x:c>
      <x:c r="S1929" s="14" t="str">
        <x:v>m/s</x:v>
      </x:c>
      <x:c r="T1929" s="14" t="str">
        <x:v>EXTRACTED</x:v>
      </x:c>
      <x:c r="U1929" s="14" t="str">
        <x:v>2026-09-28</x:v>
      </x:c>
      <x:c r="V1929" s="14" t="str">
        <x:v>B16</x:v>
      </x:c>
    </x:row>
    <x:row r="1930" ht="75" customHeight="1">
      <x:c r="A1930" s="14" t="str">
        <x:v>B16-0114</x:v>
      </x:c>
      <x:c r="B1930" s="14" t="str">
        <x:v>OAI-0111</x:v>
      </x:c>
      <x:c r="C1930" s="14" t="str">
        <x:v>OAI-0111:B16_SOURCE_REVIEW</x:v>
      </x:c>
      <x:c r="D1930" s="14" t="str">
        <x:v>results.highlat_swot_u_rmse</x:v>
      </x:c>
      <x:c r="E1930" s="14" t="n">
        <x:v>0.121</x:v>
      </x:c>
      <x:c r="F1930" s="14" t="str">
        <x:v>LightGBM or DNN as named; low latitude=0–30°, high=60–90°; total surface velocity.</x:v>
      </x:c>
      <x:c r="G1930" s="14" t="str">
        <x:v>AUTHOR_REPORTED_FACT</x:v>
      </x:c>
      <x:c r="H1930" s="14" t="str">
        <x:v>https://doi.org/10.1029/2024GL110731</x:v>
      </x:c>
      <x:c r="I1930" s="14" t="str">
        <x:v>10.1029/2024GL110731</x:v>
      </x:c>
      <x:c r="J1930" s="14" t="str">
        <x:v>PUBLISHED_HTML</x:v>
      </x:c>
      <x:c r="K1930" s="14" t="str">
        <x:v>Table 1</x:v>
      </x:c>
      <x:c r="L1930" s="14" t="str">
        <x:v>Table 1</x:v>
      </x:c>
      <x:c r="M1930" s="14" t="str"/>
      <x:c r="N1930" s="14" t="str"/>
      <x:c r="O1930" s="14" t="str">
        <x:v>SOURCE_SECTION_READ</x:v>
      </x:c>
      <x:c r="P1930" s="14" t="str">
        <x:v>NOT_VERIFIED</x:v>
      </x:c>
      <x:c r="Q1930" s="14" t="str">
        <x:v>PENDING_INDEPENDENT_AUDIT</x:v>
      </x:c>
      <x:c r="R1930" s="14" t="str">
        <x:v>Partial extraction; independent audit and code execution pending.</x:v>
      </x:c>
      <x:c r="S1930" s="14" t="str">
        <x:v>m/s</x:v>
      </x:c>
      <x:c r="T1930" s="14" t="str">
        <x:v>EXTRACTED</x:v>
      </x:c>
      <x:c r="U1930" s="14" t="str">
        <x:v>2026-09-28</x:v>
      </x:c>
      <x:c r="V1930" s="14" t="str">
        <x:v>B16</x:v>
      </x:c>
    </x:row>
    <x:row r="1931" ht="75" customHeight="1">
      <x:c r="A1931" s="14" t="str">
        <x:v>B16-0115</x:v>
      </x:c>
      <x:c r="B1931" s="14" t="str">
        <x:v>OAI-0111</x:v>
      </x:c>
      <x:c r="C1931" s="14" t="str">
        <x:v>OAI-0111:B16_SOURCE_REVIEW</x:v>
      </x:c>
      <x:c r="D1931" s="14" t="str">
        <x:v>limitations.ke_wbc</x:v>
      </x:c>
      <x:c r="E1931" s="14" t="str">
        <x:v>Western-boundary-current kinetic energy underestimated</x:v>
      </x:c>
      <x:c r="F1931" s="14" t="str">
        <x:v>LightGBM or DNN as named; low latitude=0–30°, high=60–90°; total surface velocity.</x:v>
      </x:c>
      <x:c r="G1931" s="14" t="str">
        <x:v>AUTHOR_REPORTED_LIMITATION</x:v>
      </x:c>
      <x:c r="H1931" s="14" t="str">
        <x:v>https://doi.org/10.1029/2024GL110731</x:v>
      </x:c>
      <x:c r="I1931" s="14" t="str">
        <x:v>10.1029/2024GL110731</x:v>
      </x:c>
      <x:c r="J1931" s="14" t="str">
        <x:v>PUBLISHED_HTML</x:v>
      </x:c>
      <x:c r="K1931" s="14" t="str">
        <x:v>3 Results</x:v>
      </x:c>
      <x:c r="L1931" s="14" t="str">
        <x:v>3 Results</x:v>
      </x:c>
      <x:c r="M1931" s="14" t="str"/>
      <x:c r="N1931" s="14" t="str"/>
      <x:c r="O1931" s="14" t="str">
        <x:v>SOURCE_SECTION_READ</x:v>
      </x:c>
      <x:c r="P1931" s="14" t="str">
        <x:v>NOT_VERIFIED</x:v>
      </x:c>
      <x:c r="Q1931" s="14" t="str">
        <x:v>PENDING_INDEPENDENT_AUDIT</x:v>
      </x:c>
      <x:c r="R1931" s="14" t="str">
        <x:v>Partial extraction; independent audit and code execution pending.</x:v>
      </x:c>
      <x:c r="S1931" s="14" t="str"/>
      <x:c r="T1931" s="14" t="str">
        <x:v>EXTRACTED</x:v>
      </x:c>
      <x:c r="U1931" s="14" t="str">
        <x:v>2026-09-28</x:v>
      </x:c>
      <x:c r="V1931" s="14" t="str">
        <x:v>B16</x:v>
      </x:c>
    </x:row>
    <x:row r="1932" ht="75" customHeight="1">
      <x:c r="A1932" s="14" t="str">
        <x:v>B16-0116</x:v>
      </x:c>
      <x:c r="B1932" s="14" t="str">
        <x:v>OAI-0111</x:v>
      </x:c>
      <x:c r="C1932" s="14" t="str">
        <x:v>OAI-0111:B16_SOURCE_REVIEW</x:v>
      </x:c>
      <x:c r="D1932" s="14" t="str">
        <x:v>limitations.longitude</x:v>
      </x:c>
      <x:c r="E1932" s="14" t="str">
        <x:v>Sparse longitude coverage made longitude predictor unstable</x:v>
      </x:c>
      <x:c r="F1932" s="14" t="str">
        <x:v>LightGBM or DNN as named; low latitude=0–30°, high=60–90°; total surface velocity.</x:v>
      </x:c>
      <x:c r="G1932" s="14" t="str">
        <x:v>AUTHOR_REPORTED_LIMITATION</x:v>
      </x:c>
      <x:c r="H1932" s="14" t="str">
        <x:v>https://doi.org/10.1029/2024GL110731</x:v>
      </x:c>
      <x:c r="I1932" s="14" t="str">
        <x:v>10.1029/2024GL110731</x:v>
      </x:c>
      <x:c r="J1932" s="14" t="str">
        <x:v>PUBLISHED_HTML</x:v>
      </x:c>
      <x:c r="K1932" s="14" t="str">
        <x:v>4 Discussion</x:v>
      </x:c>
      <x:c r="L1932" s="14" t="str">
        <x:v>4 Discussion</x:v>
      </x:c>
      <x:c r="M1932" s="14" t="str"/>
      <x:c r="N1932" s="14" t="str"/>
      <x:c r="O1932" s="14" t="str">
        <x:v>SOURCE_SECTION_READ</x:v>
      </x:c>
      <x:c r="P1932" s="14" t="str">
        <x:v>NOT_VERIFIED</x:v>
      </x:c>
      <x:c r="Q1932" s="14" t="str">
        <x:v>PENDING_INDEPENDENT_AUDIT</x:v>
      </x:c>
      <x:c r="R1932" s="14" t="str">
        <x:v>Partial extraction; independent audit and code execution pending.</x:v>
      </x:c>
      <x:c r="S1932" s="14" t="str"/>
      <x:c r="T1932" s="14" t="str">
        <x:v>EXTRACTED</x:v>
      </x:c>
      <x:c r="U1932" s="14" t="str">
        <x:v>2026-09-28</x:v>
      </x:c>
      <x:c r="V1932" s="14" t="str">
        <x:v>B16</x:v>
      </x:c>
    </x:row>
    <x:row r="1933" ht="75" customHeight="1">
      <x:c r="A1933" s="14" t="str">
        <x:v>B16-0117</x:v>
      </x:c>
      <x:c r="B1933" s="14" t="str">
        <x:v>OAI-0111</x:v>
      </x:c>
      <x:c r="C1933" s="14" t="str">
        <x:v>OAI-0111:B16_SOURCE_REVIEW</x:v>
      </x:c>
      <x:c r="D1933" s="14" t="str">
        <x:v>future_work.predictors</x:v>
      </x:c>
      <x:c r="E1933" s="14" t="str">
        <x:v>Longitude, high-resolution SST, wave height</x:v>
      </x:c>
      <x:c r="F1933" s="14" t="str">
        <x:v>LightGBM or DNN as named; low latitude=0–30°, high=60–90°; total surface velocity.</x:v>
      </x:c>
      <x:c r="G1933" s="14" t="str">
        <x:v>AUTHOR_REPORTED_FACT</x:v>
      </x:c>
      <x:c r="H1933" s="14" t="str">
        <x:v>https://doi.org/10.1029/2024GL110731</x:v>
      </x:c>
      <x:c r="I1933" s="14" t="str">
        <x:v>10.1029/2024GL110731</x:v>
      </x:c>
      <x:c r="J1933" s="14" t="str">
        <x:v>PUBLISHED_HTML</x:v>
      </x:c>
      <x:c r="K1933" s="14" t="str">
        <x:v>4 Discussion</x:v>
      </x:c>
      <x:c r="L1933" s="14" t="str">
        <x:v>4 Discussion</x:v>
      </x:c>
      <x:c r="M1933" s="14" t="str"/>
      <x:c r="N1933" s="14" t="str"/>
      <x:c r="O1933" s="14" t="str">
        <x:v>SOURCE_SECTION_READ</x:v>
      </x:c>
      <x:c r="P1933" s="14" t="str">
        <x:v>NOT_VERIFIED</x:v>
      </x:c>
      <x:c r="Q1933" s="14" t="str">
        <x:v>PENDING_INDEPENDENT_AUDIT</x:v>
      </x:c>
      <x:c r="R1933" s="14" t="str">
        <x:v>Partial extraction; independent audit and code execution pending.</x:v>
      </x:c>
      <x:c r="S1933" s="14" t="str"/>
      <x:c r="T1933" s="14" t="str">
        <x:v>EXTRACTED</x:v>
      </x:c>
      <x:c r="U1933" s="14" t="str">
        <x:v>2026-09-28</x:v>
      </x:c>
      <x:c r="V1933" s="14" t="str">
        <x:v>B16</x:v>
      </x:c>
    </x:row>
    <x:row r="1934" ht="75" customHeight="1">
      <x:c r="A1934" s="14" t="str">
        <x:v>B16-0118</x:v>
      </x:c>
      <x:c r="B1934" s="14" t="str">
        <x:v>OAI-0111</x:v>
      </x:c>
      <x:c r="C1934" s="14" t="str">
        <x:v>OAI-0111:B16_SOURCE_REVIEW</x:v>
      </x:c>
      <x:c r="D1934" s="14" t="str">
        <x:v>reproducibility.code</x:v>
      </x:c>
      <x:c r="E1934" s="14" t="str">
        <x:v>https://github.com/zhoushuyi-22/AI4SWOT</x:v>
      </x:c>
      <x:c r="F1934" s="14" t="str">
        <x:v>LightGBM or DNN as named; low latitude=0–30°, high=60–90°; total surface velocity.</x:v>
      </x:c>
      <x:c r="G1934" s="14" t="str">
        <x:v>AUTHOR_REPORTED_FACT</x:v>
      </x:c>
      <x:c r="H1934" s="14" t="str">
        <x:v>https://doi.org/10.1029/2024GL110731</x:v>
      </x:c>
      <x:c r="I1934" s="14" t="str">
        <x:v>10.1029/2024GL110731</x:v>
      </x:c>
      <x:c r="J1934" s="14" t="str">
        <x:v>PUBLISHED_HTML</x:v>
      </x:c>
      <x:c r="K1934" s="14" t="str">
        <x:v>Data Availability Statement</x:v>
      </x:c>
      <x:c r="L1934" s="14" t="str">
        <x:v>Data Availability Statement</x:v>
      </x:c>
      <x:c r="M1934" s="14" t="str"/>
      <x:c r="N1934" s="14" t="str"/>
      <x:c r="O1934" s="14" t="str">
        <x:v>SOURCE_SECTION_READ</x:v>
      </x:c>
      <x:c r="P1934" s="14" t="str">
        <x:v>NOT_VERIFIED</x:v>
      </x:c>
      <x:c r="Q1934" s="14" t="str">
        <x:v>PENDING_INDEPENDENT_AUDIT</x:v>
      </x:c>
      <x:c r="R1934" s="14" t="str">
        <x:v>Partial extraction; independent audit and code execution pending.</x:v>
      </x:c>
      <x:c r="S1934" s="14" t="str"/>
      <x:c r="T1934" s="14" t="str">
        <x:v>EXTRACTED</x:v>
      </x:c>
      <x:c r="U1934" s="14" t="str">
        <x:v>2026-09-28</x:v>
      </x:c>
      <x:c r="V1934" s="14" t="str">
        <x:v>B16</x:v>
      </x:c>
    </x:row>
    <x:row r="1935" ht="75" customHeight="1">
      <x:c r="A1935" s="14" t="str">
        <x:v>B16-0119</x:v>
      </x:c>
      <x:c r="B1935" s="14" t="str">
        <x:v>OAI-0111</x:v>
      </x:c>
      <x:c r="C1935" s="14" t="str">
        <x:v>OAI-0111:B16_SOURCE_REVIEW</x:v>
      </x:c>
      <x:c r="D1935" s="14" t="str">
        <x:v>results.percentage_conflict</x:v>
      </x:c>
      <x:c r="E1935" s="14" t="str">
        <x:v>51.1/54.2% assignments differ between Results and Discussion</x:v>
      </x:c>
      <x:c r="F1935" s="14" t="str">
        <x:v>LightGBM or DNN as named; low latitude=0–30°, high=60–90°; total surface velocity.</x:v>
      </x:c>
      <x:c r="G1935" s="14" t="str">
        <x:v>AI_INTERPRETATION</x:v>
      </x:c>
      <x:c r="H1935" s="14" t="str">
        <x:v>https://doi.org/10.1029/2024GL110731</x:v>
      </x:c>
      <x:c r="I1935" s="14" t="str">
        <x:v>10.1029/2024GL110731</x:v>
      </x:c>
      <x:c r="J1935" s="14" t="str">
        <x:v>PUBLISHED_HTML</x:v>
      </x:c>
      <x:c r="K1935" s="14" t="str">
        <x:v>3 Results vs 4 Discussion</x:v>
      </x:c>
      <x:c r="L1935" s="14" t="str">
        <x:v>3 Results vs 4 Discussion</x:v>
      </x:c>
      <x:c r="M1935" s="14" t="str"/>
      <x:c r="N1935" s="14" t="str"/>
      <x:c r="O1935" s="14" t="str">
        <x:v>SOURCE_SECTION_READ</x:v>
      </x:c>
      <x:c r="P1935" s="14" t="str">
        <x:v>NOT_VERIFIED</x:v>
      </x:c>
      <x:c r="Q1935" s="14" t="str">
        <x:v>PENDING_INDEPENDENT_AUDIT</x:v>
      </x:c>
      <x:c r="R1935" s="14" t="str">
        <x:v>Partial extraction; independent audit and code execution pending. Flag only; resolve against PDF and code. Existing rows retained.</x:v>
      </x:c>
      <x:c r="S1935" s="14" t="str"/>
      <x:c r="T1935" s="14" t="str">
        <x:v>EXTRACTED</x:v>
      </x:c>
      <x:c r="U1935" s="14" t="str">
        <x:v>2026-09-28</x:v>
      </x:c>
      <x:c r="V1935" s="14" t="str">
        <x:v>B16</x:v>
      </x:c>
    </x:row>
    <x:row r="1936" ht="75" customHeight="1">
      <x:c r="A1936" s="14" t="str">
        <x:v>B16-0120</x:v>
      </x:c>
      <x:c r="B1936" s="14" t="str">
        <x:v>OAI-0111</x:v>
      </x:c>
      <x:c r="C1936" s="14" t="str">
        <x:v>OAI-0111:B16_SOURCE_REVIEW</x:v>
      </x:c>
      <x:c r="D1936" s="14" t="str">
        <x:v>preprocessing.time_window_conflict</x:v>
      </x:c>
      <x:c r="E1936" s="14" t="str">
        <x:v>Text ±3 h; caption difference &lt;6 h</x:v>
      </x:c>
      <x:c r="F1936" s="14" t="str">
        <x:v>LightGBM or DNN as named; low latitude=0–30°, high=60–90°; total surface velocity.</x:v>
      </x:c>
      <x:c r="G1936" s="14" t="str">
        <x:v>AI_INTERPRETATION</x:v>
      </x:c>
      <x:c r="H1936" s="14" t="str">
        <x:v>https://doi.org/10.1029/2024GL110731</x:v>
      </x:c>
      <x:c r="I1936" s="14" t="str">
        <x:v>10.1029/2024GL110731</x:v>
      </x:c>
      <x:c r="J1936" s="14" t="str">
        <x:v>PUBLISHED_HTML</x:v>
      </x:c>
      <x:c r="K1936" s="14" t="str">
        <x:v>2.1 vs Fig.1 caption</x:v>
      </x:c>
      <x:c r="L1936" s="14" t="str">
        <x:v>2.1 vs Fig.1 caption</x:v>
      </x:c>
      <x:c r="M1936" s="14" t="str"/>
      <x:c r="N1936" s="14" t="str"/>
      <x:c r="O1936" s="14" t="str">
        <x:v>SOURCE_SECTION_READ</x:v>
      </x:c>
      <x:c r="P1936" s="14" t="str">
        <x:v>NOT_VERIFIED</x:v>
      </x:c>
      <x:c r="Q1936" s="14" t="str">
        <x:v>PENDING_INDEPENDENT_AUDIT</x:v>
      </x:c>
      <x:c r="R1936" s="14" t="str">
        <x:v>Partial extraction; independent audit and code execution pending. Flag only; resolve against PDF and code. Existing rows retained.</x:v>
      </x:c>
      <x:c r="S1936" s="14" t="str"/>
      <x:c r="T1936" s="14" t="str">
        <x:v>EXTRACTED</x:v>
      </x:c>
      <x:c r="U1936" s="14" t="str">
        <x:v>2026-09-28</x:v>
      </x:c>
      <x:c r="V1936" s="14" t="str">
        <x:v>B16</x:v>
      </x:c>
    </x:row>
    <x:row r="1937" ht="75" customHeight="1">
      <x:c r="A1937" s="14" t="str">
        <x:v>B16-0121</x:v>
      </x:c>
      <x:c r="B1937" s="14" t="str">
        <x:v>OAI-0111</x:v>
      </x:c>
      <x:c r="C1937" s="14" t="str">
        <x:v>OAI-0111:B16_SOURCE_REVIEW</x:v>
      </x:c>
      <x:c r="D1937" s="14" t="str">
        <x:v>metrics.equation_check</x:v>
      </x:c>
      <x:c r="E1937" s="14" t="str">
        <x:v>HTML RMSE equation lacks square root; PDF/code check pending</x:v>
      </x:c>
      <x:c r="F1937" s="14" t="str">
        <x:v>LightGBM or DNN as named; low latitude=0–30°, high=60–90°; total surface velocity.</x:v>
      </x:c>
      <x:c r="G1937" s="14" t="str">
        <x:v>AI_INTERPRETATION</x:v>
      </x:c>
      <x:c r="H1937" s="14" t="str">
        <x:v>https://doi.org/10.1029/2024GL110731</x:v>
      </x:c>
      <x:c r="I1937" s="14" t="str">
        <x:v>10.1029/2024GL110731</x:v>
      </x:c>
      <x:c r="J1937" s="14" t="str">
        <x:v>PUBLISHED_HTML</x:v>
      </x:c>
      <x:c r="K1937" s="14" t="str">
        <x:v>2.3, Eq.2</x:v>
      </x:c>
      <x:c r="L1937" s="14" t="str">
        <x:v>2.3, Eq.2</x:v>
      </x:c>
      <x:c r="M1937" s="14" t="str"/>
      <x:c r="N1937" s="14" t="str"/>
      <x:c r="O1937" s="14" t="str">
        <x:v>SOURCE_SECTION_READ</x:v>
      </x:c>
      <x:c r="P1937" s="14" t="str">
        <x:v>NOT_VERIFIED</x:v>
      </x:c>
      <x:c r="Q1937" s="14" t="str">
        <x:v>PENDING_INDEPENDENT_AUDIT</x:v>
      </x:c>
      <x:c r="R1937" s="14" t="str">
        <x:v>Partial extraction; independent audit and code execution pending. Flag only; resolve against PDF and code. Existing rows retained.</x:v>
      </x:c>
      <x:c r="S1937" s="14" t="str"/>
      <x:c r="T1937" s="14" t="str">
        <x:v>EXTRACTED</x:v>
      </x:c>
      <x:c r="U1937" s="14" t="str">
        <x:v>2026-09-28</x:v>
      </x:c>
      <x:c r="V1937" s="14" t="str">
        <x:v>B16</x:v>
      </x:c>
    </x:row>
  </x:sheetData>
  <x:conditionalFormatting sqref="S260:T552">
    <x:cfRule type="containsText" dxfId="0" priority="2" aboveAverage="0" percent="0" bottom="0" operator="containsText" text="NOT_EXTRACTED" rank="0" equalAverage="0">
      <x:formula>NOT(ISERROR(SEARCH("NOT_EXTRACTED",S260)))</x:formula>
    </x:cfRule>
  </x:conditionalFormatting>
  <x:conditionalFormatting sqref="T260:T552">
    <x:cfRule type="containsText" dxfId="1" priority="3" aboveAverage="0" percent="0" bottom="0" operator="containsText" text="NOT_REPORTED" rank="0" equalAverage="0">
      <x:formula>NOT(ISERROR(SEARCH("NOT_REPORTED",T260)))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2" max="2" width="70" style="1" hidden="0" customWidth="1"/>
    <x:col min="3" max="7" width="24" style="1" hidden="0" customWidth="1"/>
    <x:col min="8" max="8" width="14" style="1" hidden="0" customWidth="1"/>
    <x:col min="9" max="9" width="80" style="1" hidden="0" customWidth="1"/>
  </x:cols>
  <x:sheetData>
    <x:row r="1" ht="15" hidden="0" customHeight="1">
      <x:c r="A1" s="6" t="s">
        <x:v>82</x:v>
      </x:c>
      <x:c r="B1" s="6" t="s">
        <x:v>5460</x:v>
      </x:c>
      <x:c r="C1" s="6" t="s">
        <x:v>5461</x:v>
      </x:c>
      <x:c r="D1" s="6" t="s">
        <x:v>5462</x:v>
      </x:c>
      <x:c r="E1" s="6" t="s">
        <x:v>5463</x:v>
      </x:c>
      <x:c r="F1" s="6" t="s">
        <x:v>5464</x:v>
      </x:c>
      <x:c r="G1" s="7" t="s">
        <x:v>5465</x:v>
      </x:c>
      <x:c r="H1" s="7" t="s">
        <x:v>5466</x:v>
      </x:c>
      <x:c r="I1" s="7" t="s">
        <x:v>5467</x:v>
      </x:c>
      <x:c r="J1" s="1" t="s">
        <x:v>5468</x:v>
      </x:c>
      <x:c r="K1" s="1" t="s">
        <x:v>5469</x:v>
      </x:c>
      <x:c r="L1" s="1" t="s">
        <x:v>5470</x:v>
      </x:c>
      <x:c r="M1" s="1" t="s">
        <x:v>5471</x:v>
      </x:c>
      <x:c r="N1" s="1" t="s">
        <x:v>5472</x:v>
      </x:c>
      <x:c r="O1" s="1" t="s">
        <x:v>5473</x:v>
      </x:c>
      <x:c r="P1" s="1" t="s">
        <x:v>5474</x:v>
      </x:c>
      <x:c r="Q1" s="1" t="s">
        <x:v>5475</x:v>
      </x:c>
      <x:c r="R1" s="1" t="s">
        <x:v>5476</x:v>
      </x:c>
    </x:row>
    <x:row r="2" ht="27.75" hidden="0" customHeight="1">
      <x:c r="A2" s="3" t="s">
        <x:v>104</x:v>
      </x:c>
      <x:c r="B2" s="3" t="s">
        <x:v>5477</x:v>
      </x:c>
      <x:c r="C2" s="3" t="s">
        <x:v>5478</x:v>
      </x:c>
      <x:c r="D2" s="3" t="n">
        <x:f aca="0">COUNTIF(SCIENTIFIC_CLAIMS!$B$2:$B$1937,A2)</x:f>
        <x:v>42</x:v>
      </x:c>
      <x:c r="E2" s="3" t="s">
        <x:v>48</x:v>
      </x:c>
      <x:c r="F2" s="3" t="str">
        <x:v>PENDING_INDEPENDENT_AUDIT</x:v>
      </x:c>
      <x:c r="H2" t="str">
        <x:v>B16</x:v>
      </x:c>
      <x:c r="I2" t="str">
        <x:v>Remaining widths, learning rate, code configuration and quantitative tables need review.</x:v>
      </x:c>
      <x:c r="J2" s="1" t="n">
        <x:v>35</x:v>
      </x:c>
      <x:c r="K2" s="1" t="n">
        <x:v>3</x:v>
      </x:c>
      <x:c r="L2" s="1" t="n">
        <x:v>3</x:v>
      </x:c>
      <x:c r="M2" s="1" t="n">
        <x:v>1</x:v>
      </x:c>
      <x:c r="N2" s="1" t="n">
        <x:v>0</x:v>
      </x:c>
      <x:c r="O2" s="1" t="n">
        <x:v>0</x:v>
      </x:c>
      <x:c r="P2" s="1" t="n">
        <x:v>24</x:v>
      </x:c>
      <x:c r="Q2" s="1" t="str">
        <x:v>YES</x:v>
      </x:c>
      <x:c r="R2" s="1" t="s">
        <x:v>5479</x:v>
      </x:c>
    </x:row>
    <x:row r="3" ht="15" hidden="0" customHeight="1">
      <x:c r="A3" s="3" t="s">
        <x:v>194</x:v>
      </x:c>
      <x:c r="B3" s="3" t="s">
        <x:v>5480</x:v>
      </x:c>
      <x:c r="C3" s="3" t="s">
        <x:v>5481</x:v>
      </x:c>
      <x:c r="D3" s="3" t="n">
        <x:f aca="0">COUNTIF(SCIENTIFIC_CLAIMS!$B$2:$B$1937,A3)</x:f>
        <x:v>26</x:v>
      </x:c>
      <x:c r="E3" s="3" t="s">
        <x:v>48</x:v>
      </x:c>
      <x:c r="F3" s="3" t="s">
        <x:v>5482</x:v>
      </x:c>
      <x:c r="J3" s="1" t="n">
        <x:v>23</x:v>
      </x:c>
      <x:c r="K3" s="1" t="n">
        <x:v>1</x:v>
      </x:c>
      <x:c r="L3" s="1" t="n">
        <x:v>1</x:v>
      </x:c>
      <x:c r="M3" s="1" t="n">
        <x:v>1</x:v>
      </x:c>
      <x:c r="N3" s="1" t="n">
        <x:v>0</x:v>
      </x:c>
      <x:c r="O3" s="1" t="n">
        <x:v>0</x:v>
      </x:c>
      <x:c r="P3" s="1" t="n">
        <x:v>17</x:v>
      </x:c>
      <x:c r="Q3" s="1" t="s">
        <x:v>5483</x:v>
      </x:c>
      <x:c r="R3" s="1" t="s">
        <x:v>5479</x:v>
      </x:c>
    </x:row>
    <x:row r="4" ht="15" hidden="0" customHeight="1">
      <x:c r="A4" s="3" t="s">
        <x:v>279</x:v>
      </x:c>
      <x:c r="B4" s="3" t="s">
        <x:v>5484</x:v>
      </x:c>
      <x:c r="C4" s="3" t="s">
        <x:v>5481</x:v>
      </x:c>
      <x:c r="D4" s="3" t="n">
        <x:f aca="0">COUNTIF(SCIENTIFIC_CLAIMS!$B$2:$B$1937,A4)</x:f>
        <x:v>40</x:v>
      </x:c>
      <x:c r="E4" s="3" t="s">
        <x:v>48</x:v>
      </x:c>
      <x:c r="F4" s="3" t="str">
        <x:v>PENDING_INDEPENDENT_AUDIT</x:v>
      </x:c>
      <x:c r="H4" t="str">
        <x:v>B16</x:v>
      </x:c>
      <x:c r="I4" t="str">
        <x:v>Reconcile legacy Transformer label with published FNO/CNN description; exact loss/code review pending.</x:v>
      </x:c>
      <x:c r="J4" s="1" t="n">
        <x:v>35</x:v>
      </x:c>
      <x:c r="K4" s="1" t="n">
        <x:v>2</x:v>
      </x:c>
      <x:c r="L4" s="1" t="n">
        <x:v>1</x:v>
      </x:c>
      <x:c r="M4" s="1" t="n">
        <x:v>2</x:v>
      </x:c>
      <x:c r="N4" s="1" t="n">
        <x:v>0</x:v>
      </x:c>
      <x:c r="O4" s="1" t="n">
        <x:v>0</x:v>
      </x:c>
      <x:c r="P4" s="1" t="n">
        <x:v>21</x:v>
      </x:c>
      <x:c r="Q4" s="1" t="str">
        <x:v>YES</x:v>
      </x:c>
      <x:c r="R4" s="1" t="s">
        <x:v>5479</x:v>
      </x:c>
    </x:row>
    <x:row r="5" ht="27.75" hidden="0" customHeight="1">
      <x:c r="A5" s="3" t="s">
        <x:v>356</x:v>
      </x:c>
      <x:c r="B5" s="3" t="s">
        <x:v>5485</x:v>
      </x:c>
      <x:c r="C5" s="3" t="s">
        <x:v>5486</x:v>
      </x:c>
      <x:c r="D5" s="3" t="n">
        <x:f aca="0">COUNTIF(SCIENTIFIC_CLAIMS!$B$2:$B$1937,A5)</x:f>
        <x:v>23</x:v>
      </x:c>
      <x:c r="E5" s="3" t="s">
        <x:v>48</x:v>
      </x:c>
      <x:c r="F5" s="3" t="s">
        <x:v>5482</x:v>
      </x:c>
      <x:c r="J5" s="1" t="n">
        <x:v>22</x:v>
      </x:c>
      <x:c r="K5" s="1" t="n">
        <x:v>1</x:v>
      </x:c>
      <x:c r="L5" s="1" t="n">
        <x:v>0</x:v>
      </x:c>
      <x:c r="M5" s="1" t="n">
        <x:v>0</x:v>
      </x:c>
      <x:c r="N5" s="1" t="n">
        <x:v>0</x:v>
      </x:c>
      <x:c r="O5" s="1" t="n">
        <x:v>0</x:v>
      </x:c>
      <x:c r="P5" s="1" t="n">
        <x:v>14</x:v>
      </x:c>
      <x:c r="Q5" s="1" t="s">
        <x:v>5483</x:v>
      </x:c>
      <x:c r="R5" s="1" t="s">
        <x:v>5479</x:v>
      </x:c>
    </x:row>
    <x:row r="6" ht="15" hidden="0" customHeight="1">
      <x:c r="A6" s="3" t="s">
        <x:v>554</x:v>
      </x:c>
      <x:c r="B6" s="3" t="s">
        <x:v>5487</x:v>
      </x:c>
      <x:c r="C6" s="3" t="s">
        <x:v>5481</x:v>
      </x:c>
      <x:c r="D6" s="3" t="n">
        <x:f aca="0">COUNTIF(SCIENTIFIC_CLAIMS!$B$2:$B$1937,A6)</x:f>
        <x:v>43</x:v>
      </x:c>
      <x:c r="E6" s="3" t="s">
        <x:v>48</x:v>
      </x:c>
      <x:c r="F6" s="3" t="s">
        <x:v>5482</x:v>
      </x:c>
      <x:c r="H6" s="1" t="s">
        <x:v>5320</x:v>
      </x:c>
      <x:c r="J6" s="1" t="n">
        <x:v>38</x:v>
      </x:c>
      <x:c r="K6" s="1" t="n">
        <x:v>2</x:v>
      </x:c>
      <x:c r="L6" s="1" t="n">
        <x:v>0</x:v>
      </x:c>
      <x:c r="M6" s="1" t="n">
        <x:v>1</x:v>
      </x:c>
      <x:c r="N6" s="1" t="n">
        <x:v>2</x:v>
      </x:c>
      <x:c r="O6" s="1" t="n">
        <x:v>0</x:v>
      </x:c>
      <x:c r="P6" s="1" t="n">
        <x:v>15</x:v>
      </x:c>
      <x:c r="Q6" s="1" t="s">
        <x:v>5488</x:v>
      </x:c>
      <x:c r="R6" s="1" t="s">
        <x:v>5479</x:v>
      </x:c>
    </x:row>
    <x:row r="7" ht="27.75" hidden="0" customHeight="1">
      <x:c r="A7" s="3" t="s">
        <x:v>431</x:v>
      </x:c>
      <x:c r="B7" s="3" t="s">
        <x:v>5489</x:v>
      </x:c>
      <x:c r="C7" s="3" t="s">
        <x:v>5481</x:v>
      </x:c>
      <x:c r="D7" s="3" t="n">
        <x:f aca="0">COUNTIF(SCIENTIFIC_CLAIMS!$B$2:$B$1937,A7)</x:f>
        <x:v>19</x:v>
      </x:c>
      <x:c r="E7" s="3" t="s">
        <x:v>48</x:v>
      </x:c>
      <x:c r="F7" s="3" t="s">
        <x:v>5482</x:v>
      </x:c>
      <x:c r="J7" s="1" t="n">
        <x:v>19</x:v>
      </x:c>
      <x:c r="K7" s="1" t="n">
        <x:v>0</x:v>
      </x:c>
      <x:c r="L7" s="1" t="n">
        <x:v>0</x:v>
      </x:c>
      <x:c r="M7" s="1" t="n">
        <x:v>0</x:v>
      </x:c>
      <x:c r="N7" s="1" t="n">
        <x:v>0</x:v>
      </x:c>
      <x:c r="O7" s="1" t="n">
        <x:v>0</x:v>
      </x:c>
      <x:c r="P7" s="1" t="n">
        <x:v>13</x:v>
      </x:c>
      <x:c r="Q7" s="1" t="s">
        <x:v>5483</x:v>
      </x:c>
      <x:c r="R7" s="1" t="s">
        <x:v>5479</x:v>
      </x:c>
    </x:row>
    <x:row r="8" ht="64.5" hidden="0" customHeight="1">
      <x:c r="A8" s="3" t="s">
        <x:v>875</x:v>
      </x:c>
      <x:c r="B8" s="3" t="s">
        <x:v>5490</x:v>
      </x:c>
      <x:c r="C8" s="3" t="s">
        <x:v>5481</x:v>
      </x:c>
      <x:c r="D8" s="3" t="n">
        <x:f aca="0">COUNTIF(SCIENTIFIC_CLAIMS!$B$2:$B$1937,A8)</x:f>
        <x:v>89</x:v>
      </x:c>
      <x:c r="E8" s="3" t="s">
        <x:v>50</x:v>
      </x:c>
      <x:c r="F8" s="3" t="s">
        <x:v>45</x:v>
      </x:c>
      <x:c r="G8" s="3" t="n">
        <x:v>20</x:v>
      </x:c>
      <x:c r="H8" s="3" t="s">
        <x:v>884</x:v>
      </x:c>
      <x:c r="I8" s="3" t="s">
        <x:v>5491</x:v>
      </x:c>
      <x:c r="J8" s="1" t="n">
        <x:v>67</x:v>
      </x:c>
      <x:c r="K8" s="1" t="n">
        <x:v>1</x:v>
      </x:c>
      <x:c r="L8" s="1" t="n">
        <x:v>0</x:v>
      </x:c>
      <x:c r="M8" s="1" t="n">
        <x:v>1</x:v>
      </x:c>
      <x:c r="N8" s="1" t="n">
        <x:v>2</x:v>
      </x:c>
      <x:c r="O8" s="1" t="n">
        <x:v>18</x:v>
      </x:c>
      <x:c r="P8" s="1" t="n">
        <x:v>27</x:v>
      </x:c>
      <x:c r="Q8" s="1" t="s">
        <x:v>5483</x:v>
      </x:c>
      <x:c r="R8" s="1" t="s">
        <x:v>5479</x:v>
      </x:c>
    </x:row>
    <x:row r="9" ht="64.5" hidden="0" customHeight="1">
      <x:c r="A9" s="3" t="s">
        <x:v>1107</x:v>
      </x:c>
      <x:c r="B9" s="3" t="s">
        <x:v>5492</x:v>
      </x:c>
      <x:c r="C9" s="3" t="s">
        <x:v>5493</x:v>
      </x:c>
      <x:c r="D9" s="3" t="n">
        <x:f aca="0">COUNTIF(SCIENTIFIC_CLAIMS!$B$2:$B$1937,A9)</x:f>
        <x:v>32</x:v>
      </x:c>
      <x:c r="E9" s="3" t="s">
        <x:v>50</x:v>
      </x:c>
      <x:c r="F9" s="3" t="s">
        <x:v>45</x:v>
      </x:c>
      <x:c r="G9" s="3" t="n">
        <x:v>0</x:v>
      </x:c>
      <x:c r="H9" s="3" t="s">
        <x:v>884</x:v>
      </x:c>
      <x:c r="I9" s="3" t="s">
        <x:v>5494</x:v>
      </x:c>
      <x:c r="J9" s="1" t="n">
        <x:v>22</x:v>
      </x:c>
      <x:c r="K9" s="1" t="n">
        <x:v>8</x:v>
      </x:c>
      <x:c r="L9" s="1" t="n">
        <x:v>0</x:v>
      </x:c>
      <x:c r="M9" s="1" t="n">
        <x:v>2</x:v>
      </x:c>
      <x:c r="N9" s="1" t="n">
        <x:v>0</x:v>
      </x:c>
      <x:c r="O9" s="1" t="n">
        <x:v>0</x:v>
      </x:c>
      <x:c r="P9" s="1" t="n">
        <x:v>8</x:v>
      </x:c>
      <x:c r="Q9" s="1" t="s">
        <x:v>5483</x:v>
      </x:c>
      <x:c r="R9" s="1" t="s">
        <x:v>5479</x:v>
      </x:c>
    </x:row>
    <x:row r="10" ht="64.5" hidden="0" customHeight="1">
      <x:c r="A10" s="3" t="s">
        <x:v>1197</x:v>
      </x:c>
      <x:c r="B10" s="3" t="s">
        <x:v>5495</x:v>
      </x:c>
      <x:c r="C10" s="3" t="s">
        <x:v>5493</x:v>
      </x:c>
      <x:c r="D10" s="3" t="n">
        <x:f aca="0">COUNTIF(SCIENTIFIC_CLAIMS!$B$2:$B$1937,A10)</x:f>
        <x:v>28</x:v>
      </x:c>
      <x:c r="E10" s="3" t="s">
        <x:v>50</x:v>
      </x:c>
      <x:c r="F10" s="3" t="s">
        <x:v>45</x:v>
      </x:c>
      <x:c r="G10" s="3" t="n">
        <x:v>0</x:v>
      </x:c>
      <x:c r="H10" s="3" t="s">
        <x:v>884</x:v>
      </x:c>
      <x:c r="I10" s="3" t="s">
        <x:v>5494</x:v>
      </x:c>
      <x:c r="J10" s="1" t="n">
        <x:v>19</x:v>
      </x:c>
      <x:c r="K10" s="1" t="n">
        <x:v>7</x:v>
      </x:c>
      <x:c r="L10" s="1" t="n">
        <x:v>0</x:v>
      </x:c>
      <x:c r="M10" s="1" t="n">
        <x:v>2</x:v>
      </x:c>
      <x:c r="N10" s="1" t="n">
        <x:v>0</x:v>
      </x:c>
      <x:c r="O10" s="1" t="n">
        <x:v>0</x:v>
      </x:c>
      <x:c r="P10" s="1" t="n">
        <x:v>9</x:v>
      </x:c>
      <x:c r="Q10" s="1" t="s">
        <x:v>5483</x:v>
      </x:c>
      <x:c r="R10" s="1" t="s">
        <x:v>5479</x:v>
      </x:c>
    </x:row>
    <x:row r="11" ht="64.5" hidden="0" customHeight="1">
      <x:c r="A11" s="3" t="s">
        <x:v>1279</x:v>
      </x:c>
      <x:c r="B11" s="3" t="s">
        <x:v>5496</x:v>
      </x:c>
      <x:c r="C11" s="3" t="s">
        <x:v>5497</x:v>
      </x:c>
      <x:c r="D11" s="3" t="n">
        <x:f aca="0">COUNTIF(SCIENTIFIC_CLAIMS!$B$2:$B$1937,A11)</x:f>
        <x:v>79</x:v>
      </x:c>
      <x:c r="E11" s="3" t="s">
        <x:v>50</x:v>
      </x:c>
      <x:c r="F11" s="3" t="s">
        <x:v>45</x:v>
      </x:c>
      <x:c r="G11" s="3" t="n">
        <x:v>10</x:v>
      </x:c>
      <x:c r="H11" s="3" t="s">
        <x:v>884</x:v>
      </x:c>
      <x:c r="I11" s="3" t="s">
        <x:v>5498</x:v>
      </x:c>
      <x:c r="J11" s="1" t="n">
        <x:v>66</x:v>
      </x:c>
      <x:c r="K11" s="1" t="n">
        <x:v>2</x:v>
      </x:c>
      <x:c r="L11" s="1" t="n">
        <x:v>0</x:v>
      </x:c>
      <x:c r="M11" s="1" t="n">
        <x:v>1</x:v>
      </x:c>
      <x:c r="N11" s="1" t="n">
        <x:v>4</x:v>
      </x:c>
      <x:c r="O11" s="1" t="n">
        <x:v>6</x:v>
      </x:c>
      <x:c r="P11" s="1" t="n">
        <x:v>24</x:v>
      </x:c>
      <x:c r="Q11" s="1" t="s">
        <x:v>5483</x:v>
      </x:c>
      <x:c r="R11" s="1" t="s">
        <x:v>5479</x:v>
      </x:c>
    </x:row>
    <x:row r="12" ht="64.5" hidden="0" customHeight="1">
      <x:c r="A12" s="3" t="s">
        <x:v>1466</x:v>
      </x:c>
      <x:c r="B12" s="3" t="s">
        <x:v>5499</x:v>
      </x:c>
      <x:c r="C12" s="3" t="s">
        <x:v>5481</x:v>
      </x:c>
      <x:c r="D12" s="3" t="n">
        <x:f aca="0">COUNTIF(SCIENTIFIC_CLAIMS!$B$2:$B$1937,A12)</x:f>
        <x:v>65</x:v>
      </x:c>
      <x:c r="E12" s="3" t="s">
        <x:v>50</x:v>
      </x:c>
      <x:c r="F12" s="3" t="s">
        <x:v>45</x:v>
      </x:c>
      <x:c r="G12" s="3" t="n">
        <x:v>22</x:v>
      </x:c>
      <x:c r="H12" s="3" t="s">
        <x:v>884</x:v>
      </x:c>
      <x:c r="I12" s="3" t="s">
        <x:v>5500</x:v>
      </x:c>
      <x:c r="J12" s="1" t="n">
        <x:v>39</x:v>
      </x:c>
      <x:c r="K12" s="1" t="n">
        <x:v>3</x:v>
      </x:c>
      <x:c r="L12" s="1" t="n">
        <x:v>0</x:v>
      </x:c>
      <x:c r="M12" s="1" t="n">
        <x:v>1</x:v>
      </x:c>
      <x:c r="N12" s="1" t="n">
        <x:v>0</x:v>
      </x:c>
      <x:c r="O12" s="1" t="n">
        <x:v>22</x:v>
      </x:c>
      <x:c r="P12" s="1" t="n">
        <x:v>13</x:v>
      </x:c>
      <x:c r="Q12" s="1" t="s">
        <x:v>5483</x:v>
      </x:c>
      <x:c r="R12" s="1" t="s">
        <x:v>5479</x:v>
      </x:c>
    </x:row>
    <x:row r="13" ht="27.75" hidden="0" customHeight="1">
      <x:c r="A13" s="3" t="s">
        <x:v>5501</x:v>
      </x:c>
      <x:c r="B13" s="3" t="s">
        <x:v>5502</x:v>
      </x:c>
      <x:c r="C13" s="3" t="s">
        <x:v>5503</x:v>
      </x:c>
      <x:c r="D13" s="3" t="n">
        <x:f aca="0">COUNTIF(SCIENTIFIC_CLAIMS!$B$2:$B$1937,A13)</x:f>
        <x:v>0</x:v>
      </x:c>
      <x:c r="E13" s="3" t="s">
        <x:v>56</x:v>
      </x:c>
      <x:c r="F13" s="3" t="s">
        <x:v>30</x:v>
      </x:c>
      <x:c r="J13" s="1" t="n">
        <x:v>0</x:v>
      </x:c>
      <x:c r="K13" s="1" t="n">
        <x:v>0</x:v>
      </x:c>
      <x:c r="L13" s="1" t="n">
        <x:v>0</x:v>
      </x:c>
      <x:c r="M13" s="1" t="n">
        <x:v>0</x:v>
      </x:c>
      <x:c r="N13" s="1" t="n">
        <x:v>0</x:v>
      </x:c>
      <x:c r="O13" s="1" t="n">
        <x:v>0</x:v>
      </x:c>
      <x:c r="P13" s="1" t="n">
        <x:v>0</x:v>
      </x:c>
      <x:c r="Q13" s="1" t="s">
        <x:v>5488</x:v>
      </x:c>
      <x:c r="R13" s="1" t="s">
        <x:v>5504</x:v>
      </x:c>
    </x:row>
    <x:row r="14" ht="15" hidden="0" customHeight="1">
      <x:c r="A14" s="3" t="s">
        <x:v>4629</x:v>
      </x:c>
      <x:c r="B14" s="3" t="s">
        <x:v>5505</x:v>
      </x:c>
      <x:c r="C14" s="3" t="s">
        <x:v>5503</x:v>
      </x:c>
      <x:c r="D14" s="3" t="n">
        <x:f aca="0">COUNTIF(SCIENTIFIC_CLAIMS!$B$2:$B$1937,A14)</x:f>
        <x:v>24</x:v>
      </x:c>
      <x:c r="E14" s="3" t="s">
        <x:v>50</x:v>
      </x:c>
      <x:c r="F14" s="3" t="s">
        <x:v>45</x:v>
      </x:c>
      <x:c r="H14" s="1" t="s">
        <x:v>4904</x:v>
      </x:c>
      <x:c r="I14" s="1" t="s">
        <x:v>5506</x:v>
      </x:c>
      <x:c r="J14" s="1" t="n">
        <x:v>19</x:v>
      </x:c>
      <x:c r="K14" s="1" t="n">
        <x:v>1</x:v>
      </x:c>
      <x:c r="L14" s="1" t="n">
        <x:v>0</x:v>
      </x:c>
      <x:c r="M14" s="1" t="n">
        <x:v>2</x:v>
      </x:c>
      <x:c r="N14" s="1" t="n">
        <x:v>0</x:v>
      </x:c>
      <x:c r="O14" s="1" t="n">
        <x:v>2</x:v>
      </x:c>
      <x:c r="P14" s="1" t="n">
        <x:v>12</x:v>
      </x:c>
      <x:c r="Q14" s="1" t="s">
        <x:v>5488</x:v>
      </x:c>
      <x:c r="R14" s="1" t="s">
        <x:v>5507</x:v>
      </x:c>
    </x:row>
    <x:row r="15" ht="61.5" hidden="0" customHeight="1">
      <x:c r="A15" s="3" t="s">
        <x:v>3426</x:v>
      </x:c>
      <x:c r="B15" s="3" t="s">
        <x:v>5508</x:v>
      </x:c>
      <x:c r="C15" s="3" t="s">
        <x:v>5493</x:v>
      </x:c>
      <x:c r="D15" s="3" t="n">
        <x:f aca="0">COUNTIF(SCIENTIFIC_CLAIMS!$B$2:$B$1937,A15)</x:f>
        <x:v>4</x:v>
      </x:c>
      <x:c r="E15" s="3" t="s">
        <x:v>50</x:v>
      </x:c>
      <x:c r="F15" s="3" t="s">
        <x:v>45</x:v>
      </x:c>
      <x:c r="G15" s="3"/>
      <x:c r="H15" s="3" t="s">
        <x:v>2764</x:v>
      </x:c>
      <x:c r="I15" s="3" t="s">
        <x:v>5509</x:v>
      </x:c>
      <x:c r="J15" s="1" t="n">
        <x:v>0</x:v>
      </x:c>
      <x:c r="K15" s="1" t="n">
        <x:v>4</x:v>
      </x:c>
      <x:c r="L15" s="1" t="n">
        <x:v>0</x:v>
      </x:c>
      <x:c r="M15" s="1" t="n">
        <x:v>0</x:v>
      </x:c>
      <x:c r="N15" s="1" t="n">
        <x:v>0</x:v>
      </x:c>
      <x:c r="O15" s="1" t="n">
        <x:v>0</x:v>
      </x:c>
      <x:c r="P15" s="1" t="n">
        <x:v>1</x:v>
      </x:c>
      <x:c r="Q15" s="1" t="s">
        <x:v>5483</x:v>
      </x:c>
      <x:c r="R15" s="1" t="s">
        <x:v>5479</x:v>
      </x:c>
    </x:row>
    <x:row r="16" ht="27.75" hidden="0" customHeight="1">
      <x:c r="A16" s="3" t="s">
        <x:v>5101</x:v>
      </x:c>
      <x:c r="B16" s="3" t="s">
        <x:v>5510</x:v>
      </x:c>
      <x:c r="C16" s="3" t="s">
        <x:v>5493</x:v>
      </x:c>
      <x:c r="D16" s="3" t="n">
        <x:f aca="0">COUNTIF(SCIENTIFIC_CLAIMS!$B$2:$B$1937,A16)</x:f>
        <x:v>2</x:v>
      </x:c>
      <x:c r="E16" s="3" t="s">
        <x:v>52</x:v>
      </x:c>
      <x:c r="F16" s="3" t="s">
        <x:v>45</x:v>
      </x:c>
      <x:c r="H16" s="1" t="s">
        <x:v>5060</x:v>
      </x:c>
      <x:c r="I16" s="1" t="s">
        <x:v>5511</x:v>
      </x:c>
      <x:c r="J16" s="1" t="n">
        <x:v>2</x:v>
      </x:c>
      <x:c r="K16" s="1" t="n">
        <x:v>0</x:v>
      </x:c>
      <x:c r="L16" s="1" t="n">
        <x:v>0</x:v>
      </x:c>
      <x:c r="M16" s="1" t="n">
        <x:v>0</x:v>
      </x:c>
      <x:c r="N16" s="1" t="n">
        <x:v>0</x:v>
      </x:c>
      <x:c r="O16" s="1" t="n">
        <x:v>0</x:v>
      </x:c>
      <x:c r="P16" s="1" t="n">
        <x:v>1</x:v>
      </x:c>
      <x:c r="Q16" s="1" t="s">
        <x:v>5488</x:v>
      </x:c>
      <x:c r="R16" s="1" t="s">
        <x:v>5512</x:v>
      </x:c>
    </x:row>
    <x:row r="17" ht="61.5" hidden="0" customHeight="1">
      <x:c r="A17" s="3" t="s">
        <x:v>1703</x:v>
      </x:c>
      <x:c r="B17" s="3" t="s">
        <x:v>5513</x:v>
      </x:c>
      <x:c r="C17" s="3" t="s">
        <x:v>5493</x:v>
      </x:c>
      <x:c r="D17" s="3" t="n">
        <x:f aca="0">COUNTIF(SCIENTIFIC_CLAIMS!$B$2:$B$1937,A17)</x:f>
        <x:v>6</x:v>
      </x:c>
      <x:c r="E17" s="3" t="s">
        <x:v>50</x:v>
      </x:c>
      <x:c r="F17" s="3" t="s">
        <x:v>45</x:v>
      </x:c>
      <x:c r="G17" s="3"/>
      <x:c r="H17" s="3" t="s">
        <x:v>1624</x:v>
      </x:c>
      <x:c r="I17" s="3" t="s">
        <x:v>5509</x:v>
      </x:c>
      <x:c r="J17" s="1" t="n">
        <x:v>4</x:v>
      </x:c>
      <x:c r="K17" s="1" t="n">
        <x:v>2</x:v>
      </x:c>
      <x:c r="L17" s="1" t="n">
        <x:v>0</x:v>
      </x:c>
      <x:c r="M17" s="1" t="n">
        <x:v>0</x:v>
      </x:c>
      <x:c r="N17" s="1" t="n">
        <x:v>0</x:v>
      </x:c>
      <x:c r="O17" s="1" t="n">
        <x:v>0</x:v>
      </x:c>
      <x:c r="P17" s="1" t="n">
        <x:v>3</x:v>
      </x:c>
      <x:c r="Q17" s="1" t="s">
        <x:v>5483</x:v>
      </x:c>
      <x:c r="R17" s="1" t="s">
        <x:v>5479</x:v>
      </x:c>
    </x:row>
    <x:row r="18" ht="15" hidden="0" customHeight="1">
      <x:c r="A18" s="3" t="s">
        <x:v>4916</x:v>
      </x:c>
      <x:c r="B18" s="3" t="s">
        <x:v>5514</x:v>
      </x:c>
      <x:c r="C18" s="3" t="s">
        <x:v>5493</x:v>
      </x:c>
      <x:c r="D18" s="3" t="n">
        <x:f aca="0">COUNTIF(SCIENTIFIC_CLAIMS!$B$2:$B$1937,A18)</x:f>
        <x:v>9</x:v>
      </x:c>
      <x:c r="E18" s="3" t="s">
        <x:v>50</x:v>
      </x:c>
      <x:c r="F18" s="3" t="s">
        <x:v>45</x:v>
      </x:c>
      <x:c r="H18" s="1" t="s">
        <x:v>5247</x:v>
      </x:c>
      <x:c r="I18" s="1" t="s">
        <x:v>5515</x:v>
      </x:c>
      <x:c r="J18" s="1" t="n">
        <x:v>4</x:v>
      </x:c>
      <x:c r="K18" s="1" t="n">
        <x:v>1</x:v>
      </x:c>
      <x:c r="L18" s="1" t="n">
        <x:v>1</x:v>
      </x:c>
      <x:c r="M18" s="1" t="n">
        <x:v>3</x:v>
      </x:c>
      <x:c r="N18" s="1" t="n">
        <x:v>0</x:v>
      </x:c>
      <x:c r="O18" s="1" t="n">
        <x:v>0</x:v>
      </x:c>
      <x:c r="P18" s="1" t="n">
        <x:v>4</x:v>
      </x:c>
      <x:c r="Q18" s="1" t="s">
        <x:v>5488</x:v>
      </x:c>
      <x:c r="R18" s="1" t="s">
        <x:v>5479</x:v>
      </x:c>
    </x:row>
    <x:row r="19" ht="61.5" hidden="0" customHeight="1">
      <x:c r="A19" s="3" t="s">
        <x:v>1730</x:v>
      </x:c>
      <x:c r="B19" s="3" t="s">
        <x:v>5516</x:v>
      </x:c>
      <x:c r="C19" s="3" t="s">
        <x:v>5493</x:v>
      </x:c>
      <x:c r="D19" s="3" t="n">
        <x:f aca="0">COUNTIF(SCIENTIFIC_CLAIMS!$B$2:$B$1937,A19)</x:f>
        <x:v>6</x:v>
      </x:c>
      <x:c r="E19" s="3" t="s">
        <x:v>50</x:v>
      </x:c>
      <x:c r="F19" s="3" t="s">
        <x:v>45</x:v>
      </x:c>
      <x:c r="G19" s="3"/>
      <x:c r="H19" s="3" t="s">
        <x:v>1624</x:v>
      </x:c>
      <x:c r="I19" s="3" t="s">
        <x:v>5509</x:v>
      </x:c>
      <x:c r="J19" s="1" t="n">
        <x:v>6</x:v>
      </x:c>
      <x:c r="K19" s="1" t="n">
        <x:v>0</x:v>
      </x:c>
      <x:c r="L19" s="1" t="n">
        <x:v>0</x:v>
      </x:c>
      <x:c r="M19" s="1" t="n">
        <x:v>0</x:v>
      </x:c>
      <x:c r="N19" s="1" t="n">
        <x:v>0</x:v>
      </x:c>
      <x:c r="O19" s="1" t="n">
        <x:v>0</x:v>
      </x:c>
      <x:c r="P19" s="1" t="n">
        <x:v>2</x:v>
      </x:c>
      <x:c r="Q19" s="1" t="s">
        <x:v>5483</x:v>
      </x:c>
      <x:c r="R19" s="1" t="s">
        <x:v>5479</x:v>
      </x:c>
    </x:row>
    <x:row r="20" ht="61.5" hidden="0" customHeight="1">
      <x:c r="A20" s="3" t="s">
        <x:v>2425</x:v>
      </x:c>
      <x:c r="B20" s="3" t="s">
        <x:v>5517</x:v>
      </x:c>
      <x:c r="C20" s="3" t="s">
        <x:v>5493</x:v>
      </x:c>
      <x:c r="D20" s="3" t="n">
        <x:f aca="0">COUNTIF(SCIENTIFIC_CLAIMS!$B$2:$B$1937,A20)</x:f>
        <x:v>5</x:v>
      </x:c>
      <x:c r="E20" s="3" t="s">
        <x:v>50</x:v>
      </x:c>
      <x:c r="F20" s="3" t="s">
        <x:v>45</x:v>
      </x:c>
      <x:c r="G20" s="3"/>
      <x:c r="H20" s="3" t="s">
        <x:v>1624</x:v>
      </x:c>
      <x:c r="I20" s="3" t="s">
        <x:v>5509</x:v>
      </x:c>
      <x:c r="J20" s="1" t="n">
        <x:v>3</x:v>
      </x:c>
      <x:c r="K20" s="1" t="n">
        <x:v>2</x:v>
      </x:c>
      <x:c r="L20" s="1" t="n">
        <x:v>0</x:v>
      </x:c>
      <x:c r="M20" s="1" t="n">
        <x:v>0</x:v>
      </x:c>
      <x:c r="N20" s="1" t="n">
        <x:v>0</x:v>
      </x:c>
      <x:c r="O20" s="1" t="n">
        <x:v>0</x:v>
      </x:c>
      <x:c r="P20" s="1" t="n">
        <x:v>3</x:v>
      </x:c>
      <x:c r="Q20" s="1" t="s">
        <x:v>5483</x:v>
      </x:c>
      <x:c r="R20" s="1" t="s">
        <x:v>5479</x:v>
      </x:c>
    </x:row>
    <x:row r="21" ht="61.5" hidden="0" customHeight="1">
      <x:c r="A21" s="3" t="s">
        <x:v>3443</x:v>
      </x:c>
      <x:c r="B21" s="3" t="s">
        <x:v>5518</x:v>
      </x:c>
      <x:c r="C21" s="3" t="s">
        <x:v>5493</x:v>
      </x:c>
      <x:c r="D21" s="3" t="n">
        <x:f aca="0">COUNTIF(SCIENTIFIC_CLAIMS!$B$2:$B$1937,A21)</x:f>
        <x:v>6</x:v>
      </x:c>
      <x:c r="E21" s="3" t="s">
        <x:v>50</x:v>
      </x:c>
      <x:c r="F21" s="3" t="s">
        <x:v>45</x:v>
      </x:c>
      <x:c r="G21" s="3"/>
      <x:c r="H21" s="3" t="s">
        <x:v>2764</x:v>
      </x:c>
      <x:c r="I21" s="3" t="s">
        <x:v>5509</x:v>
      </x:c>
      <x:c r="J21" s="1" t="n">
        <x:v>2</x:v>
      </x:c>
      <x:c r="K21" s="1" t="n">
        <x:v>4</x:v>
      </x:c>
      <x:c r="L21" s="1" t="n">
        <x:v>0</x:v>
      </x:c>
      <x:c r="M21" s="1" t="n">
        <x:v>0</x:v>
      </x:c>
      <x:c r="N21" s="1" t="n">
        <x:v>0</x:v>
      </x:c>
      <x:c r="O21" s="1" t="n">
        <x:v>0</x:v>
      </x:c>
      <x:c r="P21" s="1" t="n">
        <x:v>2</x:v>
      </x:c>
      <x:c r="Q21" s="1" t="s">
        <x:v>5483</x:v>
      </x:c>
      <x:c r="R21" s="1" t="s">
        <x:v>5479</x:v>
      </x:c>
    </x:row>
    <x:row r="22" ht="27.75" hidden="0" customHeight="1">
      <x:c r="A22" s="3" t="s">
        <x:v>4553</x:v>
      </x:c>
      <x:c r="B22" s="3" t="s">
        <x:v>5519</x:v>
      </x:c>
      <x:c r="C22" s="3" t="s">
        <x:v>5493</x:v>
      </x:c>
      <x:c r="D22" s="3" t="n">
        <x:f aca="0">COUNTIF(SCIENTIFIC_CLAIMS!$B$2:$B$1937,A22)</x:f>
        <x:v>3</x:v>
      </x:c>
      <x:c r="E22" s="3" t="s">
        <x:v>50</x:v>
      </x:c>
      <x:c r="F22" s="3" t="s">
        <x:v>45</x:v>
      </x:c>
      <x:c r="H22" s="1" t="s">
        <x:v>4342</x:v>
      </x:c>
      <x:c r="I22" s="1" t="s">
        <x:v>5520</x:v>
      </x:c>
      <x:c r="J22" s="1" t="n">
        <x:v>2</x:v>
      </x:c>
      <x:c r="K22" s="1" t="n">
        <x:v>0</x:v>
      </x:c>
      <x:c r="L22" s="1" t="n">
        <x:v>0</x:v>
      </x:c>
      <x:c r="M22" s="1" t="n">
        <x:v>0</x:v>
      </x:c>
      <x:c r="N22" s="1" t="n">
        <x:v>0</x:v>
      </x:c>
      <x:c r="O22" s="1" t="n">
        <x:v>1</x:v>
      </x:c>
      <x:c r="P22" s="1" t="n">
        <x:v>1</x:v>
      </x:c>
      <x:c r="Q22" s="1" t="s">
        <x:v>5488</x:v>
      </x:c>
      <x:c r="R22" s="1" t="s">
        <x:v>5479</x:v>
      </x:c>
    </x:row>
    <x:row r="23" ht="27.75" hidden="0" customHeight="1">
      <x:c r="A23" s="3" t="s">
        <x:v>4570</x:v>
      </x:c>
      <x:c r="B23" s="3" t="s">
        <x:v>5521</x:v>
      </x:c>
      <x:c r="C23" s="3" t="s">
        <x:v>5493</x:v>
      </x:c>
      <x:c r="D23" s="3" t="n">
        <x:f aca="0">COUNTIF(SCIENTIFIC_CLAIMS!$B$2:$B$1937,A23)</x:f>
        <x:v>4</x:v>
      </x:c>
      <x:c r="E23" s="3" t="s">
        <x:v>50</x:v>
      </x:c>
      <x:c r="F23" s="3" t="s">
        <x:v>45</x:v>
      </x:c>
      <x:c r="H23" s="1" t="s">
        <x:v>4342</x:v>
      </x:c>
      <x:c r="J23" s="1" t="n">
        <x:v>2</x:v>
      </x:c>
      <x:c r="K23" s="1" t="n">
        <x:v>0</x:v>
      </x:c>
      <x:c r="L23" s="1" t="n">
        <x:v>1</x:v>
      </x:c>
      <x:c r="M23" s="1" t="n">
        <x:v>0</x:v>
      </x:c>
      <x:c r="N23" s="1" t="n">
        <x:v>1</x:v>
      </x:c>
      <x:c r="O23" s="1" t="n">
        <x:v>0</x:v>
      </x:c>
      <x:c r="P23" s="1" t="n">
        <x:v>2</x:v>
      </x:c>
      <x:c r="Q23" s="1" t="s">
        <x:v>5488</x:v>
      </x:c>
      <x:c r="R23" s="1" t="s">
        <x:v>5479</x:v>
      </x:c>
    </x:row>
    <x:row r="24" ht="61.5" hidden="0" customHeight="1">
      <x:c r="A24" s="3" t="s">
        <x:v>2444</x:v>
      </x:c>
      <x:c r="B24" s="3" t="s">
        <x:v>5522</x:v>
      </x:c>
      <x:c r="C24" s="3" t="s">
        <x:v>5493</x:v>
      </x:c>
      <x:c r="D24" s="3" t="n">
        <x:f aca="0">COUNTIF(SCIENTIFIC_CLAIMS!$B$2:$B$1937,A24)</x:f>
        <x:v>3</x:v>
      </x:c>
      <x:c r="E24" s="3" t="s">
        <x:v>50</x:v>
      </x:c>
      <x:c r="F24" s="3" t="s">
        <x:v>45</x:v>
      </x:c>
      <x:c r="G24" s="3"/>
      <x:c r="H24" s="3" t="s">
        <x:v>1624</x:v>
      </x:c>
      <x:c r="I24" s="3" t="s">
        <x:v>5509</x:v>
      </x:c>
      <x:c r="J24" s="1" t="n">
        <x:v>2</x:v>
      </x:c>
      <x:c r="K24" s="1" t="n">
        <x:v>1</x:v>
      </x:c>
      <x:c r="L24" s="1" t="n">
        <x:v>0</x:v>
      </x:c>
      <x:c r="M24" s="1" t="n">
        <x:v>0</x:v>
      </x:c>
      <x:c r="N24" s="1" t="n">
        <x:v>0</x:v>
      </x:c>
      <x:c r="O24" s="1" t="n">
        <x:v>0</x:v>
      </x:c>
      <x:c r="P24" s="1" t="n">
        <x:v>2</x:v>
      </x:c>
      <x:c r="Q24" s="1" t="s">
        <x:v>5483</x:v>
      </x:c>
      <x:c r="R24" s="1" t="s">
        <x:v>5479</x:v>
      </x:c>
    </x:row>
    <x:row r="25" ht="15" hidden="0" customHeight="1">
      <x:c r="A25" s="3" t="s">
        <x:v>5151</x:v>
      </x:c>
      <x:c r="B25" s="3" t="s">
        <x:v>5523</x:v>
      </x:c>
      <x:c r="C25" s="3" t="s">
        <x:v>5493</x:v>
      </x:c>
      <x:c r="D25" s="3" t="n">
        <x:f aca="0">COUNTIF(SCIENTIFIC_CLAIMS!$B$2:$B$1937,A25)</x:f>
        <x:v>2</x:v>
      </x:c>
      <x:c r="E25" s="3" t="s">
        <x:v>52</x:v>
      </x:c>
      <x:c r="F25" s="3" t="s">
        <x:v>45</x:v>
      </x:c>
      <x:c r="H25" s="1" t="s">
        <x:v>5060</x:v>
      </x:c>
      <x:c r="I25" s="1" t="s">
        <x:v>5511</x:v>
      </x:c>
      <x:c r="J25" s="1" t="n">
        <x:v>1</x:v>
      </x:c>
      <x:c r="K25" s="1" t="n">
        <x:v>0</x:v>
      </x:c>
      <x:c r="L25" s="1" t="n">
        <x:v>1</x:v>
      </x:c>
      <x:c r="M25" s="1" t="n">
        <x:v>0</x:v>
      </x:c>
      <x:c r="N25" s="1" t="n">
        <x:v>0</x:v>
      </x:c>
      <x:c r="O25" s="1" t="n">
        <x:v>0</x:v>
      </x:c>
      <x:c r="P25" s="1" t="n">
        <x:v>2</x:v>
      </x:c>
      <x:c r="Q25" s="1" t="s">
        <x:v>5488</x:v>
      </x:c>
      <x:c r="R25" s="1" t="s">
        <x:v>5512</x:v>
      </x:c>
    </x:row>
    <x:row r="26" ht="15" hidden="0" customHeight="1">
      <x:c r="A26" s="3" t="s">
        <x:v>573</x:v>
      </x:c>
      <x:c r="B26" s="3" t="s">
        <x:v>5524</x:v>
      </x:c>
      <x:c r="C26" s="3" t="s">
        <x:v>5481</x:v>
      </x:c>
      <x:c r="D26" s="3" t="n">
        <x:f aca="0">COUNTIF(SCIENTIFIC_CLAIMS!$B$2:$B$1937,A26)</x:f>
        <x:v>17</x:v>
      </x:c>
      <x:c r="E26" s="3" t="s">
        <x:v>48</x:v>
      </x:c>
      <x:c r="F26" s="3" t="s">
        <x:v>5482</x:v>
      </x:c>
      <x:c r="J26" s="1" t="n">
        <x:v>15</x:v>
      </x:c>
      <x:c r="K26" s="1" t="n">
        <x:v>2</x:v>
      </x:c>
      <x:c r="L26" s="1" t="n">
        <x:v>0</x:v>
      </x:c>
      <x:c r="M26" s="1" t="n">
        <x:v>0</x:v>
      </x:c>
      <x:c r="N26" s="1" t="n">
        <x:v>0</x:v>
      </x:c>
      <x:c r="O26" s="1" t="n">
        <x:v>0</x:v>
      </x:c>
      <x:c r="P26" s="1" t="n">
        <x:v>9</x:v>
      </x:c>
      <x:c r="Q26" s="1" t="s">
        <x:v>5483</x:v>
      </x:c>
      <x:c r="R26" s="1" t="s">
        <x:v>5479</x:v>
      </x:c>
    </x:row>
    <x:row r="27" ht="15" hidden="0" customHeight="1">
      <x:c r="A27" s="3" t="s">
        <x:v>628</x:v>
      </x:c>
      <x:c r="B27" s="3" t="s">
        <x:v>5525</x:v>
      </x:c>
      <x:c r="C27" s="3" t="s">
        <x:v>5481</x:v>
      </x:c>
      <x:c r="D27" s="3" t="n">
        <x:f aca="0">COUNTIF(SCIENTIFIC_CLAIMS!$B$2:$B$1937,A27)</x:f>
        <x:v>26</x:v>
      </x:c>
      <x:c r="E27" s="3" t="s">
        <x:v>48</x:v>
      </x:c>
      <x:c r="F27" s="3" t="s">
        <x:v>5482</x:v>
      </x:c>
      <x:c r="H27" s="1" t="s">
        <x:v>5320</x:v>
      </x:c>
      <x:c r="I27" s="1" t="s">
        <x:v>5526</x:v>
      </x:c>
      <x:c r="J27" s="1" t="n">
        <x:v>25</x:v>
      </x:c>
      <x:c r="K27" s="1" t="n">
        <x:v>0</x:v>
      </x:c>
      <x:c r="L27" s="1" t="n">
        <x:v>0</x:v>
      </x:c>
      <x:c r="M27" s="1" t="n">
        <x:v>0</x:v>
      </x:c>
      <x:c r="N27" s="1" t="n">
        <x:v>0</x:v>
      </x:c>
      <x:c r="O27" s="1" t="n">
        <x:v>1</x:v>
      </x:c>
      <x:c r="P27" s="1" t="n">
        <x:v>15</x:v>
      </x:c>
      <x:c r="Q27" s="1" t="s">
        <x:v>5488</x:v>
      </x:c>
      <x:c r="R27" s="1" t="s">
        <x:v>5479</x:v>
      </x:c>
    </x:row>
    <x:row r="28" ht="61.5" hidden="0" customHeight="1">
      <x:c r="A28" s="3" t="s">
        <x:v>1614</x:v>
      </x:c>
      <x:c r="B28" s="3" t="s">
        <x:v>5527</x:v>
      </x:c>
      <x:c r="C28" s="3" t="s">
        <x:v>5481</x:v>
      </x:c>
      <x:c r="D28" s="3" t="n">
        <x:f aca="0">COUNTIF(SCIENTIFIC_CLAIMS!$B$2:$B$1937,A28)</x:f>
        <x:v>30</x:v>
      </x:c>
      <x:c r="E28" s="3" t="s">
        <x:v>50</x:v>
      </x:c>
      <x:c r="F28" s="3" t="s">
        <x:v>45</x:v>
      </x:c>
      <x:c r="G28" s="3"/>
      <x:c r="H28" s="3" t="s">
        <x:v>1624</x:v>
      </x:c>
      <x:c r="I28" s="3" t="s">
        <x:v>5509</x:v>
      </x:c>
      <x:c r="J28" s="1" t="n">
        <x:v>30</x:v>
      </x:c>
      <x:c r="K28" s="1" t="n">
        <x:v>0</x:v>
      </x:c>
      <x:c r="L28" s="1" t="n">
        <x:v>0</x:v>
      </x:c>
      <x:c r="M28" s="1" t="n">
        <x:v>0</x:v>
      </x:c>
      <x:c r="N28" s="1" t="n">
        <x:v>0</x:v>
      </x:c>
      <x:c r="O28" s="1" t="n">
        <x:v>0</x:v>
      </x:c>
      <x:c r="P28" s="1" t="n">
        <x:v>18</x:v>
      </x:c>
      <x:c r="Q28" s="1" t="s">
        <x:v>5483</x:v>
      </x:c>
      <x:c r="R28" s="1" t="s">
        <x:v>5479</x:v>
      </x:c>
    </x:row>
    <x:row r="29" ht="61.5" hidden="0" customHeight="1">
      <x:c r="A29" s="3" t="s">
        <x:v>2999</x:v>
      </x:c>
      <x:c r="B29" s="3" t="s">
        <x:v>5528</x:v>
      </x:c>
      <x:c r="C29" s="3" t="s">
        <x:v>5481</x:v>
      </x:c>
      <x:c r="D29" s="3" t="n">
        <x:f aca="0">COUNTIF(SCIENTIFIC_CLAIMS!$B$2:$B$1937,A29)</x:f>
        <x:v>24</x:v>
      </x:c>
      <x:c r="E29" s="3" t="s">
        <x:v>50</x:v>
      </x:c>
      <x:c r="F29" s="3" t="s">
        <x:v>45</x:v>
      </x:c>
      <x:c r="G29" s="3"/>
      <x:c r="H29" s="3" t="s">
        <x:v>4954</x:v>
      </x:c>
      <x:c r="I29" s="3" t="s">
        <x:v>5529</x:v>
      </x:c>
      <x:c r="J29" s="1" t="n">
        <x:v>19</x:v>
      </x:c>
      <x:c r="K29" s="1" t="n">
        <x:v>4</x:v>
      </x:c>
      <x:c r="L29" s="1" t="n">
        <x:v>0</x:v>
      </x:c>
      <x:c r="M29" s="1" t="n">
        <x:v>1</x:v>
      </x:c>
      <x:c r="N29" s="1" t="n">
        <x:v>0</x:v>
      </x:c>
      <x:c r="O29" s="1" t="n">
        <x:v>0</x:v>
      </x:c>
      <x:c r="P29" s="1" t="n">
        <x:v>14</x:v>
      </x:c>
      <x:c r="Q29" s="1" t="s">
        <x:v>5488</x:v>
      </x:c>
      <x:c r="R29" s="1" t="s">
        <x:v>5479</x:v>
      </x:c>
    </x:row>
    <x:row r="30" ht="61.5" hidden="0" customHeight="1">
      <x:c r="A30" s="3" t="s">
        <x:v>2138</x:v>
      </x:c>
      <x:c r="B30" s="3" t="s">
        <x:v>5530</x:v>
      </x:c>
      <x:c r="C30" s="3" t="s">
        <x:v>5481</x:v>
      </x:c>
      <x:c r="D30" s="3" t="n">
        <x:f aca="0">COUNTIF(SCIENTIFIC_CLAIMS!$B$2:$B$1937,A30)</x:f>
        <x:v>17</x:v>
      </x:c>
      <x:c r="E30" s="3" t="s">
        <x:v>50</x:v>
      </x:c>
      <x:c r="F30" s="3" t="s">
        <x:v>45</x:v>
      </x:c>
      <x:c r="G30" s="3"/>
      <x:c r="H30" s="3" t="s">
        <x:v>1624</x:v>
      </x:c>
      <x:c r="I30" s="3" t="s">
        <x:v>5509</x:v>
      </x:c>
      <x:c r="J30" s="1" t="n">
        <x:v>17</x:v>
      </x:c>
      <x:c r="K30" s="1" t="n">
        <x:v>0</x:v>
      </x:c>
      <x:c r="L30" s="1" t="n">
        <x:v>0</x:v>
      </x:c>
      <x:c r="M30" s="1" t="n">
        <x:v>0</x:v>
      </x:c>
      <x:c r="N30" s="1" t="n">
        <x:v>0</x:v>
      </x:c>
      <x:c r="O30" s="1" t="n">
        <x:v>0</x:v>
      </x:c>
      <x:c r="P30" s="1" t="n">
        <x:v>13</x:v>
      </x:c>
      <x:c r="Q30" s="1" t="s">
        <x:v>5483</x:v>
      </x:c>
      <x:c r="R30" s="1" t="s">
        <x:v>5479</x:v>
      </x:c>
    </x:row>
    <x:row r="31" ht="61.5" hidden="0" customHeight="1">
      <x:c r="A31" s="3" t="s">
        <x:v>2874</x:v>
      </x:c>
      <x:c r="B31" s="3" t="s">
        <x:v>5531</x:v>
      </x:c>
      <x:c r="C31" s="3" t="s">
        <x:v>5532</x:v>
      </x:c>
      <x:c r="D31" s="3" t="n">
        <x:f aca="0">COUNTIF(SCIENTIFIC_CLAIMS!$B$2:$B$1937,A31)</x:f>
        <x:v>13</x:v>
      </x:c>
      <x:c r="E31" s="3" t="s">
        <x:v>50</x:v>
      </x:c>
      <x:c r="F31" s="3" t="s">
        <x:v>45</x:v>
      </x:c>
      <x:c r="G31" s="3"/>
      <x:c r="H31" s="3" t="s">
        <x:v>2764</x:v>
      </x:c>
      <x:c r="I31" s="3" t="s">
        <x:v>5509</x:v>
      </x:c>
      <x:c r="J31" s="1" t="n">
        <x:v>13</x:v>
      </x:c>
      <x:c r="K31" s="1" t="n">
        <x:v>0</x:v>
      </x:c>
      <x:c r="L31" s="1" t="n">
        <x:v>0</x:v>
      </x:c>
      <x:c r="M31" s="1" t="n">
        <x:v>0</x:v>
      </x:c>
      <x:c r="N31" s="1" t="n">
        <x:v>0</x:v>
      </x:c>
      <x:c r="O31" s="1" t="n">
        <x:v>0</x:v>
      </x:c>
      <x:c r="P31" s="1" t="n">
        <x:v>8</x:v>
      </x:c>
      <x:c r="Q31" s="1" t="s">
        <x:v>5483</x:v>
      </x:c>
      <x:c r="R31" s="1" t="s">
        <x:v>5479</x:v>
      </x:c>
    </x:row>
    <x:row r="32" ht="61.5" hidden="0" customHeight="1">
      <x:c r="A32" s="3" t="s">
        <x:v>2181</x:v>
      </x:c>
      <x:c r="B32" s="3" t="s">
        <x:v>5533</x:v>
      </x:c>
      <x:c r="C32" s="3" t="s">
        <x:v>5532</x:v>
      </x:c>
      <x:c r="D32" s="3" t="n">
        <x:f aca="0">COUNTIF(SCIENTIFIC_CLAIMS!$B$2:$B$1937,A32)</x:f>
        <x:v>19</x:v>
      </x:c>
      <x:c r="E32" s="3" t="s">
        <x:v>50</x:v>
      </x:c>
      <x:c r="F32" s="3" t="s">
        <x:v>45</x:v>
      </x:c>
      <x:c r="G32" s="3"/>
      <x:c r="H32" s="3" t="s">
        <x:v>1624</x:v>
      </x:c>
      <x:c r="I32" s="3" t="s">
        <x:v>5509</x:v>
      </x:c>
      <x:c r="J32" s="1" t="n">
        <x:v>17</x:v>
      </x:c>
      <x:c r="K32" s="1" t="n">
        <x:v>1</x:v>
      </x:c>
      <x:c r="L32" s="1" t="n">
        <x:v>0</x:v>
      </x:c>
      <x:c r="M32" s="1" t="n">
        <x:v>1</x:v>
      </x:c>
      <x:c r="N32" s="1" t="n">
        <x:v>0</x:v>
      </x:c>
      <x:c r="O32" s="1" t="n">
        <x:v>0</x:v>
      </x:c>
      <x:c r="P32" s="1" t="n">
        <x:v>15</x:v>
      </x:c>
      <x:c r="Q32" s="1" t="s">
        <x:v>5483</x:v>
      </x:c>
      <x:c r="R32" s="1" t="s">
        <x:v>5479</x:v>
      </x:c>
    </x:row>
    <x:row r="33" ht="61.5" hidden="0" customHeight="1">
      <x:c r="A33" s="3" t="s">
        <x:v>1812</x:v>
      </x:c>
      <x:c r="B33" s="3" t="s">
        <x:v>5534</x:v>
      </x:c>
      <x:c r="C33" s="3" t="s">
        <x:v>5478</x:v>
      </x:c>
      <x:c r="D33" s="3" t="n">
        <x:f aca="0">COUNTIF(SCIENTIFIC_CLAIMS!$B$2:$B$1937,A33)</x:f>
        <x:v>11</x:v>
      </x:c>
      <x:c r="E33" s="3" t="s">
        <x:v>50</x:v>
      </x:c>
      <x:c r="F33" s="3" t="s">
        <x:v>45</x:v>
      </x:c>
      <x:c r="G33" s="3"/>
      <x:c r="H33" s="3" t="s">
        <x:v>1624</x:v>
      </x:c>
      <x:c r="I33" s="3" t="s">
        <x:v>5509</x:v>
      </x:c>
      <x:c r="J33" s="1" t="n">
        <x:v>11</x:v>
      </x:c>
      <x:c r="K33" s="1" t="n">
        <x:v>0</x:v>
      </x:c>
      <x:c r="L33" s="1" t="n">
        <x:v>0</x:v>
      </x:c>
      <x:c r="M33" s="1" t="n">
        <x:v>0</x:v>
      </x:c>
      <x:c r="N33" s="1" t="n">
        <x:v>0</x:v>
      </x:c>
      <x:c r="O33" s="1" t="n">
        <x:v>0</x:v>
      </x:c>
      <x:c r="P33" s="1" t="n">
        <x:v>5</x:v>
      </x:c>
      <x:c r="Q33" s="1" t="s">
        <x:v>5483</x:v>
      </x:c>
      <x:c r="R33" s="1" t="s">
        <x:v>5479</x:v>
      </x:c>
    </x:row>
    <x:row r="34" ht="61.5" hidden="0" customHeight="1">
      <x:c r="A34" s="3" t="s">
        <x:v>1845</x:v>
      </x:c>
      <x:c r="B34" s="3" t="s">
        <x:v>5535</x:v>
      </x:c>
      <x:c r="C34" s="3" t="s">
        <x:v>5536</x:v>
      </x:c>
      <x:c r="D34" s="3" t="n">
        <x:f aca="0">COUNTIF(SCIENTIFIC_CLAIMS!$B$2:$B$1937,A34)</x:f>
        <x:v>9</x:v>
      </x:c>
      <x:c r="E34" s="3" t="s">
        <x:v>50</x:v>
      </x:c>
      <x:c r="F34" s="3" t="s">
        <x:v>45</x:v>
      </x:c>
      <x:c r="G34" s="3"/>
      <x:c r="H34" s="3" t="s">
        <x:v>1624</x:v>
      </x:c>
      <x:c r="I34" s="3" t="s">
        <x:v>5509</x:v>
      </x:c>
      <x:c r="J34" s="1" t="n">
        <x:v>8</x:v>
      </x:c>
      <x:c r="K34" s="1" t="n">
        <x:v>1</x:v>
      </x:c>
      <x:c r="L34" s="1" t="n">
        <x:v>0</x:v>
      </x:c>
      <x:c r="M34" s="1" t="n">
        <x:v>0</x:v>
      </x:c>
      <x:c r="N34" s="1" t="n">
        <x:v>0</x:v>
      </x:c>
      <x:c r="O34" s="1" t="n">
        <x:v>0</x:v>
      </x:c>
      <x:c r="P34" s="1" t="n">
        <x:v>8</x:v>
      </x:c>
      <x:c r="Q34" s="1" t="s">
        <x:v>5483</x:v>
      </x:c>
      <x:c r="R34" s="1" t="s">
        <x:v>5479</x:v>
      </x:c>
    </x:row>
    <x:row r="35" ht="27.75" hidden="0" customHeight="1">
      <x:c r="A35" s="3" t="s">
        <x:v>661</x:v>
      </x:c>
      <x:c r="B35" s="3" t="s">
        <x:v>5537</x:v>
      </x:c>
      <x:c r="C35" s="3" t="s">
        <x:v>5538</x:v>
      </x:c>
      <x:c r="D35" s="3" t="n">
        <x:f aca="0">COUNTIF(SCIENTIFIC_CLAIMS!$B$2:$B$1937,A35)</x:f>
        <x:v>6</x:v>
      </x:c>
      <x:c r="E35" s="3" t="s">
        <x:v>48</x:v>
      </x:c>
      <x:c r="F35" s="3" t="s">
        <x:v>5482</x:v>
      </x:c>
      <x:c r="J35" s="1" t="n">
        <x:v>6</x:v>
      </x:c>
      <x:c r="K35" s="1" t="n">
        <x:v>0</x:v>
      </x:c>
      <x:c r="L35" s="1" t="n">
        <x:v>0</x:v>
      </x:c>
      <x:c r="M35" s="1" t="n">
        <x:v>0</x:v>
      </x:c>
      <x:c r="N35" s="1" t="n">
        <x:v>0</x:v>
      </x:c>
      <x:c r="O35" s="1" t="n">
        <x:v>0</x:v>
      </x:c>
      <x:c r="P35" s="1" t="n">
        <x:v>4</x:v>
      </x:c>
      <x:c r="Q35" s="1" t="s">
        <x:v>5483</x:v>
      </x:c>
      <x:c r="R35" s="1" t="s">
        <x:v>5479</x:v>
      </x:c>
    </x:row>
    <x:row r="36" ht="27.75" hidden="0" customHeight="1">
      <x:c r="A36" s="3" t="s">
        <x:v>675</x:v>
      </x:c>
      <x:c r="B36" s="3" t="s">
        <x:v>5539</x:v>
      </x:c>
      <x:c r="C36" s="3" t="s">
        <x:v>5538</x:v>
      </x:c>
      <x:c r="D36" s="3" t="n">
        <x:f aca="0">COUNTIF(SCIENTIFIC_CLAIMS!$B$2:$B$1937,A36)</x:f>
        <x:v>5</x:v>
      </x:c>
      <x:c r="E36" s="3" t="s">
        <x:v>48</x:v>
      </x:c>
      <x:c r="F36" s="3" t="s">
        <x:v>5482</x:v>
      </x:c>
      <x:c r="J36" s="1" t="n">
        <x:v>5</x:v>
      </x:c>
      <x:c r="K36" s="1" t="n">
        <x:v>0</x:v>
      </x:c>
      <x:c r="L36" s="1" t="n">
        <x:v>0</x:v>
      </x:c>
      <x:c r="M36" s="1" t="n">
        <x:v>0</x:v>
      </x:c>
      <x:c r="N36" s="1" t="n">
        <x:v>0</x:v>
      </x:c>
      <x:c r="O36" s="1" t="n">
        <x:v>0</x:v>
      </x:c>
      <x:c r="P36" s="1" t="n">
        <x:v>5</x:v>
      </x:c>
      <x:c r="Q36" s="1" t="s">
        <x:v>5483</x:v>
      </x:c>
      <x:c r="R36" s="1" t="s">
        <x:v>5479</x:v>
      </x:c>
    </x:row>
    <x:row r="37" ht="61.5" hidden="0" customHeight="1">
      <x:c r="A37" s="3" t="s">
        <x:v>1871</x:v>
      </x:c>
      <x:c r="B37" s="3" t="s">
        <x:v>5540</x:v>
      </x:c>
      <x:c r="C37" s="3" t="s">
        <x:v>5538</x:v>
      </x:c>
      <x:c r="D37" s="3" t="n">
        <x:f aca="0">COUNTIF(SCIENTIFIC_CLAIMS!$B$2:$B$1937,A37)</x:f>
        <x:v>13</x:v>
      </x:c>
      <x:c r="E37" s="3" t="s">
        <x:v>50</x:v>
      </x:c>
      <x:c r="F37" s="3" t="s">
        <x:v>45</x:v>
      </x:c>
      <x:c r="G37" s="3"/>
      <x:c r="H37" s="3" t="s">
        <x:v>1624</x:v>
      </x:c>
      <x:c r="I37" s="3" t="s">
        <x:v>5509</x:v>
      </x:c>
      <x:c r="J37" s="1" t="n">
        <x:v>11</x:v>
      </x:c>
      <x:c r="K37" s="1" t="n">
        <x:v>1</x:v>
      </x:c>
      <x:c r="L37" s="1" t="n">
        <x:v>0</x:v>
      </x:c>
      <x:c r="M37" s="1" t="n">
        <x:v>1</x:v>
      </x:c>
      <x:c r="N37" s="1" t="n">
        <x:v>0</x:v>
      </x:c>
      <x:c r="O37" s="1" t="n">
        <x:v>0</x:v>
      </x:c>
      <x:c r="P37" s="1" t="n">
        <x:v>11</x:v>
      </x:c>
      <x:c r="Q37" s="1" t="s">
        <x:v>5483</x:v>
      </x:c>
      <x:c r="R37" s="1" t="s">
        <x:v>5479</x:v>
      </x:c>
    </x:row>
    <x:row r="38" ht="27.75" hidden="0" customHeight="1">
      <x:c r="A38" s="3" t="s">
        <x:v>688</x:v>
      </x:c>
      <x:c r="B38" s="3" t="s">
        <x:v>5541</x:v>
      </x:c>
      <x:c r="C38" s="3" t="s">
        <x:v>5538</x:v>
      </x:c>
      <x:c r="D38" s="3" t="n">
        <x:f aca="0">COUNTIF(SCIENTIFIC_CLAIMS!$B$2:$B$1937,A38)</x:f>
        <x:v>10</x:v>
      </x:c>
      <x:c r="E38" s="3" t="s">
        <x:v>48</x:v>
      </x:c>
      <x:c r="F38" s="3" t="s">
        <x:v>5482</x:v>
      </x:c>
      <x:c r="J38" s="1" t="n">
        <x:v>10</x:v>
      </x:c>
      <x:c r="K38" s="1" t="n">
        <x:v>0</x:v>
      </x:c>
      <x:c r="L38" s="1" t="n">
        <x:v>0</x:v>
      </x:c>
      <x:c r="M38" s="1" t="n">
        <x:v>0</x:v>
      </x:c>
      <x:c r="N38" s="1" t="n">
        <x:v>0</x:v>
      </x:c>
      <x:c r="O38" s="1" t="n">
        <x:v>0</x:v>
      </x:c>
      <x:c r="P38" s="1" t="n">
        <x:v>9</x:v>
      </x:c>
      <x:c r="Q38" s="1" t="s">
        <x:v>5483</x:v>
      </x:c>
      <x:c r="R38" s="1" t="s">
        <x:v>5479</x:v>
      </x:c>
    </x:row>
    <x:row r="39" ht="61.5" hidden="0" customHeight="1">
      <x:c r="A39" s="3" t="s">
        <x:v>2760</x:v>
      </x:c>
      <x:c r="B39" s="3" t="s">
        <x:v>5542</x:v>
      </x:c>
      <x:c r="C39" s="3" t="s">
        <x:v>5538</x:v>
      </x:c>
      <x:c r="D39" s="3" t="n">
        <x:f aca="0">COUNTIF(SCIENTIFIC_CLAIMS!$B$2:$B$1937,A39)</x:f>
        <x:v>15</x:v>
      </x:c>
      <x:c r="E39" s="3" t="s">
        <x:v>50</x:v>
      </x:c>
      <x:c r="F39" s="3" t="s">
        <x:v>45</x:v>
      </x:c>
      <x:c r="G39" s="3"/>
      <x:c r="H39" s="3" t="s">
        <x:v>2764</x:v>
      </x:c>
      <x:c r="I39" s="3" t="s">
        <x:v>5509</x:v>
      </x:c>
      <x:c r="J39" s="1" t="n">
        <x:v>15</x:v>
      </x:c>
      <x:c r="K39" s="1" t="n">
        <x:v>0</x:v>
      </x:c>
      <x:c r="L39" s="1" t="n">
        <x:v>0</x:v>
      </x:c>
      <x:c r="M39" s="1" t="n">
        <x:v>0</x:v>
      </x:c>
      <x:c r="N39" s="1" t="n">
        <x:v>0</x:v>
      </x:c>
      <x:c r="O39" s="1" t="n">
        <x:v>0</x:v>
      </x:c>
      <x:c r="P39" s="1" t="n">
        <x:v>9</x:v>
      </x:c>
      <x:c r="Q39" s="1" t="s">
        <x:v>5483</x:v>
      </x:c>
      <x:c r="R39" s="1" t="s">
        <x:v>5479</x:v>
      </x:c>
    </x:row>
    <x:row r="40" ht="61.5" hidden="0" customHeight="1">
      <x:c r="A40" s="3" t="s">
        <x:v>1910</x:v>
      </x:c>
      <x:c r="B40" s="3" t="s">
        <x:v>5543</x:v>
      </x:c>
      <x:c r="C40" s="3" t="s">
        <x:v>5478</x:v>
      </x:c>
      <x:c r="D40" s="3" t="n">
        <x:f aca="0">COUNTIF(SCIENTIFIC_CLAIMS!$B$2:$B$1937,A40)</x:f>
        <x:v>7</x:v>
      </x:c>
      <x:c r="E40" s="3" t="s">
        <x:v>50</x:v>
      </x:c>
      <x:c r="F40" s="3" t="s">
        <x:v>45</x:v>
      </x:c>
      <x:c r="G40" s="3"/>
      <x:c r="H40" s="3" t="s">
        <x:v>1624</x:v>
      </x:c>
      <x:c r="I40" s="3" t="s">
        <x:v>5509</x:v>
      </x:c>
      <x:c r="J40" s="1" t="n">
        <x:v>7</x:v>
      </x:c>
      <x:c r="K40" s="1" t="n">
        <x:v>0</x:v>
      </x:c>
      <x:c r="L40" s="1" t="n">
        <x:v>0</x:v>
      </x:c>
      <x:c r="M40" s="1" t="n">
        <x:v>0</x:v>
      </x:c>
      <x:c r="N40" s="1" t="n">
        <x:v>0</x:v>
      </x:c>
      <x:c r="O40" s="1" t="n">
        <x:v>0</x:v>
      </x:c>
      <x:c r="P40" s="1" t="n">
        <x:v>7</x:v>
      </x:c>
      <x:c r="Q40" s="1" t="s">
        <x:v>5483</x:v>
      </x:c>
      <x:c r="R40" s="1" t="s">
        <x:v>5479</x:v>
      </x:c>
    </x:row>
    <x:row r="41" ht="27.75" hidden="0" customHeight="1">
      <x:c r="A41" s="3" t="s">
        <x:v>477</x:v>
      </x:c>
      <x:c r="B41" s="3" t="s">
        <x:v>5544</x:v>
      </x:c>
      <x:c r="C41" s="3" t="s">
        <x:v>5532</x:v>
      </x:c>
      <x:c r="D41" s="3" t="n">
        <x:f aca="0">COUNTIF(SCIENTIFIC_CLAIMS!$B$2:$B$1937,A41)</x:f>
        <x:v>24</x:v>
      </x:c>
      <x:c r="E41" s="3" t="s">
        <x:v>48</x:v>
      </x:c>
      <x:c r="F41" s="3" t="s">
        <x:v>5482</x:v>
      </x:c>
      <x:c r="J41" s="1" t="n">
        <x:v>22</x:v>
      </x:c>
      <x:c r="K41" s="1" t="n">
        <x:v>1</x:v>
      </x:c>
      <x:c r="L41" s="1" t="n">
        <x:v>1</x:v>
      </x:c>
      <x:c r="M41" s="1" t="n">
        <x:v>0</x:v>
      </x:c>
      <x:c r="N41" s="1" t="n">
        <x:v>0</x:v>
      </x:c>
      <x:c r="O41" s="1" t="n">
        <x:v>0</x:v>
      </x:c>
      <x:c r="P41" s="1" t="n">
        <x:v>18</x:v>
      </x:c>
      <x:c r="Q41" s="1" t="s">
        <x:v>5483</x:v>
      </x:c>
      <x:c r="R41" s="1" t="s">
        <x:v>5479</x:v>
      </x:c>
    </x:row>
    <x:row r="42" ht="27.75" hidden="0" customHeight="1">
      <x:c r="A42" s="3" t="s">
        <x:v>5111</x:v>
      </x:c>
      <x:c r="B42" s="3" t="s">
        <x:v>5545</x:v>
      </x:c>
      <x:c r="C42" s="3" t="s">
        <x:v>5538</x:v>
      </x:c>
      <x:c r="D42" s="3" t="n">
        <x:f aca="0">COUNTIF(SCIENTIFIC_CLAIMS!$B$2:$B$1937,A42)</x:f>
        <x:v>3</x:v>
      </x:c>
      <x:c r="E42" s="3" t="s">
        <x:v>52</x:v>
      </x:c>
      <x:c r="F42" s="3" t="s">
        <x:v>45</x:v>
      </x:c>
      <x:c r="H42" s="1" t="s">
        <x:v>5060</x:v>
      </x:c>
      <x:c r="I42" s="1" t="s">
        <x:v>5511</x:v>
      </x:c>
      <x:c r="J42" s="1" t="n">
        <x:v>3</x:v>
      </x:c>
      <x:c r="K42" s="1" t="n">
        <x:v>0</x:v>
      </x:c>
      <x:c r="L42" s="1" t="n">
        <x:v>0</x:v>
      </x:c>
      <x:c r="M42" s="1" t="n">
        <x:v>0</x:v>
      </x:c>
      <x:c r="N42" s="1" t="n">
        <x:v>0</x:v>
      </x:c>
      <x:c r="O42" s="1" t="n">
        <x:v>0</x:v>
      </x:c>
      <x:c r="P42" s="1" t="n">
        <x:v>3</x:v>
      </x:c>
      <x:c r="Q42" s="1" t="s">
        <x:v>5488</x:v>
      </x:c>
      <x:c r="R42" s="1" t="s">
        <x:v>5512</x:v>
      </x:c>
    </x:row>
    <x:row r="43" ht="61.5" hidden="0" customHeight="1">
      <x:c r="A43" s="3" t="s">
        <x:v>3993</x:v>
      </x:c>
      <x:c r="B43" s="3" t="s">
        <x:v>5546</x:v>
      </x:c>
      <x:c r="C43" s="3" t="s">
        <x:v>5538</x:v>
      </x:c>
      <x:c r="D43" s="3" t="n">
        <x:f aca="0">COUNTIF(SCIENTIFIC_CLAIMS!$B$2:$B$1937,A43)</x:f>
        <x:v>26</x:v>
      </x:c>
      <x:c r="E43" s="3" t="s">
        <x:v>50</x:v>
      </x:c>
      <x:c r="F43" s="3" t="s">
        <x:v>45</x:v>
      </x:c>
      <x:c r="G43" s="3"/>
      <x:c r="H43" s="3" t="s">
        <x:v>4000</x:v>
      </x:c>
      <x:c r="I43" s="3" t="s">
        <x:v>5509</x:v>
      </x:c>
      <x:c r="J43" s="1" t="n">
        <x:v>25</x:v>
      </x:c>
      <x:c r="K43" s="1" t="n">
        <x:v>1</x:v>
      </x:c>
      <x:c r="L43" s="1" t="n">
        <x:v>0</x:v>
      </x:c>
      <x:c r="M43" s="1" t="n">
        <x:v>0</x:v>
      </x:c>
      <x:c r="N43" s="1" t="n">
        <x:v>0</x:v>
      </x:c>
      <x:c r="O43" s="1" t="n">
        <x:v>0</x:v>
      </x:c>
      <x:c r="P43" s="1" t="n">
        <x:v>13</x:v>
      </x:c>
      <x:c r="Q43" s="1" t="s">
        <x:v>5483</x:v>
      </x:c>
      <x:c r="R43" s="1" t="s">
        <x:v>5479</x:v>
      </x:c>
    </x:row>
    <x:row r="44" ht="61.5" hidden="0" customHeight="1">
      <x:c r="A44" s="3" t="s">
        <x:v>1754</x:v>
      </x:c>
      <x:c r="B44" s="3" t="s">
        <x:v>5547</x:v>
      </x:c>
      <x:c r="C44" s="3" t="s">
        <x:v>5538</x:v>
      </x:c>
      <x:c r="D44" s="3" t="n">
        <x:f aca="0">COUNTIF(SCIENTIFIC_CLAIMS!$B$2:$B$1937,A44)</x:f>
        <x:v>16</x:v>
      </x:c>
      <x:c r="E44" s="3" t="s">
        <x:v>50</x:v>
      </x:c>
      <x:c r="F44" s="3" t="s">
        <x:v>45</x:v>
      </x:c>
      <x:c r="G44" s="3"/>
      <x:c r="H44" s="3" t="s">
        <x:v>1624</x:v>
      </x:c>
      <x:c r="I44" s="3" t="s">
        <x:v>5509</x:v>
      </x:c>
      <x:c r="J44" s="1" t="n">
        <x:v>15</x:v>
      </x:c>
      <x:c r="K44" s="1" t="n">
        <x:v>1</x:v>
      </x:c>
      <x:c r="L44" s="1" t="n">
        <x:v>0</x:v>
      </x:c>
      <x:c r="M44" s="1" t="n">
        <x:v>0</x:v>
      </x:c>
      <x:c r="N44" s="1" t="n">
        <x:v>0</x:v>
      </x:c>
      <x:c r="O44" s="1" t="n">
        <x:v>0</x:v>
      </x:c>
      <x:c r="P44" s="1" t="n">
        <x:v>8</x:v>
      </x:c>
      <x:c r="Q44" s="1" t="s">
        <x:v>5483</x:v>
      </x:c>
      <x:c r="R44" s="1" t="s">
        <x:v>5479</x:v>
      </x:c>
    </x:row>
    <x:row r="45" ht="61.5" hidden="0" customHeight="1">
      <x:c r="A45" s="3" t="s">
        <x:v>1932</x:v>
      </x:c>
      <x:c r="B45" s="3" t="s">
        <x:v>5548</x:v>
      </x:c>
      <x:c r="C45" s="3" t="s">
        <x:v>5486</x:v>
      </x:c>
      <x:c r="D45" s="3" t="n">
        <x:f aca="0">COUNTIF(SCIENTIFIC_CLAIMS!$B$2:$B$1937,A45)</x:f>
        <x:v>20</x:v>
      </x:c>
      <x:c r="E45" s="3" t="s">
        <x:v>50</x:v>
      </x:c>
      <x:c r="F45" s="3" t="s">
        <x:v>45</x:v>
      </x:c>
      <x:c r="G45" s="3"/>
      <x:c r="H45" s="3" t="s">
        <x:v>1624</x:v>
      </x:c>
      <x:c r="I45" s="3" t="s">
        <x:v>5509</x:v>
      </x:c>
      <x:c r="J45" s="1" t="n">
        <x:v>20</x:v>
      </x:c>
      <x:c r="K45" s="1" t="n">
        <x:v>0</x:v>
      </x:c>
      <x:c r="L45" s="1" t="n">
        <x:v>0</x:v>
      </x:c>
      <x:c r="M45" s="1" t="n">
        <x:v>0</x:v>
      </x:c>
      <x:c r="N45" s="1" t="n">
        <x:v>0</x:v>
      </x:c>
      <x:c r="O45" s="1" t="n">
        <x:v>0</x:v>
      </x:c>
      <x:c r="P45" s="1" t="n">
        <x:v>15</x:v>
      </x:c>
      <x:c r="Q45" s="1" t="s">
        <x:v>5483</x:v>
      </x:c>
      <x:c r="R45" s="1" t="s">
        <x:v>5479</x:v>
      </x:c>
    </x:row>
    <x:row r="46" ht="61.5" hidden="0" customHeight="1">
      <x:c r="A46" s="3" t="s">
        <x:v>2802</x:v>
      </x:c>
      <x:c r="B46" s="3" t="s">
        <x:v>5549</x:v>
      </x:c>
      <x:c r="C46" s="3" t="s">
        <x:v>5486</x:v>
      </x:c>
      <x:c r="D46" s="3" t="n">
        <x:f aca="0">COUNTIF(SCIENTIFIC_CLAIMS!$B$2:$B$1937,A46)</x:f>
        <x:v>27</x:v>
      </x:c>
      <x:c r="E46" s="3" t="s">
        <x:v>50</x:v>
      </x:c>
      <x:c r="F46" s="3" t="s">
        <x:v>45</x:v>
      </x:c>
      <x:c r="G46" s="3"/>
      <x:c r="H46" s="3" t="str">
        <x:v>B16</x:v>
      </x:c>
      <x:c r="I46" s="3" t="str">
        <x:v>Supplement not linked on inspected publisher page; existence unresolved.</x:v>
      </x:c>
      <x:c r="J46" s="1" t="n">
        <x:v>20</x:v>
      </x:c>
      <x:c r="K46" s="1" t="n">
        <x:v>2</x:v>
      </x:c>
      <x:c r="L46" s="1" t="n">
        <x:v>0</x:v>
      </x:c>
      <x:c r="M46" s="1" t="n">
        <x:v>2</x:v>
      </x:c>
      <x:c r="N46" s="1" t="n">
        <x:v>3</x:v>
      </x:c>
      <x:c r="O46" s="1" t="n">
        <x:v>0</x:v>
      </x:c>
      <x:c r="P46" s="1" t="n">
        <x:v>13</x:v>
      </x:c>
      <x:c r="Q46" s="1" t="s">
        <x:v>5488</x:v>
      </x:c>
      <x:c r="R46" s="1" t="s">
        <x:v>5479</x:v>
      </x:c>
    </x:row>
    <x:row r="47" ht="61.5" hidden="0" customHeight="1">
      <x:c r="A47" s="3" t="s">
        <x:v>3808</x:v>
      </x:c>
      <x:c r="B47" s="3" t="s">
        <x:v>5550</x:v>
      </x:c>
      <x:c r="C47" s="3" t="s">
        <x:v>5551</x:v>
      </x:c>
      <x:c r="D47" s="3" t="n">
        <x:f aca="0">COUNTIF(SCIENTIFIC_CLAIMS!$B$2:$B$1937,A47)</x:f>
        <x:v>19</x:v>
      </x:c>
      <x:c r="E47" s="3" t="s">
        <x:v>50</x:v>
      </x:c>
      <x:c r="F47" s="3" t="s">
        <x:v>45</x:v>
      </x:c>
      <x:c r="G47" s="3"/>
      <x:c r="H47" s="3" t="s">
        <x:v>3475</x:v>
      </x:c>
      <x:c r="I47" s="3" t="s">
        <x:v>5509</x:v>
      </x:c>
      <x:c r="J47" s="1" t="n">
        <x:v>19</x:v>
      </x:c>
      <x:c r="K47" s="1" t="n">
        <x:v>0</x:v>
      </x:c>
      <x:c r="L47" s="1" t="n">
        <x:v>0</x:v>
      </x:c>
      <x:c r="M47" s="1" t="n">
        <x:v>0</x:v>
      </x:c>
      <x:c r="N47" s="1" t="n">
        <x:v>0</x:v>
      </x:c>
      <x:c r="O47" s="1" t="n">
        <x:v>0</x:v>
      </x:c>
      <x:c r="P47" s="1" t="n">
        <x:v>14</x:v>
      </x:c>
      <x:c r="Q47" s="1" t="s">
        <x:v>5483</x:v>
      </x:c>
      <x:c r="R47" s="1" t="s">
        <x:v>5479</x:v>
      </x:c>
    </x:row>
    <x:row r="48" ht="27.75" hidden="0" customHeight="1">
      <x:c r="A48" s="3" t="s">
        <x:v>5123</x:v>
      </x:c>
      <x:c r="B48" s="3" t="s">
        <x:v>5552</x:v>
      </x:c>
      <x:c r="C48" s="3" t="s">
        <x:v>5486</x:v>
      </x:c>
      <x:c r="D48" s="3" t="n">
        <x:f aca="0">COUNTIF(SCIENTIFIC_CLAIMS!$B$2:$B$1937,A48)</x:f>
        <x:v>3</x:v>
      </x:c>
      <x:c r="E48" s="3" t="s">
        <x:v>52</x:v>
      </x:c>
      <x:c r="F48" s="3" t="s">
        <x:v>45</x:v>
      </x:c>
      <x:c r="H48" s="1" t="s">
        <x:v>5060</x:v>
      </x:c>
      <x:c r="I48" s="1" t="s">
        <x:v>5511</x:v>
      </x:c>
      <x:c r="J48" s="1" t="n">
        <x:v>3</x:v>
      </x:c>
      <x:c r="K48" s="1" t="n">
        <x:v>0</x:v>
      </x:c>
      <x:c r="L48" s="1" t="n">
        <x:v>0</x:v>
      </x:c>
      <x:c r="M48" s="1" t="n">
        <x:v>0</x:v>
      </x:c>
      <x:c r="N48" s="1" t="n">
        <x:v>0</x:v>
      </x:c>
      <x:c r="O48" s="1" t="n">
        <x:v>0</x:v>
      </x:c>
      <x:c r="P48" s="1" t="n">
        <x:v>3</x:v>
      </x:c>
      <x:c r="Q48" s="1" t="s">
        <x:v>5488</x:v>
      </x:c>
      <x:c r="R48" s="1" t="s">
        <x:v>5512</x:v>
      </x:c>
    </x:row>
    <x:row r="49" ht="61.5" hidden="0" customHeight="1">
      <x:c r="A49" s="3" t="s">
        <x:v>3649</x:v>
      </x:c>
      <x:c r="B49" s="3" t="s">
        <x:v>5553</x:v>
      </x:c>
      <x:c r="C49" s="3" t="s">
        <x:v>5554</x:v>
      </x:c>
      <x:c r="D49" s="3" t="n">
        <x:f aca="0">COUNTIF(SCIENTIFIC_CLAIMS!$B$2:$B$1937,A49)</x:f>
        <x:v>16</x:v>
      </x:c>
      <x:c r="E49" s="3" t="s">
        <x:v>50</x:v>
      </x:c>
      <x:c r="F49" s="3" t="s">
        <x:v>45</x:v>
      </x:c>
      <x:c r="G49" s="3"/>
      <x:c r="H49" s="3" t="s">
        <x:v>3475</x:v>
      </x:c>
      <x:c r="I49" s="3" t="s">
        <x:v>5509</x:v>
      </x:c>
      <x:c r="J49" s="1" t="n">
        <x:v>15</x:v>
      </x:c>
      <x:c r="K49" s="1" t="n">
        <x:v>1</x:v>
      </x:c>
      <x:c r="L49" s="1" t="n">
        <x:v>0</x:v>
      </x:c>
      <x:c r="M49" s="1" t="n">
        <x:v>0</x:v>
      </x:c>
      <x:c r="N49" s="1" t="n">
        <x:v>0</x:v>
      </x:c>
      <x:c r="O49" s="1" t="n">
        <x:v>0</x:v>
      </x:c>
      <x:c r="P49" s="1" t="n">
        <x:v>10</x:v>
      </x:c>
      <x:c r="Q49" s="1" t="s">
        <x:v>5483</x:v>
      </x:c>
      <x:c r="R49" s="1" t="s">
        <x:v>5479</x:v>
      </x:c>
    </x:row>
    <x:row r="50" ht="61.5" hidden="0" customHeight="1">
      <x:c r="A50" s="3" t="s">
        <x:v>3721</x:v>
      </x:c>
      <x:c r="B50" s="3" t="s">
        <x:v>5555</x:v>
      </x:c>
      <x:c r="C50" s="3" t="s">
        <x:v>5554</x:v>
      </x:c>
      <x:c r="D50" s="3" t="n">
        <x:f aca="0">COUNTIF(SCIENTIFIC_CLAIMS!$B$2:$B$1937,A50)</x:f>
        <x:v>11</x:v>
      </x:c>
      <x:c r="E50" s="3" t="s">
        <x:v>50</x:v>
      </x:c>
      <x:c r="F50" s="3" t="s">
        <x:v>45</x:v>
      </x:c>
      <x:c r="G50" s="3"/>
      <x:c r="H50" s="3" t="s">
        <x:v>3475</x:v>
      </x:c>
      <x:c r="I50" s="3" t="s">
        <x:v>5509</x:v>
      </x:c>
      <x:c r="J50" s="1" t="n">
        <x:v>10</x:v>
      </x:c>
      <x:c r="K50" s="1" t="n">
        <x:v>1</x:v>
      </x:c>
      <x:c r="L50" s="1" t="n">
        <x:v>0</x:v>
      </x:c>
      <x:c r="M50" s="1" t="n">
        <x:v>0</x:v>
      </x:c>
      <x:c r="N50" s="1" t="n">
        <x:v>0</x:v>
      </x:c>
      <x:c r="O50" s="1" t="n">
        <x:v>0</x:v>
      </x:c>
      <x:c r="P50" s="1" t="n">
        <x:v>8</x:v>
      </x:c>
      <x:c r="Q50" s="1" t="s">
        <x:v>5483</x:v>
      </x:c>
      <x:c r="R50" s="1" t="s">
        <x:v>5479</x:v>
      </x:c>
    </x:row>
    <x:row r="51" ht="61.5" hidden="0" customHeight="1">
      <x:c r="A51" s="3" t="s">
        <x:v>3466</x:v>
      </x:c>
      <x:c r="B51" s="3" t="s">
        <x:v>5556</x:v>
      </x:c>
      <x:c r="C51" s="3" t="s">
        <x:v>5554</x:v>
      </x:c>
      <x:c r="D51" s="3" t="n">
        <x:f aca="0">COUNTIF(SCIENTIFIC_CLAIMS!$B$2:$B$1937,A51)</x:f>
        <x:v>23</x:v>
      </x:c>
      <x:c r="E51" s="3" t="s">
        <x:v>50</x:v>
      </x:c>
      <x:c r="F51" s="3" t="s">
        <x:v>45</x:v>
      </x:c>
      <x:c r="G51" s="3"/>
      <x:c r="H51" s="3" t="s">
        <x:v>3475</x:v>
      </x:c>
      <x:c r="I51" s="3" t="s">
        <x:v>5509</x:v>
      </x:c>
      <x:c r="J51" s="1" t="n">
        <x:v>21</x:v>
      </x:c>
      <x:c r="K51" s="1" t="n">
        <x:v>2</x:v>
      </x:c>
      <x:c r="L51" s="1" t="n">
        <x:v>0</x:v>
      </x:c>
      <x:c r="M51" s="1" t="n">
        <x:v>0</x:v>
      </x:c>
      <x:c r="N51" s="1" t="n">
        <x:v>0</x:v>
      </x:c>
      <x:c r="O51" s="1" t="n">
        <x:v>0</x:v>
      </x:c>
      <x:c r="P51" s="1" t="n">
        <x:v>11</x:v>
      </x:c>
      <x:c r="Q51" s="1" t="s">
        <x:v>5483</x:v>
      </x:c>
      <x:c r="R51" s="1" t="s">
        <x:v>5479</x:v>
      </x:c>
    </x:row>
    <x:row r="52" ht="61.5" hidden="0" customHeight="1">
      <x:c r="A52" s="3" t="s">
        <x:v>3668</x:v>
      </x:c>
      <x:c r="B52" s="3" t="s">
        <x:v>5557</x:v>
      </x:c>
      <x:c r="C52" s="3" t="s">
        <x:v>5554</x:v>
      </x:c>
      <x:c r="D52" s="3" t="n">
        <x:f aca="0">COUNTIF(SCIENTIFIC_CLAIMS!$B$2:$B$1937,A52)</x:f>
        <x:v>22</x:v>
      </x:c>
      <x:c r="E52" s="3" t="s">
        <x:v>50</x:v>
      </x:c>
      <x:c r="F52" s="3" t="s">
        <x:v>45</x:v>
      </x:c>
      <x:c r="G52" s="3"/>
      <x:c r="H52" s="3" t="s">
        <x:v>3475</x:v>
      </x:c>
      <x:c r="I52" s="3" t="s">
        <x:v>5509</x:v>
      </x:c>
      <x:c r="J52" s="1" t="n">
        <x:v>22</x:v>
      </x:c>
      <x:c r="K52" s="1" t="n">
        <x:v>0</x:v>
      </x:c>
      <x:c r="L52" s="1" t="n">
        <x:v>0</x:v>
      </x:c>
      <x:c r="M52" s="1" t="n">
        <x:v>0</x:v>
      </x:c>
      <x:c r="N52" s="1" t="n">
        <x:v>0</x:v>
      </x:c>
      <x:c r="O52" s="1" t="n">
        <x:v>0</x:v>
      </x:c>
      <x:c r="P52" s="1" t="n">
        <x:v>16</x:v>
      </x:c>
      <x:c r="Q52" s="1" t="s">
        <x:v>5483</x:v>
      </x:c>
      <x:c r="R52" s="1" t="s">
        <x:v>5479</x:v>
      </x:c>
    </x:row>
    <x:row r="53" ht="61.5" hidden="0" customHeight="1">
      <x:c r="A53" s="3" t="s">
        <x:v>3759</x:v>
      </x:c>
      <x:c r="B53" s="3" t="s">
        <x:v>5558</x:v>
      </x:c>
      <x:c r="C53" s="3" t="s">
        <x:v>5503</x:v>
      </x:c>
      <x:c r="D53" s="3" t="n">
        <x:f aca="0">COUNTIF(SCIENTIFIC_CLAIMS!$B$2:$B$1937,A53)</x:f>
        <x:v>15</x:v>
      </x:c>
      <x:c r="E53" s="3" t="s">
        <x:v>50</x:v>
      </x:c>
      <x:c r="F53" s="3" t="s">
        <x:v>45</x:v>
      </x:c>
      <x:c r="G53" s="3"/>
      <x:c r="H53" s="3" t="s">
        <x:v>3475</x:v>
      </x:c>
      <x:c r="I53" s="3" t="s">
        <x:v>5509</x:v>
      </x:c>
      <x:c r="J53" s="1" t="n">
        <x:v>15</x:v>
      </x:c>
      <x:c r="K53" s="1" t="n">
        <x:v>0</x:v>
      </x:c>
      <x:c r="L53" s="1" t="n">
        <x:v>0</x:v>
      </x:c>
      <x:c r="M53" s="1" t="n">
        <x:v>0</x:v>
      </x:c>
      <x:c r="N53" s="1" t="n">
        <x:v>0</x:v>
      </x:c>
      <x:c r="O53" s="1" t="n">
        <x:v>0</x:v>
      </x:c>
      <x:c r="P53" s="1" t="n">
        <x:v>11</x:v>
      </x:c>
      <x:c r="Q53" s="1" t="s">
        <x:v>5483</x:v>
      </x:c>
      <x:c r="R53" s="1" t="s">
        <x:v>5479</x:v>
      </x:c>
    </x:row>
    <x:row r="54" ht="27.75" hidden="0" customHeight="1">
      <x:c r="A54" s="3" t="s">
        <x:v>5559</x:v>
      </x:c>
      <x:c r="B54" s="3" t="s">
        <x:v>5560</x:v>
      </x:c>
      <x:c r="C54" s="3" t="s">
        <x:v>5503</x:v>
      </x:c>
      <x:c r="D54" s="3" t="n">
        <x:f aca="0">COUNTIF(SCIENTIFIC_CLAIMS!$B$2:$B$1937,A54)</x:f>
        <x:v>0</x:v>
      </x:c>
      <x:c r="E54" s="3" t="s">
        <x:v>56</x:v>
      </x:c>
      <x:c r="F54" s="3" t="s">
        <x:v>30</x:v>
      </x:c>
      <x:c r="J54" s="1" t="n">
        <x:v>0</x:v>
      </x:c>
      <x:c r="K54" s="1" t="n">
        <x:v>0</x:v>
      </x:c>
      <x:c r="L54" s="1" t="n">
        <x:v>0</x:v>
      </x:c>
      <x:c r="M54" s="1" t="n">
        <x:v>0</x:v>
      </x:c>
      <x:c r="N54" s="1" t="n">
        <x:v>0</x:v>
      </x:c>
      <x:c r="O54" s="1" t="n">
        <x:v>0</x:v>
      </x:c>
      <x:c r="P54" s="1" t="n">
        <x:v>0</x:v>
      </x:c>
      <x:c r="Q54" s="1" t="s">
        <x:v>5488</x:v>
      </x:c>
      <x:c r="R54" s="1" t="s">
        <x:v>5504</x:v>
      </x:c>
    </x:row>
    <x:row r="55" ht="27.75" hidden="0" customHeight="1">
      <x:c r="A55" s="3" t="s">
        <x:v>5134</x:v>
      </x:c>
      <x:c r="B55" s="3" t="s">
        <x:v>5561</x:v>
      </x:c>
      <x:c r="C55" s="3" t="s">
        <x:v>5503</x:v>
      </x:c>
      <x:c r="D55" s="3" t="n">
        <x:f aca="0">COUNTIF(SCIENTIFIC_CLAIMS!$B$2:$B$1937,A55)</x:f>
        <x:v>55</x:v>
      </x:c>
      <x:c r="E55" s="3" t="str">
        <x:v>DETAILED_PARTIAL</x:v>
      </x:c>
      <x:c r="F55" s="3" t="s">
        <x:v>45</x:v>
      </x:c>
      <x:c r="H55" s="1" t="str">
        <x:v>B16</x:v>
      </x:c>
      <x:c r="I55" s="1" t="str">
        <x:v>Read SI Table S2 and code; extract exact lead-specific loss weights.</x:v>
      </x:c>
      <x:c r="J55" s="1" t="n">
        <x:v>53</x:v>
      </x:c>
      <x:c r="K55" s="1" t="n">
        <x:v>1</x:v>
      </x:c>
      <x:c r="L55" s="1" t="n">
        <x:v>1</x:v>
      </x:c>
      <x:c r="M55" s="1" t="n">
        <x:v>0</x:v>
      </x:c>
      <x:c r="N55" s="1" t="n">
        <x:v>0</x:v>
      </x:c>
      <x:c r="O55" s="1" t="n">
        <x:v>0</x:v>
      </x:c>
      <x:c r="P55" s="1" t="n">
        <x:v>30</x:v>
      </x:c>
      <x:c r="Q55" s="1" t="s">
        <x:v>5488</x:v>
      </x:c>
      <x:c r="R55" s="1" t="str">
        <x:v>FULLTEXT</x:v>
      </x:c>
    </x:row>
    <x:row r="56" ht="15" hidden="0" customHeight="1">
      <x:c r="A56" s="3" t="s">
        <x:v>5160</x:v>
      </x:c>
      <x:c r="B56" s="3" t="s">
        <x:v>5562</x:v>
      </x:c>
      <x:c r="C56" s="3" t="s">
        <x:v>5503</x:v>
      </x:c>
      <x:c r="D56" s="3" t="n">
        <x:f aca="0">COUNTIF(SCIENTIFIC_CLAIMS!$B$2:$B$1937,A56)</x:f>
        <x:v>3</x:v>
      </x:c>
      <x:c r="E56" s="3" t="s">
        <x:v>52</x:v>
      </x:c>
      <x:c r="F56" s="3" t="s">
        <x:v>45</x:v>
      </x:c>
      <x:c r="H56" s="1" t="s">
        <x:v>5060</x:v>
      </x:c>
      <x:c r="I56" s="1" t="s">
        <x:v>5511</x:v>
      </x:c>
      <x:c r="J56" s="1" t="n">
        <x:v>2</x:v>
      </x:c>
      <x:c r="K56" s="1" t="n">
        <x:v>1</x:v>
      </x:c>
      <x:c r="L56" s="1" t="n">
        <x:v>0</x:v>
      </x:c>
      <x:c r="M56" s="1" t="n">
        <x:v>0</x:v>
      </x:c>
      <x:c r="N56" s="1" t="n">
        <x:v>0</x:v>
      </x:c>
      <x:c r="O56" s="1" t="n">
        <x:v>0</x:v>
      </x:c>
      <x:c r="P56" s="1" t="n">
        <x:v>3</x:v>
      </x:c>
      <x:c r="Q56" s="1" t="s">
        <x:v>5488</x:v>
      </x:c>
      <x:c r="R56" s="1" t="s">
        <x:v>5512</x:v>
      </x:c>
    </x:row>
    <x:row r="57" ht="61.5" hidden="0" customHeight="1">
      <x:c r="A57" s="3" t="s">
        <x:v>3191</x:v>
      </x:c>
      <x:c r="B57" s="3" t="s">
        <x:v>5563</x:v>
      </x:c>
      <x:c r="C57" s="3" t="s">
        <x:v>5503</x:v>
      </x:c>
      <x:c r="D57" s="3" t="n">
        <x:f aca="0">COUNTIF(SCIENTIFIC_CLAIMS!$B$2:$B$1937,A57)</x:f>
        <x:v>4</x:v>
      </x:c>
      <x:c r="E57" s="3" t="s">
        <x:v>50</x:v>
      </x:c>
      <x:c r="F57" s="3" t="s">
        <x:v>45</x:v>
      </x:c>
      <x:c r="G57" s="3"/>
      <x:c r="H57" s="3" t="s">
        <x:v>2764</x:v>
      </x:c>
      <x:c r="I57" s="3" t="s">
        <x:v>5509</x:v>
      </x:c>
      <x:c r="J57" s="1" t="n">
        <x:v>4</x:v>
      </x:c>
      <x:c r="K57" s="1" t="n">
        <x:v>0</x:v>
      </x:c>
      <x:c r="L57" s="1" t="n">
        <x:v>0</x:v>
      </x:c>
      <x:c r="M57" s="1" t="n">
        <x:v>0</x:v>
      </x:c>
      <x:c r="N57" s="1" t="n">
        <x:v>0</x:v>
      </x:c>
      <x:c r="O57" s="1" t="n">
        <x:v>0</x:v>
      </x:c>
      <x:c r="P57" s="1" t="n">
        <x:v>2</x:v>
      </x:c>
      <x:c r="Q57" s="1" t="s">
        <x:v>5483</x:v>
      </x:c>
      <x:c r="R57" s="1" t="s">
        <x:v>5479</x:v>
      </x:c>
    </x:row>
    <x:row r="58" ht="61.5" hidden="0" customHeight="1">
      <x:c r="A58" s="3" t="s">
        <x:v>3207</x:v>
      </x:c>
      <x:c r="B58" s="3" t="s">
        <x:v>5564</x:v>
      </x:c>
      <x:c r="C58" s="3" t="s">
        <x:v>5503</x:v>
      </x:c>
      <x:c r="D58" s="3" t="n">
        <x:f aca="0">COUNTIF(SCIENTIFIC_CLAIMS!$B$2:$B$1937,A58)</x:f>
        <x:v>10</x:v>
      </x:c>
      <x:c r="E58" s="3" t="s">
        <x:v>50</x:v>
      </x:c>
      <x:c r="F58" s="3" t="s">
        <x:v>45</x:v>
      </x:c>
      <x:c r="G58" s="3"/>
      <x:c r="H58" s="3" t="s">
        <x:v>2764</x:v>
      </x:c>
      <x:c r="I58" s="3" t="s">
        <x:v>5509</x:v>
      </x:c>
      <x:c r="J58" s="1" t="n">
        <x:v>9</x:v>
      </x:c>
      <x:c r="K58" s="1" t="n">
        <x:v>1</x:v>
      </x:c>
      <x:c r="L58" s="1" t="n">
        <x:v>0</x:v>
      </x:c>
      <x:c r="M58" s="1" t="n">
        <x:v>0</x:v>
      </x:c>
      <x:c r="N58" s="1" t="n">
        <x:v>0</x:v>
      </x:c>
      <x:c r="O58" s="1" t="n">
        <x:v>0</x:v>
      </x:c>
      <x:c r="P58" s="1" t="n">
        <x:v>6</x:v>
      </x:c>
      <x:c r="Q58" s="1" t="s">
        <x:v>5483</x:v>
      </x:c>
      <x:c r="R58" s="1" t="s">
        <x:v>5479</x:v>
      </x:c>
    </x:row>
    <x:row r="59" ht="27.75" hidden="0" customHeight="1">
      <x:c r="A59" s="3" t="s">
        <x:v>4585</x:v>
      </x:c>
      <x:c r="B59" s="3" t="s">
        <x:v>5565</x:v>
      </x:c>
      <x:c r="C59" s="3" t="s">
        <x:v>5503</x:v>
      </x:c>
      <x:c r="D59" s="3" t="n">
        <x:f aca="0">COUNTIF(SCIENTIFIC_CLAIMS!$B$2:$B$1937,A59)</x:f>
        <x:v>8</x:v>
      </x:c>
      <x:c r="E59" s="3" t="s">
        <x:v>52</x:v>
      </x:c>
      <x:c r="F59" s="3" t="s">
        <x:v>45</x:v>
      </x:c>
      <x:c r="H59" s="1" t="s">
        <x:v>4342</x:v>
      </x:c>
      <x:c r="I59" s="1" t="s">
        <x:v>5566</x:v>
      </x:c>
      <x:c r="J59" s="1" t="n">
        <x:v>7</x:v>
      </x:c>
      <x:c r="K59" s="1" t="n">
        <x:v>0</x:v>
      </x:c>
      <x:c r="L59" s="1" t="n">
        <x:v>0</x:v>
      </x:c>
      <x:c r="M59" s="1" t="n">
        <x:v>0</x:v>
      </x:c>
      <x:c r="N59" s="1" t="n">
        <x:v>0</x:v>
      </x:c>
      <x:c r="O59" s="1" t="n">
        <x:v>1</x:v>
      </x:c>
      <x:c r="P59" s="1" t="n">
        <x:v>7</x:v>
      </x:c>
      <x:c r="Q59" s="1" t="s">
        <x:v>5488</x:v>
      </x:c>
      <x:c r="R59" s="1" t="s">
        <x:v>5512</x:v>
      </x:c>
    </x:row>
    <x:row r="60" ht="15" hidden="0" customHeight="1">
      <x:c r="A60" s="3" t="s">
        <x:v>715</x:v>
      </x:c>
      <x:c r="B60" s="3" t="s">
        <x:v>5567</x:v>
      </x:c>
      <x:c r="C60" s="3" t="s">
        <x:v>5568</x:v>
      </x:c>
      <x:c r="D60" s="3" t="n">
        <x:f aca="0">COUNTIF(SCIENTIFIC_CLAIMS!$B$2:$B$1937,A60)</x:f>
        <x:v>6</x:v>
      </x:c>
      <x:c r="E60" s="3" t="s">
        <x:v>48</x:v>
      </x:c>
      <x:c r="F60" s="3" t="s">
        <x:v>5482</x:v>
      </x:c>
      <x:c r="J60" s="1" t="n">
        <x:v>6</x:v>
      </x:c>
      <x:c r="K60" s="1" t="n">
        <x:v>0</x:v>
      </x:c>
      <x:c r="L60" s="1" t="n">
        <x:v>0</x:v>
      </x:c>
      <x:c r="M60" s="1" t="n">
        <x:v>0</x:v>
      </x:c>
      <x:c r="N60" s="1" t="n">
        <x:v>0</x:v>
      </x:c>
      <x:c r="O60" s="1" t="n">
        <x:v>0</x:v>
      </x:c>
      <x:c r="P60" s="1" t="n">
        <x:v>3</x:v>
      </x:c>
      <x:c r="Q60" s="1" t="s">
        <x:v>5488</x:v>
      </x:c>
      <x:c r="R60" s="1" t="s">
        <x:v>5479</x:v>
      </x:c>
    </x:row>
    <x:row r="61" ht="61.5" hidden="0" customHeight="1">
      <x:c r="A61" s="3" t="s">
        <x:v>1980</x:v>
      </x:c>
      <x:c r="B61" s="3" t="s">
        <x:v>5569</x:v>
      </x:c>
      <x:c r="C61" s="3" t="s">
        <x:v>5568</x:v>
      </x:c>
      <x:c r="D61" s="3" t="n">
        <x:f aca="0">COUNTIF(SCIENTIFIC_CLAIMS!$B$2:$B$1937,A61)</x:f>
        <x:v>18</x:v>
      </x:c>
      <x:c r="E61" s="3" t="s">
        <x:v>50</x:v>
      </x:c>
      <x:c r="F61" s="3" t="s">
        <x:v>45</x:v>
      </x:c>
      <x:c r="G61" s="3"/>
      <x:c r="H61" s="3" t="s">
        <x:v>1624</x:v>
      </x:c>
      <x:c r="I61" s="3" t="s">
        <x:v>5509</x:v>
      </x:c>
      <x:c r="J61" s="1" t="n">
        <x:v>18</x:v>
      </x:c>
      <x:c r="K61" s="1" t="n">
        <x:v>0</x:v>
      </x:c>
      <x:c r="L61" s="1" t="n">
        <x:v>0</x:v>
      </x:c>
      <x:c r="M61" s="1" t="n">
        <x:v>0</x:v>
      </x:c>
      <x:c r="N61" s="1" t="n">
        <x:v>0</x:v>
      </x:c>
      <x:c r="O61" s="1" t="n">
        <x:v>0</x:v>
      </x:c>
      <x:c r="P61" s="1" t="n">
        <x:v>13</x:v>
      </x:c>
      <x:c r="Q61" s="1" t="s">
        <x:v>5483</x:v>
      </x:c>
      <x:c r="R61" s="1" t="s">
        <x:v>5479</x:v>
      </x:c>
    </x:row>
    <x:row r="62" ht="61.5" hidden="0" customHeight="1">
      <x:c r="A62" s="3" t="s">
        <x:v>3535</x:v>
      </x:c>
      <x:c r="B62" s="3" t="s">
        <x:v>5570</x:v>
      </x:c>
      <x:c r="C62" s="3" t="s">
        <x:v>5568</x:v>
      </x:c>
      <x:c r="D62" s="3" t="n">
        <x:f aca="0">COUNTIF(SCIENTIFIC_CLAIMS!$B$2:$B$1937,A62)</x:f>
        <x:v>20</x:v>
      </x:c>
      <x:c r="E62" s="3" t="s">
        <x:v>50</x:v>
      </x:c>
      <x:c r="F62" s="3" t="s">
        <x:v>45</x:v>
      </x:c>
      <x:c r="G62" s="3"/>
      <x:c r="H62" s="3" t="s">
        <x:v>3475</x:v>
      </x:c>
      <x:c r="I62" s="3" t="s">
        <x:v>5509</x:v>
      </x:c>
      <x:c r="J62" s="1" t="n">
        <x:v>19</x:v>
      </x:c>
      <x:c r="K62" s="1" t="n">
        <x:v>1</x:v>
      </x:c>
      <x:c r="L62" s="1" t="n">
        <x:v>0</x:v>
      </x:c>
      <x:c r="M62" s="1" t="n">
        <x:v>0</x:v>
      </x:c>
      <x:c r="N62" s="1" t="n">
        <x:v>0</x:v>
      </x:c>
      <x:c r="O62" s="1" t="n">
        <x:v>0</x:v>
      </x:c>
      <x:c r="P62" s="1" t="n">
        <x:v>12</x:v>
      </x:c>
      <x:c r="Q62" s="1" t="s">
        <x:v>5483</x:v>
      </x:c>
      <x:c r="R62" s="1" t="s">
        <x:v>5479</x:v>
      </x:c>
    </x:row>
    <x:row r="63" ht="27.75" hidden="0" customHeight="1">
      <x:c r="A63" s="3" t="s">
        <x:v>730</x:v>
      </x:c>
      <x:c r="B63" s="3" t="s">
        <x:v>5571</x:v>
      </x:c>
      <x:c r="C63" s="3" t="s">
        <x:v>5568</x:v>
      </x:c>
      <x:c r="D63" s="3" t="n">
        <x:f aca="0">COUNTIF(SCIENTIFIC_CLAIMS!$B$2:$B$1937,A63)</x:f>
        <x:v>8</x:v>
      </x:c>
      <x:c r="E63" s="3" t="s">
        <x:v>48</x:v>
      </x:c>
      <x:c r="F63" s="3" t="s">
        <x:v>5482</x:v>
      </x:c>
      <x:c r="J63" s="1" t="n">
        <x:v>7</x:v>
      </x:c>
      <x:c r="K63" s="1" t="n">
        <x:v>1</x:v>
      </x:c>
      <x:c r="L63" s="1" t="n">
        <x:v>0</x:v>
      </x:c>
      <x:c r="M63" s="1" t="n">
        <x:v>0</x:v>
      </x:c>
      <x:c r="N63" s="1" t="n">
        <x:v>0</x:v>
      </x:c>
      <x:c r="O63" s="1" t="n">
        <x:v>0</x:v>
      </x:c>
      <x:c r="P63" s="1" t="n">
        <x:v>7</x:v>
      </x:c>
      <x:c r="Q63" s="1" t="s">
        <x:v>5483</x:v>
      </x:c>
      <x:c r="R63" s="1" t="s">
        <x:v>5479</x:v>
      </x:c>
    </x:row>
    <x:row r="64" ht="15" hidden="0" customHeight="1">
      <x:c r="A64" s="3" t="s">
        <x:v>752</x:v>
      </x:c>
      <x:c r="B64" s="3" t="s">
        <x:v>5572</x:v>
      </x:c>
      <x:c r="C64" s="3" t="s">
        <x:v>5573</x:v>
      </x:c>
      <x:c r="D64" s="3" t="n">
        <x:f aca="0">COUNTIF(SCIENTIFIC_CLAIMS!$B$2:$B$1937,A64)</x:f>
        <x:v>9</x:v>
      </x:c>
      <x:c r="E64" s="3" t="s">
        <x:v>48</x:v>
      </x:c>
      <x:c r="F64" s="3" t="s">
        <x:v>5482</x:v>
      </x:c>
      <x:c r="J64" s="1" t="n">
        <x:v>9</x:v>
      </x:c>
      <x:c r="K64" s="1" t="n">
        <x:v>0</x:v>
      </x:c>
      <x:c r="L64" s="1" t="n">
        <x:v>0</x:v>
      </x:c>
      <x:c r="M64" s="1" t="n">
        <x:v>0</x:v>
      </x:c>
      <x:c r="N64" s="1" t="n">
        <x:v>0</x:v>
      </x:c>
      <x:c r="O64" s="1" t="n">
        <x:v>0</x:v>
      </x:c>
      <x:c r="P64" s="1" t="n">
        <x:v>9</x:v>
      </x:c>
      <x:c r="Q64" s="1" t="s">
        <x:v>5483</x:v>
      </x:c>
      <x:c r="R64" s="1" t="s">
        <x:v>5479</x:v>
      </x:c>
    </x:row>
    <x:row r="65" ht="27.75" hidden="0" customHeight="1">
      <x:c r="A65" s="3" t="s">
        <x:v>781</x:v>
      </x:c>
      <x:c r="B65" s="3" t="s">
        <x:v>5574</x:v>
      </x:c>
      <x:c r="C65" s="3" t="s">
        <x:v>5573</x:v>
      </x:c>
      <x:c r="D65" s="3" t="n">
        <x:f aca="0">COUNTIF(SCIENTIFIC_CLAIMS!$B$2:$B$1937,A65)</x:f>
        <x:v>14</x:v>
      </x:c>
      <x:c r="E65" s="3" t="s">
        <x:v>48</x:v>
      </x:c>
      <x:c r="F65" s="3" t="s">
        <x:v>5482</x:v>
      </x:c>
      <x:c r="H65" s="1" t="s">
        <x:v>5247</x:v>
      </x:c>
      <x:c r="J65" s="1" t="n">
        <x:v>12</x:v>
      </x:c>
      <x:c r="K65" s="1" t="n">
        <x:v>1</x:v>
      </x:c>
      <x:c r="L65" s="1" t="n">
        <x:v>0</x:v>
      </x:c>
      <x:c r="M65" s="1" t="n">
        <x:v>1</x:v>
      </x:c>
      <x:c r="N65" s="1" t="n">
        <x:v>0</x:v>
      </x:c>
      <x:c r="O65" s="1" t="n">
        <x:v>0</x:v>
      </x:c>
      <x:c r="P65" s="1" t="n">
        <x:v>12</x:v>
      </x:c>
      <x:c r="Q65" s="1" t="s">
        <x:v>5488</x:v>
      </x:c>
      <x:c r="R65" s="1" t="s">
        <x:v>5479</x:v>
      </x:c>
    </x:row>
    <x:row r="66" ht="61.5" hidden="0" customHeight="1">
      <x:c r="A66" s="3" t="s">
        <x:v>2227</x:v>
      </x:c>
      <x:c r="B66" s="3" t="s">
        <x:v>5575</x:v>
      </x:c>
      <x:c r="C66" s="3" t="s">
        <x:v>5573</x:v>
      </x:c>
      <x:c r="D66" s="3" t="n">
        <x:f aca="0">COUNTIF(SCIENTIFIC_CLAIMS!$B$2:$B$1937,A66)</x:f>
        <x:v>17</x:v>
      </x:c>
      <x:c r="E66" s="3" t="s">
        <x:v>50</x:v>
      </x:c>
      <x:c r="F66" s="3" t="s">
        <x:v>45</x:v>
      </x:c>
      <x:c r="G66" s="3"/>
      <x:c r="H66" s="3" t="s">
        <x:v>1624</x:v>
      </x:c>
      <x:c r="I66" s="3" t="s">
        <x:v>5509</x:v>
      </x:c>
      <x:c r="J66" s="1" t="n">
        <x:v>17</x:v>
      </x:c>
      <x:c r="K66" s="1" t="n">
        <x:v>0</x:v>
      </x:c>
      <x:c r="L66" s="1" t="n">
        <x:v>0</x:v>
      </x:c>
      <x:c r="M66" s="1" t="n">
        <x:v>0</x:v>
      </x:c>
      <x:c r="N66" s="1" t="n">
        <x:v>0</x:v>
      </x:c>
      <x:c r="O66" s="1" t="n">
        <x:v>0</x:v>
      </x:c>
      <x:c r="P66" s="1" t="n">
        <x:v>12</x:v>
      </x:c>
      <x:c r="Q66" s="1" t="s">
        <x:v>5483</x:v>
      </x:c>
      <x:c r="R66" s="1" t="s">
        <x:v>5479</x:v>
      </x:c>
    </x:row>
    <x:row r="67" ht="61.5" hidden="0" customHeight="1">
      <x:c r="A67" s="3" t="s">
        <x:v>2268</x:v>
      </x:c>
      <x:c r="B67" s="3" t="s">
        <x:v>5576</x:v>
      </x:c>
      <x:c r="C67" s="3" t="s">
        <x:v>5573</x:v>
      </x:c>
      <x:c r="D67" s="3" t="n">
        <x:f aca="0">COUNTIF(SCIENTIFIC_CLAIMS!$B$2:$B$1937,A67)</x:f>
        <x:v>15</x:v>
      </x:c>
      <x:c r="E67" s="3" t="s">
        <x:v>50</x:v>
      </x:c>
      <x:c r="F67" s="3" t="s">
        <x:v>45</x:v>
      </x:c>
      <x:c r="G67" s="3"/>
      <x:c r="H67" s="3" t="s">
        <x:v>1624</x:v>
      </x:c>
      <x:c r="I67" s="3" t="s">
        <x:v>5509</x:v>
      </x:c>
      <x:c r="J67" s="1" t="n">
        <x:v>15</x:v>
      </x:c>
      <x:c r="K67" s="1" t="n">
        <x:v>0</x:v>
      </x:c>
      <x:c r="L67" s="1" t="n">
        <x:v>0</x:v>
      </x:c>
      <x:c r="M67" s="1" t="n">
        <x:v>0</x:v>
      </x:c>
      <x:c r="N67" s="1" t="n">
        <x:v>0</x:v>
      </x:c>
      <x:c r="O67" s="1" t="n">
        <x:v>0</x:v>
      </x:c>
      <x:c r="P67" s="1" t="n">
        <x:v>10</x:v>
      </x:c>
      <x:c r="Q67" s="1" t="s">
        <x:v>5483</x:v>
      </x:c>
      <x:c r="R67" s="1" t="s">
        <x:v>5479</x:v>
      </x:c>
    </x:row>
    <x:row r="68" ht="61.5" hidden="0" customHeight="1">
      <x:c r="A68" s="3" t="s">
        <x:v>3142</x:v>
      </x:c>
      <x:c r="B68" s="3" t="s">
        <x:v>5577</x:v>
      </x:c>
      <x:c r="C68" s="3" t="s">
        <x:v>5573</x:v>
      </x:c>
      <x:c r="D68" s="3" t="n">
        <x:f aca="0">COUNTIF(SCIENTIFIC_CLAIMS!$B$2:$B$1937,A68)</x:f>
        <x:v>7</x:v>
      </x:c>
      <x:c r="E68" s="3" t="s">
        <x:v>50</x:v>
      </x:c>
      <x:c r="F68" s="3" t="s">
        <x:v>45</x:v>
      </x:c>
      <x:c r="G68" s="3"/>
      <x:c r="H68" s="3" t="s">
        <x:v>2764</x:v>
      </x:c>
      <x:c r="I68" s="3" t="s">
        <x:v>5509</x:v>
      </x:c>
      <x:c r="J68" s="1" t="n">
        <x:v>7</x:v>
      </x:c>
      <x:c r="K68" s="1" t="n">
        <x:v>0</x:v>
      </x:c>
      <x:c r="L68" s="1" t="n">
        <x:v>0</x:v>
      </x:c>
      <x:c r="M68" s="1" t="n">
        <x:v>0</x:v>
      </x:c>
      <x:c r="N68" s="1" t="n">
        <x:v>0</x:v>
      </x:c>
      <x:c r="O68" s="1" t="n">
        <x:v>0</x:v>
      </x:c>
      <x:c r="P68" s="1" t="n">
        <x:v>6</x:v>
      </x:c>
      <x:c r="Q68" s="1" t="s">
        <x:v>5483</x:v>
      </x:c>
      <x:c r="R68" s="1" t="s">
        <x:v>5479</x:v>
      </x:c>
    </x:row>
    <x:row r="69" ht="61.5" hidden="0" customHeight="1">
      <x:c r="A69" s="3" t="s">
        <x:v>2025</x:v>
      </x:c>
      <x:c r="B69" s="3" t="s">
        <x:v>5578</x:v>
      </x:c>
      <x:c r="C69" s="3" t="s">
        <x:v>5579</x:v>
      </x:c>
      <x:c r="D69" s="3" t="n">
        <x:f aca="0">COUNTIF(SCIENTIFIC_CLAIMS!$B$2:$B$1937,A69)</x:f>
        <x:v>21</x:v>
      </x:c>
      <x:c r="E69" s="3" t="s">
        <x:v>50</x:v>
      </x:c>
      <x:c r="F69" s="3" t="s">
        <x:v>45</x:v>
      </x:c>
      <x:c r="G69" s="3"/>
      <x:c r="H69" s="3" t="s">
        <x:v>1624</x:v>
      </x:c>
      <x:c r="I69" s="3" t="s">
        <x:v>5509</x:v>
      </x:c>
      <x:c r="J69" s="1" t="n">
        <x:v>20</x:v>
      </x:c>
      <x:c r="K69" s="1" t="n">
        <x:v>1</x:v>
      </x:c>
      <x:c r="L69" s="1" t="n">
        <x:v>0</x:v>
      </x:c>
      <x:c r="M69" s="1" t="n">
        <x:v>0</x:v>
      </x:c>
      <x:c r="N69" s="1" t="n">
        <x:v>0</x:v>
      </x:c>
      <x:c r="O69" s="1" t="n">
        <x:v>0</x:v>
      </x:c>
      <x:c r="P69" s="1" t="n">
        <x:v>15</x:v>
      </x:c>
      <x:c r="Q69" s="1" t="s">
        <x:v>5483</x:v>
      </x:c>
      <x:c r="R69" s="1" t="s">
        <x:v>5479</x:v>
      </x:c>
    </x:row>
    <x:row r="70" ht="27.75" hidden="0" customHeight="1">
      <x:c r="A70" s="3" t="s">
        <x:v>5580</x:v>
      </x:c>
      <x:c r="B70" s="3" t="s">
        <x:v>5581</x:v>
      </x:c>
      <x:c r="C70" s="3" t="s">
        <x:v>5582</x:v>
      </x:c>
      <x:c r="D70" s="3" t="n">
        <x:f aca="0">COUNTIF(SCIENTIFIC_CLAIMS!$B$2:$B$1937,A70)</x:f>
        <x:v>0</x:v>
      </x:c>
      <x:c r="E70" s="3" t="s">
        <x:v>56</x:v>
      </x:c>
      <x:c r="F70" s="3" t="s">
        <x:v>30</x:v>
      </x:c>
      <x:c r="J70" s="1" t="n">
        <x:v>0</x:v>
      </x:c>
      <x:c r="K70" s="1" t="n">
        <x:v>0</x:v>
      </x:c>
      <x:c r="L70" s="1" t="n">
        <x:v>0</x:v>
      </x:c>
      <x:c r="M70" s="1" t="n">
        <x:v>0</x:v>
      </x:c>
      <x:c r="N70" s="1" t="n">
        <x:v>0</x:v>
      </x:c>
      <x:c r="O70" s="1" t="n">
        <x:v>0</x:v>
      </x:c>
      <x:c r="P70" s="1" t="n">
        <x:v>0</x:v>
      </x:c>
      <x:c r="Q70" s="1" t="s">
        <x:v>5488</x:v>
      </x:c>
      <x:c r="R70" s="1" t="s">
        <x:v>5504</x:v>
      </x:c>
    </x:row>
    <x:row r="71" ht="27.75" hidden="0" customHeight="1">
      <x:c r="A71" s="3" t="s">
        <x:v>5583</x:v>
      </x:c>
      <x:c r="B71" s="3" t="s">
        <x:v>5584</x:v>
      </x:c>
      <x:c r="C71" s="3" t="s">
        <x:v>5582</x:v>
      </x:c>
      <x:c r="D71" s="3" t="n">
        <x:f aca="0">COUNTIF(SCIENTIFIC_CLAIMS!$B$2:$B$1937,A71)</x:f>
        <x:v>0</x:v>
      </x:c>
      <x:c r="E71" s="3" t="s">
        <x:v>56</x:v>
      </x:c>
      <x:c r="F71" s="3" t="s">
        <x:v>30</x:v>
      </x:c>
      <x:c r="J71" s="1" t="n">
        <x:v>0</x:v>
      </x:c>
      <x:c r="K71" s="1" t="n">
        <x:v>0</x:v>
      </x:c>
      <x:c r="L71" s="1" t="n">
        <x:v>0</x:v>
      </x:c>
      <x:c r="M71" s="1" t="n">
        <x:v>0</x:v>
      </x:c>
      <x:c r="N71" s="1" t="n">
        <x:v>0</x:v>
      </x:c>
      <x:c r="O71" s="1" t="n">
        <x:v>0</x:v>
      </x:c>
      <x:c r="P71" s="1" t="n">
        <x:v>0</x:v>
      </x:c>
      <x:c r="Q71" s="1" t="s">
        <x:v>5488</x:v>
      </x:c>
      <x:c r="R71" s="1" t="s">
        <x:v>5504</x:v>
      </x:c>
    </x:row>
    <x:row r="72" ht="27.75" hidden="0" customHeight="1">
      <x:c r="A72" s="3" t="s">
        <x:v>5585</x:v>
      </x:c>
      <x:c r="B72" s="3" t="s">
        <x:v>5586</x:v>
      </x:c>
      <x:c r="C72" s="3" t="s">
        <x:v>5582</x:v>
      </x:c>
      <x:c r="D72" s="3" t="n">
        <x:f aca="0">COUNTIF(SCIENTIFIC_CLAIMS!$B$2:$B$1937,A72)</x:f>
        <x:v>0</x:v>
      </x:c>
      <x:c r="E72" s="3" t="s">
        <x:v>56</x:v>
      </x:c>
      <x:c r="F72" s="3" t="s">
        <x:v>30</x:v>
      </x:c>
      <x:c r="J72" s="1" t="n">
        <x:v>0</x:v>
      </x:c>
      <x:c r="K72" s="1" t="n">
        <x:v>0</x:v>
      </x:c>
      <x:c r="L72" s="1" t="n">
        <x:v>0</x:v>
      </x:c>
      <x:c r="M72" s="1" t="n">
        <x:v>0</x:v>
      </x:c>
      <x:c r="N72" s="1" t="n">
        <x:v>0</x:v>
      </x:c>
      <x:c r="O72" s="1" t="n">
        <x:v>0</x:v>
      </x:c>
      <x:c r="P72" s="1" t="n">
        <x:v>0</x:v>
      </x:c>
      <x:c r="Q72" s="1" t="s">
        <x:v>5488</x:v>
      </x:c>
      <x:c r="R72" s="1" t="s">
        <x:v>5504</x:v>
      </x:c>
    </x:row>
    <x:row r="73" ht="27.75" hidden="0" customHeight="1">
      <x:c r="A73" s="3" t="s">
        <x:v>5587</x:v>
      </x:c>
      <x:c r="B73" s="3" t="s">
        <x:v>5588</x:v>
      </x:c>
      <x:c r="C73" s="3" t="s">
        <x:v>5582</x:v>
      </x:c>
      <x:c r="D73" s="3" t="n">
        <x:f aca="0">COUNTIF(SCIENTIFIC_CLAIMS!$B$2:$B$1937,A73)</x:f>
        <x:v>0</x:v>
      </x:c>
      <x:c r="E73" s="3" t="s">
        <x:v>56</x:v>
      </x:c>
      <x:c r="F73" s="3" t="s">
        <x:v>30</x:v>
      </x:c>
      <x:c r="J73" s="1" t="n">
        <x:v>0</x:v>
      </x:c>
      <x:c r="K73" s="1" t="n">
        <x:v>0</x:v>
      </x:c>
      <x:c r="L73" s="1" t="n">
        <x:v>0</x:v>
      </x:c>
      <x:c r="M73" s="1" t="n">
        <x:v>0</x:v>
      </x:c>
      <x:c r="N73" s="1" t="n">
        <x:v>0</x:v>
      </x:c>
      <x:c r="O73" s="1" t="n">
        <x:v>0</x:v>
      </x:c>
      <x:c r="P73" s="1" t="n">
        <x:v>0</x:v>
      </x:c>
      <x:c r="Q73" s="1" t="s">
        <x:v>5488</x:v>
      </x:c>
      <x:c r="R73" s="1" t="s">
        <x:v>5504</x:v>
      </x:c>
    </x:row>
    <x:row r="74" ht="27.75" hidden="0" customHeight="1">
      <x:c r="A74" s="3" t="s">
        <x:v>5589</x:v>
      </x:c>
      <x:c r="B74" s="3" t="s">
        <x:v>5590</x:v>
      </x:c>
      <x:c r="C74" s="3" t="s">
        <x:v>5582</x:v>
      </x:c>
      <x:c r="D74" s="3" t="n">
        <x:f aca="0">COUNTIF(SCIENTIFIC_CLAIMS!$B$2:$B$1937,A74)</x:f>
        <x:v>0</x:v>
      </x:c>
      <x:c r="E74" s="3" t="s">
        <x:v>56</x:v>
      </x:c>
      <x:c r="F74" s="3" t="s">
        <x:v>30</x:v>
      </x:c>
      <x:c r="J74" s="1" t="n">
        <x:v>0</x:v>
      </x:c>
      <x:c r="K74" s="1" t="n">
        <x:v>0</x:v>
      </x:c>
      <x:c r="L74" s="1" t="n">
        <x:v>0</x:v>
      </x:c>
      <x:c r="M74" s="1" t="n">
        <x:v>0</x:v>
      </x:c>
      <x:c r="N74" s="1" t="n">
        <x:v>0</x:v>
      </x:c>
      <x:c r="O74" s="1" t="n">
        <x:v>0</x:v>
      </x:c>
      <x:c r="P74" s="1" t="n">
        <x:v>0</x:v>
      </x:c>
      <x:c r="Q74" s="1" t="s">
        <x:v>5488</x:v>
      </x:c>
      <x:c r="R74" s="1" t="s">
        <x:v>5504</x:v>
      </x:c>
    </x:row>
    <x:row r="75" ht="61.5" hidden="0" customHeight="1">
      <x:c r="A75" s="3" t="s">
        <x:v>2830</x:v>
      </x:c>
      <x:c r="B75" s="3" t="s">
        <x:v>5591</x:v>
      </x:c>
      <x:c r="C75" s="3" t="s">
        <x:v>5592</x:v>
      </x:c>
      <x:c r="D75" s="3" t="n">
        <x:f aca="0">COUNTIF(SCIENTIFIC_CLAIMS!$B$2:$B$1937,A75)</x:f>
        <x:v>18</x:v>
      </x:c>
      <x:c r="E75" s="3" t="s">
        <x:v>50</x:v>
      </x:c>
      <x:c r="F75" s="3" t="s">
        <x:v>45</x:v>
      </x:c>
      <x:c r="G75" s="3"/>
      <x:c r="H75" s="3" t="s">
        <x:v>2764</x:v>
      </x:c>
      <x:c r="I75" s="3" t="s">
        <x:v>5509</x:v>
      </x:c>
      <x:c r="J75" s="1" t="n">
        <x:v>18</x:v>
      </x:c>
      <x:c r="K75" s="1" t="n">
        <x:v>0</x:v>
      </x:c>
      <x:c r="L75" s="1" t="n">
        <x:v>0</x:v>
      </x:c>
      <x:c r="M75" s="1" t="n">
        <x:v>0</x:v>
      </x:c>
      <x:c r="N75" s="1" t="n">
        <x:v>0</x:v>
      </x:c>
      <x:c r="O75" s="1" t="n">
        <x:v>0</x:v>
      </x:c>
      <x:c r="P75" s="1" t="n">
        <x:v>12</x:v>
      </x:c>
      <x:c r="Q75" s="1" t="s">
        <x:v>5483</x:v>
      </x:c>
      <x:c r="R75" s="1" t="s">
        <x:v>5479</x:v>
      </x:c>
    </x:row>
    <x:row r="76" ht="61.5" hidden="0" customHeight="1">
      <x:c r="A76" s="3" t="s">
        <x:v>2306</x:v>
      </x:c>
      <x:c r="B76" s="3" t="s">
        <x:v>5593</x:v>
      </x:c>
      <x:c r="C76" s="3" t="s">
        <x:v>5592</x:v>
      </x:c>
      <x:c r="D76" s="3" t="n">
        <x:f aca="0">COUNTIF(SCIENTIFIC_CLAIMS!$B$2:$B$1937,A76)</x:f>
        <x:v>16</x:v>
      </x:c>
      <x:c r="E76" s="3" t="s">
        <x:v>50</x:v>
      </x:c>
      <x:c r="F76" s="3" t="s">
        <x:v>45</x:v>
      </x:c>
      <x:c r="G76" s="3"/>
      <x:c r="H76" s="3" t="s">
        <x:v>1624</x:v>
      </x:c>
      <x:c r="I76" s="3" t="s">
        <x:v>5509</x:v>
      </x:c>
      <x:c r="J76" s="1" t="n">
        <x:v>15</x:v>
      </x:c>
      <x:c r="K76" s="1" t="n">
        <x:v>1</x:v>
      </x:c>
      <x:c r="L76" s="1" t="n">
        <x:v>0</x:v>
      </x:c>
      <x:c r="M76" s="1" t="n">
        <x:v>0</x:v>
      </x:c>
      <x:c r="N76" s="1" t="n">
        <x:v>0</x:v>
      </x:c>
      <x:c r="O76" s="1" t="n">
        <x:v>0</x:v>
      </x:c>
      <x:c r="P76" s="1" t="n">
        <x:v>13</x:v>
      </x:c>
      <x:c r="Q76" s="1" t="s">
        <x:v>5483</x:v>
      </x:c>
      <x:c r="R76" s="1" t="s">
        <x:v>5479</x:v>
      </x:c>
    </x:row>
    <x:row r="77" ht="61.5" hidden="0" customHeight="1">
      <x:c r="A77" s="3" t="s">
        <x:v>2554</x:v>
      </x:c>
      <x:c r="B77" s="3" t="s">
        <x:v>5594</x:v>
      </x:c>
      <x:c r="C77" s="3" t="s">
        <x:v>5592</x:v>
      </x:c>
      <x:c r="D77" s="3" t="n">
        <x:f aca="0">COUNTIF(SCIENTIFIC_CLAIMS!$B$2:$B$1937,A77)</x:f>
        <x:v>17</x:v>
      </x:c>
      <x:c r="E77" s="3" t="s">
        <x:v>50</x:v>
      </x:c>
      <x:c r="F77" s="3" t="s">
        <x:v>45</x:v>
      </x:c>
      <x:c r="G77" s="3"/>
      <x:c r="H77" s="3" t="s">
        <x:v>1624</x:v>
      </x:c>
      <x:c r="I77" s="3" t="s">
        <x:v>5509</x:v>
      </x:c>
      <x:c r="J77" s="1" t="n">
        <x:v>17</x:v>
      </x:c>
      <x:c r="K77" s="1" t="n">
        <x:v>0</x:v>
      </x:c>
      <x:c r="L77" s="1" t="n">
        <x:v>0</x:v>
      </x:c>
      <x:c r="M77" s="1" t="n">
        <x:v>0</x:v>
      </x:c>
      <x:c r="N77" s="1" t="n">
        <x:v>0</x:v>
      </x:c>
      <x:c r="O77" s="1" t="n">
        <x:v>0</x:v>
      </x:c>
      <x:c r="P77" s="1" t="n">
        <x:v>11</x:v>
      </x:c>
      <x:c r="Q77" s="1" t="s">
        <x:v>5483</x:v>
      </x:c>
      <x:c r="R77" s="1" t="s">
        <x:v>5479</x:v>
      </x:c>
    </x:row>
    <x:row r="78" ht="27.75" hidden="0" customHeight="1">
      <x:c r="A78" s="3" t="s">
        <x:v>4833</x:v>
      </x:c>
      <x:c r="B78" s="3" t="s">
        <x:v>5595</x:v>
      </x:c>
      <x:c r="C78" s="3" t="s">
        <x:v>5592</x:v>
      </x:c>
      <x:c r="D78" s="3" t="n">
        <x:f aca="0">COUNTIF(SCIENTIFIC_CLAIMS!$B$2:$B$1937,A78)</x:f>
        <x:v>34</x:v>
      </x:c>
      <x:c r="E78" s="3" t="s">
        <x:v>50</x:v>
      </x:c>
      <x:c r="F78" s="3" t="s">
        <x:v>45</x:v>
      </x:c>
      <x:c r="H78" s="1" t="s">
        <x:v>5247</x:v>
      </x:c>
      <x:c r="I78" s="1" t="s">
        <x:v>5596</x:v>
      </x:c>
      <x:c r="J78" s="1" t="n">
        <x:v>27</x:v>
      </x:c>
      <x:c r="K78" s="1" t="n">
        <x:v>2</x:v>
      </x:c>
      <x:c r="L78" s="1" t="n">
        <x:v>0</x:v>
      </x:c>
      <x:c r="M78" s="1" t="n">
        <x:v>5</x:v>
      </x:c>
      <x:c r="N78" s="1" t="n">
        <x:v>0</x:v>
      </x:c>
      <x:c r="O78" s="1" t="n">
        <x:v>0</x:v>
      </x:c>
      <x:c r="P78" s="1" t="n">
        <x:v>11</x:v>
      </x:c>
      <x:c r="Q78" s="1" t="s">
        <x:v>5488</x:v>
      </x:c>
      <x:c r="R78" s="1" t="s">
        <x:v>5507</x:v>
      </x:c>
    </x:row>
    <x:row r="79" ht="61.5" hidden="0" customHeight="1">
      <x:c r="A79" s="3" t="s">
        <x:v>3247</x:v>
      </x:c>
      <x:c r="B79" s="3" t="s">
        <x:v>5597</x:v>
      </x:c>
      <x:c r="C79" s="3" t="s">
        <x:v>5592</x:v>
      </x:c>
      <x:c r="D79" s="3" t="n">
        <x:f aca="0">COUNTIF(SCIENTIFIC_CLAIMS!$B$2:$B$1937,A79)</x:f>
        <x:v>12</x:v>
      </x:c>
      <x:c r="E79" s="3" t="s">
        <x:v>50</x:v>
      </x:c>
      <x:c r="F79" s="3" t="s">
        <x:v>45</x:v>
      </x:c>
      <x:c r="G79" s="3"/>
      <x:c r="H79" s="3" t="s">
        <x:v>2764</x:v>
      </x:c>
      <x:c r="I79" s="3" t="s">
        <x:v>5509</x:v>
      </x:c>
      <x:c r="J79" s="1" t="n">
        <x:v>11</x:v>
      </x:c>
      <x:c r="K79" s="1" t="n">
        <x:v>1</x:v>
      </x:c>
      <x:c r="L79" s="1" t="n">
        <x:v>0</x:v>
      </x:c>
      <x:c r="M79" s="1" t="n">
        <x:v>0</x:v>
      </x:c>
      <x:c r="N79" s="1" t="n">
        <x:v>0</x:v>
      </x:c>
      <x:c r="O79" s="1" t="n">
        <x:v>0</x:v>
      </x:c>
      <x:c r="P79" s="1" t="n">
        <x:v>8</x:v>
      </x:c>
      <x:c r="Q79" s="1" t="s">
        <x:v>5483</x:v>
      </x:c>
      <x:c r="R79" s="1" t="s">
        <x:v>5479</x:v>
      </x:c>
    </x:row>
    <x:row r="80" ht="61.5" hidden="0" customHeight="1">
      <x:c r="A80" s="3" t="s">
        <x:v>3296</x:v>
      </x:c>
      <x:c r="B80" s="3" t="s">
        <x:v>5598</x:v>
      </x:c>
      <x:c r="C80" s="3" t="s">
        <x:v>5599</x:v>
      </x:c>
      <x:c r="D80" s="3" t="n">
        <x:f aca="0">COUNTIF(SCIENTIFIC_CLAIMS!$B$2:$B$1937,A80)</x:f>
        <x:v>12</x:v>
      </x:c>
      <x:c r="E80" s="3" t="s">
        <x:v>50</x:v>
      </x:c>
      <x:c r="F80" s="3" t="s">
        <x:v>45</x:v>
      </x:c>
      <x:c r="G80" s="3"/>
      <x:c r="H80" s="3" t="s">
        <x:v>2764</x:v>
      </x:c>
      <x:c r="I80" s="3" t="s">
        <x:v>5509</x:v>
      </x:c>
      <x:c r="J80" s="1" t="n">
        <x:v>10</x:v>
      </x:c>
      <x:c r="K80" s="1" t="n">
        <x:v>2</x:v>
      </x:c>
      <x:c r="L80" s="1" t="n">
        <x:v>0</x:v>
      </x:c>
      <x:c r="M80" s="1" t="n">
        <x:v>0</x:v>
      </x:c>
      <x:c r="N80" s="1" t="n">
        <x:v>0</x:v>
      </x:c>
      <x:c r="O80" s="1" t="n">
        <x:v>0</x:v>
      </x:c>
      <x:c r="P80" s="1" t="n">
        <x:v>7</x:v>
      </x:c>
      <x:c r="Q80" s="1" t="s">
        <x:v>5483</x:v>
      </x:c>
      <x:c r="R80" s="1" t="s">
        <x:v>5479</x:v>
      </x:c>
    </x:row>
    <x:row r="81" ht="61.5" hidden="0" customHeight="1">
      <x:c r="A81" s="3" t="s">
        <x:v>3029</x:v>
      </x:c>
      <x:c r="B81" s="3" t="s">
        <x:v>5600</x:v>
      </x:c>
      <x:c r="C81" s="3" t="s">
        <x:v>5601</x:v>
      </x:c>
      <x:c r="D81" s="3" t="n">
        <x:f aca="0">COUNTIF(SCIENTIFIC_CLAIMS!$B$2:$B$1937,A81)</x:f>
        <x:v>11</x:v>
      </x:c>
      <x:c r="E81" s="3" t="s">
        <x:v>50</x:v>
      </x:c>
      <x:c r="F81" s="3" t="s">
        <x:v>45</x:v>
      </x:c>
      <x:c r="G81" s="3"/>
      <x:c r="H81" s="3" t="s">
        <x:v>2764</x:v>
      </x:c>
      <x:c r="I81" s="3" t="s">
        <x:v>5509</x:v>
      </x:c>
      <x:c r="J81" s="1" t="n">
        <x:v>11</x:v>
      </x:c>
      <x:c r="K81" s="1" t="n">
        <x:v>0</x:v>
      </x:c>
      <x:c r="L81" s="1" t="n">
        <x:v>0</x:v>
      </x:c>
      <x:c r="M81" s="1" t="n">
        <x:v>0</x:v>
      </x:c>
      <x:c r="N81" s="1" t="n">
        <x:v>0</x:v>
      </x:c>
      <x:c r="O81" s="1" t="n">
        <x:v>0</x:v>
      </x:c>
      <x:c r="P81" s="1" t="n">
        <x:v>6</x:v>
      </x:c>
      <x:c r="Q81" s="1" t="s">
        <x:v>5483</x:v>
      </x:c>
      <x:c r="R81" s="1" t="s">
        <x:v>5479</x:v>
      </x:c>
    </x:row>
    <x:row r="82" ht="61.5" hidden="0" customHeight="1">
      <x:c r="A82" s="3" t="s">
        <x:v>3064</x:v>
      </x:c>
      <x:c r="B82" s="3" t="s">
        <x:v>5602</x:v>
      </x:c>
      <x:c r="C82" s="3" t="s">
        <x:v>5603</x:v>
      </x:c>
      <x:c r="D82" s="3" t="n">
        <x:f aca="0">COUNTIF(SCIENTIFIC_CLAIMS!$B$2:$B$1937,A82)</x:f>
        <x:v>12</x:v>
      </x:c>
      <x:c r="E82" s="3" t="s">
        <x:v>50</x:v>
      </x:c>
      <x:c r="F82" s="3" t="s">
        <x:v>45</x:v>
      </x:c>
      <x:c r="G82" s="3"/>
      <x:c r="H82" s="3" t="s">
        <x:v>2764</x:v>
      </x:c>
      <x:c r="I82" s="3" t="s">
        <x:v>5509</x:v>
      </x:c>
      <x:c r="J82" s="1" t="n">
        <x:v>12</x:v>
      </x:c>
      <x:c r="K82" s="1" t="n">
        <x:v>0</x:v>
      </x:c>
      <x:c r="L82" s="1" t="n">
        <x:v>0</x:v>
      </x:c>
      <x:c r="M82" s="1" t="n">
        <x:v>0</x:v>
      </x:c>
      <x:c r="N82" s="1" t="n">
        <x:v>0</x:v>
      </x:c>
      <x:c r="O82" s="1" t="n">
        <x:v>0</x:v>
      </x:c>
      <x:c r="P82" s="1" t="n">
        <x:v>7</x:v>
      </x:c>
      <x:c r="Q82" s="1" t="s">
        <x:v>5483</x:v>
      </x:c>
      <x:c r="R82" s="1" t="s">
        <x:v>5479</x:v>
      </x:c>
    </x:row>
    <x:row r="83" ht="61.5" hidden="0" customHeight="1">
      <x:c r="A83" s="3" t="s">
        <x:v>2344</x:v>
      </x:c>
      <x:c r="B83" s="3" t="s">
        <x:v>5604</x:v>
      </x:c>
      <x:c r="C83" s="3" t="s">
        <x:v>5603</x:v>
      </x:c>
      <x:c r="D83" s="3" t="n">
        <x:f aca="0">COUNTIF(SCIENTIFIC_CLAIMS!$B$2:$B$1937,A83)</x:f>
        <x:v>17</x:v>
      </x:c>
      <x:c r="E83" s="3" t="s">
        <x:v>50</x:v>
      </x:c>
      <x:c r="F83" s="3" t="s">
        <x:v>45</x:v>
      </x:c>
      <x:c r="G83" s="3"/>
      <x:c r="H83" s="3" t="s">
        <x:v>1624</x:v>
      </x:c>
      <x:c r="I83" s="3" t="s">
        <x:v>5509</x:v>
      </x:c>
      <x:c r="J83" s="1" t="n">
        <x:v>17</x:v>
      </x:c>
      <x:c r="K83" s="1" t="n">
        <x:v>0</x:v>
      </x:c>
      <x:c r="L83" s="1" t="n">
        <x:v>0</x:v>
      </x:c>
      <x:c r="M83" s="1" t="n">
        <x:v>0</x:v>
      </x:c>
      <x:c r="N83" s="1" t="n">
        <x:v>0</x:v>
      </x:c>
      <x:c r="O83" s="1" t="n">
        <x:v>0</x:v>
      </x:c>
      <x:c r="P83" s="1" t="n">
        <x:v>13</x:v>
      </x:c>
      <x:c r="Q83" s="1" t="s">
        <x:v>5483</x:v>
      </x:c>
      <x:c r="R83" s="1" t="s">
        <x:v>5479</x:v>
      </x:c>
    </x:row>
    <x:row r="84" ht="61.5" hidden="0" customHeight="1">
      <x:c r="A84" s="3" t="s">
        <x:v>3375</x:v>
      </x:c>
      <x:c r="B84" s="3" t="s">
        <x:v>5605</x:v>
      </x:c>
      <x:c r="C84" s="3" t="s">
        <x:v>5603</x:v>
      </x:c>
      <x:c r="D84" s="3" t="n">
        <x:f aca="0">COUNTIF(SCIENTIFIC_CLAIMS!$B$2:$B$1937,A84)</x:f>
        <x:v>19</x:v>
      </x:c>
      <x:c r="E84" s="3" t="s">
        <x:v>50</x:v>
      </x:c>
      <x:c r="F84" s="3" t="s">
        <x:v>45</x:v>
      </x:c>
      <x:c r="G84" s="3"/>
      <x:c r="H84" s="3" t="s">
        <x:v>2764</x:v>
      </x:c>
      <x:c r="I84" s="3" t="s">
        <x:v>5509</x:v>
      </x:c>
      <x:c r="J84" s="1" t="n">
        <x:v>19</x:v>
      </x:c>
      <x:c r="K84" s="1" t="n">
        <x:v>0</x:v>
      </x:c>
      <x:c r="L84" s="1" t="n">
        <x:v>0</x:v>
      </x:c>
      <x:c r="M84" s="1" t="n">
        <x:v>0</x:v>
      </x:c>
      <x:c r="N84" s="1" t="n">
        <x:v>0</x:v>
      </x:c>
      <x:c r="O84" s="1" t="n">
        <x:v>0</x:v>
      </x:c>
      <x:c r="P84" s="1" t="n">
        <x:v>12</x:v>
      </x:c>
      <x:c r="Q84" s="1" t="s">
        <x:v>5483</x:v>
      </x:c>
      <x:c r="R84" s="1" t="s">
        <x:v>5479</x:v>
      </x:c>
    </x:row>
    <x:row r="85" ht="61.5" hidden="0" customHeight="1">
      <x:c r="A85" s="3" t="s">
        <x:v>3106</x:v>
      </x:c>
      <x:c r="B85" s="3" t="s">
        <x:v>5606</x:v>
      </x:c>
      <x:c r="C85" s="3" t="s">
        <x:v>5603</x:v>
      </x:c>
      <x:c r="D85" s="3" t="n">
        <x:f aca="0">COUNTIF(SCIENTIFIC_CLAIMS!$B$2:$B$1937,A85)</x:f>
        <x:v>11</x:v>
      </x:c>
      <x:c r="E85" s="3" t="s">
        <x:v>50</x:v>
      </x:c>
      <x:c r="F85" s="3" t="s">
        <x:v>45</x:v>
      </x:c>
      <x:c r="G85" s="3"/>
      <x:c r="H85" s="3" t="s">
        <x:v>2764</x:v>
      </x:c>
      <x:c r="I85" s="3" t="s">
        <x:v>5509</x:v>
      </x:c>
      <x:c r="J85" s="1" t="n">
        <x:v>10</x:v>
      </x:c>
      <x:c r="K85" s="1" t="n">
        <x:v>1</x:v>
      </x:c>
      <x:c r="L85" s="1" t="n">
        <x:v>0</x:v>
      </x:c>
      <x:c r="M85" s="1" t="n">
        <x:v>0</x:v>
      </x:c>
      <x:c r="N85" s="1" t="n">
        <x:v>0</x:v>
      </x:c>
      <x:c r="O85" s="1" t="n">
        <x:v>0</x:v>
      </x:c>
      <x:c r="P85" s="1" t="n">
        <x:v>8</x:v>
      </x:c>
      <x:c r="Q85" s="1" t="s">
        <x:v>5483</x:v>
      </x:c>
      <x:c r="R85" s="1" t="s">
        <x:v>5479</x:v>
      </x:c>
    </x:row>
    <x:row r="86" ht="61.5" hidden="0" customHeight="1">
      <x:c r="A86" s="3" t="s">
        <x:v>4068</x:v>
      </x:c>
      <x:c r="B86" s="3" t="s">
        <x:v>5607</x:v>
      </x:c>
      <x:c r="C86" s="3" t="s">
        <x:v>5608</x:v>
      </x:c>
      <x:c r="D86" s="3" t="n">
        <x:f aca="0">COUNTIF(SCIENTIFIC_CLAIMS!$B$2:$B$1937,A86)</x:f>
        <x:v>30</x:v>
      </x:c>
      <x:c r="E86" s="3" t="s">
        <x:v>50</x:v>
      </x:c>
      <x:c r="F86" s="3" t="s">
        <x:v>45</x:v>
      </x:c>
      <x:c r="G86" s="3"/>
      <x:c r="H86" s="3" t="s">
        <x:v>4000</x:v>
      </x:c>
      <x:c r="I86" s="3" t="s">
        <x:v>5509</x:v>
      </x:c>
      <x:c r="J86" s="1" t="n">
        <x:v>29</x:v>
      </x:c>
      <x:c r="K86" s="1" t="n">
        <x:v>1</x:v>
      </x:c>
      <x:c r="L86" s="1" t="n">
        <x:v>0</x:v>
      </x:c>
      <x:c r="M86" s="1" t="n">
        <x:v>0</x:v>
      </x:c>
      <x:c r="N86" s="1" t="n">
        <x:v>0</x:v>
      </x:c>
      <x:c r="O86" s="1" t="n">
        <x:v>0</x:v>
      </x:c>
      <x:c r="P86" s="1" t="n">
        <x:v>19</x:v>
      </x:c>
      <x:c r="Q86" s="1" t="s">
        <x:v>5483</x:v>
      </x:c>
      <x:c r="R86" s="1" t="s">
        <x:v>5479</x:v>
      </x:c>
    </x:row>
    <x:row r="87" ht="61.5" hidden="0" customHeight="1">
      <x:c r="A87" s="3" t="s">
        <x:v>3600</x:v>
      </x:c>
      <x:c r="B87" s="3" t="s">
        <x:v>5609</x:v>
      </x:c>
      <x:c r="C87" s="3" t="s">
        <x:v>5608</x:v>
      </x:c>
      <x:c r="D87" s="3" t="n">
        <x:f aca="0">COUNTIF(SCIENTIFIC_CLAIMS!$B$2:$B$1937,A87)</x:f>
        <x:v>18</x:v>
      </x:c>
      <x:c r="E87" s="3" t="s">
        <x:v>50</x:v>
      </x:c>
      <x:c r="F87" s="3" t="s">
        <x:v>45</x:v>
      </x:c>
      <x:c r="G87" s="3"/>
      <x:c r="H87" s="3" t="s">
        <x:v>3475</x:v>
      </x:c>
      <x:c r="I87" s="3" t="s">
        <x:v>5509</x:v>
      </x:c>
      <x:c r="J87" s="1" t="n">
        <x:v>17</x:v>
      </x:c>
      <x:c r="K87" s="1" t="n">
        <x:v>1</x:v>
      </x:c>
      <x:c r="L87" s="1" t="n">
        <x:v>0</x:v>
      </x:c>
      <x:c r="M87" s="1" t="n">
        <x:v>0</x:v>
      </x:c>
      <x:c r="N87" s="1" t="n">
        <x:v>0</x:v>
      </x:c>
      <x:c r="O87" s="1" t="n">
        <x:v>0</x:v>
      </x:c>
      <x:c r="P87" s="1" t="n">
        <x:v>12</x:v>
      </x:c>
      <x:c r="Q87" s="1" t="s">
        <x:v>5483</x:v>
      </x:c>
      <x:c r="R87" s="1" t="s">
        <x:v>5479</x:v>
      </x:c>
    </x:row>
    <x:row r="88" ht="61.5" hidden="0" customHeight="1">
      <x:c r="A88" s="3" t="s">
        <x:v>2461</x:v>
      </x:c>
      <x:c r="B88" s="3" t="s">
        <x:v>5610</x:v>
      </x:c>
      <x:c r="C88" s="3" t="s">
        <x:v>5599</x:v>
      </x:c>
      <x:c r="D88" s="3" t="n">
        <x:f aca="0">COUNTIF(SCIENTIFIC_CLAIMS!$B$2:$B$1937,A88)</x:f>
        <x:v>8</x:v>
      </x:c>
      <x:c r="E88" s="3" t="s">
        <x:v>50</x:v>
      </x:c>
      <x:c r="F88" s="3" t="s">
        <x:v>45</x:v>
      </x:c>
      <x:c r="G88" s="3"/>
      <x:c r="H88" s="3" t="s">
        <x:v>1624</x:v>
      </x:c>
      <x:c r="I88" s="3" t="s">
        <x:v>5509</x:v>
      </x:c>
      <x:c r="J88" s="1" t="n">
        <x:v>7</x:v>
      </x:c>
      <x:c r="K88" s="1" t="n">
        <x:v>1</x:v>
      </x:c>
      <x:c r="L88" s="1" t="n">
        <x:v>0</x:v>
      </x:c>
      <x:c r="M88" s="1" t="n">
        <x:v>0</x:v>
      </x:c>
      <x:c r="N88" s="1" t="n">
        <x:v>0</x:v>
      </x:c>
      <x:c r="O88" s="1" t="n">
        <x:v>0</x:v>
      </x:c>
      <x:c r="P88" s="1" t="n">
        <x:v>6</x:v>
      </x:c>
      <x:c r="Q88" s="1" t="s">
        <x:v>5483</x:v>
      </x:c>
      <x:c r="R88" s="1" t="s">
        <x:v>5479</x:v>
      </x:c>
    </x:row>
    <x:row r="89" ht="61.5" hidden="0" customHeight="1">
      <x:c r="A89" s="3" t="s">
        <x:v>2492</x:v>
      </x:c>
      <x:c r="B89" s="3" t="s">
        <x:v>5611</x:v>
      </x:c>
      <x:c r="C89" s="3" t="s">
        <x:v>5599</x:v>
      </x:c>
      <x:c r="D89" s="3" t="n">
        <x:f aca="0">COUNTIF(SCIENTIFIC_CLAIMS!$B$2:$B$1937,A89)</x:f>
        <x:v>8</x:v>
      </x:c>
      <x:c r="E89" s="3" t="s">
        <x:v>50</x:v>
      </x:c>
      <x:c r="F89" s="3" t="s">
        <x:v>45</x:v>
      </x:c>
      <x:c r="G89" s="3"/>
      <x:c r="H89" s="3" t="s">
        <x:v>1624</x:v>
      </x:c>
      <x:c r="I89" s="3" t="s">
        <x:v>5509</x:v>
      </x:c>
      <x:c r="J89" s="1" t="n">
        <x:v>7</x:v>
      </x:c>
      <x:c r="K89" s="1" t="n">
        <x:v>1</x:v>
      </x:c>
      <x:c r="L89" s="1" t="n">
        <x:v>0</x:v>
      </x:c>
      <x:c r="M89" s="1" t="n">
        <x:v>0</x:v>
      </x:c>
      <x:c r="N89" s="1" t="n">
        <x:v>0</x:v>
      </x:c>
      <x:c r="O89" s="1" t="n">
        <x:v>0</x:v>
      </x:c>
      <x:c r="P89" s="1" t="n">
        <x:v>4</x:v>
      </x:c>
      <x:c r="Q89" s="1" t="s">
        <x:v>5483</x:v>
      </x:c>
      <x:c r="R89" s="1" t="s">
        <x:v>5479</x:v>
      </x:c>
    </x:row>
    <x:row r="90" ht="61.5" hidden="0" customHeight="1">
      <x:c r="A90" s="3" t="s">
        <x:v>2517</x:v>
      </x:c>
      <x:c r="B90" s="3" t="s">
        <x:v>5612</x:v>
      </x:c>
      <x:c r="C90" s="3" t="s">
        <x:v>5599</x:v>
      </x:c>
      <x:c r="D90" s="3" t="n">
        <x:f aca="0">COUNTIF(SCIENTIFIC_CLAIMS!$B$2:$B$1937,A90)</x:f>
        <x:v>14</x:v>
      </x:c>
      <x:c r="E90" s="3" t="s">
        <x:v>50</x:v>
      </x:c>
      <x:c r="F90" s="3" t="s">
        <x:v>45</x:v>
      </x:c>
      <x:c r="G90" s="3"/>
      <x:c r="H90" s="3" t="s">
        <x:v>4954</x:v>
      </x:c>
      <x:c r="I90" s="3" t="s">
        <x:v>5509</x:v>
      </x:c>
      <x:c r="J90" s="1" t="n">
        <x:v>10</x:v>
      </x:c>
      <x:c r="K90" s="1" t="n">
        <x:v>1</x:v>
      </x:c>
      <x:c r="L90" s="1" t="n">
        <x:v>0</x:v>
      </x:c>
      <x:c r="M90" s="1" t="n">
        <x:v>3</x:v>
      </x:c>
      <x:c r="N90" s="1" t="n">
        <x:v>0</x:v>
      </x:c>
      <x:c r="O90" s="1" t="n">
        <x:v>0</x:v>
      </x:c>
      <x:c r="P90" s="1" t="n">
        <x:v>5</x:v>
      </x:c>
      <x:c r="Q90" s="1" t="s">
        <x:v>5488</x:v>
      </x:c>
      <x:c r="R90" s="1" t="s">
        <x:v>5507</x:v>
      </x:c>
    </x:row>
    <x:row r="91" ht="27.75" hidden="0" customHeight="1">
      <x:c r="A91" s="3" t="s">
        <x:v>812</x:v>
      </x:c>
      <x:c r="B91" s="3" t="s">
        <x:v>5613</x:v>
      </x:c>
      <x:c r="C91" s="3" t="s">
        <x:v>5614</x:v>
      </x:c>
      <x:c r="D91" s="3" t="n">
        <x:f aca="0">COUNTIF(SCIENTIFIC_CLAIMS!$B$2:$B$1937,A91)</x:f>
        <x:v>10</x:v>
      </x:c>
      <x:c r="E91" s="3" t="s">
        <x:v>48</x:v>
      </x:c>
      <x:c r="F91" s="3" t="s">
        <x:v>5482</x:v>
      </x:c>
      <x:c r="J91" s="1" t="n">
        <x:v>10</x:v>
      </x:c>
      <x:c r="K91" s="1" t="n">
        <x:v>0</x:v>
      </x:c>
      <x:c r="L91" s="1" t="n">
        <x:v>0</x:v>
      </x:c>
      <x:c r="M91" s="1" t="n">
        <x:v>0</x:v>
      </x:c>
      <x:c r="N91" s="1" t="n">
        <x:v>0</x:v>
      </x:c>
      <x:c r="O91" s="1" t="n">
        <x:v>0</x:v>
      </x:c>
      <x:c r="P91" s="1" t="n">
        <x:v>9</x:v>
      </x:c>
      <x:c r="Q91" s="1" t="s">
        <x:v>5483</x:v>
      </x:c>
      <x:c r="R91" s="1" t="s">
        <x:v>5479</x:v>
      </x:c>
    </x:row>
    <x:row r="92" ht="61.5" hidden="0" customHeight="1">
      <x:c r="A92" s="3" t="s">
        <x:v>2390</x:v>
      </x:c>
      <x:c r="B92" s="3" t="s">
        <x:v>5615</x:v>
      </x:c>
      <x:c r="C92" s="3" t="s">
        <x:v>5614</x:v>
      </x:c>
      <x:c r="D92" s="3" t="n">
        <x:f aca="0">COUNTIF(SCIENTIFIC_CLAIMS!$B$2:$B$1937,A92)</x:f>
        <x:v>14</x:v>
      </x:c>
      <x:c r="E92" s="3" t="s">
        <x:v>50</x:v>
      </x:c>
      <x:c r="F92" s="3" t="s">
        <x:v>45</x:v>
      </x:c>
      <x:c r="G92" s="3"/>
      <x:c r="H92" s="3" t="s">
        <x:v>1624</x:v>
      </x:c>
      <x:c r="I92" s="3" t="s">
        <x:v>5509</x:v>
      </x:c>
      <x:c r="J92" s="1" t="n">
        <x:v>12</x:v>
      </x:c>
      <x:c r="K92" s="1" t="n">
        <x:v>1</x:v>
      </x:c>
      <x:c r="L92" s="1" t="n">
        <x:v>0</x:v>
      </x:c>
      <x:c r="M92" s="1" t="n">
        <x:v>1</x:v>
      </x:c>
      <x:c r="N92" s="1" t="n">
        <x:v>0</x:v>
      </x:c>
      <x:c r="O92" s="1" t="n">
        <x:v>0</x:v>
      </x:c>
      <x:c r="P92" s="1" t="n">
        <x:v>12</x:v>
      </x:c>
      <x:c r="Q92" s="1" t="s">
        <x:v>5483</x:v>
      </x:c>
      <x:c r="R92" s="1" t="s">
        <x:v>5479</x:v>
      </x:c>
    </x:row>
    <x:row r="93" ht="61.5" hidden="0" customHeight="1">
      <x:c r="A93" s="3" t="s">
        <x:v>3163</x:v>
      </x:c>
      <x:c r="B93" s="3" t="s">
        <x:v>5616</x:v>
      </x:c>
      <x:c r="C93" s="3" t="s">
        <x:v>5614</x:v>
      </x:c>
      <x:c r="D93" s="3" t="n">
        <x:f aca="0">COUNTIF(SCIENTIFIC_CLAIMS!$B$2:$B$1937,A93)</x:f>
        <x:v>10</x:v>
      </x:c>
      <x:c r="E93" s="3" t="s">
        <x:v>50</x:v>
      </x:c>
      <x:c r="F93" s="3" t="s">
        <x:v>45</x:v>
      </x:c>
      <x:c r="G93" s="3"/>
      <x:c r="H93" s="3" t="s">
        <x:v>2764</x:v>
      </x:c>
      <x:c r="I93" s="3" t="s">
        <x:v>5509</x:v>
      </x:c>
      <x:c r="J93" s="1" t="n">
        <x:v>10</x:v>
      </x:c>
      <x:c r="K93" s="1" t="n">
        <x:v>0</x:v>
      </x:c>
      <x:c r="L93" s="1" t="n">
        <x:v>0</x:v>
      </x:c>
      <x:c r="M93" s="1" t="n">
        <x:v>0</x:v>
      </x:c>
      <x:c r="N93" s="1" t="n">
        <x:v>0</x:v>
      </x:c>
      <x:c r="O93" s="1" t="n">
        <x:v>0</x:v>
      </x:c>
      <x:c r="P93" s="1" t="n">
        <x:v>6</x:v>
      </x:c>
      <x:c r="Q93" s="1" t="s">
        <x:v>5483</x:v>
      </x:c>
      <x:c r="R93" s="1" t="s">
        <x:v>5479</x:v>
      </x:c>
    </x:row>
    <x:row r="94" ht="27.75" hidden="0" customHeight="1">
      <x:c r="A94" s="3" t="s">
        <x:v>4482</x:v>
      </x:c>
      <x:c r="B94" s="3" t="s">
        <x:v>5617</x:v>
      </x:c>
      <x:c r="C94" s="3" t="s">
        <x:v>5599</x:v>
      </x:c>
      <x:c r="D94" s="3" t="n">
        <x:f aca="0">COUNTIF(SCIENTIFIC_CLAIMS!$B$2:$B$1937,A94)</x:f>
        <x:v>20</x:v>
      </x:c>
      <x:c r="E94" s="3" t="s">
        <x:v>50</x:v>
      </x:c>
      <x:c r="F94" s="3" t="s">
        <x:v>45</x:v>
      </x:c>
      <x:c r="H94" s="1" t="s">
        <x:v>5247</x:v>
      </x:c>
      <x:c r="I94" s="1" t="s">
        <x:v>5618</x:v>
      </x:c>
      <x:c r="J94" s="1" t="n">
        <x:v>15</x:v>
      </x:c>
      <x:c r="K94" s="1" t="n">
        <x:v>2</x:v>
      </x:c>
      <x:c r="L94" s="1" t="n">
        <x:v>0</x:v>
      </x:c>
      <x:c r="M94" s="1" t="n">
        <x:v>0</x:v>
      </x:c>
      <x:c r="N94" s="1" t="n">
        <x:v>1</x:v>
      </x:c>
      <x:c r="O94" s="1" t="n">
        <x:v>2</x:v>
      </x:c>
      <x:c r="P94" s="1" t="n">
        <x:v>9</x:v>
      </x:c>
      <x:c r="Q94" s="1" t="s">
        <x:v>5488</x:v>
      </x:c>
      <x:c r="R94" s="1" t="s">
        <x:v>5479</x:v>
      </x:c>
    </x:row>
    <x:row r="95" ht="61.5" hidden="0" customHeight="1">
      <x:c r="A95" s="3" t="s">
        <x:v>2084</x:v>
      </x:c>
      <x:c r="B95" s="3" t="s">
        <x:v>5619</x:v>
      </x:c>
      <x:c r="C95" s="3" t="s">
        <x:v>5497</x:v>
      </x:c>
      <x:c r="D95" s="3" t="n">
        <x:f aca="0">COUNTIF(SCIENTIFIC_CLAIMS!$B$2:$B$1937,A95)</x:f>
        <x:v>16</x:v>
      </x:c>
      <x:c r="E95" s="3" t="s">
        <x:v>50</x:v>
      </x:c>
      <x:c r="F95" s="3" t="s">
        <x:v>45</x:v>
      </x:c>
      <x:c r="G95" s="3"/>
      <x:c r="H95" s="3" t="s">
        <x:v>1624</x:v>
      </x:c>
      <x:c r="I95" s="3" t="s">
        <x:v>5509</x:v>
      </x:c>
      <x:c r="J95" s="1" t="n">
        <x:v>16</x:v>
      </x:c>
      <x:c r="K95" s="1" t="n">
        <x:v>0</x:v>
      </x:c>
      <x:c r="L95" s="1" t="n">
        <x:v>0</x:v>
      </x:c>
      <x:c r="M95" s="1" t="n">
        <x:v>0</x:v>
      </x:c>
      <x:c r="N95" s="1" t="n">
        <x:v>0</x:v>
      </x:c>
      <x:c r="O95" s="1" t="n">
        <x:v>0</x:v>
      </x:c>
      <x:c r="P95" s="1" t="n">
        <x:v>9</x:v>
      </x:c>
      <x:c r="Q95" s="1" t="s">
        <x:v>5483</x:v>
      </x:c>
      <x:c r="R95" s="1" t="s">
        <x:v>5479</x:v>
      </x:c>
    </x:row>
    <x:row r="96" ht="27.75" hidden="0" customHeight="1">
      <x:c r="A96" s="3" t="s">
        <x:v>4336</x:v>
      </x:c>
      <x:c r="B96" s="3" t="s">
        <x:v>5620</x:v>
      </x:c>
      <x:c r="C96" s="3" t="s">
        <x:v>5481</x:v>
      </x:c>
      <x:c r="D96" s="3" t="n">
        <x:f aca="0">COUNTIF(SCIENTIFIC_CLAIMS!$B$2:$B$1937,A96)</x:f>
        <x:v>47</x:v>
      </x:c>
      <x:c r="E96" s="3" t="s">
        <x:v>50</x:v>
      </x:c>
      <x:c r="F96" s="3" t="s">
        <x:v>45</x:v>
      </x:c>
      <x:c r="H96" s="1" t="s">
        <x:v>5247</x:v>
      </x:c>
      <x:c r="I96" s="1" t="s">
        <x:v>5621</x:v>
      </x:c>
      <x:c r="J96" s="1" t="n">
        <x:v>40</x:v>
      </x:c>
      <x:c r="K96" s="1" t="n">
        <x:v>4</x:v>
      </x:c>
      <x:c r="L96" s="1" t="n">
        <x:v>1</x:v>
      </x:c>
      <x:c r="M96" s="1" t="n">
        <x:v>1</x:v>
      </x:c>
      <x:c r="N96" s="1" t="n">
        <x:v>0</x:v>
      </x:c>
      <x:c r="O96" s="1" t="n">
        <x:v>1</x:v>
      </x:c>
      <x:c r="P96" s="1" t="n">
        <x:v>25</x:v>
      </x:c>
      <x:c r="Q96" s="1" t="s">
        <x:v>5488</x:v>
      </x:c>
      <x:c r="R96" s="1" t="s">
        <x:v>5479</x:v>
      </x:c>
    </x:row>
    <x:row r="97" ht="61.5" hidden="0" customHeight="1">
      <x:c r="A97" s="3" t="s">
        <x:v>4144</x:v>
      </x:c>
      <x:c r="B97" s="3" t="s">
        <x:v>5622</x:v>
      </x:c>
      <x:c r="C97" s="3" t="s">
        <x:v>5538</x:v>
      </x:c>
      <x:c r="D97" s="3" t="n">
        <x:f aca="0">COUNTIF(SCIENTIFIC_CLAIMS!$B$2:$B$1937,A97)</x:f>
        <x:v>22</x:v>
      </x:c>
      <x:c r="E97" s="3" t="s">
        <x:v>50</x:v>
      </x:c>
      <x:c r="F97" s="3" t="s">
        <x:v>45</x:v>
      </x:c>
      <x:c r="G97" s="3"/>
      <x:c r="H97" s="3" t="s">
        <x:v>4000</x:v>
      </x:c>
      <x:c r="I97" s="3" t="s">
        <x:v>5509</x:v>
      </x:c>
      <x:c r="J97" s="1" t="n">
        <x:v>22</x:v>
      </x:c>
      <x:c r="K97" s="1" t="n">
        <x:v>0</x:v>
      </x:c>
      <x:c r="L97" s="1" t="n">
        <x:v>0</x:v>
      </x:c>
      <x:c r="M97" s="1" t="n">
        <x:v>0</x:v>
      </x:c>
      <x:c r="N97" s="1" t="n">
        <x:v>0</x:v>
      </x:c>
      <x:c r="O97" s="1" t="n">
        <x:v>0</x:v>
      </x:c>
      <x:c r="P97" s="1" t="n">
        <x:v>17</x:v>
      </x:c>
      <x:c r="Q97" s="1" t="s">
        <x:v>5483</x:v>
      </x:c>
      <x:c r="R97" s="1" t="s">
        <x:v>5479</x:v>
      </x:c>
    </x:row>
    <x:row r="98" ht="61.5" hidden="0" customHeight="1">
      <x:c r="A98" s="3" t="s">
        <x:v>4188</x:v>
      </x:c>
      <x:c r="B98" s="3" t="s">
        <x:v>5623</x:v>
      </x:c>
      <x:c r="C98" s="3" t="s">
        <x:v>5538</x:v>
      </x:c>
      <x:c r="D98" s="3" t="n">
        <x:f aca="0">COUNTIF(SCIENTIFIC_CLAIMS!$B$2:$B$1937,A98)</x:f>
        <x:v>34</x:v>
      </x:c>
      <x:c r="E98" s="3" t="s">
        <x:v>50</x:v>
      </x:c>
      <x:c r="F98" s="3" t="s">
        <x:v>45</x:v>
      </x:c>
      <x:c r="G98" s="3"/>
      <x:c r="H98" s="3" t="s">
        <x:v>4000</x:v>
      </x:c>
      <x:c r="I98" s="3" t="s">
        <x:v>5509</x:v>
      </x:c>
      <x:c r="J98" s="1" t="n">
        <x:v>33</x:v>
      </x:c>
      <x:c r="K98" s="1" t="n">
        <x:v>1</x:v>
      </x:c>
      <x:c r="L98" s="1" t="n">
        <x:v>0</x:v>
      </x:c>
      <x:c r="M98" s="1" t="n">
        <x:v>0</x:v>
      </x:c>
      <x:c r="N98" s="1" t="n">
        <x:v>0</x:v>
      </x:c>
      <x:c r="O98" s="1" t="n">
        <x:v>0</x:v>
      </x:c>
      <x:c r="P98" s="1" t="n">
        <x:v>22</x:v>
      </x:c>
      <x:c r="Q98" s="1" t="s">
        <x:v>5483</x:v>
      </x:c>
      <x:c r="R98" s="1" t="s">
        <x:v>5479</x:v>
      </x:c>
    </x:row>
    <x:row r="99" ht="61.5" hidden="0" customHeight="1">
      <x:c r="A99" s="3" t="s">
        <x:v>4278</x:v>
      </x:c>
      <x:c r="B99" s="3" t="s">
        <x:v>5624</x:v>
      </x:c>
      <x:c r="C99" s="3" t="s">
        <x:v>5538</x:v>
      </x:c>
      <x:c r="D99" s="3" t="n">
        <x:f aca="0">COUNTIF(SCIENTIFIC_CLAIMS!$B$2:$B$1937,A99)</x:f>
        <x:v>25</x:v>
      </x:c>
      <x:c r="E99" s="3" t="s">
        <x:v>50</x:v>
      </x:c>
      <x:c r="F99" s="3" t="s">
        <x:v>45</x:v>
      </x:c>
      <x:c r="G99" s="3"/>
      <x:c r="H99" s="3" t="s">
        <x:v>4000</x:v>
      </x:c>
      <x:c r="I99" s="3" t="s">
        <x:v>5509</x:v>
      </x:c>
      <x:c r="J99" s="1" t="n">
        <x:v>25</x:v>
      </x:c>
      <x:c r="K99" s="1" t="n">
        <x:v>0</x:v>
      </x:c>
      <x:c r="L99" s="1" t="n">
        <x:v>0</x:v>
      </x:c>
      <x:c r="M99" s="1" t="n">
        <x:v>0</x:v>
      </x:c>
      <x:c r="N99" s="1" t="n">
        <x:v>0</x:v>
      </x:c>
      <x:c r="O99" s="1" t="n">
        <x:v>0</x:v>
      </x:c>
      <x:c r="P99" s="1" t="n">
        <x:v>14</x:v>
      </x:c>
      <x:c r="Q99" s="1" t="s">
        <x:v>5483</x:v>
      </x:c>
      <x:c r="R99" s="1" t="s">
        <x:v>5479</x:v>
      </x:c>
    </x:row>
    <x:row r="100" ht="27.75" hidden="0" customHeight="1">
      <x:c r="A100" s="3" t="s">
        <x:v>4786</x:v>
      </x:c>
      <x:c r="B100" s="3" t="s">
        <x:v>5625</x:v>
      </x:c>
      <x:c r="C100" s="3" t="s">
        <x:v>5608</x:v>
      </x:c>
      <x:c r="D100" s="3" t="n">
        <x:f aca="0">COUNTIF(SCIENTIFIC_CLAIMS!$B$2:$B$1937,A100)</x:f>
        <x:v>22</x:v>
      </x:c>
      <x:c r="E100" s="3" t="s">
        <x:v>50</x:v>
      </x:c>
      <x:c r="F100" s="3" t="s">
        <x:v>45</x:v>
      </x:c>
      <x:c r="H100" s="1" t="s">
        <x:v>5247</x:v>
      </x:c>
      <x:c r="I100" s="1" t="s">
        <x:v>5626</x:v>
      </x:c>
      <x:c r="J100" s="1" t="n">
        <x:v>20</x:v>
      </x:c>
      <x:c r="K100" s="1" t="n">
        <x:v>1</x:v>
      </x:c>
      <x:c r="L100" s="1" t="n">
        <x:v>0</x:v>
      </x:c>
      <x:c r="M100" s="1" t="n">
        <x:v>1</x:v>
      </x:c>
      <x:c r="N100" s="1" t="n">
        <x:v>0</x:v>
      </x:c>
      <x:c r="O100" s="1" t="n">
        <x:v>0</x:v>
      </x:c>
      <x:c r="P100" s="1" t="n">
        <x:v>13</x:v>
      </x:c>
      <x:c r="Q100" s="1" t="s">
        <x:v>5488</x:v>
      </x:c>
      <x:c r="R100" s="1" t="s">
        <x:v>5479</x:v>
      </x:c>
    </x:row>
    <x:row r="101" ht="27.75" hidden="0" customHeight="1">
      <x:c r="A101" s="3" t="s">
        <x:v>4707</x:v>
      </x:c>
      <x:c r="B101" s="3" t="s">
        <x:v>5627</x:v>
      </x:c>
      <x:c r="C101" s="3" t="s">
        <x:v>5608</x:v>
      </x:c>
      <x:c r="D101" s="3" t="n">
        <x:f aca="0">COUNTIF(SCIENTIFIC_CLAIMS!$B$2:$B$1937,A101)</x:f>
        <x:v>29</x:v>
      </x:c>
      <x:c r="E101" s="3" t="s">
        <x:v>50</x:v>
      </x:c>
      <x:c r="F101" s="3" t="s">
        <x:v>45</x:v>
      </x:c>
      <x:c r="H101" s="1" t="s">
        <x:v>5218</x:v>
      </x:c>
      <x:c r="I101" s="1" t="s">
        <x:v>5628</x:v>
      </x:c>
      <x:c r="J101" s="1" t="n">
        <x:v>24</x:v>
      </x:c>
      <x:c r="K101" s="1" t="n">
        <x:v>3</x:v>
      </x:c>
      <x:c r="L101" s="1" t="n">
        <x:v>0</x:v>
      </x:c>
      <x:c r="M101" s="1" t="n">
        <x:v>1</x:v>
      </x:c>
      <x:c r="N101" s="1" t="n">
        <x:v>1</x:v>
      </x:c>
      <x:c r="O101" s="1" t="n">
        <x:v>0</x:v>
      </x:c>
      <x:c r="P101" s="1" t="n">
        <x:v>22</x:v>
      </x:c>
      <x:c r="Q101" s="1" t="s">
        <x:v>5488</x:v>
      </x:c>
      <x:c r="R101" s="1" t="s">
        <x:v>5629</x:v>
      </x:c>
    </x:row>
    <x:row r="102" ht="61.5" hidden="0" customHeight="1">
      <x:c r="A102" s="3" t="s">
        <x:v>2598</x:v>
      </x:c>
      <x:c r="B102" s="3" t="s">
        <x:v>5630</x:v>
      </x:c>
      <x:c r="C102" s="3" t="s">
        <x:v>5608</x:v>
      </x:c>
      <x:c r="D102" s="3" t="n">
        <x:f aca="0">COUNTIF(SCIENTIFIC_CLAIMS!$B$2:$B$1937,A102)</x:f>
        <x:v>19</x:v>
      </x:c>
      <x:c r="E102" s="3" t="s">
        <x:v>50</x:v>
      </x:c>
      <x:c r="F102" s="3" t="s">
        <x:v>45</x:v>
      </x:c>
      <x:c r="G102" s="3"/>
      <x:c r="H102" s="3" t="s">
        <x:v>1624</x:v>
      </x:c>
      <x:c r="I102" s="3" t="s">
        <x:v>5509</x:v>
      </x:c>
      <x:c r="J102" s="1" t="n">
        <x:v>17</x:v>
      </x:c>
      <x:c r="K102" s="1" t="n">
        <x:v>1</x:v>
      </x:c>
      <x:c r="L102" s="1" t="n">
        <x:v>0</x:v>
      </x:c>
      <x:c r="M102" s="1" t="n">
        <x:v>1</x:v>
      </x:c>
      <x:c r="N102" s="1" t="n">
        <x:v>0</x:v>
      </x:c>
      <x:c r="O102" s="1" t="n">
        <x:v>0</x:v>
      </x:c>
      <x:c r="P102" s="1" t="n">
        <x:v>14</x:v>
      </x:c>
      <x:c r="Q102" s="1" t="s">
        <x:v>5483</x:v>
      </x:c>
      <x:c r="R102" s="1" t="s">
        <x:v>5479</x:v>
      </x:c>
    </x:row>
    <x:row r="103" ht="61.5" hidden="0" customHeight="1">
      <x:c r="A103" s="3" t="s">
        <x:v>3860</x:v>
      </x:c>
      <x:c r="B103" s="3" t="s">
        <x:v>5631</x:v>
      </x:c>
      <x:c r="C103" s="3" t="s">
        <x:v>5478</x:v>
      </x:c>
      <x:c r="D103" s="3" t="n">
        <x:f aca="0">COUNTIF(SCIENTIFIC_CLAIMS!$B$2:$B$1937,A103)</x:f>
        <x:v>39</x:v>
      </x:c>
      <x:c r="E103" s="3" t="s">
        <x:v>50</x:v>
      </x:c>
      <x:c r="F103" s="3" t="s">
        <x:v>45</x:v>
      </x:c>
      <x:c r="G103" s="3"/>
      <x:c r="H103" s="3" t="s">
        <x:v>3475</x:v>
      </x:c>
      <x:c r="I103" s="3" t="s">
        <x:v>5509</x:v>
      </x:c>
      <x:c r="J103" s="1" t="n">
        <x:v>39</x:v>
      </x:c>
      <x:c r="K103" s="1" t="n">
        <x:v>0</x:v>
      </x:c>
      <x:c r="L103" s="1" t="n">
        <x:v>0</x:v>
      </x:c>
      <x:c r="M103" s="1" t="n">
        <x:v>0</x:v>
      </x:c>
      <x:c r="N103" s="1" t="n">
        <x:v>0</x:v>
      </x:c>
      <x:c r="O103" s="1" t="n">
        <x:v>0</x:v>
      </x:c>
      <x:c r="P103" s="1" t="n">
        <x:v>25</x:v>
      </x:c>
      <x:c r="Q103" s="1" t="s">
        <x:v>5483</x:v>
      </x:c>
      <x:c r="R103" s="1" t="s">
        <x:v>5479</x:v>
      </x:c>
    </x:row>
    <x:row r="104" ht="61.5" hidden="0" customHeight="1">
      <x:c r="A104" s="3" t="s">
        <x:v>2681</x:v>
      </x:c>
      <x:c r="B104" s="3" t="s">
        <x:v>5632</x:v>
      </x:c>
      <x:c r="C104" s="3" t="s">
        <x:v>5573</x:v>
      </x:c>
      <x:c r="D104" s="3" t="n">
        <x:f aca="0">COUNTIF(SCIENTIFIC_CLAIMS!$B$2:$B$1937,A104)</x:f>
        <x:v>25</x:v>
      </x:c>
      <x:c r="E104" s="3" t="s">
        <x:v>50</x:v>
      </x:c>
      <x:c r="F104" s="3" t="s">
        <x:v>45</x:v>
      </x:c>
      <x:c r="G104" s="3"/>
      <x:c r="H104" s="3" t="s">
        <x:v>1624</x:v>
      </x:c>
      <x:c r="I104" s="3" t="s">
        <x:v>5509</x:v>
      </x:c>
      <x:c r="J104" s="1" t="n">
        <x:v>25</x:v>
      </x:c>
      <x:c r="K104" s="1" t="n">
        <x:v>0</x:v>
      </x:c>
      <x:c r="L104" s="1" t="n">
        <x:v>0</x:v>
      </x:c>
      <x:c r="M104" s="1" t="n">
        <x:v>0</x:v>
      </x:c>
      <x:c r="N104" s="1" t="n">
        <x:v>0</x:v>
      </x:c>
      <x:c r="O104" s="1" t="n">
        <x:v>0</x:v>
      </x:c>
      <x:c r="P104" s="1" t="n">
        <x:v>15</x:v>
      </x:c>
      <x:c r="Q104" s="1" t="s">
        <x:v>5483</x:v>
      </x:c>
      <x:c r="R104" s="1" t="s">
        <x:v>5479</x:v>
      </x:c>
    </x:row>
    <x:row r="105" ht="27.75" hidden="0" customHeight="1">
      <x:c r="A105" s="3" t="s">
        <x:v>839</x:v>
      </x:c>
      <x:c r="B105" s="3" t="s">
        <x:v>5633</x:v>
      </x:c>
      <x:c r="C105" s="3" t="s">
        <x:v>5573</x:v>
      </x:c>
      <x:c r="D105" s="3" t="n">
        <x:f aca="0">COUNTIF(SCIENTIFIC_CLAIMS!$B$2:$B$1937,A105)</x:f>
        <x:v>8</x:v>
      </x:c>
      <x:c r="E105" s="3" t="s">
        <x:v>48</x:v>
      </x:c>
      <x:c r="F105" s="3" t="s">
        <x:v>5482</x:v>
      </x:c>
      <x:c r="J105" s="1" t="n">
        <x:v>8</x:v>
      </x:c>
      <x:c r="K105" s="1" t="n">
        <x:v>0</x:v>
      </x:c>
      <x:c r="L105" s="1" t="n">
        <x:v>0</x:v>
      </x:c>
      <x:c r="M105" s="1" t="n">
        <x:v>0</x:v>
      </x:c>
      <x:c r="N105" s="1" t="n">
        <x:v>0</x:v>
      </x:c>
      <x:c r="O105" s="1" t="n">
        <x:v>0</x:v>
      </x:c>
      <x:c r="P105" s="1" t="n">
        <x:v>7</x:v>
      </x:c>
      <x:c r="Q105" s="1" t="s">
        <x:v>5483</x:v>
      </x:c>
      <x:c r="R105" s="1" t="s">
        <x:v>5479</x:v>
      </x:c>
    </x:row>
    <x:row r="106" ht="27.75" hidden="0" customHeight="1">
      <x:c r="A106" s="3" t="s">
        <x:v>5634</x:v>
      </x:c>
      <x:c r="B106" s="3" t="s">
        <x:v>5635</x:v>
      </x:c>
      <x:c r="C106" s="3" t="s">
        <x:v>5573</x:v>
      </x:c>
      <x:c r="D106" s="3" t="n">
        <x:f aca="0">COUNTIF(SCIENTIFIC_CLAIMS!$B$2:$B$1937,A106)</x:f>
        <x:v>0</x:v>
      </x:c>
      <x:c r="E106" s="3" t="s">
        <x:v>56</x:v>
      </x:c>
      <x:c r="F106" s="3" t="s">
        <x:v>30</x:v>
      </x:c>
      <x:c r="J106" s="1" t="n">
        <x:v>0</x:v>
      </x:c>
      <x:c r="K106" s="1" t="n">
        <x:v>0</x:v>
      </x:c>
      <x:c r="L106" s="1" t="n">
        <x:v>0</x:v>
      </x:c>
      <x:c r="M106" s="1" t="n">
        <x:v>0</x:v>
      </x:c>
      <x:c r="N106" s="1" t="n">
        <x:v>0</x:v>
      </x:c>
      <x:c r="O106" s="1" t="n">
        <x:v>0</x:v>
      </x:c>
      <x:c r="P106" s="1" t="n">
        <x:v>0</x:v>
      </x:c>
      <x:c r="Q106" s="1" t="s">
        <x:v>5488</x:v>
      </x:c>
      <x:c r="R106" s="1" t="s">
        <x:v>5504</x:v>
      </x:c>
    </x:row>
    <x:row r="107" ht="27.75" hidden="0" customHeight="1">
      <x:c r="A107" s="3" t="s">
        <x:v>5636</x:v>
      </x:c>
      <x:c r="B107" s="3" t="s">
        <x:v>5637</x:v>
      </x:c>
      <x:c r="C107" s="3" t="s">
        <x:v>5573</x:v>
      </x:c>
      <x:c r="D107" s="3" t="n">
        <x:f aca="0">COUNTIF(SCIENTIFIC_CLAIMS!$B$2:$B$1937,A107)</x:f>
        <x:v>0</x:v>
      </x:c>
      <x:c r="E107" s="3" t="s">
        <x:v>56</x:v>
      </x:c>
      <x:c r="F107" s="3" t="s">
        <x:v>30</x:v>
      </x:c>
      <x:c r="J107" s="1" t="n">
        <x:v>0</x:v>
      </x:c>
      <x:c r="K107" s="1" t="n">
        <x:v>0</x:v>
      </x:c>
      <x:c r="L107" s="1" t="n">
        <x:v>0</x:v>
      </x:c>
      <x:c r="M107" s="1" t="n">
        <x:v>0</x:v>
      </x:c>
      <x:c r="N107" s="1" t="n">
        <x:v>0</x:v>
      </x:c>
      <x:c r="O107" s="1" t="n">
        <x:v>0</x:v>
      </x:c>
      <x:c r="P107" s="1" t="n">
        <x:v>0</x:v>
      </x:c>
      <x:c r="Q107" s="1" t="s">
        <x:v>5488</x:v>
      </x:c>
      <x:c r="R107" s="1" t="s">
        <x:v>5504</x:v>
      </x:c>
    </x:row>
    <x:row r="108" ht="27.75" hidden="0" customHeight="1">
      <x:c r="A108" s="3" t="s">
        <x:v>857</x:v>
      </x:c>
      <x:c r="B108" s="3" t="s">
        <x:v>5638</x:v>
      </x:c>
      <x:c r="C108" s="3" t="s">
        <x:v>5551</x:v>
      </x:c>
      <x:c r="D108" s="3" t="n">
        <x:f aca="0">COUNTIF(SCIENTIFIC_CLAIMS!$B$2:$B$1937,A108)</x:f>
        <x:v>6</x:v>
      </x:c>
      <x:c r="E108" s="3" t="s">
        <x:v>48</x:v>
      </x:c>
      <x:c r="F108" s="3" t="s">
        <x:v>5482</x:v>
      </x:c>
      <x:c r="J108" s="1" t="n">
        <x:v>5</x:v>
      </x:c>
      <x:c r="K108" s="1" t="n">
        <x:v>1</x:v>
      </x:c>
      <x:c r="L108" s="1" t="n">
        <x:v>0</x:v>
      </x:c>
      <x:c r="M108" s="1" t="n">
        <x:v>0</x:v>
      </x:c>
      <x:c r="N108" s="1" t="n">
        <x:v>0</x:v>
      </x:c>
      <x:c r="O108" s="1" t="n">
        <x:v>0</x:v>
      </x:c>
      <x:c r="P108" s="1" t="n">
        <x:v>5</x:v>
      </x:c>
      <x:c r="Q108" s="1" t="s">
        <x:v>5483</x:v>
      </x:c>
      <x:c r="R108" s="1" t="s">
        <x:v>5479</x:v>
      </x:c>
    </x:row>
    <x:row r="109" ht="61.5" hidden="0" customHeight="1">
      <x:c r="A109" s="3" t="s">
        <x:v>2645</x:v>
      </x:c>
      <x:c r="B109" s="3" t="s">
        <x:v>5639</x:v>
      </x:c>
      <x:c r="C109" s="3" t="s">
        <x:v>5551</x:v>
      </x:c>
      <x:c r="D109" s="3" t="n">
        <x:f aca="0">COUNTIF(SCIENTIFIC_CLAIMS!$B$2:$B$1937,A109)</x:f>
        <x:v>17</x:v>
      </x:c>
      <x:c r="E109" s="3" t="s">
        <x:v>50</x:v>
      </x:c>
      <x:c r="F109" s="3" t="s">
        <x:v>45</x:v>
      </x:c>
      <x:c r="G109" s="3"/>
      <x:c r="H109" s="3" t="s">
        <x:v>1624</x:v>
      </x:c>
      <x:c r="I109" s="3" t="s">
        <x:v>5509</x:v>
      </x:c>
      <x:c r="J109" s="1" t="n">
        <x:v>17</x:v>
      </x:c>
      <x:c r="K109" s="1" t="n">
        <x:v>0</x:v>
      </x:c>
      <x:c r="L109" s="1" t="n">
        <x:v>0</x:v>
      </x:c>
      <x:c r="M109" s="1" t="n">
        <x:v>0</x:v>
      </x:c>
      <x:c r="N109" s="1" t="n">
        <x:v>0</x:v>
      </x:c>
      <x:c r="O109" s="1" t="n">
        <x:v>0</x:v>
      </x:c>
      <x:c r="P109" s="1" t="n">
        <x:v>12</x:v>
      </x:c>
      <x:c r="Q109" s="1" t="s">
        <x:v>5483</x:v>
      </x:c>
      <x:c r="R109" s="1" t="s">
        <x:v>5479</x:v>
      </x:c>
    </x:row>
    <x:row r="110" ht="61.5" hidden="0" customHeight="1">
      <x:c r="A110" s="3" t="s">
        <x:v>2918</x:v>
      </x:c>
      <x:c r="B110" s="3" t="s">
        <x:v>5640</x:v>
      </x:c>
      <x:c r="C110" s="3" t="s">
        <x:v>5551</x:v>
      </x:c>
      <x:c r="D110" s="3" t="n">
        <x:f aca="0">COUNTIF(SCIENTIFIC_CLAIMS!$B$2:$B$1937,A110)</x:f>
        <x:v>14</x:v>
      </x:c>
      <x:c r="E110" s="3" t="s">
        <x:v>50</x:v>
      </x:c>
      <x:c r="F110" s="3" t="s">
        <x:v>45</x:v>
      </x:c>
      <x:c r="G110" s="3"/>
      <x:c r="H110" s="3" t="s">
        <x:v>2764</x:v>
      </x:c>
      <x:c r="I110" s="3" t="s">
        <x:v>5509</x:v>
      </x:c>
      <x:c r="J110" s="1" t="n">
        <x:v>13</x:v>
      </x:c>
      <x:c r="K110" s="1" t="n">
        <x:v>1</x:v>
      </x:c>
      <x:c r="L110" s="1" t="n">
        <x:v>0</x:v>
      </x:c>
      <x:c r="M110" s="1" t="n">
        <x:v>0</x:v>
      </x:c>
      <x:c r="N110" s="1" t="n">
        <x:v>0</x:v>
      </x:c>
      <x:c r="O110" s="1" t="n">
        <x:v>0</x:v>
      </x:c>
      <x:c r="P110" s="1" t="n">
        <x:v>11</x:v>
      </x:c>
      <x:c r="Q110" s="1" t="s">
        <x:v>5483</x:v>
      </x:c>
      <x:c r="R110" s="1" t="s">
        <x:v>5479</x:v>
      </x:c>
    </x:row>
    <x:row r="111" ht="61.5" hidden="0" customHeight="1">
      <x:c r="A111" s="3" t="s">
        <x:v>2957</x:v>
      </x:c>
      <x:c r="B111" s="3" t="s">
        <x:v>5641</x:v>
      </x:c>
      <x:c r="C111" s="3" t="s">
        <x:v>5478</x:v>
      </x:c>
      <x:c r="D111" s="3" t="n">
        <x:f aca="0">COUNTIF(SCIENTIFIC_CLAIMS!$B$2:$B$1937,A111)</x:f>
        <x:v>20</x:v>
      </x:c>
      <x:c r="E111" s="3" t="s">
        <x:v>50</x:v>
      </x:c>
      <x:c r="F111" s="3" t="s">
        <x:v>45</x:v>
      </x:c>
      <x:c r="G111" s="3"/>
      <x:c r="H111" s="3" t="s">
        <x:v>2764</x:v>
      </x:c>
      <x:c r="I111" s="3" t="s">
        <x:v>5509</x:v>
      </x:c>
      <x:c r="J111" s="1" t="n">
        <x:v>20</x:v>
      </x:c>
      <x:c r="K111" s="1" t="n">
        <x:v>0</x:v>
      </x:c>
      <x:c r="L111" s="1" t="n">
        <x:v>0</x:v>
      </x:c>
      <x:c r="M111" s="1" t="n">
        <x:v>0</x:v>
      </x:c>
      <x:c r="N111" s="1" t="n">
        <x:v>0</x:v>
      </x:c>
      <x:c r="O111" s="1" t="n">
        <x:v>0</x:v>
      </x:c>
      <x:c r="P111" s="1" t="n">
        <x:v>13</x:v>
      </x:c>
      <x:c r="Q111" s="1" t="s">
        <x:v>5483</x:v>
      </x:c>
      <x:c r="R111" s="1" t="s">
        <x:v>5479</x:v>
      </x:c>
    </x:row>
    <x:row r="112" ht="27.75" hidden="0" customHeight="1">
      <x:c r="A112" s="3" t="s">
        <x:v>5142</x:v>
      </x:c>
      <x:c r="B112" s="3" t="s">
        <x:v>5642</x:v>
      </x:c>
      <x:c r="C112" s="3" t="s">
        <x:v>5532</x:v>
      </x:c>
      <x:c r="D112" s="3" t="n">
        <x:f aca="0">COUNTIF(SCIENTIFIC_CLAIMS!$B$2:$B$1937,A112)</x:f>
        <x:v>34</x:v>
      </x:c>
      <x:c r="E112" s="3" t="str">
        <x:v>DETAILED_PARTIAL</x:v>
      </x:c>
      <x:c r="F112" s="3" t="s">
        <x:v>45</x:v>
      </x:c>
      <x:c r="H112" s="1" t="str">
        <x:v>B16</x:v>
      </x:c>
      <x:c r="I112" s="1" t="str">
        <x:v>Read SI/code; reconcile percentage assignments, matching window and RMSE formula.</x:v>
      </x:c>
      <x:c r="J112" s="1" t="n">
        <x:v>28</x:v>
      </x:c>
      <x:c r="K112" s="1" t="n">
        <x:v>2</x:v>
      </x:c>
      <x:c r="L112" s="1" t="n">
        <x:v>1</x:v>
      </x:c>
      <x:c r="M112" s="1" t="n">
        <x:v>3</x:v>
      </x:c>
      <x:c r="N112" s="1" t="n">
        <x:v>0</x:v>
      </x:c>
      <x:c r="O112" s="1" t="n">
        <x:v>0</x:v>
      </x:c>
      <x:c r="P112" s="1" t="n">
        <x:v>17</x:v>
      </x:c>
      <x:c r="Q112" s="1" t="s">
        <x:v>5488</x:v>
      </x:c>
      <x:c r="R112" s="1" t="str">
        <x:v>FULLTEXT</x:v>
      </x:c>
    </x:row>
    <x:row r="113" ht="27.75" hidden="0" customHeight="1">
      <x:c r="A113" s="3" t="s">
        <x:v>4614</x:v>
      </x:c>
      <x:c r="B113" s="3" t="s">
        <x:v>5643</x:v>
      </x:c>
      <x:c r="C113" s="3" t="s">
        <x:v>5481</x:v>
      </x:c>
      <x:c r="D113" s="3" t="n">
        <x:f aca="0">COUNTIF(SCIENTIFIC_CLAIMS!$B$2:$B$1937,A113)</x:f>
        <x:v>3</x:v>
      </x:c>
      <x:c r="E113" s="3" t="s">
        <x:v>52</x:v>
      </x:c>
      <x:c r="F113" s="3" t="s">
        <x:v>45</x:v>
      </x:c>
      <x:c r="H113" s="1" t="s">
        <x:v>4342</x:v>
      </x:c>
      <x:c r="I113" s="1" t="s">
        <x:v>5644</x:v>
      </x:c>
      <x:c r="J113" s="1" t="n">
        <x:v>2</x:v>
      </x:c>
      <x:c r="K113" s="1" t="n">
        <x:v>0</x:v>
      </x:c>
      <x:c r="L113" s="1" t="n">
        <x:v>0</x:v>
      </x:c>
      <x:c r="M113" s="1" t="n">
        <x:v>0</x:v>
      </x:c>
      <x:c r="N113" s="1" t="n">
        <x:v>0</x:v>
      </x:c>
      <x:c r="O113" s="1" t="n">
        <x:v>1</x:v>
      </x:c>
      <x:c r="P113" s="1" t="n">
        <x:v>1</x:v>
      </x:c>
      <x:c r="Q113" s="1" t="s">
        <x:v>5488</x:v>
      </x:c>
      <x:c r="R113" s="1" t="s">
        <x:v>5512</x:v>
      </x:c>
    </x:row>
    <x:row r="114" ht="27.75" hidden="0" customHeight="1">
      <x:c r="A114" s="3" t="s">
        <x:v>5171</x:v>
      </x:c>
      <x:c r="B114" s="3" t="s">
        <x:v>5645</x:v>
      </x:c>
      <x:c r="C114" s="3" t="s">
        <x:v>5536</x:v>
      </x:c>
      <x:c r="D114" s="3" t="n">
        <x:f aca="0">COUNTIF(SCIENTIFIC_CLAIMS!$B$2:$B$1937,A114)</x:f>
        <x:v>10</x:v>
      </x:c>
      <x:c r="E114" s="3" t="s">
        <x:v>54</x:v>
      </x:c>
      <x:c r="F114" s="3" t="s">
        <x:v>45</x:v>
      </x:c>
      <x:c r="H114" s="1" t="s">
        <x:v>5060</x:v>
      </x:c>
      <x:c r="I114" s="1" t="s">
        <x:v>5511</x:v>
      </x:c>
      <x:c r="J114" s="1" t="n">
        <x:v>10</x:v>
      </x:c>
      <x:c r="K114" s="1" t="n">
        <x:v>0</x:v>
      </x:c>
      <x:c r="L114" s="1" t="n">
        <x:v>0</x:v>
      </x:c>
      <x:c r="M114" s="1" t="n">
        <x:v>0</x:v>
      </x:c>
      <x:c r="N114" s="1" t="n">
        <x:v>0</x:v>
      </x:c>
      <x:c r="O114" s="1" t="n">
        <x:v>0</x:v>
      </x:c>
      <x:c r="P114" s="1" t="n">
        <x:v>9</x:v>
      </x:c>
      <x:c r="Q114" s="1" t="s">
        <x:v>5488</x:v>
      </x:c>
      <x:c r="R114" s="1" t="s">
        <x:v>5646</x:v>
      </x:c>
    </x:row>
    <x:row r="115" ht="61.5" hidden="0" customHeight="1">
      <x:c r="A115" s="3" t="s">
        <x:v>3339</x:v>
      </x:c>
      <x:c r="B115" s="3" t="s">
        <x:v>5647</x:v>
      </x:c>
      <x:c r="C115" s="3" t="s">
        <x:v>5497</x:v>
      </x:c>
      <x:c r="D115" s="3" t="n">
        <x:f aca="0">COUNTIF(SCIENTIFIC_CLAIMS!$B$2:$B$1937,A115)</x:f>
        <x:v>9</x:v>
      </x:c>
      <x:c r="E115" s="3" t="s">
        <x:v>50</x:v>
      </x:c>
      <x:c r="F115" s="3" t="s">
        <x:v>45</x:v>
      </x:c>
      <x:c r="G115" s="3"/>
      <x:c r="H115" s="3" t="s">
        <x:v>2764</x:v>
      </x:c>
      <x:c r="I115" s="3" t="s">
        <x:v>5509</x:v>
      </x:c>
      <x:c r="J115" s="1" t="n">
        <x:v>8</x:v>
      </x:c>
      <x:c r="K115" s="1" t="n">
        <x:v>1</x:v>
      </x:c>
      <x:c r="L115" s="1" t="n">
        <x:v>0</x:v>
      </x:c>
      <x:c r="M115" s="1" t="n">
        <x:v>0</x:v>
      </x:c>
      <x:c r="N115" s="1" t="n">
        <x:v>0</x:v>
      </x:c>
      <x:c r="O115" s="1" t="n">
        <x:v>0</x:v>
      </x:c>
      <x:c r="P115" s="1" t="n">
        <x:v>7</x:v>
      </x:c>
      <x:c r="Q115" s="1" t="s">
        <x:v>5483</x:v>
      </x:c>
      <x:c r="R115" s="1" t="s">
        <x:v>5479</x:v>
      </x:c>
    </x:row>
    <x:row r="116" ht="27.75" hidden="0" customHeight="1">
      <x:c r="A116" s="3" t="s">
        <x:v>538</x:v>
      </x:c>
      <x:c r="B116" s="3" t="s">
        <x:v>5648</x:v>
      </x:c>
      <x:c r="C116" s="3" t="s">
        <x:v>5582</x:v>
      </x:c>
      <x:c r="D116" s="3" t="n">
        <x:f aca="0">COUNTIF(SCIENTIFIC_CLAIMS!$B$2:$B$1937,A116)</x:f>
        <x:v>4</x:v>
      </x:c>
      <x:c r="E116" s="3" t="s">
        <x:v>52</x:v>
      </x:c>
      <x:c r="F116" s="3" t="s">
        <x:v>5482</x:v>
      </x:c>
      <x:c r="I116" s="1" t="s">
        <x:v>5649</x:v>
      </x:c>
      <x:c r="J116" s="1" t="n">
        <x:v>4</x:v>
      </x:c>
      <x:c r="K116" s="1" t="n">
        <x:v>0</x:v>
      </x:c>
      <x:c r="L116" s="1" t="n">
        <x:v>0</x:v>
      </x:c>
      <x:c r="M116" s="1" t="n">
        <x:v>0</x:v>
      </x:c>
      <x:c r="N116" s="1" t="n">
        <x:v>0</x:v>
      </x:c>
      <x:c r="O116" s="1" t="n">
        <x:v>0</x:v>
      </x:c>
      <x:c r="P116" s="1" t="n">
        <x:v>4</x:v>
      </x:c>
      <x:c r="Q116" s="1" t="s">
        <x:v>5483</x:v>
      </x:c>
      <x:c r="R116" s="1" t="s">
        <x:v>5512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8" style="1" hidden="0" customWidth="1"/>
    <x:col min="2" max="5" width="18" style="1" hidden="0" customWidth="1"/>
    <x:col min="6" max="6" width="48" style="1" hidden="0" customWidth="1"/>
    <x:col min="7" max="7" width="36" style="1" hidden="0" customWidth="1"/>
    <x:col min="8" max="20" width="18" style="1" hidden="0" customWidth="1"/>
    <x:col min="21" max="21" width="48" style="1" hidden="0" customWidth="1"/>
  </x:cols>
  <x:sheetData>
    <x:row r="1" ht="27.75" hidden="0" customHeight="1">
      <x:c r="A1" s="6" t="s">
        <x:v>5460</x:v>
      </x:c>
      <x:c r="B1" s="6" t="s">
        <x:v>5650</x:v>
      </x:c>
      <x:c r="C1" s="6" t="s">
        <x:v>5651</x:v>
      </x:c>
      <x:c r="D1" s="6" t="s">
        <x:v>5461</x:v>
      </x:c>
      <x:c r="E1" s="6" t="s">
        <x:v>5652</x:v>
      </x:c>
      <x:c r="F1" s="6" t="s">
        <x:v>5653</x:v>
      </x:c>
      <x:c r="G1" s="6" t="s">
        <x:v>5654</x:v>
      </x:c>
      <x:c r="H1" s="6" t="s">
        <x:v>5655</x:v>
      </x:c>
      <x:c r="I1" s="6" t="s">
        <x:v>90</x:v>
      </x:c>
      <x:c r="J1" s="6" t="s">
        <x:v>5656</x:v>
      </x:c>
      <x:c r="K1" s="6" t="s">
        <x:v>5657</x:v>
      </x:c>
      <x:c r="L1" s="6" t="s">
        <x:v>5658</x:v>
      </x:c>
      <x:c r="M1" s="6" t="s">
        <x:v>82</x:v>
      </x:c>
      <x:c r="N1" s="6" t="s">
        <x:v>5659</x:v>
      </x:c>
      <x:c r="O1" s="6" t="s">
        <x:v>5660</x:v>
      </x:c>
      <x:c r="P1" s="6" t="s">
        <x:v>5661</x:v>
      </x:c>
      <x:c r="Q1" s="6" t="s">
        <x:v>5662</x:v>
      </x:c>
      <x:c r="R1" s="6" t="s">
        <x:v>5663</x:v>
      </x:c>
      <x:c r="S1" s="6" t="s">
        <x:v>5664</x:v>
      </x:c>
      <x:c r="T1" s="6" t="s">
        <x:v>5665</x:v>
      </x:c>
      <x:c r="U1" s="6" t="s">
        <x:v>98</x:v>
      </x:c>
    </x:row>
    <x:row r="2" ht="41.25" hidden="0" customHeight="1">
      <x:c r="A2" s="3" t="s">
        <x:v>5477</x:v>
      </x:c>
      <x:c r="B2" s="3" t="s">
        <x:v>5666</x:v>
      </x:c>
      <x:c r="C2" s="3" t="s">
        <x:v>111</x:v>
      </x:c>
      <x:c r="D2" s="3" t="s">
        <x:v>5478</x:v>
      </x:c>
      <x:c r="E2" s="3" t="s">
        <x:v>5667</x:v>
      </x:c>
      <x:c r="F2" s="3"/>
      <x:c r="G2" s="3" t="s">
        <x:v>110</x:v>
      </x:c>
      <x:c r="H2" s="3" t="s">
        <x:v>5668</x:v>
      </x:c>
      <x:c r="I2" s="3" t="s">
        <x:v>5669</x:v>
      </x:c>
      <x:c r="J2" s="3" t="s">
        <x:v>5670</x:v>
      </x:c>
      <x:c r="K2" s="3" t="s">
        <x:v>5671</x:v>
      </x:c>
      <x:c r="L2" s="3" t="s">
        <x:v>5672</x:v>
      </x:c>
      <x:c r="M2" s="3" t="s">
        <x:v>104</x:v>
      </x:c>
      <x:c r="N2" s="3" t="s">
        <x:v>5673</x:v>
      </x:c>
      <x:c r="O2" s="3" t="s">
        <x:v>5674</x:v>
      </x:c>
      <x:c r="P2" s="3" t="str">
        <x:v>PARTIALLY_EXTRACTED</x:v>
      </x:c>
      <x:c r="Q2" s="3" t="s">
        <x:v>5675</x:v>
      </x:c>
      <x:c r="R2" s="3"/>
      <x:c r="S2" s="3" t="s">
        <x:v>5676</x:v>
      </x:c>
      <x:c r="T2" s="3" t="s">
        <x:v>30</x:v>
      </x:c>
      <x:c r="U2" s="3" t="str">
        <x:v>Not a verified PaperRecord; no page-level PDF audit. | B16: Remaining widths, learning rate, code configuration and quantitative tables need review.</x:v>
      </x:c>
    </x:row>
    <x:row r="3" ht="27.75" hidden="0" customHeight="1">
      <x:c r="A3" s="3" t="s">
        <x:v>5480</x:v>
      </x:c>
      <x:c r="B3" s="3" t="s">
        <x:v>5677</x:v>
      </x:c>
      <x:c r="C3" s="3" t="s">
        <x:v>198</x:v>
      </x:c>
      <x:c r="D3" s="3" t="s">
        <x:v>5481</x:v>
      </x:c>
      <x:c r="E3" s="3" t="s">
        <x:v>5678</x:v>
      </x:c>
      <x:c r="F3" s="3"/>
      <x:c r="G3" s="3" t="s">
        <x:v>197</x:v>
      </x:c>
      <x:c r="H3" s="3" t="s">
        <x:v>5668</x:v>
      </x:c>
      <x:c r="I3" s="3" t="s">
        <x:v>5669</x:v>
      </x:c>
      <x:c r="J3" s="3" t="s">
        <x:v>5670</x:v>
      </x:c>
      <x:c r="K3" s="3" t="s">
        <x:v>5671</x:v>
      </x:c>
      <x:c r="L3" s="3" t="s">
        <x:v>5679</x:v>
      </x:c>
      <x:c r="M3" s="3" t="s">
        <x:v>194</x:v>
      </x:c>
      <x:c r="N3" s="3" t="s">
        <x:v>5673</x:v>
      </x:c>
      <x:c r="O3" s="3" t="s">
        <x:v>5674</x:v>
      </x:c>
      <x:c r="P3" s="3" t="s">
        <x:v>30</x:v>
      </x:c>
      <x:c r="Q3" s="3" t="s">
        <x:v>5675</x:v>
      </x:c>
      <x:c r="R3" s="3"/>
      <x:c r="S3" s="3" t="s">
        <x:v>5676</x:v>
      </x:c>
      <x:c r="T3" s="3" t="s">
        <x:v>30</x:v>
      </x:c>
      <x:c r="U3" s="3" t="s">
        <x:v>5680</x:v>
      </x:c>
    </x:row>
    <x:row r="4" ht="41.25" hidden="0" customHeight="1">
      <x:c r="A4" s="3" t="s">
        <x:v>5484</x:v>
      </x:c>
      <x:c r="B4" s="3" t="s">
        <x:v>5681</x:v>
      </x:c>
      <x:c r="C4" s="3" t="s">
        <x:v>283</x:v>
      </x:c>
      <x:c r="D4" s="3" t="s">
        <x:v>5481</x:v>
      </x:c>
      <x:c r="E4" s="3" t="s">
        <x:v>5682</x:v>
      </x:c>
      <x:c r="F4" s="3"/>
      <x:c r="G4" s="3" t="s">
        <x:v>282</x:v>
      </x:c>
      <x:c r="H4" s="3" t="s">
        <x:v>5668</x:v>
      </x:c>
      <x:c r="I4" s="3" t="s">
        <x:v>5669</x:v>
      </x:c>
      <x:c r="J4" s="3" t="s">
        <x:v>5670</x:v>
      </x:c>
      <x:c r="K4" s="3" t="s">
        <x:v>5671</x:v>
      </x:c>
      <x:c r="L4" s="3" t="s">
        <x:v>5679</x:v>
      </x:c>
      <x:c r="M4" s="3" t="s">
        <x:v>279</x:v>
      </x:c>
      <x:c r="N4" s="3" t="s">
        <x:v>5673</x:v>
      </x:c>
      <x:c r="O4" s="3" t="s">
        <x:v>5674</x:v>
      </x:c>
      <x:c r="P4" s="3" t="str">
        <x:v>PARTIALLY_EXTRACTED</x:v>
      </x:c>
      <x:c r="Q4" s="3" t="s">
        <x:v>5675</x:v>
      </x:c>
      <x:c r="R4" s="3"/>
      <x:c r="S4" s="3" t="s">
        <x:v>5676</x:v>
      </x:c>
      <x:c r="T4" s="3" t="s">
        <x:v>30</x:v>
      </x:c>
      <x:c r="U4" s="3" t="str">
        <x:v>Not a verified PaperRecord; no page-level PDF audit. | B16: Reconcile legacy Transformer label with published FNO/CNN description; exact loss/code review pending.</x:v>
      </x:c>
    </x:row>
    <x:row r="5" ht="41.25" hidden="0" customHeight="1">
      <x:c r="A5" s="3" t="s">
        <x:v>5485</x:v>
      </x:c>
      <x:c r="B5" s="3" t="s">
        <x:v>5683</x:v>
      </x:c>
      <x:c r="C5" s="3" t="s">
        <x:v>360</x:v>
      </x:c>
      <x:c r="D5" s="3" t="s">
        <x:v>5486</x:v>
      </x:c>
      <x:c r="E5" s="3" t="s">
        <x:v>5684</x:v>
      </x:c>
      <x:c r="F5" s="3"/>
      <x:c r="G5" s="3" t="s">
        <x:v>359</x:v>
      </x:c>
      <x:c r="H5" s="3" t="s">
        <x:v>5668</x:v>
      </x:c>
      <x:c r="I5" s="3" t="s">
        <x:v>5669</x:v>
      </x:c>
      <x:c r="J5" s="3" t="s">
        <x:v>5670</x:v>
      </x:c>
      <x:c r="K5" s="3" t="s">
        <x:v>5671</x:v>
      </x:c>
      <x:c r="L5" s="3" t="s">
        <x:v>5685</x:v>
      </x:c>
      <x:c r="M5" s="3" t="s">
        <x:v>356</x:v>
      </x:c>
      <x:c r="N5" s="3" t="s">
        <x:v>5673</x:v>
      </x:c>
      <x:c r="O5" s="3" t="s">
        <x:v>5674</x:v>
      </x:c>
      <x:c r="P5" s="3" t="s">
        <x:v>30</x:v>
      </x:c>
      <x:c r="Q5" s="3" t="s">
        <x:v>5675</x:v>
      </x:c>
      <x:c r="R5" s="3"/>
      <x:c r="S5" s="3" t="s">
        <x:v>5676</x:v>
      </x:c>
      <x:c r="T5" s="3" t="s">
        <x:v>30</x:v>
      </x:c>
      <x:c r="U5" s="3" t="s">
        <x:v>5680</x:v>
      </x:c>
    </x:row>
    <x:row r="6" ht="27.75" hidden="0" customHeight="1">
      <x:c r="A6" s="3" t="s">
        <x:v>5487</x:v>
      </x:c>
      <x:c r="B6" s="3" t="s">
        <x:v>5666</x:v>
      </x:c>
      <x:c r="C6" s="3"/>
      <x:c r="D6" s="3" t="s">
        <x:v>5481</x:v>
      </x:c>
      <x:c r="E6" s="3" t="s">
        <x:v>5686</x:v>
      </x:c>
      <x:c r="F6" s="3"/>
      <x:c r="G6" s="3" t="s">
        <x:v>558</x:v>
      </x:c>
      <x:c r="H6" s="3" t="s">
        <x:v>5668</x:v>
      </x:c>
      <x:c r="I6" s="3" t="s">
        <x:v>5687</x:v>
      </x:c>
      <x:c r="J6" s="3" t="s">
        <x:v>5670</x:v>
      </x:c>
      <x:c r="K6" s="3" t="s">
        <x:v>5671</x:v>
      </x:c>
      <x:c r="L6" s="3" t="s">
        <x:v>5679</x:v>
      </x:c>
      <x:c r="M6" s="3" t="s">
        <x:v>554</x:v>
      </x:c>
      <x:c r="N6" s="3" t="s">
        <x:v>5673</x:v>
      </x:c>
      <x:c r="O6" s="3" t="s">
        <x:v>5674</x:v>
      </x:c>
      <x:c r="P6" s="3" t="s">
        <x:v>5688</x:v>
      </x:c>
      <x:c r="Q6" s="3" t="s">
        <x:v>5675</x:v>
      </x:c>
      <x:c r="R6" s="3"/>
      <x:c r="S6" s="3" t="s">
        <x:v>5676</x:v>
      </x:c>
      <x:c r="T6" s="3" t="s">
        <x:v>30</x:v>
      </x:c>
      <x:c r="U6" s="3" t="s">
        <x:v>5689</x:v>
      </x:c>
    </x:row>
    <x:row r="7" ht="41.25" hidden="0" customHeight="1">
      <x:c r="A7" s="3" t="s">
        <x:v>5489</x:v>
      </x:c>
      <x:c r="B7" s="3" t="s">
        <x:v>5677</x:v>
      </x:c>
      <x:c r="C7" s="3" t="s">
        <x:v>435</x:v>
      </x:c>
      <x:c r="D7" s="3" t="s">
        <x:v>5481</x:v>
      </x:c>
      <x:c r="E7" s="3" t="s">
        <x:v>5690</x:v>
      </x:c>
      <x:c r="F7" s="3" t="s">
        <x:v>5691</x:v>
      </x:c>
      <x:c r="G7" s="3" t="s">
        <x:v>434</x:v>
      </x:c>
      <x:c r="H7" s="3" t="s">
        <x:v>5692</x:v>
      </x:c>
      <x:c r="I7" s="3" t="s">
        <x:v>5669</x:v>
      </x:c>
      <x:c r="J7" s="3" t="s">
        <x:v>5693</x:v>
      </x:c>
      <x:c r="K7" s="3" t="s">
        <x:v>5694</x:v>
      </x:c>
      <x:c r="L7" s="3" t="s">
        <x:v>5481</x:v>
      </x:c>
      <x:c r="M7" s="3" t="s">
        <x:v>431</x:v>
      </x:c>
      <x:c r="N7" s="3" t="s">
        <x:v>5673</x:v>
      </x:c>
      <x:c r="O7" s="3" t="s">
        <x:v>5674</x:v>
      </x:c>
      <x:c r="P7" s="3" t="s">
        <x:v>30</x:v>
      </x:c>
      <x:c r="Q7" s="3" t="s">
        <x:v>5675</x:v>
      </x:c>
      <x:c r="R7" s="3"/>
      <x:c r="S7" s="3" t="s">
        <x:v>5676</x:v>
      </x:c>
      <x:c r="T7" s="3" t="s">
        <x:v>5695</x:v>
      </x:c>
      <x:c r="U7" s="3" t="s">
        <x:v>5680</x:v>
      </x:c>
    </x:row>
    <x:row r="8" ht="54.75" hidden="0" customHeight="1">
      <x:c r="A8" s="3" t="s">
        <x:v>5490</x:v>
      </x:c>
      <x:c r="B8" s="3" t="s">
        <x:v>5677</x:v>
      </x:c>
      <x:c r="C8" s="3" t="s">
        <x:v>879</x:v>
      </x:c>
      <x:c r="D8" s="3" t="s">
        <x:v>5481</x:v>
      </x:c>
      <x:c r="E8" s="3" t="s">
        <x:v>5696</x:v>
      </x:c>
      <x:c r="F8" s="3"/>
      <x:c r="G8" s="3" t="s">
        <x:v>5697</x:v>
      </x:c>
      <x:c r="H8" s="3" t="s">
        <x:v>5668</x:v>
      </x:c>
      <x:c r="I8" s="3" t="s">
        <x:v>5669</x:v>
      </x:c>
      <x:c r="J8" s="3" t="s">
        <x:v>5670</x:v>
      </x:c>
      <x:c r="K8" s="3" t="s">
        <x:v>5671</x:v>
      </x:c>
      <x:c r="L8" s="3" t="s">
        <x:v>5679</x:v>
      </x:c>
      <x:c r="M8" s="3" t="s">
        <x:v>875</x:v>
      </x:c>
      <x:c r="N8" s="3" t="s">
        <x:v>5673</x:v>
      </x:c>
      <x:c r="O8" s="3" t="s">
        <x:v>5674</x:v>
      </x:c>
      <x:c r="P8" s="3" t="s">
        <x:v>5688</x:v>
      </x:c>
      <x:c r="Q8" s="3" t="s">
        <x:v>5675</x:v>
      </x:c>
      <x:c r="R8" s="3" t="s">
        <x:v>5698</x:v>
      </x:c>
      <x:c r="S8" s="3" t="s">
        <x:v>5676</x:v>
      </x:c>
      <x:c r="T8" s="3" t="s">
        <x:v>30</x:v>
      </x:c>
      <x:c r="U8" s="3" t="s">
        <x:v>5699</x:v>
      </x:c>
    </x:row>
    <x:row r="9" ht="41.25" hidden="0" customHeight="1">
      <x:c r="A9" s="3" t="s">
        <x:v>5492</x:v>
      </x:c>
      <x:c r="B9" s="3" t="s">
        <x:v>5700</x:v>
      </x:c>
      <x:c r="C9" s="3" t="s">
        <x:v>1112</x:v>
      </x:c>
      <x:c r="D9" s="3" t="s">
        <x:v>5493</x:v>
      </x:c>
      <x:c r="E9" s="3" t="s">
        <x:v>5701</x:v>
      </x:c>
      <x:c r="F9" s="3"/>
      <x:c r="G9" s="3" t="s">
        <x:v>5702</x:v>
      </x:c>
      <x:c r="H9" s="3" t="s">
        <x:v>5668</x:v>
      </x:c>
      <x:c r="I9" s="3" t="s">
        <x:v>5669</x:v>
      </x:c>
      <x:c r="J9" s="3" t="s">
        <x:v>5670</x:v>
      </x:c>
      <x:c r="K9" s="3" t="s">
        <x:v>5671</x:v>
      </x:c>
      <x:c r="L9" s="3" t="s">
        <x:v>5703</x:v>
      </x:c>
      <x:c r="M9" s="3" t="s">
        <x:v>1107</x:v>
      </x:c>
      <x:c r="N9" s="3" t="s">
        <x:v>5673</x:v>
      </x:c>
      <x:c r="O9" s="3" t="s">
        <x:v>5674</x:v>
      </x:c>
      <x:c r="P9" s="3" t="s">
        <x:v>5688</x:v>
      </x:c>
      <x:c r="Q9" s="3" t="s">
        <x:v>5675</x:v>
      </x:c>
      <x:c r="R9" s="3"/>
      <x:c r="S9" s="3" t="s">
        <x:v>5676</x:v>
      </x:c>
      <x:c r="T9" s="3" t="s">
        <x:v>30</x:v>
      </x:c>
      <x:c r="U9" s="3" t="s">
        <x:v>5699</x:v>
      </x:c>
    </x:row>
    <x:row r="10" ht="54.75" hidden="0" customHeight="1">
      <x:c r="A10" s="3" t="s">
        <x:v>5495</x:v>
      </x:c>
      <x:c r="B10" s="3" t="s">
        <x:v>5700</x:v>
      </x:c>
      <x:c r="C10" s="3" t="s">
        <x:v>5704</x:v>
      </x:c>
      <x:c r="D10" s="3" t="s">
        <x:v>5493</x:v>
      </x:c>
      <x:c r="E10" s="3" t="s">
        <x:v>5701</x:v>
      </x:c>
      <x:c r="F10" s="3"/>
      <x:c r="G10" s="3" t="s">
        <x:v>5705</x:v>
      </x:c>
      <x:c r="H10" s="3" t="s">
        <x:v>5668</x:v>
      </x:c>
      <x:c r="I10" s="3" t="s">
        <x:v>5669</x:v>
      </x:c>
      <x:c r="J10" s="3" t="s">
        <x:v>5670</x:v>
      </x:c>
      <x:c r="K10" s="3" t="s">
        <x:v>5671</x:v>
      </x:c>
      <x:c r="L10" s="3" t="s">
        <x:v>5706</x:v>
      </x:c>
      <x:c r="M10" s="3" t="s">
        <x:v>1197</x:v>
      </x:c>
      <x:c r="N10" s="3" t="s">
        <x:v>5673</x:v>
      </x:c>
      <x:c r="O10" s="3" t="s">
        <x:v>5674</x:v>
      </x:c>
      <x:c r="P10" s="3" t="s">
        <x:v>5688</x:v>
      </x:c>
      <x:c r="Q10" s="3" t="s">
        <x:v>5675</x:v>
      </x:c>
      <x:c r="R10" s="3"/>
      <x:c r="S10" s="3" t="s">
        <x:v>5676</x:v>
      </x:c>
      <x:c r="T10" s="3" t="s">
        <x:v>30</x:v>
      </x:c>
      <x:c r="U10" s="3" t="s">
        <x:v>5707</x:v>
      </x:c>
    </x:row>
    <x:row r="11" ht="54.75" hidden="0" customHeight="1">
      <x:c r="A11" s="3" t="s">
        <x:v>5496</x:v>
      </x:c>
      <x:c r="B11" s="3" t="s">
        <x:v>5666</x:v>
      </x:c>
      <x:c r="C11" s="3" t="s">
        <x:v>5708</x:v>
      </x:c>
      <x:c r="D11" s="3" t="s">
        <x:v>5497</x:v>
      </x:c>
      <x:c r="E11" s="3" t="s">
        <x:v>5709</x:v>
      </x:c>
      <x:c r="F11" s="3" t="s">
        <x:v>5710</x:v>
      </x:c>
      <x:c r="G11" s="3" t="s">
        <x:v>5711</x:v>
      </x:c>
      <x:c r="H11" s="3" t="s">
        <x:v>5712</x:v>
      </x:c>
      <x:c r="I11" s="3" t="s">
        <x:v>5669</x:v>
      </x:c>
      <x:c r="J11" s="3" t="s">
        <x:v>5713</x:v>
      </x:c>
      <x:c r="K11" s="3" t="s">
        <x:v>5694</x:v>
      </x:c>
      <x:c r="L11" s="3" t="s">
        <x:v>5497</x:v>
      </x:c>
      <x:c r="M11" s="3" t="s">
        <x:v>1279</x:v>
      </x:c>
      <x:c r="N11" s="3" t="s">
        <x:v>5673</x:v>
      </x:c>
      <x:c r="O11" s="3" t="s">
        <x:v>5674</x:v>
      </x:c>
      <x:c r="P11" s="3" t="s">
        <x:v>5688</x:v>
      </x:c>
      <x:c r="Q11" s="3" t="s">
        <x:v>5675</x:v>
      </x:c>
      <x:c r="R11" s="3" t="s">
        <x:v>5714</x:v>
      </x:c>
      <x:c r="S11" s="3" t="s">
        <x:v>5676</x:v>
      </x:c>
      <x:c r="T11" s="3" t="s">
        <x:v>5715</x:v>
      </x:c>
      <x:c r="U11" s="3" t="s">
        <x:v>5699</x:v>
      </x:c>
    </x:row>
    <x:row r="12" ht="41.25" hidden="0" customHeight="1">
      <x:c r="A12" s="3" t="s">
        <x:v>5499</x:v>
      </x:c>
      <x:c r="B12" s="3" t="s">
        <x:v>5677</x:v>
      </x:c>
      <x:c r="C12" s="3"/>
      <x:c r="D12" s="3" t="s">
        <x:v>5481</x:v>
      </x:c>
      <x:c r="E12" s="3" t="s">
        <x:v>5716</x:v>
      </x:c>
      <x:c r="F12" s="3"/>
      <x:c r="G12" s="3" t="s">
        <x:v>5717</x:v>
      </x:c>
      <x:c r="H12" s="3" t="s">
        <x:v>5668</x:v>
      </x:c>
      <x:c r="I12" s="3" t="s">
        <x:v>5687</x:v>
      </x:c>
      <x:c r="J12" s="3" t="s">
        <x:v>5670</x:v>
      </x:c>
      <x:c r="K12" s="3" t="s">
        <x:v>5671</x:v>
      </x:c>
      <x:c r="L12" s="3" t="s">
        <x:v>5718</x:v>
      </x:c>
      <x:c r="M12" s="3" t="s">
        <x:v>1466</x:v>
      </x:c>
      <x:c r="N12" s="3" t="s">
        <x:v>5673</x:v>
      </x:c>
      <x:c r="O12" s="3" t="s">
        <x:v>5674</x:v>
      </x:c>
      <x:c r="P12" s="3" t="s">
        <x:v>5688</x:v>
      </x:c>
      <x:c r="Q12" s="3" t="s">
        <x:v>5675</x:v>
      </x:c>
      <x:c r="R12" s="3"/>
      <x:c r="S12" s="3" t="s">
        <x:v>5676</x:v>
      </x:c>
      <x:c r="T12" s="3" t="s">
        <x:v>30</x:v>
      </x:c>
      <x:c r="U12" s="3" t="s">
        <x:v>5719</x:v>
      </x:c>
    </x:row>
    <x:row r="13" ht="41.25" hidden="0" customHeight="1">
      <x:c r="A13" s="3" t="s">
        <x:v>5502</x:v>
      </x:c>
      <x:c r="B13" s="3" t="s">
        <x:v>5681</x:v>
      </x:c>
      <x:c r="C13" s="3" t="s">
        <x:v>5720</x:v>
      </x:c>
      <x:c r="D13" s="3" t="s">
        <x:v>5503</x:v>
      </x:c>
      <x:c r="E13" s="3" t="s">
        <x:v>5721</x:v>
      </x:c>
      <x:c r="F13" s="3"/>
      <x:c r="G13" s="3" t="s">
        <x:v>5722</x:v>
      </x:c>
      <x:c r="H13" s="3" t="s">
        <x:v>5668</x:v>
      </x:c>
      <x:c r="I13" s="3" t="s">
        <x:v>5669</x:v>
      </x:c>
      <x:c r="J13" s="3" t="s">
        <x:v>5670</x:v>
      </x:c>
      <x:c r="K13" s="3" t="s">
        <x:v>5671</x:v>
      </x:c>
      <x:c r="L13" s="3" t="s">
        <x:v>5723</x:v>
      </x:c>
      <x:c r="M13" s="3" t="s">
        <x:v>5501</x:v>
      </x:c>
      <x:c r="N13" s="3" t="s">
        <x:v>5673</x:v>
      </x:c>
      <x:c r="O13" s="3" t="s">
        <x:v>5674</x:v>
      </x:c>
      <x:c r="P13" s="3" t="s">
        <x:v>30</x:v>
      </x:c>
      <x:c r="Q13" s="3" t="s">
        <x:v>5675</x:v>
      </x:c>
      <x:c r="R13" s="3"/>
      <x:c r="S13" s="3" t="s">
        <x:v>5676</x:v>
      </x:c>
      <x:c r="T13" s="3" t="s">
        <x:v>30</x:v>
      </x:c>
      <x:c r="U13" s="3" t="s">
        <x:v>5680</x:v>
      </x:c>
    </x:row>
    <x:row r="14" ht="27.75" hidden="0" customHeight="1">
      <x:c r="A14" s="3" t="s">
        <x:v>5505</x:v>
      </x:c>
      <x:c r="B14" s="3" t="s">
        <x:v>5681</x:v>
      </x:c>
      <x:c r="C14" s="3" t="s">
        <x:v>4633</x:v>
      </x:c>
      <x:c r="D14" s="3" t="s">
        <x:v>5503</x:v>
      </x:c>
      <x:c r="E14" s="3" t="s">
        <x:v>5724</x:v>
      </x:c>
      <x:c r="F14" s="3"/>
      <x:c r="G14" s="3" t="s">
        <x:v>5725</x:v>
      </x:c>
      <x:c r="H14" s="3" t="s">
        <x:v>5668</x:v>
      </x:c>
      <x:c r="I14" s="3" t="s">
        <x:v>5669</x:v>
      </x:c>
      <x:c r="J14" s="3" t="s">
        <x:v>5670</x:v>
      </x:c>
      <x:c r="K14" s="3" t="s">
        <x:v>5671</x:v>
      </x:c>
      <x:c r="L14" s="3" t="s">
        <x:v>5723</x:v>
      </x:c>
      <x:c r="M14" s="3" t="s">
        <x:v>4629</x:v>
      </x:c>
      <x:c r="N14" s="3" t="s">
        <x:v>5673</x:v>
      </x:c>
      <x:c r="O14" s="3" t="s">
        <x:v>5674</x:v>
      </x:c>
      <x:c r="P14" s="3" t="s">
        <x:v>5688</x:v>
      </x:c>
      <x:c r="Q14" s="3" t="s">
        <x:v>5675</x:v>
      </x:c>
      <x:c r="R14" s="3"/>
      <x:c r="S14" s="3" t="s">
        <x:v>5676</x:v>
      </x:c>
      <x:c r="T14" s="3" t="s">
        <x:v>30</x:v>
      </x:c>
      <x:c r="U14" s="3" t="s">
        <x:v>5726</x:v>
      </x:c>
    </x:row>
    <x:row r="15" ht="41.25" hidden="0" customHeight="1">
      <x:c r="A15" s="3" t="s">
        <x:v>5508</x:v>
      </x:c>
      <x:c r="B15" s="3" t="s">
        <x:v>5677</x:v>
      </x:c>
      <x:c r="C15" s="3" t="s">
        <x:v>3430</x:v>
      </x:c>
      <x:c r="D15" s="3" t="s">
        <x:v>5493</x:v>
      </x:c>
      <x:c r="E15" s="3" t="s">
        <x:v>5727</x:v>
      </x:c>
      <x:c r="F15" s="3" t="s">
        <x:v>5728</x:v>
      </x:c>
      <x:c r="G15" s="3" t="s">
        <x:v>3429</x:v>
      </x:c>
      <x:c r="H15" s="3" t="s">
        <x:v>5692</x:v>
      </x:c>
      <x:c r="I15" s="3" t="s">
        <x:v>5729</x:v>
      </x:c>
      <x:c r="J15" s="3" t="s">
        <x:v>5701</x:v>
      </x:c>
      <x:c r="K15" s="3" t="s">
        <x:v>5694</x:v>
      </x:c>
      <x:c r="L15" s="3" t="s">
        <x:v>5493</x:v>
      </x:c>
      <x:c r="M15" s="3" t="s">
        <x:v>3426</x:v>
      </x:c>
      <x:c r="N15" s="3" t="s">
        <x:v>5673</x:v>
      </x:c>
      <x:c r="O15" s="3" t="s">
        <x:v>5674</x:v>
      </x:c>
      <x:c r="P15" s="3" t="s">
        <x:v>5688</x:v>
      </x:c>
      <x:c r="Q15" s="3" t="s">
        <x:v>5675</x:v>
      </x:c>
      <x:c r="R15" s="3"/>
      <x:c r="S15" s="3" t="s">
        <x:v>5676</x:v>
      </x:c>
      <x:c r="T15" s="3" t="s">
        <x:v>5695</x:v>
      </x:c>
      <x:c r="U15" s="3" t="s">
        <x:v>5730</x:v>
      </x:c>
    </x:row>
    <x:row r="16" ht="27.75" hidden="0" customHeight="1">
      <x:c r="A16" s="3" t="s">
        <x:v>5510</x:v>
      </x:c>
      <x:c r="B16" s="3" t="s">
        <x:v>5681</x:v>
      </x:c>
      <x:c r="C16" s="3" t="s">
        <x:v>5105</x:v>
      </x:c>
      <x:c r="D16" s="3" t="s">
        <x:v>5493</x:v>
      </x:c>
      <x:c r="E16" s="3" t="s">
        <x:v>5727</x:v>
      </x:c>
      <x:c r="F16" s="3" t="s">
        <x:v>5731</x:v>
      </x:c>
      <x:c r="G16" s="3" t="s">
        <x:v>5732</x:v>
      </x:c>
      <x:c r="H16" s="3" t="s">
        <x:v>5692</x:v>
      </x:c>
      <x:c r="I16" s="3" t="s">
        <x:v>5729</x:v>
      </x:c>
      <x:c r="J16" s="3" t="s">
        <x:v>5701</x:v>
      </x:c>
      <x:c r="K16" s="3" t="s">
        <x:v>5694</x:v>
      </x:c>
      <x:c r="L16" s="3" t="s">
        <x:v>5493</x:v>
      </x:c>
      <x:c r="M16" s="3" t="s">
        <x:v>5101</x:v>
      </x:c>
      <x:c r="N16" s="3" t="s">
        <x:v>5673</x:v>
      </x:c>
      <x:c r="O16" s="3" t="s">
        <x:v>5674</x:v>
      </x:c>
      <x:c r="P16" s="3" t="s">
        <x:v>52</x:v>
      </x:c>
      <x:c r="Q16" s="3" t="s">
        <x:v>5675</x:v>
      </x:c>
      <x:c r="R16" s="3"/>
      <x:c r="S16" s="3" t="s">
        <x:v>5676</x:v>
      </x:c>
      <x:c r="T16" s="3" t="s">
        <x:v>5695</x:v>
      </x:c>
      <x:c r="U16" s="3" t="s">
        <x:v>5733</x:v>
      </x:c>
    </x:row>
    <x:row r="17" ht="27.75" hidden="0" customHeight="1">
      <x:c r="A17" s="3" t="s">
        <x:v>5513</x:v>
      </x:c>
      <x:c r="B17" s="3" t="s">
        <x:v>5681</x:v>
      </x:c>
      <x:c r="C17" s="3" t="s">
        <x:v>1708</x:v>
      </x:c>
      <x:c r="D17" s="3" t="s">
        <x:v>5493</x:v>
      </x:c>
      <x:c r="E17" s="3" t="s">
        <x:v>5734</x:v>
      </x:c>
      <x:c r="F17" s="3" t="s">
        <x:v>5735</x:v>
      </x:c>
      <x:c r="G17" s="3" t="s">
        <x:v>1707</x:v>
      </x:c>
      <x:c r="H17" s="3" t="s">
        <x:v>5692</x:v>
      </x:c>
      <x:c r="I17" s="3" t="s">
        <x:v>5729</x:v>
      </x:c>
      <x:c r="J17" s="3" t="s">
        <x:v>5701</x:v>
      </x:c>
      <x:c r="K17" s="3" t="s">
        <x:v>5694</x:v>
      </x:c>
      <x:c r="L17" s="3" t="s">
        <x:v>5493</x:v>
      </x:c>
      <x:c r="M17" s="3" t="s">
        <x:v>1703</x:v>
      </x:c>
      <x:c r="N17" s="3" t="s">
        <x:v>5673</x:v>
      </x:c>
      <x:c r="O17" s="3" t="s">
        <x:v>5674</x:v>
      </x:c>
      <x:c r="P17" s="3" t="s">
        <x:v>5688</x:v>
      </x:c>
      <x:c r="Q17" s="3" t="s">
        <x:v>5675</x:v>
      </x:c>
      <x:c r="R17" s="3"/>
      <x:c r="S17" s="3" t="s">
        <x:v>5676</x:v>
      </x:c>
      <x:c r="T17" s="3" t="s">
        <x:v>5695</x:v>
      </x:c>
      <x:c r="U17" s="3" t="s">
        <x:v>5730</x:v>
      </x:c>
    </x:row>
    <x:row r="18" ht="27.75" hidden="0" customHeight="1">
      <x:c r="A18" s="3" t="s">
        <x:v>5514</x:v>
      </x:c>
      <x:c r="B18" s="3" t="s">
        <x:v>5700</x:v>
      </x:c>
      <x:c r="C18" s="3" t="s">
        <x:v>4920</x:v>
      </x:c>
      <x:c r="D18" s="3" t="s">
        <x:v>5493</x:v>
      </x:c>
      <x:c r="E18" s="3" t="s">
        <x:v>5736</x:v>
      </x:c>
      <x:c r="F18" s="3" t="s">
        <x:v>5737</x:v>
      </x:c>
      <x:c r="G18" s="3" t="s">
        <x:v>5738</x:v>
      </x:c>
      <x:c r="H18" s="3" t="s">
        <x:v>5692</x:v>
      </x:c>
      <x:c r="I18" s="3" t="s">
        <x:v>5729</x:v>
      </x:c>
      <x:c r="J18" s="3" t="s">
        <x:v>5701</x:v>
      </x:c>
      <x:c r="K18" s="3" t="s">
        <x:v>5694</x:v>
      </x:c>
      <x:c r="L18" s="3" t="s">
        <x:v>5493</x:v>
      </x:c>
      <x:c r="M18" s="3" t="s">
        <x:v>4916</x:v>
      </x:c>
      <x:c r="N18" s="3" t="s">
        <x:v>5673</x:v>
      </x:c>
      <x:c r="O18" s="3" t="s">
        <x:v>5674</x:v>
      </x:c>
      <x:c r="P18" s="3" t="s">
        <x:v>5688</x:v>
      </x:c>
      <x:c r="Q18" s="3" t="s">
        <x:v>5675</x:v>
      </x:c>
      <x:c r="R18" s="3"/>
      <x:c r="S18" s="3" t="s">
        <x:v>5676</x:v>
      </x:c>
      <x:c r="T18" s="3" t="s">
        <x:v>5695</x:v>
      </x:c>
      <x:c r="U18" s="3" t="s">
        <x:v>5739</x:v>
      </x:c>
    </x:row>
    <x:row r="19" ht="27.75" hidden="0" customHeight="1">
      <x:c r="A19" s="3" t="s">
        <x:v>5516</x:v>
      </x:c>
      <x:c r="B19" s="3" t="s">
        <x:v>5700</x:v>
      </x:c>
      <x:c r="C19" s="3" t="s">
        <x:v>1734</x:v>
      </x:c>
      <x:c r="D19" s="3" t="s">
        <x:v>5493</x:v>
      </x:c>
      <x:c r="E19" s="3" t="s">
        <x:v>5740</x:v>
      </x:c>
      <x:c r="F19" s="3" t="s">
        <x:v>5741</x:v>
      </x:c>
      <x:c r="G19" s="3" t="s">
        <x:v>1733</x:v>
      </x:c>
      <x:c r="H19" s="3" t="s">
        <x:v>5692</x:v>
      </x:c>
      <x:c r="I19" s="3" t="s">
        <x:v>5729</x:v>
      </x:c>
      <x:c r="J19" s="3" t="s">
        <x:v>5742</x:v>
      </x:c>
      <x:c r="K19" s="3" t="s">
        <x:v>5694</x:v>
      </x:c>
      <x:c r="L19" s="3" t="s">
        <x:v>5493</x:v>
      </x:c>
      <x:c r="M19" s="3" t="s">
        <x:v>1730</x:v>
      </x:c>
      <x:c r="N19" s="3" t="s">
        <x:v>5673</x:v>
      </x:c>
      <x:c r="O19" s="3" t="s">
        <x:v>5674</x:v>
      </x:c>
      <x:c r="P19" s="3" t="s">
        <x:v>5688</x:v>
      </x:c>
      <x:c r="Q19" s="3" t="s">
        <x:v>5675</x:v>
      </x:c>
      <x:c r="R19" s="3"/>
      <x:c r="S19" s="3" t="s">
        <x:v>5676</x:v>
      </x:c>
      <x:c r="T19" s="3" t="s">
        <x:v>5695</x:v>
      </x:c>
      <x:c r="U19" s="3" t="s">
        <x:v>5730</x:v>
      </x:c>
    </x:row>
    <x:row r="20" ht="27.75" hidden="0" customHeight="1">
      <x:c r="A20" s="3" t="s">
        <x:v>5517</x:v>
      </x:c>
      <x:c r="B20" s="3" t="s">
        <x:v>5681</x:v>
      </x:c>
      <x:c r="C20" s="3"/>
      <x:c r="D20" s="3" t="s">
        <x:v>5493</x:v>
      </x:c>
      <x:c r="E20" s="3" t="s">
        <x:v>5743</x:v>
      </x:c>
      <x:c r="F20" s="3" t="s">
        <x:v>5744</x:v>
      </x:c>
      <x:c r="G20" s="3" t="s">
        <x:v>2427</x:v>
      </x:c>
      <x:c r="H20" s="3" t="s">
        <x:v>5692</x:v>
      </x:c>
      <x:c r="I20" s="3" t="s">
        <x:v>5729</x:v>
      </x:c>
      <x:c r="J20" s="3" t="s">
        <x:v>5701</x:v>
      </x:c>
      <x:c r="K20" s="3" t="s">
        <x:v>5694</x:v>
      </x:c>
      <x:c r="L20" s="3" t="s">
        <x:v>5493</x:v>
      </x:c>
      <x:c r="M20" s="3" t="s">
        <x:v>2425</x:v>
      </x:c>
      <x:c r="N20" s="3" t="s">
        <x:v>5673</x:v>
      </x:c>
      <x:c r="O20" s="3" t="s">
        <x:v>5674</x:v>
      </x:c>
      <x:c r="P20" s="3" t="s">
        <x:v>5688</x:v>
      </x:c>
      <x:c r="Q20" s="3" t="s">
        <x:v>5675</x:v>
      </x:c>
      <x:c r="R20" s="3"/>
      <x:c r="S20" s="3" t="s">
        <x:v>5676</x:v>
      </x:c>
      <x:c r="T20" s="3" t="s">
        <x:v>5695</x:v>
      </x:c>
      <x:c r="U20" s="3" t="s">
        <x:v>5730</x:v>
      </x:c>
    </x:row>
    <x:row r="21" ht="54.75" hidden="0" customHeight="1">
      <x:c r="A21" s="3" t="s">
        <x:v>5518</x:v>
      </x:c>
      <x:c r="B21" s="3" t="s">
        <x:v>5745</x:v>
      </x:c>
      <x:c r="C21" s="3" t="s">
        <x:v>3447</x:v>
      </x:c>
      <x:c r="D21" s="3" t="s">
        <x:v>5493</x:v>
      </x:c>
      <x:c r="E21" s="3" t="s">
        <x:v>5743</x:v>
      </x:c>
      <x:c r="F21" s="3" t="s">
        <x:v>5746</x:v>
      </x:c>
      <x:c r="G21" s="3" t="s">
        <x:v>3446</x:v>
      </x:c>
      <x:c r="H21" s="3" t="s">
        <x:v>5692</x:v>
      </x:c>
      <x:c r="I21" s="3" t="s">
        <x:v>5729</x:v>
      </x:c>
      <x:c r="J21" s="3" t="s">
        <x:v>5701</x:v>
      </x:c>
      <x:c r="K21" s="3" t="s">
        <x:v>5694</x:v>
      </x:c>
      <x:c r="L21" s="3" t="s">
        <x:v>5493</x:v>
      </x:c>
      <x:c r="M21" s="3" t="s">
        <x:v>3443</x:v>
      </x:c>
      <x:c r="N21" s="3" t="s">
        <x:v>5673</x:v>
      </x:c>
      <x:c r="O21" s="3" t="s">
        <x:v>5674</x:v>
      </x:c>
      <x:c r="P21" s="3" t="s">
        <x:v>5688</x:v>
      </x:c>
      <x:c r="Q21" s="3" t="s">
        <x:v>5675</x:v>
      </x:c>
      <x:c r="R21" s="3"/>
      <x:c r="S21" s="3" t="s">
        <x:v>5676</x:v>
      </x:c>
      <x:c r="T21" s="3" t="s">
        <x:v>5695</x:v>
      </x:c>
      <x:c r="U21" s="3" t="s">
        <x:v>5730</x:v>
      </x:c>
    </x:row>
    <x:row r="22" ht="41.25" hidden="0" customHeight="1">
      <x:c r="A22" s="3" t="s">
        <x:v>5519</x:v>
      </x:c>
      <x:c r="B22" s="3" t="s">
        <x:v>5677</x:v>
      </x:c>
      <x:c r="C22" s="3" t="s">
        <x:v>4559</x:v>
      </x:c>
      <x:c r="D22" s="3" t="s">
        <x:v>5493</x:v>
      </x:c>
      <x:c r="E22" s="3" t="s">
        <x:v>5727</x:v>
      </x:c>
      <x:c r="F22" s="3" t="s">
        <x:v>5747</x:v>
      </x:c>
      <x:c r="G22" s="3" t="s">
        <x:v>4558</x:v>
      </x:c>
      <x:c r="H22" s="3" t="s">
        <x:v>5692</x:v>
      </x:c>
      <x:c r="I22" s="3" t="s">
        <x:v>5729</x:v>
      </x:c>
      <x:c r="J22" s="3" t="s">
        <x:v>5748</x:v>
      </x:c>
      <x:c r="K22" s="3" t="s">
        <x:v>5694</x:v>
      </x:c>
      <x:c r="L22" s="3" t="s">
        <x:v>5493</x:v>
      </x:c>
      <x:c r="M22" s="3" t="s">
        <x:v>4553</x:v>
      </x:c>
      <x:c r="N22" s="3" t="s">
        <x:v>5673</x:v>
      </x:c>
      <x:c r="O22" s="3" t="s">
        <x:v>5674</x:v>
      </x:c>
      <x:c r="P22" s="3" t="s">
        <x:v>5688</x:v>
      </x:c>
      <x:c r="Q22" s="3" t="s">
        <x:v>5675</x:v>
      </x:c>
      <x:c r="R22" s="3"/>
      <x:c r="S22" s="3" t="s">
        <x:v>5676</x:v>
      </x:c>
      <x:c r="T22" s="3" t="s">
        <x:v>5695</x:v>
      </x:c>
      <x:c r="U22" s="3" t="s">
        <x:v>5749</x:v>
      </x:c>
    </x:row>
    <x:row r="23" ht="41.25" hidden="0" customHeight="1">
      <x:c r="A23" s="3" t="s">
        <x:v>5521</x:v>
      </x:c>
      <x:c r="B23" s="3" t="s">
        <x:v>5681</x:v>
      </x:c>
      <x:c r="C23" s="3" t="s">
        <x:v>4574</x:v>
      </x:c>
      <x:c r="D23" s="3" t="s">
        <x:v>5493</x:v>
      </x:c>
      <x:c r="E23" s="3" t="s">
        <x:v>5750</x:v>
      </x:c>
      <x:c r="F23" s="3" t="s">
        <x:v>5751</x:v>
      </x:c>
      <x:c r="G23" s="3" t="s">
        <x:v>4573</x:v>
      </x:c>
      <x:c r="H23" s="3" t="s">
        <x:v>5692</x:v>
      </x:c>
      <x:c r="I23" s="3" t="s">
        <x:v>5729</x:v>
      </x:c>
      <x:c r="J23" s="3" t="s">
        <x:v>5748</x:v>
      </x:c>
      <x:c r="K23" s="3" t="s">
        <x:v>5694</x:v>
      </x:c>
      <x:c r="L23" s="3" t="s">
        <x:v>5493</x:v>
      </x:c>
      <x:c r="M23" s="3" t="s">
        <x:v>4570</x:v>
      </x:c>
      <x:c r="N23" s="3" t="s">
        <x:v>5673</x:v>
      </x:c>
      <x:c r="O23" s="3" t="s">
        <x:v>5674</x:v>
      </x:c>
      <x:c r="P23" s="3" t="s">
        <x:v>5688</x:v>
      </x:c>
      <x:c r="Q23" s="3" t="s">
        <x:v>5675</x:v>
      </x:c>
      <x:c r="R23" s="3"/>
      <x:c r="S23" s="3" t="s">
        <x:v>5676</x:v>
      </x:c>
      <x:c r="T23" s="3" t="s">
        <x:v>5695</x:v>
      </x:c>
      <x:c r="U23" s="3" t="s">
        <x:v>5752</x:v>
      </x:c>
    </x:row>
    <x:row r="24" ht="27.75" hidden="0" customHeight="1">
      <x:c r="A24" s="3" t="s">
        <x:v>5522</x:v>
      </x:c>
      <x:c r="B24" s="3" t="s">
        <x:v>5681</x:v>
      </x:c>
      <x:c r="C24" s="3" t="s">
        <x:v>2448</x:v>
      </x:c>
      <x:c r="D24" s="3" t="s">
        <x:v>5493</x:v>
      </x:c>
      <x:c r="E24" s="3" t="s">
        <x:v>5736</x:v>
      </x:c>
      <x:c r="F24" s="3" t="s">
        <x:v>5753</x:v>
      </x:c>
      <x:c r="G24" s="3" t="s">
        <x:v>2447</x:v>
      </x:c>
      <x:c r="H24" s="3" t="s">
        <x:v>5692</x:v>
      </x:c>
      <x:c r="I24" s="3" t="s">
        <x:v>5729</x:v>
      </x:c>
      <x:c r="J24" s="3" t="s">
        <x:v>5701</x:v>
      </x:c>
      <x:c r="K24" s="3" t="s">
        <x:v>5694</x:v>
      </x:c>
      <x:c r="L24" s="3" t="s">
        <x:v>5493</x:v>
      </x:c>
      <x:c r="M24" s="3" t="s">
        <x:v>2444</x:v>
      </x:c>
      <x:c r="N24" s="3" t="s">
        <x:v>5673</x:v>
      </x:c>
      <x:c r="O24" s="3" t="s">
        <x:v>5674</x:v>
      </x:c>
      <x:c r="P24" s="3" t="s">
        <x:v>5688</x:v>
      </x:c>
      <x:c r="Q24" s="3" t="s">
        <x:v>5675</x:v>
      </x:c>
      <x:c r="R24" s="3"/>
      <x:c r="S24" s="3" t="s">
        <x:v>5676</x:v>
      </x:c>
      <x:c r="T24" s="3" t="s">
        <x:v>5695</x:v>
      </x:c>
      <x:c r="U24" s="3" t="s">
        <x:v>5730</x:v>
      </x:c>
    </x:row>
    <x:row r="25" ht="41.25" hidden="0" customHeight="1">
      <x:c r="A25" s="3" t="s">
        <x:v>5523</x:v>
      </x:c>
      <x:c r="B25" s="3" t="s">
        <x:v>5700</x:v>
      </x:c>
      <x:c r="C25" s="3" t="s">
        <x:v>5155</x:v>
      </x:c>
      <x:c r="D25" s="3" t="s">
        <x:v>5493</x:v>
      </x:c>
      <x:c r="E25" s="3" t="s">
        <x:v>5734</x:v>
      </x:c>
      <x:c r="F25" s="3" t="s">
        <x:v>5754</x:v>
      </x:c>
      <x:c r="G25" s="3" t="s">
        <x:v>5755</x:v>
      </x:c>
      <x:c r="H25" s="3" t="s">
        <x:v>5692</x:v>
      </x:c>
      <x:c r="I25" s="3" t="s">
        <x:v>5729</x:v>
      </x:c>
      <x:c r="J25" s="3" t="s">
        <x:v>5701</x:v>
      </x:c>
      <x:c r="K25" s="3" t="s">
        <x:v>5694</x:v>
      </x:c>
      <x:c r="L25" s="3" t="s">
        <x:v>5493</x:v>
      </x:c>
      <x:c r="M25" s="3" t="s">
        <x:v>5151</x:v>
      </x:c>
      <x:c r="N25" s="3" t="s">
        <x:v>5673</x:v>
      </x:c>
      <x:c r="O25" s="3" t="s">
        <x:v>5674</x:v>
      </x:c>
      <x:c r="P25" s="3" t="s">
        <x:v>52</x:v>
      </x:c>
      <x:c r="Q25" s="3" t="s">
        <x:v>5675</x:v>
      </x:c>
      <x:c r="R25" s="3"/>
      <x:c r="S25" s="3" t="s">
        <x:v>5676</x:v>
      </x:c>
      <x:c r="T25" s="3" t="s">
        <x:v>5695</x:v>
      </x:c>
      <x:c r="U25" s="3" t="s">
        <x:v>5733</x:v>
      </x:c>
    </x:row>
    <x:row r="26" ht="27.75" hidden="0" customHeight="1">
      <x:c r="A26" s="3" t="s">
        <x:v>5524</x:v>
      </x:c>
      <x:c r="B26" s="3" t="s">
        <x:v>5681</x:v>
      </x:c>
      <x:c r="C26" s="3" t="s">
        <x:v>5756</x:v>
      </x:c>
      <x:c r="D26" s="3" t="s">
        <x:v>5481</x:v>
      </x:c>
      <x:c r="E26" s="3" t="s">
        <x:v>5757</x:v>
      </x:c>
      <x:c r="F26" s="3" t="s">
        <x:v>5758</x:v>
      </x:c>
      <x:c r="G26" s="3" t="s">
        <x:v>575</x:v>
      </x:c>
      <x:c r="H26" s="3" t="s">
        <x:v>5692</x:v>
      </x:c>
      <x:c r="I26" s="3" t="s">
        <x:v>5729</x:v>
      </x:c>
      <x:c r="J26" s="3" t="s">
        <x:v>5693</x:v>
      </x:c>
      <x:c r="K26" s="3" t="s">
        <x:v>5694</x:v>
      </x:c>
      <x:c r="L26" s="3" t="s">
        <x:v>5481</x:v>
      </x:c>
      <x:c r="M26" s="3" t="s">
        <x:v>573</x:v>
      </x:c>
      <x:c r="N26" s="3" t="s">
        <x:v>5673</x:v>
      </x:c>
      <x:c r="O26" s="3" t="s">
        <x:v>5674</x:v>
      </x:c>
      <x:c r="P26" s="3" t="s">
        <x:v>30</x:v>
      </x:c>
      <x:c r="Q26" s="3" t="s">
        <x:v>5675</x:v>
      </x:c>
      <x:c r="R26" s="3"/>
      <x:c r="S26" s="3" t="s">
        <x:v>5676</x:v>
      </x:c>
      <x:c r="T26" s="3" t="s">
        <x:v>5695</x:v>
      </x:c>
      <x:c r="U26" s="3" t="s">
        <x:v>5680</x:v>
      </x:c>
    </x:row>
    <x:row r="27" ht="27.75" hidden="0" customHeight="1">
      <x:c r="A27" s="3" t="s">
        <x:v>5525</x:v>
      </x:c>
      <x:c r="B27" s="3" t="s">
        <x:v>5677</x:v>
      </x:c>
      <x:c r="C27" s="3" t="s">
        <x:v>5418</x:v>
      </x:c>
      <x:c r="D27" s="3" t="s">
        <x:v>5481</x:v>
      </x:c>
      <x:c r="E27" s="3" t="s">
        <x:v>5759</x:v>
      </x:c>
      <x:c r="F27" s="3" t="s">
        <x:v>5760</x:v>
      </x:c>
      <x:c r="G27" s="3" t="s">
        <x:v>630</x:v>
      </x:c>
      <x:c r="H27" s="3" t="s">
        <x:v>5692</x:v>
      </x:c>
      <x:c r="I27" s="3" t="s">
        <x:v>5761</x:v>
      </x:c>
      <x:c r="J27" s="3" t="s">
        <x:v>5693</x:v>
      </x:c>
      <x:c r="K27" s="3" t="s">
        <x:v>5694</x:v>
      </x:c>
      <x:c r="L27" s="3" t="s">
        <x:v>5481</x:v>
      </x:c>
      <x:c r="M27" s="3" t="s">
        <x:v>628</x:v>
      </x:c>
      <x:c r="N27" s="3" t="s">
        <x:v>5673</x:v>
      </x:c>
      <x:c r="O27" s="3" t="s">
        <x:v>5674</x:v>
      </x:c>
      <x:c r="P27" s="3" t="s">
        <x:v>5688</x:v>
      </x:c>
      <x:c r="Q27" s="3" t="s">
        <x:v>5675</x:v>
      </x:c>
      <x:c r="R27" s="3"/>
      <x:c r="S27" s="3" t="s">
        <x:v>5676</x:v>
      </x:c>
      <x:c r="T27" s="3" t="s">
        <x:v>5695</x:v>
      </x:c>
      <x:c r="U27" s="3" t="s">
        <x:v>5762</x:v>
      </x:c>
    </x:row>
    <x:row r="28" ht="27.75" hidden="0" customHeight="1">
      <x:c r="A28" s="3" t="s">
        <x:v>5527</x:v>
      </x:c>
      <x:c r="B28" s="3" t="s">
        <x:v>5681</x:v>
      </x:c>
      <x:c r="C28" s="3" t="s">
        <x:v>1619</x:v>
      </x:c>
      <x:c r="D28" s="3" t="s">
        <x:v>5481</x:v>
      </x:c>
      <x:c r="E28" s="3" t="s">
        <x:v>5763</x:v>
      </x:c>
      <x:c r="F28" s="3" t="s">
        <x:v>5764</x:v>
      </x:c>
      <x:c r="G28" s="3" t="s">
        <x:v>1618</x:v>
      </x:c>
      <x:c r="H28" s="3" t="s">
        <x:v>5692</x:v>
      </x:c>
      <x:c r="I28" s="3" t="s">
        <x:v>5729</x:v>
      </x:c>
      <x:c r="J28" s="3" t="s">
        <x:v>5693</x:v>
      </x:c>
      <x:c r="K28" s="3" t="s">
        <x:v>5694</x:v>
      </x:c>
      <x:c r="L28" s="3" t="s">
        <x:v>5481</x:v>
      </x:c>
      <x:c r="M28" s="3" t="s">
        <x:v>1614</x:v>
      </x:c>
      <x:c r="N28" s="3" t="s">
        <x:v>5673</x:v>
      </x:c>
      <x:c r="O28" s="3" t="s">
        <x:v>5674</x:v>
      </x:c>
      <x:c r="P28" s="3" t="s">
        <x:v>5688</x:v>
      </x:c>
      <x:c r="Q28" s="3" t="s">
        <x:v>5675</x:v>
      </x:c>
      <x:c r="R28" s="3"/>
      <x:c r="S28" s="3" t="s">
        <x:v>5676</x:v>
      </x:c>
      <x:c r="T28" s="3" t="s">
        <x:v>5695</x:v>
      </x:c>
      <x:c r="U28" s="3" t="s">
        <x:v>5730</x:v>
      </x:c>
    </x:row>
    <x:row r="29" ht="41.25" hidden="0" customHeight="1">
      <x:c r="A29" s="3" t="s">
        <x:v>5528</x:v>
      </x:c>
      <x:c r="B29" s="3" t="s">
        <x:v>5681</x:v>
      </x:c>
      <x:c r="C29" s="3" t="s">
        <x:v>3002</x:v>
      </x:c>
      <x:c r="D29" s="3" t="s">
        <x:v>5481</x:v>
      </x:c>
      <x:c r="E29" s="3" t="s">
        <x:v>5727</x:v>
      </x:c>
      <x:c r="F29" s="3" t="s">
        <x:v>5765</x:v>
      </x:c>
      <x:c r="G29" s="3" t="s">
        <x:v>3001</x:v>
      </x:c>
      <x:c r="H29" s="3" t="s">
        <x:v>5766</x:v>
      </x:c>
      <x:c r="I29" s="3" t="s">
        <x:v>5729</x:v>
      </x:c>
      <x:c r="J29" s="3" t="s">
        <x:v>5693</x:v>
      </x:c>
      <x:c r="K29" s="3" t="s">
        <x:v>5694</x:v>
      </x:c>
      <x:c r="L29" s="3" t="s">
        <x:v>5481</x:v>
      </x:c>
      <x:c r="M29" s="3" t="s">
        <x:v>2999</x:v>
      </x:c>
      <x:c r="N29" s="3" t="s">
        <x:v>5673</x:v>
      </x:c>
      <x:c r="O29" s="3" t="s">
        <x:v>5674</x:v>
      </x:c>
      <x:c r="P29" s="3" t="s">
        <x:v>5688</x:v>
      </x:c>
      <x:c r="Q29" s="3" t="s">
        <x:v>5675</x:v>
      </x:c>
      <x:c r="R29" s="3"/>
      <x:c r="S29" s="3" t="s">
        <x:v>5676</x:v>
      </x:c>
      <x:c r="T29" s="3" t="s">
        <x:v>5715</x:v>
      </x:c>
      <x:c r="U29" s="3" t="s">
        <x:v>5767</x:v>
      </x:c>
    </x:row>
    <x:row r="30" ht="41.25" hidden="0" customHeight="1">
      <x:c r="A30" s="3" t="s">
        <x:v>5530</x:v>
      </x:c>
      <x:c r="B30" s="3" t="s">
        <x:v>5677</x:v>
      </x:c>
      <x:c r="C30" s="3" t="s">
        <x:v>2141</x:v>
      </x:c>
      <x:c r="D30" s="3" t="s">
        <x:v>5481</x:v>
      </x:c>
      <x:c r="E30" s="3" t="s">
        <x:v>5768</x:v>
      </x:c>
      <x:c r="F30" s="3" t="s">
        <x:v>5769</x:v>
      </x:c>
      <x:c r="G30" s="3" t="s">
        <x:v>2140</x:v>
      </x:c>
      <x:c r="H30" s="3" t="s">
        <x:v>5692</x:v>
      </x:c>
      <x:c r="I30" s="3" t="s">
        <x:v>5729</x:v>
      </x:c>
      <x:c r="J30" s="3" t="s">
        <x:v>5693</x:v>
      </x:c>
      <x:c r="K30" s="3" t="s">
        <x:v>5694</x:v>
      </x:c>
      <x:c r="L30" s="3" t="s">
        <x:v>5481</x:v>
      </x:c>
      <x:c r="M30" s="3" t="s">
        <x:v>2138</x:v>
      </x:c>
      <x:c r="N30" s="3" t="s">
        <x:v>5673</x:v>
      </x:c>
      <x:c r="O30" s="3" t="s">
        <x:v>5674</x:v>
      </x:c>
      <x:c r="P30" s="3" t="s">
        <x:v>5688</x:v>
      </x:c>
      <x:c r="Q30" s="3" t="s">
        <x:v>5675</x:v>
      </x:c>
      <x:c r="R30" s="3"/>
      <x:c r="S30" s="3" t="s">
        <x:v>5676</x:v>
      </x:c>
      <x:c r="T30" s="3" t="s">
        <x:v>5695</x:v>
      </x:c>
      <x:c r="U30" s="3" t="s">
        <x:v>5730</x:v>
      </x:c>
    </x:row>
    <x:row r="31" ht="41.25" hidden="0" customHeight="1">
      <x:c r="A31" s="3" t="s">
        <x:v>5531</x:v>
      </x:c>
      <x:c r="B31" s="3" t="s">
        <x:v>5700</x:v>
      </x:c>
      <x:c r="C31" s="3" t="s">
        <x:v>2878</x:v>
      </x:c>
      <x:c r="D31" s="3" t="s">
        <x:v>5532</x:v>
      </x:c>
      <x:c r="E31" s="3" t="s">
        <x:v>5770</x:v>
      </x:c>
      <x:c r="F31" s="3" t="s">
        <x:v>5771</x:v>
      </x:c>
      <x:c r="G31" s="3" t="s">
        <x:v>2877</x:v>
      </x:c>
      <x:c r="H31" s="3" t="s">
        <x:v>5692</x:v>
      </x:c>
      <x:c r="I31" s="3" t="s">
        <x:v>5729</x:v>
      </x:c>
      <x:c r="J31" s="3" t="s">
        <x:v>5693</x:v>
      </x:c>
      <x:c r="K31" s="3" t="s">
        <x:v>5694</x:v>
      </x:c>
      <x:c r="L31" s="3" t="s">
        <x:v>5532</x:v>
      </x:c>
      <x:c r="M31" s="3" t="s">
        <x:v>2874</x:v>
      </x:c>
      <x:c r="N31" s="3" t="s">
        <x:v>5673</x:v>
      </x:c>
      <x:c r="O31" s="3" t="s">
        <x:v>5674</x:v>
      </x:c>
      <x:c r="P31" s="3" t="s">
        <x:v>5688</x:v>
      </x:c>
      <x:c r="Q31" s="3" t="s">
        <x:v>5675</x:v>
      </x:c>
      <x:c r="R31" s="3"/>
      <x:c r="S31" s="3" t="s">
        <x:v>5676</x:v>
      </x:c>
      <x:c r="T31" s="3" t="s">
        <x:v>5695</x:v>
      </x:c>
      <x:c r="U31" s="3" t="s">
        <x:v>5730</x:v>
      </x:c>
    </x:row>
    <x:row r="32" ht="41.25" hidden="0" customHeight="1">
      <x:c r="A32" s="3" t="s">
        <x:v>5533</x:v>
      </x:c>
      <x:c r="B32" s="3" t="s">
        <x:v>5666</x:v>
      </x:c>
      <x:c r="C32" s="3" t="s">
        <x:v>2184</x:v>
      </x:c>
      <x:c r="D32" s="3" t="s">
        <x:v>5532</x:v>
      </x:c>
      <x:c r="E32" s="3" t="s">
        <x:v>5772</x:v>
      </x:c>
      <x:c r="F32" s="3" t="s">
        <x:v>5773</x:v>
      </x:c>
      <x:c r="G32" s="3" t="s">
        <x:v>2183</x:v>
      </x:c>
      <x:c r="H32" s="3" t="s">
        <x:v>5692</x:v>
      </x:c>
      <x:c r="I32" s="3" t="s">
        <x:v>5729</x:v>
      </x:c>
      <x:c r="J32" s="3" t="s">
        <x:v>5693</x:v>
      </x:c>
      <x:c r="K32" s="3" t="s">
        <x:v>5694</x:v>
      </x:c>
      <x:c r="L32" s="3" t="s">
        <x:v>5532</x:v>
      </x:c>
      <x:c r="M32" s="3" t="s">
        <x:v>2181</x:v>
      </x:c>
      <x:c r="N32" s="3" t="s">
        <x:v>5673</x:v>
      </x:c>
      <x:c r="O32" s="3" t="s">
        <x:v>5674</x:v>
      </x:c>
      <x:c r="P32" s="3" t="s">
        <x:v>5688</x:v>
      </x:c>
      <x:c r="Q32" s="3" t="s">
        <x:v>5675</x:v>
      </x:c>
      <x:c r="R32" s="3"/>
      <x:c r="S32" s="3" t="s">
        <x:v>5676</x:v>
      </x:c>
      <x:c r="T32" s="3" t="s">
        <x:v>5695</x:v>
      </x:c>
      <x:c r="U32" s="3" t="s">
        <x:v>5730</x:v>
      </x:c>
    </x:row>
    <x:row r="33" ht="41.25" hidden="0" customHeight="1">
      <x:c r="A33" s="3" t="s">
        <x:v>5534</x:v>
      </x:c>
      <x:c r="B33" s="3" t="s">
        <x:v>5681</x:v>
      </x:c>
      <x:c r="C33" s="3" t="s">
        <x:v>1815</x:v>
      </x:c>
      <x:c r="D33" s="3" t="s">
        <x:v>5478</x:v>
      </x:c>
      <x:c r="E33" s="3" t="s">
        <x:v>5774</x:v>
      </x:c>
      <x:c r="F33" s="3" t="s">
        <x:v>5775</x:v>
      </x:c>
      <x:c r="G33" s="3" t="s">
        <x:v>1814</x:v>
      </x:c>
      <x:c r="H33" s="3" t="s">
        <x:v>5692</x:v>
      </x:c>
      <x:c r="I33" s="3" t="s">
        <x:v>5729</x:v>
      </x:c>
      <x:c r="J33" s="3" t="s">
        <x:v>5693</x:v>
      </x:c>
      <x:c r="K33" s="3" t="s">
        <x:v>5694</x:v>
      </x:c>
      <x:c r="L33" s="3" t="s">
        <x:v>5478</x:v>
      </x:c>
      <x:c r="M33" s="3" t="s">
        <x:v>1812</x:v>
      </x:c>
      <x:c r="N33" s="3" t="s">
        <x:v>5673</x:v>
      </x:c>
      <x:c r="O33" s="3" t="s">
        <x:v>5674</x:v>
      </x:c>
      <x:c r="P33" s="3" t="s">
        <x:v>5688</x:v>
      </x:c>
      <x:c r="Q33" s="3" t="s">
        <x:v>5675</x:v>
      </x:c>
      <x:c r="R33" s="3"/>
      <x:c r="S33" s="3" t="s">
        <x:v>5676</x:v>
      </x:c>
      <x:c r="T33" s="3" t="s">
        <x:v>5695</x:v>
      </x:c>
      <x:c r="U33" s="3" t="s">
        <x:v>5730</x:v>
      </x:c>
    </x:row>
    <x:row r="34" ht="27.75" hidden="0" customHeight="1">
      <x:c r="A34" s="3" t="s">
        <x:v>5535</x:v>
      </x:c>
      <x:c r="B34" s="3" t="s">
        <x:v>5681</x:v>
      </x:c>
      <x:c r="C34" s="3" t="s">
        <x:v>1848</x:v>
      </x:c>
      <x:c r="D34" s="3" t="s">
        <x:v>5536</x:v>
      </x:c>
      <x:c r="E34" s="3" t="s">
        <x:v>5776</x:v>
      </x:c>
      <x:c r="F34" s="3" t="s">
        <x:v>5777</x:v>
      </x:c>
      <x:c r="G34" s="3" t="s">
        <x:v>1847</x:v>
      </x:c>
      <x:c r="H34" s="3" t="s">
        <x:v>5692</x:v>
      </x:c>
      <x:c r="I34" s="3" t="s">
        <x:v>5729</x:v>
      </x:c>
      <x:c r="J34" s="3" t="s">
        <x:v>5693</x:v>
      </x:c>
      <x:c r="K34" s="3" t="s">
        <x:v>5694</x:v>
      </x:c>
      <x:c r="L34" s="3" t="s">
        <x:v>5536</x:v>
      </x:c>
      <x:c r="M34" s="3" t="s">
        <x:v>1845</x:v>
      </x:c>
      <x:c r="N34" s="3" t="s">
        <x:v>5673</x:v>
      </x:c>
      <x:c r="O34" s="3" t="s">
        <x:v>5674</x:v>
      </x:c>
      <x:c r="P34" s="3" t="s">
        <x:v>5688</x:v>
      </x:c>
      <x:c r="Q34" s="3" t="s">
        <x:v>5675</x:v>
      </x:c>
      <x:c r="R34" s="3"/>
      <x:c r="S34" s="3" t="s">
        <x:v>5676</x:v>
      </x:c>
      <x:c r="T34" s="3" t="s">
        <x:v>5695</x:v>
      </x:c>
      <x:c r="U34" s="3" t="s">
        <x:v>5730</x:v>
      </x:c>
    </x:row>
    <x:row r="35" ht="41.25" hidden="0" customHeight="1">
      <x:c r="A35" s="3" t="s">
        <x:v>5537</x:v>
      </x:c>
      <x:c r="B35" s="3" t="s">
        <x:v>5677</x:v>
      </x:c>
      <x:c r="C35" s="3" t="s">
        <x:v>5778</x:v>
      </x:c>
      <x:c r="D35" s="3" t="s">
        <x:v>5538</x:v>
      </x:c>
      <x:c r="E35" s="3" t="s">
        <x:v>5779</x:v>
      </x:c>
      <x:c r="F35" s="3" t="s">
        <x:v>5780</x:v>
      </x:c>
      <x:c r="G35" s="3" t="s">
        <x:v>663</x:v>
      </x:c>
      <x:c r="H35" s="3" t="s">
        <x:v>5692</x:v>
      </x:c>
      <x:c r="I35" s="3" t="s">
        <x:v>5729</x:v>
      </x:c>
      <x:c r="J35" s="3" t="s">
        <x:v>5693</x:v>
      </x:c>
      <x:c r="K35" s="3" t="s">
        <x:v>5694</x:v>
      </x:c>
      <x:c r="L35" s="3" t="s">
        <x:v>5538</x:v>
      </x:c>
      <x:c r="M35" s="3" t="s">
        <x:v>661</x:v>
      </x:c>
      <x:c r="N35" s="3" t="s">
        <x:v>5673</x:v>
      </x:c>
      <x:c r="O35" s="3" t="s">
        <x:v>5674</x:v>
      </x:c>
      <x:c r="P35" s="3" t="s">
        <x:v>30</x:v>
      </x:c>
      <x:c r="Q35" s="3" t="s">
        <x:v>5675</x:v>
      </x:c>
      <x:c r="R35" s="3"/>
      <x:c r="S35" s="3" t="s">
        <x:v>5676</x:v>
      </x:c>
      <x:c r="T35" s="3" t="s">
        <x:v>5695</x:v>
      </x:c>
      <x:c r="U35" s="3" t="s">
        <x:v>5680</x:v>
      </x:c>
    </x:row>
    <x:row r="36" ht="27.75" hidden="0" customHeight="1">
      <x:c r="A36" s="3" t="s">
        <x:v>5539</x:v>
      </x:c>
      <x:c r="B36" s="3" t="s">
        <x:v>5677</x:v>
      </x:c>
      <x:c r="C36" s="3" t="s">
        <x:v>5781</x:v>
      </x:c>
      <x:c r="D36" s="3" t="s">
        <x:v>5538</x:v>
      </x:c>
      <x:c r="E36" s="3" t="s">
        <x:v>5782</x:v>
      </x:c>
      <x:c r="F36" s="3" t="s">
        <x:v>5783</x:v>
      </x:c>
      <x:c r="G36" s="3" t="s">
        <x:v>677</x:v>
      </x:c>
      <x:c r="H36" s="3" t="s">
        <x:v>5692</x:v>
      </x:c>
      <x:c r="I36" s="3" t="s">
        <x:v>5729</x:v>
      </x:c>
      <x:c r="J36" s="3" t="s">
        <x:v>5693</x:v>
      </x:c>
      <x:c r="K36" s="3" t="s">
        <x:v>5694</x:v>
      </x:c>
      <x:c r="L36" s="3" t="s">
        <x:v>5538</x:v>
      </x:c>
      <x:c r="M36" s="3" t="s">
        <x:v>675</x:v>
      </x:c>
      <x:c r="N36" s="3" t="s">
        <x:v>5673</x:v>
      </x:c>
      <x:c r="O36" s="3" t="s">
        <x:v>5674</x:v>
      </x:c>
      <x:c r="P36" s="3" t="s">
        <x:v>30</x:v>
      </x:c>
      <x:c r="Q36" s="3" t="s">
        <x:v>5675</x:v>
      </x:c>
      <x:c r="R36" s="3"/>
      <x:c r="S36" s="3" t="s">
        <x:v>5676</x:v>
      </x:c>
      <x:c r="T36" s="3" t="s">
        <x:v>5695</x:v>
      </x:c>
      <x:c r="U36" s="3" t="s">
        <x:v>5680</x:v>
      </x:c>
    </x:row>
    <x:row r="37" ht="41.25" hidden="0" customHeight="1">
      <x:c r="A37" s="3" t="s">
        <x:v>5540</x:v>
      </x:c>
      <x:c r="B37" s="3" t="s">
        <x:v>5681</x:v>
      </x:c>
      <x:c r="C37" s="3" t="s">
        <x:v>1874</x:v>
      </x:c>
      <x:c r="D37" s="3" t="s">
        <x:v>5538</x:v>
      </x:c>
      <x:c r="E37" s="3" t="s">
        <x:v>5784</x:v>
      </x:c>
      <x:c r="F37" s="3" t="s">
        <x:v>5785</x:v>
      </x:c>
      <x:c r="G37" s="3" t="s">
        <x:v>1873</x:v>
      </x:c>
      <x:c r="H37" s="3" t="s">
        <x:v>5692</x:v>
      </x:c>
      <x:c r="I37" s="3" t="s">
        <x:v>5729</x:v>
      </x:c>
      <x:c r="J37" s="3" t="s">
        <x:v>5693</x:v>
      </x:c>
      <x:c r="K37" s="3" t="s">
        <x:v>5694</x:v>
      </x:c>
      <x:c r="L37" s="3" t="s">
        <x:v>5538</x:v>
      </x:c>
      <x:c r="M37" s="3" t="s">
        <x:v>1871</x:v>
      </x:c>
      <x:c r="N37" s="3" t="s">
        <x:v>5673</x:v>
      </x:c>
      <x:c r="O37" s="3" t="s">
        <x:v>5674</x:v>
      </x:c>
      <x:c r="P37" s="3" t="s">
        <x:v>5688</x:v>
      </x:c>
      <x:c r="Q37" s="3" t="s">
        <x:v>5675</x:v>
      </x:c>
      <x:c r="R37" s="3"/>
      <x:c r="S37" s="3" t="s">
        <x:v>5676</x:v>
      </x:c>
      <x:c r="T37" s="3" t="s">
        <x:v>5695</x:v>
      </x:c>
      <x:c r="U37" s="3" t="s">
        <x:v>5730</x:v>
      </x:c>
    </x:row>
    <x:row r="38" ht="41.25" hidden="0" customHeight="1">
      <x:c r="A38" s="3" t="s">
        <x:v>5541</x:v>
      </x:c>
      <x:c r="B38" s="3" t="s">
        <x:v>5677</x:v>
      </x:c>
      <x:c r="C38" s="3" t="s">
        <x:v>5786</x:v>
      </x:c>
      <x:c r="D38" s="3" t="s">
        <x:v>5538</x:v>
      </x:c>
      <x:c r="E38" s="3" t="s">
        <x:v>5787</x:v>
      </x:c>
      <x:c r="F38" s="3" t="s">
        <x:v>5788</x:v>
      </x:c>
      <x:c r="G38" s="3" t="s">
        <x:v>690</x:v>
      </x:c>
      <x:c r="H38" s="3" t="s">
        <x:v>5692</x:v>
      </x:c>
      <x:c r="I38" s="3" t="s">
        <x:v>5729</x:v>
      </x:c>
      <x:c r="J38" s="3" t="s">
        <x:v>5693</x:v>
      </x:c>
      <x:c r="K38" s="3" t="s">
        <x:v>5694</x:v>
      </x:c>
      <x:c r="L38" s="3" t="s">
        <x:v>5538</x:v>
      </x:c>
      <x:c r="M38" s="3" t="s">
        <x:v>688</x:v>
      </x:c>
      <x:c r="N38" s="3" t="s">
        <x:v>5673</x:v>
      </x:c>
      <x:c r="O38" s="3" t="s">
        <x:v>5674</x:v>
      </x:c>
      <x:c r="P38" s="3" t="s">
        <x:v>30</x:v>
      </x:c>
      <x:c r="Q38" s="3" t="s">
        <x:v>5675</x:v>
      </x:c>
      <x:c r="R38" s="3"/>
      <x:c r="S38" s="3" t="s">
        <x:v>5676</x:v>
      </x:c>
      <x:c r="T38" s="3" t="s">
        <x:v>5695</x:v>
      </x:c>
      <x:c r="U38" s="3" t="s">
        <x:v>5680</x:v>
      </x:c>
    </x:row>
    <x:row r="39" ht="41.25" hidden="0" customHeight="1">
      <x:c r="A39" s="3" t="s">
        <x:v>5542</x:v>
      </x:c>
      <x:c r="B39" s="3" t="s">
        <x:v>5683</x:v>
      </x:c>
      <x:c r="C39" s="3" t="s">
        <x:v>2763</x:v>
      </x:c>
      <x:c r="D39" s="3" t="s">
        <x:v>5538</x:v>
      </x:c>
      <x:c r="E39" s="3" t="s">
        <x:v>5789</x:v>
      </x:c>
      <x:c r="F39" s="3" t="s">
        <x:v>5790</x:v>
      </x:c>
      <x:c r="G39" s="3" t="s">
        <x:v>2762</x:v>
      </x:c>
      <x:c r="H39" s="3" t="s">
        <x:v>5692</x:v>
      </x:c>
      <x:c r="I39" s="3" t="s">
        <x:v>5729</x:v>
      </x:c>
      <x:c r="J39" s="3" t="s">
        <x:v>5693</x:v>
      </x:c>
      <x:c r="K39" s="3" t="s">
        <x:v>5694</x:v>
      </x:c>
      <x:c r="L39" s="3" t="s">
        <x:v>5538</x:v>
      </x:c>
      <x:c r="M39" s="3" t="s">
        <x:v>2760</x:v>
      </x:c>
      <x:c r="N39" s="3" t="s">
        <x:v>5673</x:v>
      </x:c>
      <x:c r="O39" s="3" t="s">
        <x:v>5674</x:v>
      </x:c>
      <x:c r="P39" s="3" t="s">
        <x:v>5688</x:v>
      </x:c>
      <x:c r="Q39" s="3" t="s">
        <x:v>5675</x:v>
      </x:c>
      <x:c r="R39" s="3"/>
      <x:c r="S39" s="3" t="s">
        <x:v>5676</x:v>
      </x:c>
      <x:c r="T39" s="3" t="s">
        <x:v>5695</x:v>
      </x:c>
      <x:c r="U39" s="3" t="s">
        <x:v>5730</x:v>
      </x:c>
    </x:row>
    <x:row r="40" ht="27.75" hidden="0" customHeight="1">
      <x:c r="A40" s="3" t="s">
        <x:v>5543</x:v>
      </x:c>
      <x:c r="B40" s="3" t="s">
        <x:v>5677</x:v>
      </x:c>
      <x:c r="C40" s="3" t="s">
        <x:v>1913</x:v>
      </x:c>
      <x:c r="D40" s="3" t="s">
        <x:v>5478</x:v>
      </x:c>
      <x:c r="E40" s="3" t="s">
        <x:v>5791</x:v>
      </x:c>
      <x:c r="F40" s="3" t="s">
        <x:v>5792</x:v>
      </x:c>
      <x:c r="G40" s="3" t="s">
        <x:v>1912</x:v>
      </x:c>
      <x:c r="H40" s="3" t="s">
        <x:v>5692</x:v>
      </x:c>
      <x:c r="I40" s="3" t="s">
        <x:v>5729</x:v>
      </x:c>
      <x:c r="J40" s="3" t="s">
        <x:v>5693</x:v>
      </x:c>
      <x:c r="K40" s="3" t="s">
        <x:v>5694</x:v>
      </x:c>
      <x:c r="L40" s="3" t="s">
        <x:v>5478</x:v>
      </x:c>
      <x:c r="M40" s="3" t="s">
        <x:v>1910</x:v>
      </x:c>
      <x:c r="N40" s="3" t="s">
        <x:v>5673</x:v>
      </x:c>
      <x:c r="O40" s="3" t="s">
        <x:v>5674</x:v>
      </x:c>
      <x:c r="P40" s="3" t="s">
        <x:v>5688</x:v>
      </x:c>
      <x:c r="Q40" s="3" t="s">
        <x:v>5675</x:v>
      </x:c>
      <x:c r="R40" s="3"/>
      <x:c r="S40" s="3" t="s">
        <x:v>5676</x:v>
      </x:c>
      <x:c r="T40" s="3" t="s">
        <x:v>5695</x:v>
      </x:c>
      <x:c r="U40" s="3" t="s">
        <x:v>5730</x:v>
      </x:c>
    </x:row>
    <x:row r="41" ht="41.25" hidden="0" customHeight="1">
      <x:c r="A41" s="3" t="s">
        <x:v>5544</x:v>
      </x:c>
      <x:c r="B41" s="3" t="s">
        <x:v>5681</x:v>
      </x:c>
      <x:c r="C41" s="3" t="s">
        <x:v>481</x:v>
      </x:c>
      <x:c r="D41" s="3" t="s">
        <x:v>5532</x:v>
      </x:c>
      <x:c r="E41" s="3" t="s">
        <x:v>5793</x:v>
      </x:c>
      <x:c r="F41" s="3" t="s">
        <x:v>5794</x:v>
      </x:c>
      <x:c r="G41" s="3" t="s">
        <x:v>480</x:v>
      </x:c>
      <x:c r="H41" s="3" t="s">
        <x:v>5692</x:v>
      </x:c>
      <x:c r="I41" s="3" t="s">
        <x:v>5729</x:v>
      </x:c>
      <x:c r="J41" s="3" t="s">
        <x:v>5693</x:v>
      </x:c>
      <x:c r="K41" s="3" t="s">
        <x:v>5694</x:v>
      </x:c>
      <x:c r="L41" s="3" t="s">
        <x:v>5532</x:v>
      </x:c>
      <x:c r="M41" s="3" t="s">
        <x:v>477</x:v>
      </x:c>
      <x:c r="N41" s="3" t="s">
        <x:v>5673</x:v>
      </x:c>
      <x:c r="O41" s="3" t="s">
        <x:v>5674</x:v>
      </x:c>
      <x:c r="P41" s="3" t="s">
        <x:v>30</x:v>
      </x:c>
      <x:c r="Q41" s="3" t="s">
        <x:v>5675</x:v>
      </x:c>
      <x:c r="R41" s="3"/>
      <x:c r="S41" s="3" t="s">
        <x:v>5676</x:v>
      </x:c>
      <x:c r="T41" s="3" t="s">
        <x:v>5695</x:v>
      </x:c>
      <x:c r="U41" s="3" t="s">
        <x:v>5680</x:v>
      </x:c>
    </x:row>
    <x:row r="42" ht="41.25" hidden="0" customHeight="1">
      <x:c r="A42" s="3" t="s">
        <x:v>5545</x:v>
      </x:c>
      <x:c r="B42" s="3" t="s">
        <x:v>5683</x:v>
      </x:c>
      <x:c r="C42" s="3" t="s">
        <x:v>5115</x:v>
      </x:c>
      <x:c r="D42" s="3" t="s">
        <x:v>5538</x:v>
      </x:c>
      <x:c r="E42" s="3" t="s">
        <x:v>5795</x:v>
      </x:c>
      <x:c r="F42" s="3" t="s">
        <x:v>5796</x:v>
      </x:c>
      <x:c r="G42" s="3" t="s">
        <x:v>5797</x:v>
      </x:c>
      <x:c r="H42" s="3" t="s">
        <x:v>5692</x:v>
      </x:c>
      <x:c r="I42" s="3" t="s">
        <x:v>5729</x:v>
      </x:c>
      <x:c r="J42" s="3" t="s">
        <x:v>5798</x:v>
      </x:c>
      <x:c r="K42" s="3" t="s">
        <x:v>5694</x:v>
      </x:c>
      <x:c r="L42" s="3" t="s">
        <x:v>5538</x:v>
      </x:c>
      <x:c r="M42" s="3" t="s">
        <x:v>5111</x:v>
      </x:c>
      <x:c r="N42" s="3" t="s">
        <x:v>5673</x:v>
      </x:c>
      <x:c r="O42" s="3" t="s">
        <x:v>5674</x:v>
      </x:c>
      <x:c r="P42" s="3" t="s">
        <x:v>52</x:v>
      </x:c>
      <x:c r="Q42" s="3" t="s">
        <x:v>5675</x:v>
      </x:c>
      <x:c r="R42" s="3"/>
      <x:c r="S42" s="3" t="s">
        <x:v>5676</x:v>
      </x:c>
      <x:c r="T42" s="3" t="s">
        <x:v>5695</x:v>
      </x:c>
      <x:c r="U42" s="3" t="s">
        <x:v>5733</x:v>
      </x:c>
    </x:row>
    <x:row r="43" ht="41.25" hidden="0" customHeight="1">
      <x:c r="A43" s="3" t="s">
        <x:v>5546</x:v>
      </x:c>
      <x:c r="B43" s="3" t="s">
        <x:v>5700</x:v>
      </x:c>
      <x:c r="C43" s="3" t="s">
        <x:v>3997</x:v>
      </x:c>
      <x:c r="D43" s="3" t="s">
        <x:v>5538</x:v>
      </x:c>
      <x:c r="E43" s="3" t="s">
        <x:v>5795</x:v>
      </x:c>
      <x:c r="F43" s="3" t="s">
        <x:v>5799</x:v>
      </x:c>
      <x:c r="G43" s="3" t="s">
        <x:v>3996</x:v>
      </x:c>
      <x:c r="H43" s="3" t="s">
        <x:v>5692</x:v>
      </x:c>
      <x:c r="I43" s="3" t="s">
        <x:v>5729</x:v>
      </x:c>
      <x:c r="J43" s="3" t="s">
        <x:v>5798</x:v>
      </x:c>
      <x:c r="K43" s="3" t="s">
        <x:v>5694</x:v>
      </x:c>
      <x:c r="L43" s="3" t="s">
        <x:v>5538</x:v>
      </x:c>
      <x:c r="M43" s="3" t="s">
        <x:v>3993</x:v>
      </x:c>
      <x:c r="N43" s="3" t="s">
        <x:v>5673</x:v>
      </x:c>
      <x:c r="O43" s="3" t="s">
        <x:v>5674</x:v>
      </x:c>
      <x:c r="P43" s="3" t="s">
        <x:v>5688</x:v>
      </x:c>
      <x:c r="Q43" s="3" t="s">
        <x:v>5675</x:v>
      </x:c>
      <x:c r="R43" s="3"/>
      <x:c r="S43" s="3" t="s">
        <x:v>5676</x:v>
      </x:c>
      <x:c r="T43" s="3" t="s">
        <x:v>5695</x:v>
      </x:c>
      <x:c r="U43" s="3" t="s">
        <x:v>5800</x:v>
      </x:c>
    </x:row>
    <x:row r="44" ht="54.75" hidden="0" customHeight="1">
      <x:c r="A44" s="3" t="s">
        <x:v>5547</x:v>
      </x:c>
      <x:c r="B44" s="3" t="s">
        <x:v>5677</x:v>
      </x:c>
      <x:c r="C44" s="3" t="s">
        <x:v>1758</x:v>
      </x:c>
      <x:c r="D44" s="3" t="s">
        <x:v>5538</x:v>
      </x:c>
      <x:c r="E44" s="3" t="s">
        <x:v>5795</x:v>
      </x:c>
      <x:c r="F44" s="3" t="s">
        <x:v>5801</x:v>
      </x:c>
      <x:c r="G44" s="3" t="s">
        <x:v>1757</x:v>
      </x:c>
      <x:c r="H44" s="3" t="s">
        <x:v>5692</x:v>
      </x:c>
      <x:c r="I44" s="3" t="s">
        <x:v>5729</x:v>
      </x:c>
      <x:c r="J44" s="3" t="s">
        <x:v>5798</x:v>
      </x:c>
      <x:c r="K44" s="3" t="s">
        <x:v>5694</x:v>
      </x:c>
      <x:c r="L44" s="3" t="s">
        <x:v>5538</x:v>
      </x:c>
      <x:c r="M44" s="3" t="s">
        <x:v>1754</x:v>
      </x:c>
      <x:c r="N44" s="3" t="s">
        <x:v>5673</x:v>
      </x:c>
      <x:c r="O44" s="3" t="s">
        <x:v>5674</x:v>
      </x:c>
      <x:c r="P44" s="3" t="s">
        <x:v>5688</x:v>
      </x:c>
      <x:c r="Q44" s="3" t="s">
        <x:v>5675</x:v>
      </x:c>
      <x:c r="R44" s="3"/>
      <x:c r="S44" s="3" t="s">
        <x:v>5676</x:v>
      </x:c>
      <x:c r="T44" s="3" t="s">
        <x:v>5695</x:v>
      </x:c>
      <x:c r="U44" s="3" t="s">
        <x:v>5730</x:v>
      </x:c>
    </x:row>
    <x:row r="45" ht="41.25" hidden="0" customHeight="1">
      <x:c r="A45" s="3" t="s">
        <x:v>5548</x:v>
      </x:c>
      <x:c r="B45" s="3" t="s">
        <x:v>5700</x:v>
      </x:c>
      <x:c r="C45" s="3" t="s">
        <x:v>1936</x:v>
      </x:c>
      <x:c r="D45" s="3" t="s">
        <x:v>5486</x:v>
      </x:c>
      <x:c r="E45" s="3" t="s">
        <x:v>5802</x:v>
      </x:c>
      <x:c r="F45" s="3" t="s">
        <x:v>5803</x:v>
      </x:c>
      <x:c r="G45" s="3" t="s">
        <x:v>1935</x:v>
      </x:c>
      <x:c r="H45" s="3" t="s">
        <x:v>5692</x:v>
      </x:c>
      <x:c r="I45" s="3" t="s">
        <x:v>5729</x:v>
      </x:c>
      <x:c r="J45" s="3" t="s">
        <x:v>5693</x:v>
      </x:c>
      <x:c r="K45" s="3" t="s">
        <x:v>5694</x:v>
      </x:c>
      <x:c r="L45" s="3" t="s">
        <x:v>5486</x:v>
      </x:c>
      <x:c r="M45" s="3" t="s">
        <x:v>1932</x:v>
      </x:c>
      <x:c r="N45" s="3" t="s">
        <x:v>5673</x:v>
      </x:c>
      <x:c r="O45" s="3" t="s">
        <x:v>5674</x:v>
      </x:c>
      <x:c r="P45" s="3" t="s">
        <x:v>5688</x:v>
      </x:c>
      <x:c r="Q45" s="3" t="s">
        <x:v>5675</x:v>
      </x:c>
      <x:c r="R45" s="3"/>
      <x:c r="S45" s="3" t="s">
        <x:v>5676</x:v>
      </x:c>
      <x:c r="T45" s="3" t="s">
        <x:v>5695</x:v>
      </x:c>
      <x:c r="U45" s="3" t="s">
        <x:v>5730</x:v>
      </x:c>
    </x:row>
    <x:row r="46" ht="41.25" hidden="0" customHeight="1">
      <x:c r="A46" s="3" t="s">
        <x:v>5549</x:v>
      </x:c>
      <x:c r="B46" s="3" t="s">
        <x:v>5681</x:v>
      </x:c>
      <x:c r="C46" s="3" t="s">
        <x:v>2804</x:v>
      </x:c>
      <x:c r="D46" s="3" t="s">
        <x:v>5486</x:v>
      </x:c>
      <x:c r="E46" s="3" t="s">
        <x:v>5772</x:v>
      </x:c>
      <x:c r="F46" s="3" t="s">
        <x:v>5804</x:v>
      </x:c>
      <x:c r="G46" s="3" t="s">
        <x:v>2803</x:v>
      </x:c>
      <x:c r="H46" s="3" t="s">
        <x:v>5692</x:v>
      </x:c>
      <x:c r="I46" s="3" t="s">
        <x:v>5729</x:v>
      </x:c>
      <x:c r="J46" s="3" t="s">
        <x:v>5693</x:v>
      </x:c>
      <x:c r="K46" s="3" t="s">
        <x:v>5694</x:v>
      </x:c>
      <x:c r="L46" s="3" t="s">
        <x:v>5486</x:v>
      </x:c>
      <x:c r="M46" s="3" t="s">
        <x:v>2802</x:v>
      </x:c>
      <x:c r="N46" s="3" t="s">
        <x:v>5673</x:v>
      </x:c>
      <x:c r="O46" s="3" t="s">
        <x:v>5674</x:v>
      </x:c>
      <x:c r="P46" s="3" t="s">
        <x:v>5688</x:v>
      </x:c>
      <x:c r="Q46" s="3" t="s">
        <x:v>5675</x:v>
      </x:c>
      <x:c r="R46" s="3"/>
      <x:c r="S46" s="3" t="s">
        <x:v>5676</x:v>
      </x:c>
      <x:c r="T46" s="3" t="s">
        <x:v>5695</x:v>
      </x:c>
      <x:c r="U46" s="3" t="str">
        <x:v>B04–B07: sections originales extraites, NOT_VERIFIED.  | B11: B11: Sections 2.2, 4, 5 read; supplementary not checked. | B16: Supplement not linked on inspected publisher page; existence unresolved.</x:v>
      </x:c>
    </x:row>
    <x:row r="47" ht="54.75" hidden="0" customHeight="1">
      <x:c r="A47" s="3" t="s">
        <x:v>5550</x:v>
      </x:c>
      <x:c r="B47" s="3" t="s">
        <x:v>5681</x:v>
      </x:c>
      <x:c r="C47" s="3" t="s">
        <x:v>3812</x:v>
      </x:c>
      <x:c r="D47" s="3" t="s">
        <x:v>5551</x:v>
      </x:c>
      <x:c r="E47" s="3" t="s">
        <x:v>5805</x:v>
      </x:c>
      <x:c r="F47" s="3" t="s">
        <x:v>5806</x:v>
      </x:c>
      <x:c r="G47" s="3" t="s">
        <x:v>5807</x:v>
      </x:c>
      <x:c r="H47" s="3" t="s">
        <x:v>5692</x:v>
      </x:c>
      <x:c r="I47" s="3" t="s">
        <x:v>5729</x:v>
      </x:c>
      <x:c r="J47" s="3" t="s">
        <x:v>5693</x:v>
      </x:c>
      <x:c r="K47" s="3" t="s">
        <x:v>5694</x:v>
      </x:c>
      <x:c r="L47" s="3" t="s">
        <x:v>5551</x:v>
      </x:c>
      <x:c r="M47" s="3" t="s">
        <x:v>3808</x:v>
      </x:c>
      <x:c r="N47" s="3" t="s">
        <x:v>5673</x:v>
      </x:c>
      <x:c r="O47" s="3" t="s">
        <x:v>5674</x:v>
      </x:c>
      <x:c r="P47" s="3" t="s">
        <x:v>5688</x:v>
      </x:c>
      <x:c r="Q47" s="3" t="s">
        <x:v>5675</x:v>
      </x:c>
      <x:c r="R47" s="3"/>
      <x:c r="S47" s="3" t="s">
        <x:v>5676</x:v>
      </x:c>
      <x:c r="T47" s="3" t="s">
        <x:v>5695</x:v>
      </x:c>
      <x:c r="U47" s="3" t="s">
        <x:v>5808</x:v>
      </x:c>
    </x:row>
    <x:row r="48" ht="41.25" hidden="0" customHeight="1">
      <x:c r="A48" s="3" t="s">
        <x:v>5552</x:v>
      </x:c>
      <x:c r="B48" s="3" t="s">
        <x:v>5677</x:v>
      </x:c>
      <x:c r="C48" s="3" t="s">
        <x:v>5127</x:v>
      </x:c>
      <x:c r="D48" s="3" t="s">
        <x:v>5486</x:v>
      </x:c>
      <x:c r="E48" s="3" t="s">
        <x:v>5809</x:v>
      </x:c>
      <x:c r="F48" s="3" t="s">
        <x:v>5810</x:v>
      </x:c>
      <x:c r="G48" s="3" t="s">
        <x:v>5811</x:v>
      </x:c>
      <x:c r="H48" s="3" t="s">
        <x:v>5692</x:v>
      </x:c>
      <x:c r="I48" s="3" t="s">
        <x:v>5729</x:v>
      </x:c>
      <x:c r="J48" s="3" t="s">
        <x:v>5693</x:v>
      </x:c>
      <x:c r="K48" s="3" t="s">
        <x:v>5694</x:v>
      </x:c>
      <x:c r="L48" s="3" t="s">
        <x:v>5486</x:v>
      </x:c>
      <x:c r="M48" s="3" t="s">
        <x:v>5123</x:v>
      </x:c>
      <x:c r="N48" s="3" t="s">
        <x:v>5673</x:v>
      </x:c>
      <x:c r="O48" s="3" t="s">
        <x:v>5674</x:v>
      </x:c>
      <x:c r="P48" s="3" t="s">
        <x:v>52</x:v>
      </x:c>
      <x:c r="Q48" s="3" t="s">
        <x:v>5675</x:v>
      </x:c>
      <x:c r="R48" s="3"/>
      <x:c r="S48" s="3" t="s">
        <x:v>5676</x:v>
      </x:c>
      <x:c r="T48" s="3" t="s">
        <x:v>5695</x:v>
      </x:c>
      <x:c r="U48" s="3" t="s">
        <x:v>5733</x:v>
      </x:c>
    </x:row>
    <x:row r="49" ht="54.75" hidden="0" customHeight="1">
      <x:c r="A49" s="3" t="s">
        <x:v>5553</x:v>
      </x:c>
      <x:c r="B49" s="3" t="s">
        <x:v>5677</x:v>
      </x:c>
      <x:c r="C49" s="3" t="s">
        <x:v>3652</x:v>
      </x:c>
      <x:c r="D49" s="3" t="s">
        <x:v>5554</x:v>
      </x:c>
      <x:c r="E49" s="3" t="s">
        <x:v>5812</x:v>
      </x:c>
      <x:c r="F49" s="3" t="s">
        <x:v>5813</x:v>
      </x:c>
      <x:c r="G49" s="3" t="s">
        <x:v>5814</x:v>
      </x:c>
      <x:c r="H49" s="3" t="s">
        <x:v>5692</x:v>
      </x:c>
      <x:c r="I49" s="3" t="s">
        <x:v>5729</x:v>
      </x:c>
      <x:c r="J49" s="3" t="s">
        <x:v>5693</x:v>
      </x:c>
      <x:c r="K49" s="3" t="s">
        <x:v>5694</x:v>
      </x:c>
      <x:c r="L49" s="3" t="s">
        <x:v>5554</x:v>
      </x:c>
      <x:c r="M49" s="3" t="s">
        <x:v>3649</x:v>
      </x:c>
      <x:c r="N49" s="3" t="s">
        <x:v>5673</x:v>
      </x:c>
      <x:c r="O49" s="3" t="s">
        <x:v>5674</x:v>
      </x:c>
      <x:c r="P49" s="3" t="s">
        <x:v>5688</x:v>
      </x:c>
      <x:c r="Q49" s="3" t="s">
        <x:v>5675</x:v>
      </x:c>
      <x:c r="R49" s="3"/>
      <x:c r="S49" s="3" t="s">
        <x:v>5676</x:v>
      </x:c>
      <x:c r="T49" s="3" t="s">
        <x:v>5695</x:v>
      </x:c>
      <x:c r="U49" s="3" t="s">
        <x:v>5808</x:v>
      </x:c>
    </x:row>
    <x:row r="50" ht="27.75" hidden="0" customHeight="1">
      <x:c r="A50" s="3" t="s">
        <x:v>5555</x:v>
      </x:c>
      <x:c r="B50" s="3" t="s">
        <x:v>5677</x:v>
      </x:c>
      <x:c r="C50" s="3" t="s">
        <x:v>3725</x:v>
      </x:c>
      <x:c r="D50" s="3" t="s">
        <x:v>5554</x:v>
      </x:c>
      <x:c r="E50" s="3" t="s">
        <x:v>5815</x:v>
      </x:c>
      <x:c r="F50" s="3" t="s">
        <x:v>5816</x:v>
      </x:c>
      <x:c r="G50" s="3" t="s">
        <x:v>3724</x:v>
      </x:c>
      <x:c r="H50" s="3" t="s">
        <x:v>5692</x:v>
      </x:c>
      <x:c r="I50" s="3" t="s">
        <x:v>5729</x:v>
      </x:c>
      <x:c r="J50" s="3" t="s">
        <x:v>5693</x:v>
      </x:c>
      <x:c r="K50" s="3" t="s">
        <x:v>5694</x:v>
      </x:c>
      <x:c r="L50" s="3" t="s">
        <x:v>5554</x:v>
      </x:c>
      <x:c r="M50" s="3" t="s">
        <x:v>3721</x:v>
      </x:c>
      <x:c r="N50" s="3" t="s">
        <x:v>5673</x:v>
      </x:c>
      <x:c r="O50" s="3" t="s">
        <x:v>5674</x:v>
      </x:c>
      <x:c r="P50" s="3" t="s">
        <x:v>5688</x:v>
      </x:c>
      <x:c r="Q50" s="3" t="s">
        <x:v>5675</x:v>
      </x:c>
      <x:c r="R50" s="3"/>
      <x:c r="S50" s="3" t="s">
        <x:v>5676</x:v>
      </x:c>
      <x:c r="T50" s="3" t="s">
        <x:v>5695</x:v>
      </x:c>
      <x:c r="U50" s="3" t="s">
        <x:v>5730</x:v>
      </x:c>
    </x:row>
    <x:row r="51" ht="54.75" hidden="0" customHeight="1">
      <x:c r="A51" s="3" t="s">
        <x:v>5556</x:v>
      </x:c>
      <x:c r="B51" s="3" t="s">
        <x:v>5681</x:v>
      </x:c>
      <x:c r="C51" s="3" t="s">
        <x:v>3470</x:v>
      </x:c>
      <x:c r="D51" s="3" t="s">
        <x:v>5554</x:v>
      </x:c>
      <x:c r="E51" s="3" t="s">
        <x:v>5817</x:v>
      </x:c>
      <x:c r="F51" s="3" t="s">
        <x:v>5818</x:v>
      </x:c>
      <x:c r="G51" s="3" t="s">
        <x:v>5819</x:v>
      </x:c>
      <x:c r="H51" s="3" t="s">
        <x:v>5692</x:v>
      </x:c>
      <x:c r="I51" s="3" t="s">
        <x:v>5729</x:v>
      </x:c>
      <x:c r="J51" s="3" t="s">
        <x:v>5693</x:v>
      </x:c>
      <x:c r="K51" s="3" t="s">
        <x:v>5694</x:v>
      </x:c>
      <x:c r="L51" s="3" t="s">
        <x:v>5554</x:v>
      </x:c>
      <x:c r="M51" s="3" t="s">
        <x:v>3466</x:v>
      </x:c>
      <x:c r="N51" s="3" t="s">
        <x:v>5673</x:v>
      </x:c>
      <x:c r="O51" s="3" t="s">
        <x:v>5674</x:v>
      </x:c>
      <x:c r="P51" s="3" t="s">
        <x:v>5688</x:v>
      </x:c>
      <x:c r="Q51" s="3" t="s">
        <x:v>5675</x:v>
      </x:c>
      <x:c r="R51" s="3"/>
      <x:c r="S51" s="3" t="s">
        <x:v>5676</x:v>
      </x:c>
      <x:c r="T51" s="3" t="s">
        <x:v>5695</x:v>
      </x:c>
      <x:c r="U51" s="3" t="s">
        <x:v>5808</x:v>
      </x:c>
    </x:row>
    <x:row r="52" ht="27.75" hidden="0" customHeight="1">
      <x:c r="A52" s="3" t="s">
        <x:v>5557</x:v>
      </x:c>
      <x:c r="B52" s="3" t="s">
        <x:v>5681</x:v>
      </x:c>
      <x:c r="C52" s="3" t="s">
        <x:v>3672</x:v>
      </x:c>
      <x:c r="D52" s="3" t="s">
        <x:v>5554</x:v>
      </x:c>
      <x:c r="E52" s="3" t="s">
        <x:v>5820</x:v>
      </x:c>
      <x:c r="F52" s="3" t="s">
        <x:v>5821</x:v>
      </x:c>
      <x:c r="G52" s="3" t="s">
        <x:v>3671</x:v>
      </x:c>
      <x:c r="H52" s="3" t="s">
        <x:v>5692</x:v>
      </x:c>
      <x:c r="I52" s="3" t="s">
        <x:v>5729</x:v>
      </x:c>
      <x:c r="J52" s="3" t="s">
        <x:v>5693</x:v>
      </x:c>
      <x:c r="K52" s="3" t="s">
        <x:v>5694</x:v>
      </x:c>
      <x:c r="L52" s="3" t="s">
        <x:v>5554</x:v>
      </x:c>
      <x:c r="M52" s="3" t="s">
        <x:v>3668</x:v>
      </x:c>
      <x:c r="N52" s="3" t="s">
        <x:v>5673</x:v>
      </x:c>
      <x:c r="O52" s="3" t="s">
        <x:v>5674</x:v>
      </x:c>
      <x:c r="P52" s="3" t="s">
        <x:v>5688</x:v>
      </x:c>
      <x:c r="Q52" s="3" t="s">
        <x:v>5675</x:v>
      </x:c>
      <x:c r="R52" s="3"/>
      <x:c r="S52" s="3" t="s">
        <x:v>5676</x:v>
      </x:c>
      <x:c r="T52" s="3" t="s">
        <x:v>5695</x:v>
      </x:c>
      <x:c r="U52" s="3" t="s">
        <x:v>5730</x:v>
      </x:c>
    </x:row>
    <x:row r="53" ht="41.25" hidden="0" customHeight="1">
      <x:c r="A53" s="3" t="s">
        <x:v>5558</x:v>
      </x:c>
      <x:c r="B53" s="3" t="s">
        <x:v>5700</x:v>
      </x:c>
      <x:c r="C53" s="3" t="s">
        <x:v>5822</x:v>
      </x:c>
      <x:c r="D53" s="3" t="s">
        <x:v>5503</x:v>
      </x:c>
      <x:c r="E53" s="3" t="s">
        <x:v>5823</x:v>
      </x:c>
      <x:c r="F53" s="3" t="s">
        <x:v>5824</x:v>
      </x:c>
      <x:c r="G53" s="3" t="s">
        <x:v>5825</x:v>
      </x:c>
      <x:c r="H53" s="3" t="s">
        <x:v>5692</x:v>
      </x:c>
      <x:c r="I53" s="3" t="s">
        <x:v>5729</x:v>
      </x:c>
      <x:c r="J53" s="3" t="s">
        <x:v>5693</x:v>
      </x:c>
      <x:c r="K53" s="3" t="s">
        <x:v>5694</x:v>
      </x:c>
      <x:c r="L53" s="3" t="s">
        <x:v>5503</x:v>
      </x:c>
      <x:c r="M53" s="3" t="s">
        <x:v>3759</x:v>
      </x:c>
      <x:c r="N53" s="3" t="s">
        <x:v>5673</x:v>
      </x:c>
      <x:c r="O53" s="3" t="s">
        <x:v>5674</x:v>
      </x:c>
      <x:c r="P53" s="3" t="s">
        <x:v>5688</x:v>
      </x:c>
      <x:c r="Q53" s="3" t="s">
        <x:v>5675</x:v>
      </x:c>
      <x:c r="R53" s="3"/>
      <x:c r="S53" s="3" t="s">
        <x:v>5676</x:v>
      </x:c>
      <x:c r="T53" s="3" t="s">
        <x:v>5695</x:v>
      </x:c>
      <x:c r="U53" s="3" t="s">
        <x:v>5826</x:v>
      </x:c>
    </x:row>
    <x:row r="54" ht="27.75" hidden="0" customHeight="1">
      <x:c r="A54" s="3" t="s">
        <x:v>5560</x:v>
      </x:c>
      <x:c r="B54" s="3" t="s">
        <x:v>5681</x:v>
      </x:c>
      <x:c r="C54" s="3" t="s">
        <x:v>5827</x:v>
      </x:c>
      <x:c r="D54" s="3" t="s">
        <x:v>5503</x:v>
      </x:c>
      <x:c r="E54" s="3" t="s">
        <x:v>5828</x:v>
      </x:c>
      <x:c r="F54" s="3" t="s">
        <x:v>5829</x:v>
      </x:c>
      <x:c r="G54" s="3" t="s">
        <x:v>5830</x:v>
      </x:c>
      <x:c r="H54" s="3" t="s">
        <x:v>5692</x:v>
      </x:c>
      <x:c r="I54" s="3" t="s">
        <x:v>5729</x:v>
      </x:c>
      <x:c r="J54" s="3" t="s">
        <x:v>5693</x:v>
      </x:c>
      <x:c r="K54" s="3" t="s">
        <x:v>5694</x:v>
      </x:c>
      <x:c r="L54" s="3" t="s">
        <x:v>5503</x:v>
      </x:c>
      <x:c r="M54" s="3" t="s">
        <x:v>5559</x:v>
      </x:c>
      <x:c r="N54" s="3" t="s">
        <x:v>5673</x:v>
      </x:c>
      <x:c r="O54" s="3" t="s">
        <x:v>5674</x:v>
      </x:c>
      <x:c r="P54" s="3" t="s">
        <x:v>30</x:v>
      </x:c>
      <x:c r="Q54" s="3" t="s">
        <x:v>5675</x:v>
      </x:c>
      <x:c r="R54" s="3"/>
      <x:c r="S54" s="3" t="s">
        <x:v>5676</x:v>
      </x:c>
      <x:c r="T54" s="3" t="s">
        <x:v>5695</x:v>
      </x:c>
      <x:c r="U54" s="3" t="s">
        <x:v>5680</x:v>
      </x:c>
    </x:row>
    <x:row r="55" ht="41.25" hidden="0" customHeight="1">
      <x:c r="A55" s="3" t="s">
        <x:v>5561</x:v>
      </x:c>
      <x:c r="B55" s="3" t="s">
        <x:v>5700</x:v>
      </x:c>
      <x:c r="C55" s="3" t="s">
        <x:v>5138</x:v>
      </x:c>
      <x:c r="D55" s="3" t="s">
        <x:v>5503</x:v>
      </x:c>
      <x:c r="E55" s="3" t="s">
        <x:v>5831</x:v>
      </x:c>
      <x:c r="F55" s="3" t="s">
        <x:v>5832</x:v>
      </x:c>
      <x:c r="G55" s="3" t="s">
        <x:v>5833</x:v>
      </x:c>
      <x:c r="H55" s="3" t="s">
        <x:v>5692</x:v>
      </x:c>
      <x:c r="I55" s="3" t="s">
        <x:v>5729</x:v>
      </x:c>
      <x:c r="J55" s="3" t="s">
        <x:v>5693</x:v>
      </x:c>
      <x:c r="K55" s="3" t="s">
        <x:v>5694</x:v>
      </x:c>
      <x:c r="L55" s="3" t="s">
        <x:v>5503</x:v>
      </x:c>
      <x:c r="M55" s="3" t="s">
        <x:v>5134</x:v>
      </x:c>
      <x:c r="N55" s="3" t="s">
        <x:v>5673</x:v>
      </x:c>
      <x:c r="O55" s="3" t="s">
        <x:v>5674</x:v>
      </x:c>
      <x:c r="P55" s="3" t="str">
        <x:v>PARTIALLY_EXTRACTED</x:v>
      </x:c>
      <x:c r="Q55" s="3" t="s">
        <x:v>5675</x:v>
      </x:c>
      <x:c r="R55" s="3"/>
      <x:c r="S55" s="3" t="s">
        <x:v>5676</x:v>
      </x:c>
      <x:c r="T55" s="3" t="s">
        <x:v>5695</x:v>
      </x:c>
      <x:c r="U55" s="3" t="str">
        <x:v>Not a verified PaperRecord; no page-level PDF audit. | B12: B12: abstract only after documented open-copy search. | B16: Read SI Table S2 and code; extract exact lead-specific loss weights.</x:v>
      </x:c>
    </x:row>
    <x:row r="56" ht="27.75" hidden="0" customHeight="1">
      <x:c r="A56" s="3" t="s">
        <x:v>5562</x:v>
      </x:c>
      <x:c r="B56" s="3" t="s">
        <x:v>5700</x:v>
      </x:c>
      <x:c r="C56" s="3" t="s">
        <x:v>5164</x:v>
      </x:c>
      <x:c r="D56" s="3" t="s">
        <x:v>5503</x:v>
      </x:c>
      <x:c r="E56" s="3" t="s">
        <x:v>5834</x:v>
      </x:c>
      <x:c r="F56" s="3" t="s">
        <x:v>5835</x:v>
      </x:c>
      <x:c r="G56" s="3" t="s">
        <x:v>5836</x:v>
      </x:c>
      <x:c r="H56" s="3" t="s">
        <x:v>5692</x:v>
      </x:c>
      <x:c r="I56" s="3" t="s">
        <x:v>5729</x:v>
      </x:c>
      <x:c r="J56" s="3" t="s">
        <x:v>5693</x:v>
      </x:c>
      <x:c r="K56" s="3" t="s">
        <x:v>5694</x:v>
      </x:c>
      <x:c r="L56" s="3" t="s">
        <x:v>5503</x:v>
      </x:c>
      <x:c r="M56" s="3" t="s">
        <x:v>5160</x:v>
      </x:c>
      <x:c r="N56" s="3" t="s">
        <x:v>5673</x:v>
      </x:c>
      <x:c r="O56" s="3" t="s">
        <x:v>5674</x:v>
      </x:c>
      <x:c r="P56" s="3" t="s">
        <x:v>52</x:v>
      </x:c>
      <x:c r="Q56" s="3" t="s">
        <x:v>5675</x:v>
      </x:c>
      <x:c r="R56" s="3"/>
      <x:c r="S56" s="3" t="s">
        <x:v>5676</x:v>
      </x:c>
      <x:c r="T56" s="3" t="s">
        <x:v>5695</x:v>
      </x:c>
      <x:c r="U56" s="3" t="s">
        <x:v>5733</x:v>
      </x:c>
    </x:row>
    <x:row r="57" ht="41.25" hidden="0" customHeight="1">
      <x:c r="A57" s="3" t="s">
        <x:v>5563</x:v>
      </x:c>
      <x:c r="B57" s="3" t="s">
        <x:v>5700</x:v>
      </x:c>
      <x:c r="C57" s="3"/>
      <x:c r="D57" s="3" t="s">
        <x:v>5503</x:v>
      </x:c>
      <x:c r="E57" s="3" t="s">
        <x:v>5815</x:v>
      </x:c>
      <x:c r="F57" s="3" t="s">
        <x:v>5837</x:v>
      </x:c>
      <x:c r="G57" s="3" t="s">
        <x:v>3193</x:v>
      </x:c>
      <x:c r="H57" s="3" t="s">
        <x:v>5692</x:v>
      </x:c>
      <x:c r="I57" s="3" t="s">
        <x:v>5761</x:v>
      </x:c>
      <x:c r="J57" s="3" t="s">
        <x:v>5693</x:v>
      </x:c>
      <x:c r="K57" s="3" t="s">
        <x:v>5694</x:v>
      </x:c>
      <x:c r="L57" s="3" t="s">
        <x:v>5503</x:v>
      </x:c>
      <x:c r="M57" s="3" t="s">
        <x:v>3191</x:v>
      </x:c>
      <x:c r="N57" s="3" t="s">
        <x:v>5673</x:v>
      </x:c>
      <x:c r="O57" s="3" t="s">
        <x:v>5674</x:v>
      </x:c>
      <x:c r="P57" s="3" t="s">
        <x:v>5688</x:v>
      </x:c>
      <x:c r="Q57" s="3" t="s">
        <x:v>5675</x:v>
      </x:c>
      <x:c r="R57" s="3"/>
      <x:c r="S57" s="3" t="s">
        <x:v>5676</x:v>
      </x:c>
      <x:c r="T57" s="3" t="s">
        <x:v>5695</x:v>
      </x:c>
      <x:c r="U57" s="3" t="s">
        <x:v>5838</x:v>
      </x:c>
    </x:row>
    <x:row r="58" ht="27.75" hidden="0" customHeight="1">
      <x:c r="A58" s="3" t="s">
        <x:v>5564</x:v>
      </x:c>
      <x:c r="B58" s="3" t="s">
        <x:v>5683</x:v>
      </x:c>
      <x:c r="C58" s="3" t="s">
        <x:v>3212</x:v>
      </x:c>
      <x:c r="D58" s="3" t="s">
        <x:v>5503</x:v>
      </x:c>
      <x:c r="E58" s="3" t="s">
        <x:v>5839</x:v>
      </x:c>
      <x:c r="F58" s="3" t="s">
        <x:v>5840</x:v>
      </x:c>
      <x:c r="G58" s="3" t="s">
        <x:v>3211</x:v>
      </x:c>
      <x:c r="H58" s="3" t="s">
        <x:v>5692</x:v>
      </x:c>
      <x:c r="I58" s="3" t="s">
        <x:v>5729</x:v>
      </x:c>
      <x:c r="J58" s="3" t="s">
        <x:v>5798</x:v>
      </x:c>
      <x:c r="K58" s="3" t="s">
        <x:v>5694</x:v>
      </x:c>
      <x:c r="L58" s="3" t="s">
        <x:v>5503</x:v>
      </x:c>
      <x:c r="M58" s="3" t="s">
        <x:v>3207</x:v>
      </x:c>
      <x:c r="N58" s="3" t="s">
        <x:v>5673</x:v>
      </x:c>
      <x:c r="O58" s="3" t="s">
        <x:v>5674</x:v>
      </x:c>
      <x:c r="P58" s="3" t="s">
        <x:v>5688</x:v>
      </x:c>
      <x:c r="Q58" s="3" t="s">
        <x:v>5675</x:v>
      </x:c>
      <x:c r="R58" s="3"/>
      <x:c r="S58" s="3" t="s">
        <x:v>5676</x:v>
      </x:c>
      <x:c r="T58" s="3" t="s">
        <x:v>5695</x:v>
      </x:c>
      <x:c r="U58" s="3" t="s">
        <x:v>5730</x:v>
      </x:c>
    </x:row>
    <x:row r="59" ht="41.25" hidden="0" customHeight="1">
      <x:c r="A59" s="3" t="s">
        <x:v>5565</x:v>
      </x:c>
      <x:c r="B59" s="3" t="s">
        <x:v>5677</x:v>
      </x:c>
      <x:c r="C59" s="3" t="s">
        <x:v>4589</x:v>
      </x:c>
      <x:c r="D59" s="3" t="s">
        <x:v>5503</x:v>
      </x:c>
      <x:c r="E59" s="3" t="s">
        <x:v>5839</x:v>
      </x:c>
      <x:c r="F59" s="3" t="s">
        <x:v>5841</x:v>
      </x:c>
      <x:c r="G59" s="3" t="s">
        <x:v>4588</x:v>
      </x:c>
      <x:c r="H59" s="3" t="s">
        <x:v>5692</x:v>
      </x:c>
      <x:c r="I59" s="3" t="s">
        <x:v>5729</x:v>
      </x:c>
      <x:c r="J59" s="3" t="s">
        <x:v>5798</x:v>
      </x:c>
      <x:c r="K59" s="3" t="s">
        <x:v>5694</x:v>
      </x:c>
      <x:c r="L59" s="3" t="s">
        <x:v>5503</x:v>
      </x:c>
      <x:c r="M59" s="3" t="s">
        <x:v>4585</x:v>
      </x:c>
      <x:c r="N59" s="3" t="s">
        <x:v>5673</x:v>
      </x:c>
      <x:c r="O59" s="3" t="s">
        <x:v>5674</x:v>
      </x:c>
      <x:c r="P59" s="3" t="s">
        <x:v>5688</x:v>
      </x:c>
      <x:c r="Q59" s="3" t="s">
        <x:v>5675</x:v>
      </x:c>
      <x:c r="R59" s="3"/>
      <x:c r="S59" s="3" t="s">
        <x:v>5676</x:v>
      </x:c>
      <x:c r="T59" s="3" t="s">
        <x:v>5695</x:v>
      </x:c>
      <x:c r="U59" s="3" t="s">
        <x:v>5842</x:v>
      </x:c>
    </x:row>
    <x:row r="60" ht="27.75" hidden="0" customHeight="1">
      <x:c r="A60" s="3" t="s">
        <x:v>5567</x:v>
      </x:c>
      <x:c r="B60" s="3" t="s">
        <x:v>5677</x:v>
      </x:c>
      <x:c r="C60" s="3" t="s">
        <x:v>5843</x:v>
      </x:c>
      <x:c r="D60" s="3" t="s">
        <x:v>5568</x:v>
      </x:c>
      <x:c r="E60" s="3" t="s">
        <x:v>5757</x:v>
      </x:c>
      <x:c r="F60" s="3" t="s">
        <x:v>5844</x:v>
      </x:c>
      <x:c r="G60" s="3" t="s">
        <x:v>717</x:v>
      </x:c>
      <x:c r="H60" s="3" t="s">
        <x:v>5692</x:v>
      </x:c>
      <x:c r="I60" s="3" t="s">
        <x:v>5729</x:v>
      </x:c>
      <x:c r="J60" s="3" t="s">
        <x:v>5693</x:v>
      </x:c>
      <x:c r="K60" s="3" t="s">
        <x:v>5694</x:v>
      </x:c>
      <x:c r="L60" s="3" t="s">
        <x:v>5568</x:v>
      </x:c>
      <x:c r="M60" s="3" t="s">
        <x:v>715</x:v>
      </x:c>
      <x:c r="N60" s="3" t="s">
        <x:v>5673</x:v>
      </x:c>
      <x:c r="O60" s="3" t="s">
        <x:v>5674</x:v>
      </x:c>
      <x:c r="P60" s="3" t="s">
        <x:v>30</x:v>
      </x:c>
      <x:c r="Q60" s="3" t="s">
        <x:v>5675</x:v>
      </x:c>
      <x:c r="R60" s="3"/>
      <x:c r="S60" s="3" t="s">
        <x:v>5676</x:v>
      </x:c>
      <x:c r="T60" s="3" t="s">
        <x:v>5695</x:v>
      </x:c>
      <x:c r="U60" s="3" t="s">
        <x:v>5680</x:v>
      </x:c>
    </x:row>
    <x:row r="61" ht="41.25" hidden="0" customHeight="1">
      <x:c r="A61" s="3" t="s">
        <x:v>5569</x:v>
      </x:c>
      <x:c r="B61" s="3" t="s">
        <x:v>5681</x:v>
      </x:c>
      <x:c r="C61" s="3" t="s">
        <x:v>1983</x:v>
      </x:c>
      <x:c r="D61" s="3" t="s">
        <x:v>5568</x:v>
      </x:c>
      <x:c r="E61" s="3" t="s">
        <x:v>5727</x:v>
      </x:c>
      <x:c r="F61" s="3" t="s">
        <x:v>5845</x:v>
      </x:c>
      <x:c r="G61" s="3" t="s">
        <x:v>1982</x:v>
      </x:c>
      <x:c r="H61" s="3" t="s">
        <x:v>5692</x:v>
      </x:c>
      <x:c r="I61" s="3" t="s">
        <x:v>5729</x:v>
      </x:c>
      <x:c r="J61" s="3" t="s">
        <x:v>5693</x:v>
      </x:c>
      <x:c r="K61" s="3" t="s">
        <x:v>5694</x:v>
      </x:c>
      <x:c r="L61" s="3" t="s">
        <x:v>5568</x:v>
      </x:c>
      <x:c r="M61" s="3" t="s">
        <x:v>1980</x:v>
      </x:c>
      <x:c r="N61" s="3" t="s">
        <x:v>5673</x:v>
      </x:c>
      <x:c r="O61" s="3" t="s">
        <x:v>5674</x:v>
      </x:c>
      <x:c r="P61" s="3" t="s">
        <x:v>5688</x:v>
      </x:c>
      <x:c r="Q61" s="3" t="s">
        <x:v>5675</x:v>
      </x:c>
      <x:c r="R61" s="3"/>
      <x:c r="S61" s="3" t="s">
        <x:v>5676</x:v>
      </x:c>
      <x:c r="T61" s="3" t="s">
        <x:v>5695</x:v>
      </x:c>
      <x:c r="U61" s="3" t="s">
        <x:v>5730</x:v>
      </x:c>
    </x:row>
    <x:row r="62" ht="54.75" hidden="0" customHeight="1">
      <x:c r="A62" s="3" t="s">
        <x:v>5570</x:v>
      </x:c>
      <x:c r="B62" s="3" t="s">
        <x:v>5677</x:v>
      </x:c>
      <x:c r="C62" s="3" t="s">
        <x:v>3540</x:v>
      </x:c>
      <x:c r="D62" s="3" t="s">
        <x:v>5568</x:v>
      </x:c>
      <x:c r="E62" s="3" t="s">
        <x:v>5846</x:v>
      </x:c>
      <x:c r="F62" s="3" t="s">
        <x:v>5847</x:v>
      </x:c>
      <x:c r="G62" s="3" t="s">
        <x:v>5848</x:v>
      </x:c>
      <x:c r="H62" s="3" t="s">
        <x:v>5692</x:v>
      </x:c>
      <x:c r="I62" s="3" t="s">
        <x:v>5729</x:v>
      </x:c>
      <x:c r="J62" s="3" t="s">
        <x:v>5693</x:v>
      </x:c>
      <x:c r="K62" s="3" t="s">
        <x:v>5694</x:v>
      </x:c>
      <x:c r="L62" s="3" t="s">
        <x:v>5568</x:v>
      </x:c>
      <x:c r="M62" s="3" t="s">
        <x:v>3535</x:v>
      </x:c>
      <x:c r="N62" s="3" t="s">
        <x:v>5673</x:v>
      </x:c>
      <x:c r="O62" s="3" t="s">
        <x:v>5674</x:v>
      </x:c>
      <x:c r="P62" s="3" t="s">
        <x:v>5688</x:v>
      </x:c>
      <x:c r="Q62" s="3" t="s">
        <x:v>5675</x:v>
      </x:c>
      <x:c r="R62" s="3"/>
      <x:c r="S62" s="3" t="s">
        <x:v>5676</x:v>
      </x:c>
      <x:c r="T62" s="3" t="s">
        <x:v>5695</x:v>
      </x:c>
      <x:c r="U62" s="3" t="s">
        <x:v>5808</x:v>
      </x:c>
    </x:row>
    <x:row r="63" ht="41.25" hidden="0" customHeight="1">
      <x:c r="A63" s="3" t="s">
        <x:v>5571</x:v>
      </x:c>
      <x:c r="B63" s="3" t="s">
        <x:v>5666</x:v>
      </x:c>
      <x:c r="C63" s="3" t="s">
        <x:v>5849</x:v>
      </x:c>
      <x:c r="D63" s="3" t="s">
        <x:v>5568</x:v>
      </x:c>
      <x:c r="E63" s="3" t="s">
        <x:v>5850</x:v>
      </x:c>
      <x:c r="F63" s="3" t="s">
        <x:v>5851</x:v>
      </x:c>
      <x:c r="G63" s="3" t="s">
        <x:v>5852</x:v>
      </x:c>
      <x:c r="H63" s="3" t="s">
        <x:v>5712</x:v>
      </x:c>
      <x:c r="I63" s="3" t="s">
        <x:v>5729</x:v>
      </x:c>
      <x:c r="J63" s="3" t="s">
        <x:v>5693</x:v>
      </x:c>
      <x:c r="K63" s="3" t="s">
        <x:v>5694</x:v>
      </x:c>
      <x:c r="L63" s="3" t="s">
        <x:v>5568</x:v>
      </x:c>
      <x:c r="M63" s="3" t="s">
        <x:v>730</x:v>
      </x:c>
      <x:c r="N63" s="3" t="s">
        <x:v>5673</x:v>
      </x:c>
      <x:c r="O63" s="3" t="s">
        <x:v>5674</x:v>
      </x:c>
      <x:c r="P63" s="3" t="s">
        <x:v>30</x:v>
      </x:c>
      <x:c r="Q63" s="3" t="s">
        <x:v>5675</x:v>
      </x:c>
      <x:c r="R63" s="3"/>
      <x:c r="S63" s="3" t="s">
        <x:v>5676</x:v>
      </x:c>
      <x:c r="T63" s="3" t="s">
        <x:v>5715</x:v>
      </x:c>
      <x:c r="U63" s="3" t="s">
        <x:v>5680</x:v>
      </x:c>
    </x:row>
    <x:row r="64" ht="41.25" hidden="0" customHeight="1">
      <x:c r="A64" s="3" t="s">
        <x:v>5572</x:v>
      </x:c>
      <x:c r="B64" s="3" t="s">
        <x:v>5681</x:v>
      </x:c>
      <x:c r="C64" s="3" t="s">
        <x:v>5853</x:v>
      </x:c>
      <x:c r="D64" s="3" t="s">
        <x:v>5573</x:v>
      </x:c>
      <x:c r="E64" s="3" t="s">
        <x:v>5854</x:v>
      </x:c>
      <x:c r="F64" s="3" t="s">
        <x:v>5855</x:v>
      </x:c>
      <x:c r="G64" s="3" t="s">
        <x:v>754</x:v>
      </x:c>
      <x:c r="H64" s="3" t="s">
        <x:v>5692</x:v>
      </x:c>
      <x:c r="I64" s="3" t="s">
        <x:v>5729</x:v>
      </x:c>
      <x:c r="J64" s="3" t="s">
        <x:v>5693</x:v>
      </x:c>
      <x:c r="K64" s="3" t="s">
        <x:v>5694</x:v>
      </x:c>
      <x:c r="L64" s="3" t="s">
        <x:v>5573</x:v>
      </x:c>
      <x:c r="M64" s="3" t="s">
        <x:v>752</x:v>
      </x:c>
      <x:c r="N64" s="3" t="s">
        <x:v>5673</x:v>
      </x:c>
      <x:c r="O64" s="3" t="s">
        <x:v>5674</x:v>
      </x:c>
      <x:c r="P64" s="3" t="s">
        <x:v>30</x:v>
      </x:c>
      <x:c r="Q64" s="3" t="s">
        <x:v>5675</x:v>
      </x:c>
      <x:c r="R64" s="3"/>
      <x:c r="S64" s="3" t="s">
        <x:v>5676</x:v>
      </x:c>
      <x:c r="T64" s="3" t="s">
        <x:v>5695</x:v>
      </x:c>
      <x:c r="U64" s="3" t="s">
        <x:v>5680</x:v>
      </x:c>
    </x:row>
    <x:row r="65" ht="41.25" hidden="0" customHeight="1">
      <x:c r="A65" s="3" t="s">
        <x:v>5574</x:v>
      </x:c>
      <x:c r="B65" s="3" t="s">
        <x:v>5677</x:v>
      </x:c>
      <x:c r="C65" s="3" t="s">
        <x:v>5306</x:v>
      </x:c>
      <x:c r="D65" s="3" t="s">
        <x:v>5573</x:v>
      </x:c>
      <x:c r="E65" s="3" t="s">
        <x:v>5856</x:v>
      </x:c>
      <x:c r="F65" s="3" t="s">
        <x:v>5857</x:v>
      </x:c>
      <x:c r="G65" s="3" t="s">
        <x:v>783</x:v>
      </x:c>
      <x:c r="H65" s="3" t="s">
        <x:v>5692</x:v>
      </x:c>
      <x:c r="I65" s="3" t="s">
        <x:v>5729</x:v>
      </x:c>
      <x:c r="J65" s="3" t="s">
        <x:v>5693</x:v>
      </x:c>
      <x:c r="K65" s="3" t="s">
        <x:v>5694</x:v>
      </x:c>
      <x:c r="L65" s="3" t="s">
        <x:v>5573</x:v>
      </x:c>
      <x:c r="M65" s="3" t="s">
        <x:v>781</x:v>
      </x:c>
      <x:c r="N65" s="3" t="s">
        <x:v>5673</x:v>
      </x:c>
      <x:c r="O65" s="3" t="s">
        <x:v>5674</x:v>
      </x:c>
      <x:c r="P65" s="3" t="s">
        <x:v>5688</x:v>
      </x:c>
      <x:c r="Q65" s="3" t="s">
        <x:v>5675</x:v>
      </x:c>
      <x:c r="R65" s="3"/>
      <x:c r="S65" s="3" t="s">
        <x:v>5676</x:v>
      </x:c>
      <x:c r="T65" s="3" t="s">
        <x:v>5695</x:v>
      </x:c>
      <x:c r="U65" s="3" t="s">
        <x:v>5858</x:v>
      </x:c>
    </x:row>
    <x:row r="66" ht="41.25" hidden="0" customHeight="1">
      <x:c r="A66" s="3" t="s">
        <x:v>5575</x:v>
      </x:c>
      <x:c r="B66" s="3" t="s">
        <x:v>5681</x:v>
      </x:c>
      <x:c r="C66" s="3" t="s">
        <x:v>2230</x:v>
      </x:c>
      <x:c r="D66" s="3" t="s">
        <x:v>5573</x:v>
      </x:c>
      <x:c r="E66" s="3" t="s">
        <x:v>5772</x:v>
      </x:c>
      <x:c r="F66" s="3" t="s">
        <x:v>5859</x:v>
      </x:c>
      <x:c r="G66" s="3" t="s">
        <x:v>2229</x:v>
      </x:c>
      <x:c r="H66" s="3" t="s">
        <x:v>5692</x:v>
      </x:c>
      <x:c r="I66" s="3" t="s">
        <x:v>5729</x:v>
      </x:c>
      <x:c r="J66" s="3" t="s">
        <x:v>5693</x:v>
      </x:c>
      <x:c r="K66" s="3" t="s">
        <x:v>5694</x:v>
      </x:c>
      <x:c r="L66" s="3" t="s">
        <x:v>5573</x:v>
      </x:c>
      <x:c r="M66" s="3" t="s">
        <x:v>2227</x:v>
      </x:c>
      <x:c r="N66" s="3" t="s">
        <x:v>5673</x:v>
      </x:c>
      <x:c r="O66" s="3" t="s">
        <x:v>5674</x:v>
      </x:c>
      <x:c r="P66" s="3" t="s">
        <x:v>5688</x:v>
      </x:c>
      <x:c r="Q66" s="3" t="s">
        <x:v>5675</x:v>
      </x:c>
      <x:c r="R66" s="3"/>
      <x:c r="S66" s="3" t="s">
        <x:v>5676</x:v>
      </x:c>
      <x:c r="T66" s="3" t="s">
        <x:v>5695</x:v>
      </x:c>
      <x:c r="U66" s="3" t="s">
        <x:v>5730</x:v>
      </x:c>
    </x:row>
    <x:row r="67" ht="41.25" hidden="0" customHeight="1">
      <x:c r="A67" s="3" t="s">
        <x:v>5576</x:v>
      </x:c>
      <x:c r="B67" s="3" t="s">
        <x:v>5677</x:v>
      </x:c>
      <x:c r="C67" s="3" t="s">
        <x:v>2271</x:v>
      </x:c>
      <x:c r="D67" s="3" t="s">
        <x:v>5573</x:v>
      </x:c>
      <x:c r="E67" s="3" t="s">
        <x:v>5860</x:v>
      </x:c>
      <x:c r="F67" s="3" t="s">
        <x:v>5861</x:v>
      </x:c>
      <x:c r="G67" s="3" t="s">
        <x:v>2270</x:v>
      </x:c>
      <x:c r="H67" s="3" t="s">
        <x:v>5692</x:v>
      </x:c>
      <x:c r="I67" s="3" t="s">
        <x:v>5729</x:v>
      </x:c>
      <x:c r="J67" s="3" t="s">
        <x:v>5693</x:v>
      </x:c>
      <x:c r="K67" s="3" t="s">
        <x:v>5694</x:v>
      </x:c>
      <x:c r="L67" s="3" t="s">
        <x:v>5573</x:v>
      </x:c>
      <x:c r="M67" s="3" t="s">
        <x:v>2268</x:v>
      </x:c>
      <x:c r="N67" s="3" t="s">
        <x:v>5673</x:v>
      </x:c>
      <x:c r="O67" s="3" t="s">
        <x:v>5674</x:v>
      </x:c>
      <x:c r="P67" s="3" t="s">
        <x:v>5688</x:v>
      </x:c>
      <x:c r="Q67" s="3" t="s">
        <x:v>5675</x:v>
      </x:c>
      <x:c r="R67" s="3"/>
      <x:c r="S67" s="3" t="s">
        <x:v>5676</x:v>
      </x:c>
      <x:c r="T67" s="3" t="s">
        <x:v>5695</x:v>
      </x:c>
      <x:c r="U67" s="3" t="s">
        <x:v>5730</x:v>
      </x:c>
    </x:row>
    <x:row r="68" ht="41.25" hidden="0" customHeight="1">
      <x:c r="A68" s="3" t="s">
        <x:v>5577</x:v>
      </x:c>
      <x:c r="B68" s="3" t="s">
        <x:v>5683</x:v>
      </x:c>
      <x:c r="C68" s="3" t="s">
        <x:v>3146</x:v>
      </x:c>
      <x:c r="D68" s="3" t="s">
        <x:v>5573</x:v>
      </x:c>
      <x:c r="E68" s="3" t="s">
        <x:v>5862</x:v>
      </x:c>
      <x:c r="F68" s="3" t="s">
        <x:v>5863</x:v>
      </x:c>
      <x:c r="G68" s="3" t="s">
        <x:v>3145</x:v>
      </x:c>
      <x:c r="H68" s="3" t="s">
        <x:v>5692</x:v>
      </x:c>
      <x:c r="I68" s="3" t="s">
        <x:v>5729</x:v>
      </x:c>
      <x:c r="J68" s="3" t="s">
        <x:v>5693</x:v>
      </x:c>
      <x:c r="K68" s="3" t="s">
        <x:v>5694</x:v>
      </x:c>
      <x:c r="L68" s="3" t="s">
        <x:v>5573</x:v>
      </x:c>
      <x:c r="M68" s="3" t="s">
        <x:v>3142</x:v>
      </x:c>
      <x:c r="N68" s="3" t="s">
        <x:v>5673</x:v>
      </x:c>
      <x:c r="O68" s="3" t="s">
        <x:v>5674</x:v>
      </x:c>
      <x:c r="P68" s="3" t="s">
        <x:v>5688</x:v>
      </x:c>
      <x:c r="Q68" s="3" t="s">
        <x:v>5675</x:v>
      </x:c>
      <x:c r="R68" s="3"/>
      <x:c r="S68" s="3" t="s">
        <x:v>5676</x:v>
      </x:c>
      <x:c r="T68" s="3" t="s">
        <x:v>5695</x:v>
      </x:c>
      <x:c r="U68" s="3" t="s">
        <x:v>5730</x:v>
      </x:c>
    </x:row>
    <x:row r="69" ht="27.75" hidden="0" customHeight="1">
      <x:c r="A69" s="3" t="s">
        <x:v>5578</x:v>
      </x:c>
      <x:c r="B69" s="3" t="s">
        <x:v>5681</x:v>
      </x:c>
      <x:c r="C69" s="3" t="s">
        <x:v>2028</x:v>
      </x:c>
      <x:c r="D69" s="3" t="s">
        <x:v>5579</x:v>
      </x:c>
      <x:c r="E69" s="3" t="s">
        <x:v>5709</x:v>
      </x:c>
      <x:c r="F69" s="3" t="s">
        <x:v>5864</x:v>
      </x:c>
      <x:c r="G69" s="3" t="s">
        <x:v>2027</x:v>
      </x:c>
      <x:c r="H69" s="3" t="s">
        <x:v>5692</x:v>
      </x:c>
      <x:c r="I69" s="3" t="s">
        <x:v>5729</x:v>
      </x:c>
      <x:c r="J69" s="3" t="s">
        <x:v>5693</x:v>
      </x:c>
      <x:c r="K69" s="3" t="s">
        <x:v>5694</x:v>
      </x:c>
      <x:c r="L69" s="3" t="s">
        <x:v>5579</x:v>
      </x:c>
      <x:c r="M69" s="3" t="s">
        <x:v>2025</x:v>
      </x:c>
      <x:c r="N69" s="3" t="s">
        <x:v>5673</x:v>
      </x:c>
      <x:c r="O69" s="3" t="s">
        <x:v>5674</x:v>
      </x:c>
      <x:c r="P69" s="3" t="s">
        <x:v>5688</x:v>
      </x:c>
      <x:c r="Q69" s="3" t="s">
        <x:v>5675</x:v>
      </x:c>
      <x:c r="R69" s="3"/>
      <x:c r="S69" s="3" t="s">
        <x:v>5676</x:v>
      </x:c>
      <x:c r="T69" s="3" t="s">
        <x:v>5695</x:v>
      </x:c>
      <x:c r="U69" s="3" t="s">
        <x:v>5730</x:v>
      </x:c>
    </x:row>
    <x:row r="70" ht="41.25" hidden="0" customHeight="1">
      <x:c r="A70" s="3" t="s">
        <x:v>5581</x:v>
      </x:c>
      <x:c r="B70" s="3" t="s">
        <x:v>5681</x:v>
      </x:c>
      <x:c r="C70" s="3" t="s">
        <x:v>5865</x:v>
      </x:c>
      <x:c r="D70" s="3" t="s">
        <x:v>5582</x:v>
      </x:c>
      <x:c r="E70" s="3" t="s">
        <x:v>5866</x:v>
      </x:c>
      <x:c r="F70" s="3" t="s">
        <x:v>5867</x:v>
      </x:c>
      <x:c r="G70" s="3" t="s">
        <x:v>5868</x:v>
      </x:c>
      <x:c r="H70" s="3" t="s">
        <x:v>5692</x:v>
      </x:c>
      <x:c r="I70" s="3" t="s">
        <x:v>5729</x:v>
      </x:c>
      <x:c r="J70" s="3" t="s">
        <x:v>5693</x:v>
      </x:c>
      <x:c r="K70" s="3" t="s">
        <x:v>5694</x:v>
      </x:c>
      <x:c r="L70" s="3" t="s">
        <x:v>5582</x:v>
      </x:c>
      <x:c r="M70" s="3" t="s">
        <x:v>5580</x:v>
      </x:c>
      <x:c r="N70" s="3" t="s">
        <x:v>5673</x:v>
      </x:c>
      <x:c r="O70" s="3" t="s">
        <x:v>5674</x:v>
      </x:c>
      <x:c r="P70" s="3" t="s">
        <x:v>30</x:v>
      </x:c>
      <x:c r="Q70" s="3" t="s">
        <x:v>5675</x:v>
      </x:c>
      <x:c r="R70" s="3"/>
      <x:c r="S70" s="3" t="s">
        <x:v>5676</x:v>
      </x:c>
      <x:c r="T70" s="3" t="s">
        <x:v>5695</x:v>
      </x:c>
      <x:c r="U70" s="3" t="s">
        <x:v>5680</x:v>
      </x:c>
    </x:row>
    <x:row r="71" ht="41.25" hidden="0" customHeight="1">
      <x:c r="A71" s="3" t="s">
        <x:v>5584</x:v>
      </x:c>
      <x:c r="B71" s="3" t="s">
        <x:v>5700</x:v>
      </x:c>
      <x:c r="C71" s="3" t="s">
        <x:v>5869</x:v>
      </x:c>
      <x:c r="D71" s="3" t="s">
        <x:v>5582</x:v>
      </x:c>
      <x:c r="E71" s="3" t="s">
        <x:v>5870</x:v>
      </x:c>
      <x:c r="F71" s="3" t="s">
        <x:v>5871</x:v>
      </x:c>
      <x:c r="G71" s="3" t="s">
        <x:v>5872</x:v>
      </x:c>
      <x:c r="H71" s="3" t="s">
        <x:v>5692</x:v>
      </x:c>
      <x:c r="I71" s="3" t="s">
        <x:v>5729</x:v>
      </x:c>
      <x:c r="J71" s="3" t="s">
        <x:v>5693</x:v>
      </x:c>
      <x:c r="K71" s="3" t="s">
        <x:v>5694</x:v>
      </x:c>
      <x:c r="L71" s="3" t="s">
        <x:v>5582</x:v>
      </x:c>
      <x:c r="M71" s="3" t="s">
        <x:v>5583</x:v>
      </x:c>
      <x:c r="N71" s="3" t="s">
        <x:v>5673</x:v>
      </x:c>
      <x:c r="O71" s="3" t="s">
        <x:v>5674</x:v>
      </x:c>
      <x:c r="P71" s="3" t="s">
        <x:v>30</x:v>
      </x:c>
      <x:c r="Q71" s="3" t="s">
        <x:v>5675</x:v>
      </x:c>
      <x:c r="R71" s="3"/>
      <x:c r="S71" s="3" t="s">
        <x:v>5676</x:v>
      </x:c>
      <x:c r="T71" s="3" t="s">
        <x:v>5695</x:v>
      </x:c>
      <x:c r="U71" s="3" t="s">
        <x:v>5680</x:v>
      </x:c>
    </x:row>
    <x:row r="72" ht="41.25" hidden="0" customHeight="1">
      <x:c r="A72" s="3" t="s">
        <x:v>5586</x:v>
      </x:c>
      <x:c r="B72" s="3" t="s">
        <x:v>5677</x:v>
      </x:c>
      <x:c r="C72" s="3" t="s">
        <x:v>5873</x:v>
      </x:c>
      <x:c r="D72" s="3" t="s">
        <x:v>5582</x:v>
      </x:c>
      <x:c r="E72" s="3" t="s">
        <x:v>5874</x:v>
      </x:c>
      <x:c r="F72" s="3" t="s">
        <x:v>5875</x:v>
      </x:c>
      <x:c r="G72" s="3" t="s">
        <x:v>5876</x:v>
      </x:c>
      <x:c r="H72" s="3" t="s">
        <x:v>5692</x:v>
      </x:c>
      <x:c r="I72" s="3" t="s">
        <x:v>5729</x:v>
      </x:c>
      <x:c r="J72" s="3" t="s">
        <x:v>5693</x:v>
      </x:c>
      <x:c r="K72" s="3" t="s">
        <x:v>5694</x:v>
      </x:c>
      <x:c r="L72" s="3" t="s">
        <x:v>5582</x:v>
      </x:c>
      <x:c r="M72" s="3" t="s">
        <x:v>5585</x:v>
      </x:c>
      <x:c r="N72" s="3" t="s">
        <x:v>5673</x:v>
      </x:c>
      <x:c r="O72" s="3" t="s">
        <x:v>5674</x:v>
      </x:c>
      <x:c r="P72" s="3" t="s">
        <x:v>30</x:v>
      </x:c>
      <x:c r="Q72" s="3" t="s">
        <x:v>5675</x:v>
      </x:c>
      <x:c r="R72" s="3"/>
      <x:c r="S72" s="3" t="s">
        <x:v>5676</x:v>
      </x:c>
      <x:c r="T72" s="3" t="s">
        <x:v>5695</x:v>
      </x:c>
      <x:c r="U72" s="3" t="s">
        <x:v>5680</x:v>
      </x:c>
    </x:row>
    <x:row r="73" ht="41.25" hidden="0" customHeight="1">
      <x:c r="A73" s="3" t="s">
        <x:v>5588</x:v>
      </x:c>
      <x:c r="B73" s="3" t="s">
        <x:v>5677</x:v>
      </x:c>
      <x:c r="C73" s="3" t="s">
        <x:v>5877</x:v>
      </x:c>
      <x:c r="D73" s="3" t="s">
        <x:v>5582</x:v>
      </x:c>
      <x:c r="E73" s="3" t="s">
        <x:v>5878</x:v>
      </x:c>
      <x:c r="F73" s="3" t="s">
        <x:v>5879</x:v>
      </x:c>
      <x:c r="G73" s="3" t="s">
        <x:v>5880</x:v>
      </x:c>
      <x:c r="H73" s="3" t="s">
        <x:v>5692</x:v>
      </x:c>
      <x:c r="I73" s="3" t="s">
        <x:v>5729</x:v>
      </x:c>
      <x:c r="J73" s="3" t="s">
        <x:v>5693</x:v>
      </x:c>
      <x:c r="K73" s="3" t="s">
        <x:v>5694</x:v>
      </x:c>
      <x:c r="L73" s="3" t="s">
        <x:v>5582</x:v>
      </x:c>
      <x:c r="M73" s="3" t="s">
        <x:v>5587</x:v>
      </x:c>
      <x:c r="N73" s="3" t="s">
        <x:v>5673</x:v>
      </x:c>
      <x:c r="O73" s="3" t="s">
        <x:v>5674</x:v>
      </x:c>
      <x:c r="P73" s="3" t="s">
        <x:v>30</x:v>
      </x:c>
      <x:c r="Q73" s="3" t="s">
        <x:v>5675</x:v>
      </x:c>
      <x:c r="R73" s="3"/>
      <x:c r="S73" s="3" t="s">
        <x:v>5676</x:v>
      </x:c>
      <x:c r="T73" s="3" t="s">
        <x:v>5695</x:v>
      </x:c>
      <x:c r="U73" s="3" t="s">
        <x:v>5680</x:v>
      </x:c>
    </x:row>
    <x:row r="74" ht="41.25" hidden="0" customHeight="1">
      <x:c r="A74" s="3" t="s">
        <x:v>5590</x:v>
      </x:c>
      <x:c r="B74" s="3" t="s">
        <x:v>5700</x:v>
      </x:c>
      <x:c r="C74" s="3" t="s">
        <x:v>5881</x:v>
      </x:c>
      <x:c r="D74" s="3" t="s">
        <x:v>5582</x:v>
      </x:c>
      <x:c r="E74" s="3" t="s">
        <x:v>5882</x:v>
      </x:c>
      <x:c r="F74" s="3" t="s">
        <x:v>5883</x:v>
      </x:c>
      <x:c r="G74" s="3" t="s">
        <x:v>5884</x:v>
      </x:c>
      <x:c r="H74" s="3" t="s">
        <x:v>5692</x:v>
      </x:c>
      <x:c r="I74" s="3" t="s">
        <x:v>5729</x:v>
      </x:c>
      <x:c r="J74" s="3" t="s">
        <x:v>5693</x:v>
      </x:c>
      <x:c r="K74" s="3" t="s">
        <x:v>5694</x:v>
      </x:c>
      <x:c r="L74" s="3" t="s">
        <x:v>5582</x:v>
      </x:c>
      <x:c r="M74" s="3" t="s">
        <x:v>5589</x:v>
      </x:c>
      <x:c r="N74" s="3" t="s">
        <x:v>5673</x:v>
      </x:c>
      <x:c r="O74" s="3" t="s">
        <x:v>5674</x:v>
      </x:c>
      <x:c r="P74" s="3" t="s">
        <x:v>30</x:v>
      </x:c>
      <x:c r="Q74" s="3" t="s">
        <x:v>5675</x:v>
      </x:c>
      <x:c r="R74" s="3"/>
      <x:c r="S74" s="3" t="s">
        <x:v>5676</x:v>
      </x:c>
      <x:c r="T74" s="3" t="s">
        <x:v>5695</x:v>
      </x:c>
      <x:c r="U74" s="3" t="s">
        <x:v>5680</x:v>
      </x:c>
    </x:row>
    <x:row r="75" ht="41.25" hidden="0" customHeight="1">
      <x:c r="A75" s="3" t="s">
        <x:v>5591</x:v>
      </x:c>
      <x:c r="B75" s="3" t="s">
        <x:v>5677</x:v>
      </x:c>
      <x:c r="C75" s="3" t="s">
        <x:v>2833</x:v>
      </x:c>
      <x:c r="D75" s="3" t="s">
        <x:v>5592</x:v>
      </x:c>
      <x:c r="E75" s="3" t="s">
        <x:v>5885</x:v>
      </x:c>
      <x:c r="F75" s="3" t="s">
        <x:v>5886</x:v>
      </x:c>
      <x:c r="G75" s="3" t="s">
        <x:v>2832</x:v>
      </x:c>
      <x:c r="H75" s="3" t="s">
        <x:v>5692</x:v>
      </x:c>
      <x:c r="I75" s="3" t="s">
        <x:v>5729</x:v>
      </x:c>
      <x:c r="J75" s="3" t="s">
        <x:v>5693</x:v>
      </x:c>
      <x:c r="K75" s="3" t="s">
        <x:v>5694</x:v>
      </x:c>
      <x:c r="L75" s="3" t="s">
        <x:v>5592</x:v>
      </x:c>
      <x:c r="M75" s="3" t="s">
        <x:v>2830</x:v>
      </x:c>
      <x:c r="N75" s="3" t="s">
        <x:v>5673</x:v>
      </x:c>
      <x:c r="O75" s="3" t="s">
        <x:v>5674</x:v>
      </x:c>
      <x:c r="P75" s="3" t="s">
        <x:v>5688</x:v>
      </x:c>
      <x:c r="Q75" s="3" t="s">
        <x:v>5675</x:v>
      </x:c>
      <x:c r="R75" s="3"/>
      <x:c r="S75" s="3" t="s">
        <x:v>5676</x:v>
      </x:c>
      <x:c r="T75" s="3" t="s">
        <x:v>5695</x:v>
      </x:c>
      <x:c r="U75" s="3" t="s">
        <x:v>5730</x:v>
      </x:c>
    </x:row>
    <x:row r="76" ht="41.25" hidden="0" customHeight="1">
      <x:c r="A76" s="3" t="s">
        <x:v>5593</x:v>
      </x:c>
      <x:c r="B76" s="3" t="s">
        <x:v>5677</x:v>
      </x:c>
      <x:c r="C76" s="3" t="s">
        <x:v>2309</x:v>
      </x:c>
      <x:c r="D76" s="3" t="s">
        <x:v>5592</x:v>
      </x:c>
      <x:c r="E76" s="3" t="s">
        <x:v>5887</x:v>
      </x:c>
      <x:c r="F76" s="3" t="s">
        <x:v>5888</x:v>
      </x:c>
      <x:c r="G76" s="3" t="s">
        <x:v>2308</x:v>
      </x:c>
      <x:c r="H76" s="3" t="s">
        <x:v>5692</x:v>
      </x:c>
      <x:c r="I76" s="3" t="s">
        <x:v>5729</x:v>
      </x:c>
      <x:c r="J76" s="3" t="s">
        <x:v>5693</x:v>
      </x:c>
      <x:c r="K76" s="3" t="s">
        <x:v>5694</x:v>
      </x:c>
      <x:c r="L76" s="3" t="s">
        <x:v>5592</x:v>
      </x:c>
      <x:c r="M76" s="3" t="s">
        <x:v>2306</x:v>
      </x:c>
      <x:c r="N76" s="3" t="s">
        <x:v>5673</x:v>
      </x:c>
      <x:c r="O76" s="3" t="s">
        <x:v>5674</x:v>
      </x:c>
      <x:c r="P76" s="3" t="s">
        <x:v>5688</x:v>
      </x:c>
      <x:c r="Q76" s="3" t="s">
        <x:v>5675</x:v>
      </x:c>
      <x:c r="R76" s="3"/>
      <x:c r="S76" s="3" t="s">
        <x:v>5676</x:v>
      </x:c>
      <x:c r="T76" s="3" t="s">
        <x:v>5695</x:v>
      </x:c>
      <x:c r="U76" s="3" t="s">
        <x:v>5730</x:v>
      </x:c>
    </x:row>
    <x:row r="77" ht="27.75" hidden="0" customHeight="1">
      <x:c r="A77" s="3" t="s">
        <x:v>5594</x:v>
      </x:c>
      <x:c r="B77" s="3" t="s">
        <x:v>5681</x:v>
      </x:c>
      <x:c r="C77" s="3" t="s">
        <x:v>2556</x:v>
      </x:c>
      <x:c r="D77" s="3" t="s">
        <x:v>5592</x:v>
      </x:c>
      <x:c r="E77" s="3" t="s">
        <x:v>5889</x:v>
      </x:c>
      <x:c r="F77" s="3" t="s">
        <x:v>5890</x:v>
      </x:c>
      <x:c r="G77" s="3" t="s">
        <x:v>2555</x:v>
      </x:c>
      <x:c r="H77" s="3" t="s">
        <x:v>5692</x:v>
      </x:c>
      <x:c r="I77" s="3" t="s">
        <x:v>5729</x:v>
      </x:c>
      <x:c r="J77" s="3" t="s">
        <x:v>5693</x:v>
      </x:c>
      <x:c r="K77" s="3" t="s">
        <x:v>5694</x:v>
      </x:c>
      <x:c r="L77" s="3" t="s">
        <x:v>5592</x:v>
      </x:c>
      <x:c r="M77" s="3" t="s">
        <x:v>2554</x:v>
      </x:c>
      <x:c r="N77" s="3" t="s">
        <x:v>5673</x:v>
      </x:c>
      <x:c r="O77" s="3" t="s">
        <x:v>5674</x:v>
      </x:c>
      <x:c r="P77" s="3" t="s">
        <x:v>5688</x:v>
      </x:c>
      <x:c r="Q77" s="3" t="s">
        <x:v>5675</x:v>
      </x:c>
      <x:c r="R77" s="3"/>
      <x:c r="S77" s="3" t="s">
        <x:v>5676</x:v>
      </x:c>
      <x:c r="T77" s="3" t="s">
        <x:v>5695</x:v>
      </x:c>
      <x:c r="U77" s="3" t="s">
        <x:v>5730</x:v>
      </x:c>
    </x:row>
    <x:row r="78" ht="41.25" hidden="0" customHeight="1">
      <x:c r="A78" s="3" t="s">
        <x:v>5595</x:v>
      </x:c>
      <x:c r="B78" s="3" t="s">
        <x:v>5677</x:v>
      </x:c>
      <x:c r="C78" s="3" t="s">
        <x:v>4837</x:v>
      </x:c>
      <x:c r="D78" s="3" t="s">
        <x:v>5592</x:v>
      </x:c>
      <x:c r="E78" s="3" t="s">
        <x:v>5891</x:v>
      </x:c>
      <x:c r="F78" s="3" t="s">
        <x:v>5892</x:v>
      </x:c>
      <x:c r="G78" s="3" t="s">
        <x:v>5893</x:v>
      </x:c>
      <x:c r="H78" s="3" t="s">
        <x:v>5692</x:v>
      </x:c>
      <x:c r="I78" s="3" t="s">
        <x:v>5729</x:v>
      </x:c>
      <x:c r="J78" s="3" t="s">
        <x:v>5693</x:v>
      </x:c>
      <x:c r="K78" s="3" t="s">
        <x:v>5694</x:v>
      </x:c>
      <x:c r="L78" s="3" t="s">
        <x:v>5592</x:v>
      </x:c>
      <x:c r="M78" s="3" t="s">
        <x:v>4833</x:v>
      </x:c>
      <x:c r="N78" s="3" t="s">
        <x:v>5673</x:v>
      </x:c>
      <x:c r="O78" s="3" t="s">
        <x:v>5674</x:v>
      </x:c>
      <x:c r="P78" s="3" t="s">
        <x:v>5688</x:v>
      </x:c>
      <x:c r="Q78" s="3" t="s">
        <x:v>5675</x:v>
      </x:c>
      <x:c r="R78" s="3"/>
      <x:c r="S78" s="3" t="s">
        <x:v>5676</x:v>
      </x:c>
      <x:c r="T78" s="3" t="s">
        <x:v>5695</x:v>
      </x:c>
      <x:c r="U78" s="3" t="s">
        <x:v>5894</x:v>
      </x:c>
    </x:row>
    <x:row r="79" ht="27.75" hidden="0" customHeight="1">
      <x:c r="A79" s="3" t="s">
        <x:v>5597</x:v>
      </x:c>
      <x:c r="B79" s="3" t="s">
        <x:v>5677</x:v>
      </x:c>
      <x:c r="C79" s="3" t="s">
        <x:v>3251</x:v>
      </x:c>
      <x:c r="D79" s="3" t="s">
        <x:v>5592</x:v>
      </x:c>
      <x:c r="E79" s="3" t="s">
        <x:v>5895</x:v>
      </x:c>
      <x:c r="F79" s="3" t="s">
        <x:v>5896</x:v>
      </x:c>
      <x:c r="G79" s="3" t="s">
        <x:v>3250</x:v>
      </x:c>
      <x:c r="H79" s="3" t="s">
        <x:v>5692</x:v>
      </x:c>
      <x:c r="I79" s="3" t="s">
        <x:v>5729</x:v>
      </x:c>
      <x:c r="J79" s="3" t="s">
        <x:v>5693</x:v>
      </x:c>
      <x:c r="K79" s="3" t="s">
        <x:v>5694</x:v>
      </x:c>
      <x:c r="L79" s="3" t="s">
        <x:v>5592</x:v>
      </x:c>
      <x:c r="M79" s="3" t="s">
        <x:v>3247</x:v>
      </x:c>
      <x:c r="N79" s="3" t="s">
        <x:v>5673</x:v>
      </x:c>
      <x:c r="O79" s="3" t="s">
        <x:v>5674</x:v>
      </x:c>
      <x:c r="P79" s="3" t="s">
        <x:v>5688</x:v>
      </x:c>
      <x:c r="Q79" s="3" t="s">
        <x:v>5675</x:v>
      </x:c>
      <x:c r="R79" s="3"/>
      <x:c r="S79" s="3" t="s">
        <x:v>5676</x:v>
      </x:c>
      <x:c r="T79" s="3" t="s">
        <x:v>5695</x:v>
      </x:c>
      <x:c r="U79" s="3" t="s">
        <x:v>5730</x:v>
      </x:c>
    </x:row>
    <x:row r="80" ht="27.75" hidden="0" customHeight="1">
      <x:c r="A80" s="3" t="s">
        <x:v>5598</x:v>
      </x:c>
      <x:c r="B80" s="3" t="s">
        <x:v>5681</x:v>
      </x:c>
      <x:c r="C80" s="3" t="s">
        <x:v>3299</x:v>
      </x:c>
      <x:c r="D80" s="3" t="s">
        <x:v>5599</x:v>
      </x:c>
      <x:c r="E80" s="3" t="s">
        <x:v>5809</x:v>
      </x:c>
      <x:c r="F80" s="3" t="s">
        <x:v>5897</x:v>
      </x:c>
      <x:c r="G80" s="3" t="s">
        <x:v>3298</x:v>
      </x:c>
      <x:c r="H80" s="3" t="s">
        <x:v>5692</x:v>
      </x:c>
      <x:c r="I80" s="3" t="s">
        <x:v>5729</x:v>
      </x:c>
      <x:c r="J80" s="3" t="s">
        <x:v>5693</x:v>
      </x:c>
      <x:c r="K80" s="3" t="s">
        <x:v>5694</x:v>
      </x:c>
      <x:c r="L80" s="3" t="s">
        <x:v>5599</x:v>
      </x:c>
      <x:c r="M80" s="3" t="s">
        <x:v>3296</x:v>
      </x:c>
      <x:c r="N80" s="3" t="s">
        <x:v>5673</x:v>
      </x:c>
      <x:c r="O80" s="3" t="s">
        <x:v>5674</x:v>
      </x:c>
      <x:c r="P80" s="3" t="s">
        <x:v>5688</x:v>
      </x:c>
      <x:c r="Q80" s="3" t="s">
        <x:v>5675</x:v>
      </x:c>
      <x:c r="R80" s="3"/>
      <x:c r="S80" s="3" t="s">
        <x:v>5676</x:v>
      </x:c>
      <x:c r="T80" s="3" t="s">
        <x:v>5695</x:v>
      </x:c>
      <x:c r="U80" s="3" t="s">
        <x:v>5730</x:v>
      </x:c>
    </x:row>
    <x:row r="81" ht="41.25" hidden="0" customHeight="1">
      <x:c r="A81" s="3" t="s">
        <x:v>5600</x:v>
      </x:c>
      <x:c r="B81" s="3" t="s">
        <x:v>5677</x:v>
      </x:c>
      <x:c r="C81" s="3" t="s">
        <x:v>3032</x:v>
      </x:c>
      <x:c r="D81" s="3" t="s">
        <x:v>5601</x:v>
      </x:c>
      <x:c r="E81" s="3" t="s">
        <x:v>5898</x:v>
      </x:c>
      <x:c r="F81" s="3" t="s">
        <x:v>5899</x:v>
      </x:c>
      <x:c r="G81" s="3" t="s">
        <x:v>3031</x:v>
      </x:c>
      <x:c r="H81" s="3" t="s">
        <x:v>5766</x:v>
      </x:c>
      <x:c r="I81" s="3" t="s">
        <x:v>5729</x:v>
      </x:c>
      <x:c r="J81" s="3" t="s">
        <x:v>5693</x:v>
      </x:c>
      <x:c r="K81" s="3" t="s">
        <x:v>5694</x:v>
      </x:c>
      <x:c r="L81" s="3" t="s">
        <x:v>5601</x:v>
      </x:c>
      <x:c r="M81" s="3" t="s">
        <x:v>3029</x:v>
      </x:c>
      <x:c r="N81" s="3" t="s">
        <x:v>5673</x:v>
      </x:c>
      <x:c r="O81" s="3" t="s">
        <x:v>5674</x:v>
      </x:c>
      <x:c r="P81" s="3" t="s">
        <x:v>5688</x:v>
      </x:c>
      <x:c r="Q81" s="3" t="s">
        <x:v>5675</x:v>
      </x:c>
      <x:c r="R81" s="3"/>
      <x:c r="S81" s="3" t="s">
        <x:v>5676</x:v>
      </x:c>
      <x:c r="T81" s="3" t="s">
        <x:v>5715</x:v>
      </x:c>
      <x:c r="U81" s="3" t="s">
        <x:v>5730</x:v>
      </x:c>
    </x:row>
    <x:row r="82" ht="41.25" hidden="0" customHeight="1">
      <x:c r="A82" s="3" t="s">
        <x:v>5602</x:v>
      </x:c>
      <x:c r="B82" s="3" t="s">
        <x:v>5681</x:v>
      </x:c>
      <x:c r="C82" s="3" t="s">
        <x:v>3067</x:v>
      </x:c>
      <x:c r="D82" s="3" t="s">
        <x:v>5603</x:v>
      </x:c>
      <x:c r="E82" s="3" t="s">
        <x:v>5900</x:v>
      </x:c>
      <x:c r="F82" s="3" t="s">
        <x:v>5901</x:v>
      </x:c>
      <x:c r="G82" s="3" t="s">
        <x:v>3066</x:v>
      </x:c>
      <x:c r="H82" s="3" t="s">
        <x:v>5692</x:v>
      </x:c>
      <x:c r="I82" s="3" t="s">
        <x:v>5729</x:v>
      </x:c>
      <x:c r="J82" s="3" t="s">
        <x:v>5693</x:v>
      </x:c>
      <x:c r="K82" s="3" t="s">
        <x:v>5694</x:v>
      </x:c>
      <x:c r="L82" s="3" t="s">
        <x:v>5603</x:v>
      </x:c>
      <x:c r="M82" s="3" t="s">
        <x:v>3064</x:v>
      </x:c>
      <x:c r="N82" s="3" t="s">
        <x:v>5673</x:v>
      </x:c>
      <x:c r="O82" s="3" t="s">
        <x:v>5674</x:v>
      </x:c>
      <x:c r="P82" s="3" t="s">
        <x:v>5688</x:v>
      </x:c>
      <x:c r="Q82" s="3" t="s">
        <x:v>5675</x:v>
      </x:c>
      <x:c r="R82" s="3"/>
      <x:c r="S82" s="3" t="s">
        <x:v>5676</x:v>
      </x:c>
      <x:c r="T82" s="3" t="s">
        <x:v>5695</x:v>
      </x:c>
      <x:c r="U82" s="3" t="s">
        <x:v>5730</x:v>
      </x:c>
    </x:row>
    <x:row r="83" ht="41.25" hidden="0" customHeight="1">
      <x:c r="A83" s="3" t="s">
        <x:v>5604</x:v>
      </x:c>
      <x:c r="B83" s="3" t="s">
        <x:v>5681</x:v>
      </x:c>
      <x:c r="C83" s="3" t="s">
        <x:v>2347</x:v>
      </x:c>
      <x:c r="D83" s="3" t="s">
        <x:v>5603</x:v>
      </x:c>
      <x:c r="E83" s="3" t="s">
        <x:v>5902</x:v>
      </x:c>
      <x:c r="F83" s="3" t="s">
        <x:v>5903</x:v>
      </x:c>
      <x:c r="G83" s="3" t="s">
        <x:v>2346</x:v>
      </x:c>
      <x:c r="H83" s="3" t="s">
        <x:v>5692</x:v>
      </x:c>
      <x:c r="I83" s="3" t="s">
        <x:v>5729</x:v>
      </x:c>
      <x:c r="J83" s="3" t="s">
        <x:v>5693</x:v>
      </x:c>
      <x:c r="K83" s="3" t="s">
        <x:v>5694</x:v>
      </x:c>
      <x:c r="L83" s="3" t="s">
        <x:v>5603</x:v>
      </x:c>
      <x:c r="M83" s="3" t="s">
        <x:v>2344</x:v>
      </x:c>
      <x:c r="N83" s="3" t="s">
        <x:v>5673</x:v>
      </x:c>
      <x:c r="O83" s="3" t="s">
        <x:v>5674</x:v>
      </x:c>
      <x:c r="P83" s="3" t="s">
        <x:v>5688</x:v>
      </x:c>
      <x:c r="Q83" s="3" t="s">
        <x:v>5675</x:v>
      </x:c>
      <x:c r="R83" s="3"/>
      <x:c r="S83" s="3" t="s">
        <x:v>5676</x:v>
      </x:c>
      <x:c r="T83" s="3" t="s">
        <x:v>5695</x:v>
      </x:c>
      <x:c r="U83" s="3" t="s">
        <x:v>5730</x:v>
      </x:c>
    </x:row>
    <x:row r="84" ht="41.25" hidden="0" customHeight="1">
      <x:c r="A84" s="3" t="s">
        <x:v>5605</x:v>
      </x:c>
      <x:c r="B84" s="3" t="s">
        <x:v>5681</x:v>
      </x:c>
      <x:c r="C84" s="3" t="s">
        <x:v>3378</x:v>
      </x:c>
      <x:c r="D84" s="3" t="s">
        <x:v>5603</x:v>
      </x:c>
      <x:c r="E84" s="3" t="s">
        <x:v>5809</x:v>
      </x:c>
      <x:c r="F84" s="3" t="s">
        <x:v>5904</x:v>
      </x:c>
      <x:c r="G84" s="3" t="s">
        <x:v>3377</x:v>
      </x:c>
      <x:c r="H84" s="3" t="s">
        <x:v>5692</x:v>
      </x:c>
      <x:c r="I84" s="3" t="s">
        <x:v>5729</x:v>
      </x:c>
      <x:c r="J84" s="3" t="s">
        <x:v>5693</x:v>
      </x:c>
      <x:c r="K84" s="3" t="s">
        <x:v>5694</x:v>
      </x:c>
      <x:c r="L84" s="3" t="s">
        <x:v>5603</x:v>
      </x:c>
      <x:c r="M84" s="3" t="s">
        <x:v>3375</x:v>
      </x:c>
      <x:c r="N84" s="3" t="s">
        <x:v>5673</x:v>
      </x:c>
      <x:c r="O84" s="3" t="s">
        <x:v>5674</x:v>
      </x:c>
      <x:c r="P84" s="3" t="s">
        <x:v>5688</x:v>
      </x:c>
      <x:c r="Q84" s="3" t="s">
        <x:v>5675</x:v>
      </x:c>
      <x:c r="R84" s="3"/>
      <x:c r="S84" s="3" t="s">
        <x:v>5676</x:v>
      </x:c>
      <x:c r="T84" s="3" t="s">
        <x:v>5695</x:v>
      </x:c>
      <x:c r="U84" s="3" t="s">
        <x:v>5730</x:v>
      </x:c>
    </x:row>
    <x:row r="85" ht="41.25" hidden="0" customHeight="1">
      <x:c r="A85" s="3" t="s">
        <x:v>5606</x:v>
      </x:c>
      <x:c r="B85" s="3" t="s">
        <x:v>5681</x:v>
      </x:c>
      <x:c r="C85" s="3" t="s">
        <x:v>3109</x:v>
      </x:c>
      <x:c r="D85" s="3" t="s">
        <x:v>5603</x:v>
      </x:c>
      <x:c r="E85" s="3" t="s">
        <x:v>5905</x:v>
      </x:c>
      <x:c r="F85" s="3" t="s">
        <x:v>5906</x:v>
      </x:c>
      <x:c r="G85" s="3" t="s">
        <x:v>3108</x:v>
      </x:c>
      <x:c r="H85" s="3" t="s">
        <x:v>5692</x:v>
      </x:c>
      <x:c r="I85" s="3" t="s">
        <x:v>5729</x:v>
      </x:c>
      <x:c r="J85" s="3" t="s">
        <x:v>5693</x:v>
      </x:c>
      <x:c r="K85" s="3" t="s">
        <x:v>5694</x:v>
      </x:c>
      <x:c r="L85" s="3" t="s">
        <x:v>5603</x:v>
      </x:c>
      <x:c r="M85" s="3" t="s">
        <x:v>3106</x:v>
      </x:c>
      <x:c r="N85" s="3" t="s">
        <x:v>5673</x:v>
      </x:c>
      <x:c r="O85" s="3" t="s">
        <x:v>5674</x:v>
      </x:c>
      <x:c r="P85" s="3" t="s">
        <x:v>5688</x:v>
      </x:c>
      <x:c r="Q85" s="3" t="s">
        <x:v>5675</x:v>
      </x:c>
      <x:c r="R85" s="3"/>
      <x:c r="S85" s="3" t="s">
        <x:v>5676</x:v>
      </x:c>
      <x:c r="T85" s="3" t="s">
        <x:v>5695</x:v>
      </x:c>
      <x:c r="U85" s="3" t="s">
        <x:v>5730</x:v>
      </x:c>
    </x:row>
    <x:row r="86" ht="41.25" hidden="0" customHeight="1">
      <x:c r="A86" s="3" t="s">
        <x:v>5607</x:v>
      </x:c>
      <x:c r="B86" s="3" t="s">
        <x:v>5907</x:v>
      </x:c>
      <x:c r="C86" s="3" t="s">
        <x:v>4072</x:v>
      </x:c>
      <x:c r="D86" s="3" t="s">
        <x:v>5608</x:v>
      </x:c>
      <x:c r="E86" s="3" t="s">
        <x:v>5908</x:v>
      </x:c>
      <x:c r="F86" s="3" t="s">
        <x:v>5909</x:v>
      </x:c>
      <x:c r="G86" s="3" t="s">
        <x:v>5910</x:v>
      </x:c>
      <x:c r="H86" s="3" t="s">
        <x:v>5712</x:v>
      </x:c>
      <x:c r="I86" s="3" t="s">
        <x:v>5729</x:v>
      </x:c>
      <x:c r="J86" s="3" t="s">
        <x:v>5693</x:v>
      </x:c>
      <x:c r="K86" s="3" t="s">
        <x:v>5694</x:v>
      </x:c>
      <x:c r="L86" s="3" t="s">
        <x:v>5608</x:v>
      </x:c>
      <x:c r="M86" s="3" t="s">
        <x:v>4068</x:v>
      </x:c>
      <x:c r="N86" s="3" t="s">
        <x:v>5673</x:v>
      </x:c>
      <x:c r="O86" s="3" t="s">
        <x:v>5674</x:v>
      </x:c>
      <x:c r="P86" s="3" t="s">
        <x:v>5688</x:v>
      </x:c>
      <x:c r="Q86" s="3" t="s">
        <x:v>5675</x:v>
      </x:c>
      <x:c r="R86" s="3"/>
      <x:c r="S86" s="3" t="s">
        <x:v>5676</x:v>
      </x:c>
      <x:c r="T86" s="3" t="s">
        <x:v>5715</x:v>
      </x:c>
      <x:c r="U86" s="3" t="s">
        <x:v>5800</x:v>
      </x:c>
    </x:row>
    <x:row r="87" ht="54.75" hidden="0" customHeight="1">
      <x:c r="A87" s="3" t="s">
        <x:v>5609</x:v>
      </x:c>
      <x:c r="B87" s="3" t="s">
        <x:v>5666</x:v>
      </x:c>
      <x:c r="C87" s="3" t="s">
        <x:v>3604</x:v>
      </x:c>
      <x:c r="D87" s="3" t="s">
        <x:v>5608</x:v>
      </x:c>
      <x:c r="E87" s="3" t="s">
        <x:v>5911</x:v>
      </x:c>
      <x:c r="F87" s="3" t="s">
        <x:v>5912</x:v>
      </x:c>
      <x:c r="G87" s="3" t="s">
        <x:v>5913</x:v>
      </x:c>
      <x:c r="H87" s="3" t="s">
        <x:v>5712</x:v>
      </x:c>
      <x:c r="I87" s="3" t="s">
        <x:v>5729</x:v>
      </x:c>
      <x:c r="J87" s="3" t="s">
        <x:v>5693</x:v>
      </x:c>
      <x:c r="K87" s="3" t="s">
        <x:v>5694</x:v>
      </x:c>
      <x:c r="L87" s="3" t="s">
        <x:v>5608</x:v>
      </x:c>
      <x:c r="M87" s="3" t="s">
        <x:v>3600</x:v>
      </x:c>
      <x:c r="N87" s="3" t="s">
        <x:v>5673</x:v>
      </x:c>
      <x:c r="O87" s="3" t="s">
        <x:v>5674</x:v>
      </x:c>
      <x:c r="P87" s="3" t="s">
        <x:v>5688</x:v>
      </x:c>
      <x:c r="Q87" s="3" t="s">
        <x:v>5675</x:v>
      </x:c>
      <x:c r="R87" s="3"/>
      <x:c r="S87" s="3" t="s">
        <x:v>5676</x:v>
      </x:c>
      <x:c r="T87" s="3" t="s">
        <x:v>5715</x:v>
      </x:c>
      <x:c r="U87" s="3" t="s">
        <x:v>5808</x:v>
      </x:c>
    </x:row>
    <x:row r="88" ht="27.75" hidden="0" customHeight="1">
      <x:c r="A88" s="3" t="s">
        <x:v>5610</x:v>
      </x:c>
      <x:c r="B88" s="3" t="s">
        <x:v>5681</x:v>
      </x:c>
      <x:c r="C88" s="3" t="s">
        <x:v>2464</x:v>
      </x:c>
      <x:c r="D88" s="3" t="s">
        <x:v>5599</x:v>
      </x:c>
      <x:c r="E88" s="3" t="s">
        <x:v>5914</x:v>
      </x:c>
      <x:c r="F88" s="3" t="s">
        <x:v>5915</x:v>
      </x:c>
      <x:c r="G88" s="3" t="s">
        <x:v>2463</x:v>
      </x:c>
      <x:c r="H88" s="3" t="s">
        <x:v>5692</x:v>
      </x:c>
      <x:c r="I88" s="3" t="s">
        <x:v>5729</x:v>
      </x:c>
      <x:c r="J88" s="3" t="s">
        <x:v>5916</x:v>
      </x:c>
      <x:c r="K88" s="3" t="s">
        <x:v>5694</x:v>
      </x:c>
      <x:c r="L88" s="3" t="s">
        <x:v>5599</x:v>
      </x:c>
      <x:c r="M88" s="3" t="s">
        <x:v>2461</x:v>
      </x:c>
      <x:c r="N88" s="3" t="s">
        <x:v>5673</x:v>
      </x:c>
      <x:c r="O88" s="3" t="s">
        <x:v>5674</x:v>
      </x:c>
      <x:c r="P88" s="3" t="s">
        <x:v>5688</x:v>
      </x:c>
      <x:c r="Q88" s="3" t="s">
        <x:v>5675</x:v>
      </x:c>
      <x:c r="R88" s="3"/>
      <x:c r="S88" s="3" t="s">
        <x:v>5676</x:v>
      </x:c>
      <x:c r="T88" s="3" t="s">
        <x:v>5695</x:v>
      </x:c>
      <x:c r="U88" s="3" t="s">
        <x:v>5730</x:v>
      </x:c>
    </x:row>
    <x:row r="89" ht="27.75" hidden="0" customHeight="1">
      <x:c r="A89" s="3" t="s">
        <x:v>5611</x:v>
      </x:c>
      <x:c r="B89" s="3" t="s">
        <x:v>5681</x:v>
      </x:c>
      <x:c r="C89" s="3" t="s">
        <x:v>2495</x:v>
      </x:c>
      <x:c r="D89" s="3" t="s">
        <x:v>5599</x:v>
      </x:c>
      <x:c r="E89" s="3" t="s">
        <x:v>5914</x:v>
      </x:c>
      <x:c r="F89" s="3" t="s">
        <x:v>5917</x:v>
      </x:c>
      <x:c r="G89" s="3" t="s">
        <x:v>2494</x:v>
      </x:c>
      <x:c r="H89" s="3" t="s">
        <x:v>5692</x:v>
      </x:c>
      <x:c r="I89" s="3" t="s">
        <x:v>5729</x:v>
      </x:c>
      <x:c r="J89" s="3" t="s">
        <x:v>5916</x:v>
      </x:c>
      <x:c r="K89" s="3" t="s">
        <x:v>5694</x:v>
      </x:c>
      <x:c r="L89" s="3" t="s">
        <x:v>5599</x:v>
      </x:c>
      <x:c r="M89" s="3" t="s">
        <x:v>2492</x:v>
      </x:c>
      <x:c r="N89" s="3" t="s">
        <x:v>5673</x:v>
      </x:c>
      <x:c r="O89" s="3" t="s">
        <x:v>5674</x:v>
      </x:c>
      <x:c r="P89" s="3" t="s">
        <x:v>5688</x:v>
      </x:c>
      <x:c r="Q89" s="3" t="s">
        <x:v>5675</x:v>
      </x:c>
      <x:c r="R89" s="3"/>
      <x:c r="S89" s="3" t="s">
        <x:v>5676</x:v>
      </x:c>
      <x:c r="T89" s="3" t="s">
        <x:v>5695</x:v>
      </x:c>
      <x:c r="U89" s="3" t="s">
        <x:v>5730</x:v>
      </x:c>
    </x:row>
    <x:row r="90" ht="41.25" hidden="0" customHeight="1">
      <x:c r="A90" s="3" t="s">
        <x:v>5612</x:v>
      </x:c>
      <x:c r="B90" s="3" t="s">
        <x:v>5677</x:v>
      </x:c>
      <x:c r="C90" s="3" t="s">
        <x:v>2520</x:v>
      </x:c>
      <x:c r="D90" s="3" t="s">
        <x:v>5599</x:v>
      </x:c>
      <x:c r="E90" s="3" t="s">
        <x:v>5918</x:v>
      </x:c>
      <x:c r="F90" s="3" t="s">
        <x:v>5919</x:v>
      </x:c>
      <x:c r="G90" s="3" t="s">
        <x:v>2519</x:v>
      </x:c>
      <x:c r="H90" s="3" t="s">
        <x:v>5692</x:v>
      </x:c>
      <x:c r="I90" s="3" t="s">
        <x:v>5729</x:v>
      </x:c>
      <x:c r="J90" s="3" t="s">
        <x:v>5916</x:v>
      </x:c>
      <x:c r="K90" s="3" t="s">
        <x:v>5694</x:v>
      </x:c>
      <x:c r="L90" s="3" t="s">
        <x:v>5599</x:v>
      </x:c>
      <x:c r="M90" s="3" t="s">
        <x:v>2517</x:v>
      </x:c>
      <x:c r="N90" s="3" t="s">
        <x:v>5673</x:v>
      </x:c>
      <x:c r="O90" s="3" t="s">
        <x:v>5674</x:v>
      </x:c>
      <x:c r="P90" s="3" t="s">
        <x:v>5688</x:v>
      </x:c>
      <x:c r="Q90" s="3" t="s">
        <x:v>5675</x:v>
      </x:c>
      <x:c r="R90" s="3"/>
      <x:c r="S90" s="3" t="s">
        <x:v>5676</x:v>
      </x:c>
      <x:c r="T90" s="3" t="s">
        <x:v>5695</x:v>
      </x:c>
      <x:c r="U90" s="3" t="s">
        <x:v>5920</x:v>
      </x:c>
    </x:row>
    <x:row r="91" ht="41.25" hidden="0" customHeight="1">
      <x:c r="A91" s="3" t="s">
        <x:v>5613</x:v>
      </x:c>
      <x:c r="B91" s="3" t="s">
        <x:v>5681</x:v>
      </x:c>
      <x:c r="C91" s="3" t="s">
        <x:v>5921</x:v>
      </x:c>
      <x:c r="D91" s="3" t="s">
        <x:v>5614</x:v>
      </x:c>
      <x:c r="E91" s="3" t="s">
        <x:v>5805</x:v>
      </x:c>
      <x:c r="F91" s="3" t="s">
        <x:v>5922</x:v>
      </x:c>
      <x:c r="G91" s="3" t="s">
        <x:v>814</x:v>
      </x:c>
      <x:c r="H91" s="3" t="s">
        <x:v>5692</x:v>
      </x:c>
      <x:c r="I91" s="3" t="s">
        <x:v>5729</x:v>
      </x:c>
      <x:c r="J91" s="3" t="s">
        <x:v>5693</x:v>
      </x:c>
      <x:c r="K91" s="3" t="s">
        <x:v>5694</x:v>
      </x:c>
      <x:c r="L91" s="3" t="s">
        <x:v>5614</x:v>
      </x:c>
      <x:c r="M91" s="3" t="s">
        <x:v>812</x:v>
      </x:c>
      <x:c r="N91" s="3" t="s">
        <x:v>5673</x:v>
      </x:c>
      <x:c r="O91" s="3" t="s">
        <x:v>5674</x:v>
      </x:c>
      <x:c r="P91" s="3" t="s">
        <x:v>30</x:v>
      </x:c>
      <x:c r="Q91" s="3" t="s">
        <x:v>5675</x:v>
      </x:c>
      <x:c r="R91" s="3"/>
      <x:c r="S91" s="3" t="s">
        <x:v>5676</x:v>
      </x:c>
      <x:c r="T91" s="3" t="s">
        <x:v>5695</x:v>
      </x:c>
      <x:c r="U91" s="3" t="s">
        <x:v>5680</x:v>
      </x:c>
    </x:row>
    <x:row r="92" ht="41.25" hidden="0" customHeight="1">
      <x:c r="A92" s="3" t="s">
        <x:v>5615</x:v>
      </x:c>
      <x:c r="B92" s="3" t="s">
        <x:v>5681</x:v>
      </x:c>
      <x:c r="C92" s="3" t="s">
        <x:v>2393</x:v>
      </x:c>
      <x:c r="D92" s="3" t="s">
        <x:v>5614</x:v>
      </x:c>
      <x:c r="E92" s="3" t="s">
        <x:v>5923</x:v>
      </x:c>
      <x:c r="F92" s="3" t="s">
        <x:v>5924</x:v>
      </x:c>
      <x:c r="G92" s="3" t="s">
        <x:v>2392</x:v>
      </x:c>
      <x:c r="H92" s="3" t="s">
        <x:v>5692</x:v>
      </x:c>
      <x:c r="I92" s="3" t="s">
        <x:v>5729</x:v>
      </x:c>
      <x:c r="J92" s="3" t="s">
        <x:v>5693</x:v>
      </x:c>
      <x:c r="K92" s="3" t="s">
        <x:v>5694</x:v>
      </x:c>
      <x:c r="L92" s="3" t="s">
        <x:v>5614</x:v>
      </x:c>
      <x:c r="M92" s="3" t="s">
        <x:v>2390</x:v>
      </x:c>
      <x:c r="N92" s="3" t="s">
        <x:v>5673</x:v>
      </x:c>
      <x:c r="O92" s="3" t="s">
        <x:v>5674</x:v>
      </x:c>
      <x:c r="P92" s="3" t="s">
        <x:v>5688</x:v>
      </x:c>
      <x:c r="Q92" s="3" t="s">
        <x:v>5675</x:v>
      </x:c>
      <x:c r="R92" s="3"/>
      <x:c r="S92" s="3" t="s">
        <x:v>5676</x:v>
      </x:c>
      <x:c r="T92" s="3" t="s">
        <x:v>5695</x:v>
      </x:c>
      <x:c r="U92" s="3" t="s">
        <x:v>5730</x:v>
      </x:c>
    </x:row>
    <x:row r="93" ht="41.25" hidden="0" customHeight="1">
      <x:c r="A93" s="3" t="s">
        <x:v>5616</x:v>
      </x:c>
      <x:c r="B93" s="3" t="s">
        <x:v>5677</x:v>
      </x:c>
      <x:c r="C93" s="3" t="s">
        <x:v>3165</x:v>
      </x:c>
      <x:c r="D93" s="3" t="s">
        <x:v>5614</x:v>
      </x:c>
      <x:c r="E93" s="3" t="s">
        <x:v>5925</x:v>
      </x:c>
      <x:c r="F93" s="3" t="s">
        <x:v>5926</x:v>
      </x:c>
      <x:c r="G93" s="3" t="s">
        <x:v>3164</x:v>
      </x:c>
      <x:c r="H93" s="3" t="s">
        <x:v>5692</x:v>
      </x:c>
      <x:c r="I93" s="3" t="s">
        <x:v>5729</x:v>
      </x:c>
      <x:c r="J93" s="3" t="s">
        <x:v>5693</x:v>
      </x:c>
      <x:c r="K93" s="3" t="s">
        <x:v>5694</x:v>
      </x:c>
      <x:c r="L93" s="3" t="s">
        <x:v>5614</x:v>
      </x:c>
      <x:c r="M93" s="3" t="s">
        <x:v>3163</x:v>
      </x:c>
      <x:c r="N93" s="3" t="s">
        <x:v>5673</x:v>
      </x:c>
      <x:c r="O93" s="3" t="s">
        <x:v>5674</x:v>
      </x:c>
      <x:c r="P93" s="3" t="s">
        <x:v>5688</x:v>
      </x:c>
      <x:c r="Q93" s="3" t="s">
        <x:v>5675</x:v>
      </x:c>
      <x:c r="R93" s="3"/>
      <x:c r="S93" s="3" t="s">
        <x:v>5676</x:v>
      </x:c>
      <x:c r="T93" s="3" t="s">
        <x:v>5695</x:v>
      </x:c>
      <x:c r="U93" s="3" t="s">
        <x:v>5730</x:v>
      </x:c>
    </x:row>
    <x:row r="94" ht="41.25" hidden="0" customHeight="1">
      <x:c r="A94" s="3" t="s">
        <x:v>5617</x:v>
      </x:c>
      <x:c r="B94" s="3" t="s">
        <x:v>5681</x:v>
      </x:c>
      <x:c r="C94" s="3" t="s">
        <x:v>4486</x:v>
      </x:c>
      <x:c r="D94" s="3" t="s">
        <x:v>5599</x:v>
      </x:c>
      <x:c r="E94" s="3" t="s">
        <x:v>5927</x:v>
      </x:c>
      <x:c r="F94" s="3" t="s">
        <x:v>5928</x:v>
      </x:c>
      <x:c r="G94" s="3" t="s">
        <x:v>4485</x:v>
      </x:c>
      <x:c r="H94" s="3" t="s">
        <x:v>5692</x:v>
      </x:c>
      <x:c r="I94" s="3" t="s">
        <x:v>5729</x:v>
      </x:c>
      <x:c r="J94" s="3" t="s">
        <x:v>5693</x:v>
      </x:c>
      <x:c r="K94" s="3" t="s">
        <x:v>5694</x:v>
      </x:c>
      <x:c r="L94" s="3" t="s">
        <x:v>5599</x:v>
      </x:c>
      <x:c r="M94" s="3" t="s">
        <x:v>4482</x:v>
      </x:c>
      <x:c r="N94" s="3" t="s">
        <x:v>5673</x:v>
      </x:c>
      <x:c r="O94" s="3" t="s">
        <x:v>5674</x:v>
      </x:c>
      <x:c r="P94" s="3" t="s">
        <x:v>5688</x:v>
      </x:c>
      <x:c r="Q94" s="3" t="s">
        <x:v>5675</x:v>
      </x:c>
      <x:c r="R94" s="3"/>
      <x:c r="S94" s="3" t="s">
        <x:v>5676</x:v>
      </x:c>
      <x:c r="T94" s="3" t="s">
        <x:v>5695</x:v>
      </x:c>
      <x:c r="U94" s="3" t="s">
        <x:v>5929</x:v>
      </x:c>
    </x:row>
    <x:row r="95" ht="27.75" hidden="0" customHeight="1">
      <x:c r="A95" s="3" t="s">
        <x:v>5619</x:v>
      </x:c>
      <x:c r="B95" s="3" t="s">
        <x:v>5677</x:v>
      </x:c>
      <x:c r="C95" s="3" t="s">
        <x:v>2088</x:v>
      </x:c>
      <x:c r="D95" s="3" t="s">
        <x:v>5497</x:v>
      </x:c>
      <x:c r="E95" s="3" t="s">
        <x:v>5817</x:v>
      </x:c>
      <x:c r="F95" s="3" t="s">
        <x:v>5930</x:v>
      </x:c>
      <x:c r="G95" s="3" t="s">
        <x:v>2087</x:v>
      </x:c>
      <x:c r="H95" s="3" t="s">
        <x:v>5692</x:v>
      </x:c>
      <x:c r="I95" s="3" t="s">
        <x:v>5729</x:v>
      </x:c>
      <x:c r="J95" s="3" t="s">
        <x:v>5713</x:v>
      </x:c>
      <x:c r="K95" s="3" t="s">
        <x:v>5694</x:v>
      </x:c>
      <x:c r="L95" s="3" t="s">
        <x:v>5497</x:v>
      </x:c>
      <x:c r="M95" s="3" t="s">
        <x:v>2084</x:v>
      </x:c>
      <x:c r="N95" s="3" t="s">
        <x:v>5673</x:v>
      </x:c>
      <x:c r="O95" s="3" t="s">
        <x:v>5674</x:v>
      </x:c>
      <x:c r="P95" s="3" t="s">
        <x:v>5688</x:v>
      </x:c>
      <x:c r="Q95" s="3" t="s">
        <x:v>5675</x:v>
      </x:c>
      <x:c r="R95" s="3"/>
      <x:c r="S95" s="3" t="s">
        <x:v>5676</x:v>
      </x:c>
      <x:c r="T95" s="3" t="s">
        <x:v>5695</x:v>
      </x:c>
      <x:c r="U95" s="3" t="s">
        <x:v>5730</x:v>
      </x:c>
    </x:row>
    <x:row r="96" ht="41.25" hidden="0" customHeight="1">
      <x:c r="A96" s="3" t="s">
        <x:v>5620</x:v>
      </x:c>
      <x:c r="B96" s="3" t="s">
        <x:v>5700</x:v>
      </x:c>
      <x:c r="C96" s="3" t="s">
        <x:v>4340</x:v>
      </x:c>
      <x:c r="D96" s="3" t="s">
        <x:v>5481</x:v>
      </x:c>
      <x:c r="E96" s="3" t="s">
        <x:v>5931</x:v>
      </x:c>
      <x:c r="F96" s="3" t="s">
        <x:v>5932</x:v>
      </x:c>
      <x:c r="G96" s="3" t="s">
        <x:v>5933</x:v>
      </x:c>
      <x:c r="H96" s="3" t="s">
        <x:v>5692</x:v>
      </x:c>
      <x:c r="I96" s="3" t="s">
        <x:v>5761</x:v>
      </x:c>
      <x:c r="J96" s="3" t="s">
        <x:v>5934</x:v>
      </x:c>
      <x:c r="K96" s="3" t="s">
        <x:v>5694</x:v>
      </x:c>
      <x:c r="L96" s="3" t="s">
        <x:v>5481</x:v>
      </x:c>
      <x:c r="M96" s="3" t="s">
        <x:v>4336</x:v>
      </x:c>
      <x:c r="N96" s="3" t="s">
        <x:v>5673</x:v>
      </x:c>
      <x:c r="O96" s="3" t="s">
        <x:v>5674</x:v>
      </x:c>
      <x:c r="P96" s="3" t="s">
        <x:v>5688</x:v>
      </x:c>
      <x:c r="Q96" s="3" t="s">
        <x:v>5675</x:v>
      </x:c>
      <x:c r="R96" s="3"/>
      <x:c r="S96" s="3" t="s">
        <x:v>5676</x:v>
      </x:c>
      <x:c r="T96" s="3" t="s">
        <x:v>5695</x:v>
      </x:c>
      <x:c r="U96" s="3" t="s">
        <x:v>5935</x:v>
      </x:c>
    </x:row>
    <x:row r="97" ht="41.25" hidden="0" customHeight="1">
      <x:c r="A97" s="3" t="s">
        <x:v>5622</x:v>
      </x:c>
      <x:c r="B97" s="3" t="s">
        <x:v>5700</x:v>
      </x:c>
      <x:c r="C97" s="3" t="s">
        <x:v>4148</x:v>
      </x:c>
      <x:c r="D97" s="3" t="s">
        <x:v>5538</x:v>
      </x:c>
      <x:c r="E97" s="3" t="s">
        <x:v>5936</x:v>
      </x:c>
      <x:c r="F97" s="3" t="s">
        <x:v>5937</x:v>
      </x:c>
      <x:c r="G97" s="3" t="s">
        <x:v>4147</x:v>
      </x:c>
      <x:c r="H97" s="3" t="s">
        <x:v>5692</x:v>
      </x:c>
      <x:c r="I97" s="3" t="s">
        <x:v>5729</x:v>
      </x:c>
      <x:c r="J97" s="3" t="s">
        <x:v>5693</x:v>
      </x:c>
      <x:c r="K97" s="3" t="s">
        <x:v>5694</x:v>
      </x:c>
      <x:c r="L97" s="3" t="s">
        <x:v>5538</x:v>
      </x:c>
      <x:c r="M97" s="3" t="s">
        <x:v>4144</x:v>
      </x:c>
      <x:c r="N97" s="3" t="s">
        <x:v>5673</x:v>
      </x:c>
      <x:c r="O97" s="3" t="s">
        <x:v>5674</x:v>
      </x:c>
      <x:c r="P97" s="3" t="s">
        <x:v>5688</x:v>
      </x:c>
      <x:c r="Q97" s="3" t="s">
        <x:v>5675</x:v>
      </x:c>
      <x:c r="R97" s="3"/>
      <x:c r="S97" s="3" t="s">
        <x:v>5676</x:v>
      </x:c>
      <x:c r="T97" s="3" t="s">
        <x:v>5695</x:v>
      </x:c>
      <x:c r="U97" s="3" t="s">
        <x:v>5800</x:v>
      </x:c>
    </x:row>
    <x:row r="98" ht="41.25" hidden="0" customHeight="1">
      <x:c r="A98" s="3" t="s">
        <x:v>5623</x:v>
      </x:c>
      <x:c r="B98" s="3" t="s">
        <x:v>5700</x:v>
      </x:c>
      <x:c r="C98" s="3" t="s">
        <x:v>4192</x:v>
      </x:c>
      <x:c r="D98" s="3" t="s">
        <x:v>5538</x:v>
      </x:c>
      <x:c r="E98" s="3" t="s">
        <x:v>5938</x:v>
      </x:c>
      <x:c r="F98" s="3" t="s">
        <x:v>5939</x:v>
      </x:c>
      <x:c r="G98" s="3" t="s">
        <x:v>5940</x:v>
      </x:c>
      <x:c r="H98" s="3" t="s">
        <x:v>5692</x:v>
      </x:c>
      <x:c r="I98" s="3" t="s">
        <x:v>5729</x:v>
      </x:c>
      <x:c r="J98" s="3" t="s">
        <x:v>5693</x:v>
      </x:c>
      <x:c r="K98" s="3" t="s">
        <x:v>5694</x:v>
      </x:c>
      <x:c r="L98" s="3" t="s">
        <x:v>5538</x:v>
      </x:c>
      <x:c r="M98" s="3" t="s">
        <x:v>4188</x:v>
      </x:c>
      <x:c r="N98" s="3" t="s">
        <x:v>5673</x:v>
      </x:c>
      <x:c r="O98" s="3" t="s">
        <x:v>5674</x:v>
      </x:c>
      <x:c r="P98" s="3" t="s">
        <x:v>5688</x:v>
      </x:c>
      <x:c r="Q98" s="3" t="s">
        <x:v>5675</x:v>
      </x:c>
      <x:c r="R98" s="3"/>
      <x:c r="S98" s="3" t="s">
        <x:v>5676</x:v>
      </x:c>
      <x:c r="T98" s="3" t="s">
        <x:v>5695</x:v>
      </x:c>
      <x:c r="U98" s="3" t="s">
        <x:v>5800</x:v>
      </x:c>
    </x:row>
    <x:row r="99" ht="41.25" hidden="0" customHeight="1">
      <x:c r="A99" s="3" t="s">
        <x:v>5624</x:v>
      </x:c>
      <x:c r="B99" s="3" t="s">
        <x:v>5681</x:v>
      </x:c>
      <x:c r="C99" s="3" t="s">
        <x:v>4282</x:v>
      </x:c>
      <x:c r="D99" s="3" t="s">
        <x:v>5538</x:v>
      </x:c>
      <x:c r="E99" s="3" t="s">
        <x:v>5941</x:v>
      </x:c>
      <x:c r="F99" s="3" t="s">
        <x:v>5942</x:v>
      </x:c>
      <x:c r="G99" s="3" t="s">
        <x:v>5943</x:v>
      </x:c>
      <x:c r="H99" s="3" t="s">
        <x:v>5692</x:v>
      </x:c>
      <x:c r="I99" s="3" t="s">
        <x:v>5729</x:v>
      </x:c>
      <x:c r="J99" s="3" t="s">
        <x:v>5693</x:v>
      </x:c>
      <x:c r="K99" s="3" t="s">
        <x:v>5694</x:v>
      </x:c>
      <x:c r="L99" s="3" t="s">
        <x:v>5538</x:v>
      </x:c>
      <x:c r="M99" s="3" t="s">
        <x:v>4278</x:v>
      </x:c>
      <x:c r="N99" s="3" t="s">
        <x:v>5673</x:v>
      </x:c>
      <x:c r="O99" s="3" t="s">
        <x:v>5674</x:v>
      </x:c>
      <x:c r="P99" s="3" t="s">
        <x:v>5688</x:v>
      </x:c>
      <x:c r="Q99" s="3" t="s">
        <x:v>5675</x:v>
      </x:c>
      <x:c r="R99" s="3"/>
      <x:c r="S99" s="3" t="s">
        <x:v>5676</x:v>
      </x:c>
      <x:c r="T99" s="3" t="s">
        <x:v>5695</x:v>
      </x:c>
      <x:c r="U99" s="3" t="s">
        <x:v>5800</x:v>
      </x:c>
    </x:row>
    <x:row r="100" ht="41.25" hidden="0" customHeight="1">
      <x:c r="A100" s="3" t="s">
        <x:v>5625</x:v>
      </x:c>
      <x:c r="B100" s="3" t="s">
        <x:v>5700</x:v>
      </x:c>
      <x:c r="C100" s="3" t="s">
        <x:v>4790</x:v>
      </x:c>
      <x:c r="D100" s="3" t="s">
        <x:v>5608</x:v>
      </x:c>
      <x:c r="E100" s="3" t="s">
        <x:v>5944</x:v>
      </x:c>
      <x:c r="F100" s="3" t="s">
        <x:v>5945</x:v>
      </x:c>
      <x:c r="G100" s="3" t="s">
        <x:v>5946</x:v>
      </x:c>
      <x:c r="H100" s="3" t="s">
        <x:v>5692</x:v>
      </x:c>
      <x:c r="I100" s="3" t="s">
        <x:v>5729</x:v>
      </x:c>
      <x:c r="J100" s="3" t="s">
        <x:v>5693</x:v>
      </x:c>
      <x:c r="K100" s="3" t="s">
        <x:v>5694</x:v>
      </x:c>
      <x:c r="L100" s="3" t="s">
        <x:v>5608</x:v>
      </x:c>
      <x:c r="M100" s="3" t="s">
        <x:v>4786</x:v>
      </x:c>
      <x:c r="N100" s="3" t="s">
        <x:v>5673</x:v>
      </x:c>
      <x:c r="O100" s="3" t="s">
        <x:v>5674</x:v>
      </x:c>
      <x:c r="P100" s="3" t="s">
        <x:v>5688</x:v>
      </x:c>
      <x:c r="Q100" s="3" t="s">
        <x:v>5675</x:v>
      </x:c>
      <x:c r="R100" s="3"/>
      <x:c r="S100" s="3" t="s">
        <x:v>5676</x:v>
      </x:c>
      <x:c r="T100" s="3" t="s">
        <x:v>5695</x:v>
      </x:c>
      <x:c r="U100" s="3" t="s">
        <x:v>5947</x:v>
      </x:c>
    </x:row>
    <x:row r="101" ht="41.25" hidden="0" customHeight="1">
      <x:c r="A101" s="3" t="s">
        <x:v>5627</x:v>
      </x:c>
      <x:c r="B101" s="3" t="s">
        <x:v>5681</x:v>
      </x:c>
      <x:c r="C101" s="3" t="s">
        <x:v>4711</x:v>
      </x:c>
      <x:c r="D101" s="3" t="s">
        <x:v>5608</x:v>
      </x:c>
      <x:c r="E101" s="3" t="s">
        <x:v>5948</x:v>
      </x:c>
      <x:c r="F101" s="3" t="s">
        <x:v>5949</x:v>
      </x:c>
      <x:c r="G101" s="3" t="s">
        <x:v>5950</x:v>
      </x:c>
      <x:c r="H101" s="3" t="s">
        <x:v>5692</x:v>
      </x:c>
      <x:c r="I101" s="3" t="s">
        <x:v>5729</x:v>
      </x:c>
      <x:c r="J101" s="3" t="s">
        <x:v>5693</x:v>
      </x:c>
      <x:c r="K101" s="3" t="s">
        <x:v>5694</x:v>
      </x:c>
      <x:c r="L101" s="3" t="s">
        <x:v>5608</x:v>
      </x:c>
      <x:c r="M101" s="3" t="s">
        <x:v>4707</x:v>
      </x:c>
      <x:c r="N101" s="3" t="s">
        <x:v>5673</x:v>
      </x:c>
      <x:c r="O101" s="3" t="s">
        <x:v>5674</x:v>
      </x:c>
      <x:c r="P101" s="3" t="s">
        <x:v>5688</x:v>
      </x:c>
      <x:c r="Q101" s="3" t="s">
        <x:v>5675</x:v>
      </x:c>
      <x:c r="R101" s="3"/>
      <x:c r="S101" s="3" t="s">
        <x:v>5676</x:v>
      </x:c>
      <x:c r="T101" s="3" t="s">
        <x:v>5695</x:v>
      </x:c>
      <x:c r="U101" s="3" t="s">
        <x:v>5951</x:v>
      </x:c>
    </x:row>
    <x:row r="102" ht="41.25" hidden="0" customHeight="1">
      <x:c r="A102" s="3" t="s">
        <x:v>5630</x:v>
      </x:c>
      <x:c r="B102" s="3" t="s">
        <x:v>5700</x:v>
      </x:c>
      <x:c r="C102" s="3" t="s">
        <x:v>5952</x:v>
      </x:c>
      <x:c r="D102" s="3" t="s">
        <x:v>5608</x:v>
      </x:c>
      <x:c r="E102" s="3" t="s">
        <x:v>5953</x:v>
      </x:c>
      <x:c r="F102" s="3" t="s">
        <x:v>5954</x:v>
      </x:c>
      <x:c r="G102" s="3" t="s">
        <x:v>5955</x:v>
      </x:c>
      <x:c r="H102" s="3" t="s">
        <x:v>5692</x:v>
      </x:c>
      <x:c r="I102" s="3" t="s">
        <x:v>5729</x:v>
      </x:c>
      <x:c r="J102" s="3" t="s">
        <x:v>5693</x:v>
      </x:c>
      <x:c r="K102" s="3" t="s">
        <x:v>5694</x:v>
      </x:c>
      <x:c r="L102" s="3" t="s">
        <x:v>5608</x:v>
      </x:c>
      <x:c r="M102" s="3" t="s">
        <x:v>2598</x:v>
      </x:c>
      <x:c r="N102" s="3" t="s">
        <x:v>5673</x:v>
      </x:c>
      <x:c r="O102" s="3" t="s">
        <x:v>5674</x:v>
      </x:c>
      <x:c r="P102" s="3" t="s">
        <x:v>5688</x:v>
      </x:c>
      <x:c r="Q102" s="3" t="s">
        <x:v>5675</x:v>
      </x:c>
      <x:c r="R102" s="3"/>
      <x:c r="S102" s="3" t="s">
        <x:v>5676</x:v>
      </x:c>
      <x:c r="T102" s="3" t="s">
        <x:v>5695</x:v>
      </x:c>
      <x:c r="U102" s="3" t="s">
        <x:v>5956</x:v>
      </x:c>
    </x:row>
    <x:row r="103" ht="54.75" hidden="0" customHeight="1">
      <x:c r="A103" s="3" t="s">
        <x:v>5631</x:v>
      </x:c>
      <x:c r="B103" s="3" t="s">
        <x:v>5681</x:v>
      </x:c>
      <x:c r="C103" s="3" t="s">
        <x:v>3864</x:v>
      </x:c>
      <x:c r="D103" s="3" t="s">
        <x:v>5478</x:v>
      </x:c>
      <x:c r="E103" s="3" t="s">
        <x:v>5957</x:v>
      </x:c>
      <x:c r="F103" s="3" t="s">
        <x:v>5958</x:v>
      </x:c>
      <x:c r="G103" s="3" t="s">
        <x:v>5959</x:v>
      </x:c>
      <x:c r="H103" s="3" t="s">
        <x:v>5692</x:v>
      </x:c>
      <x:c r="I103" s="3" t="s">
        <x:v>5729</x:v>
      </x:c>
      <x:c r="J103" s="3" t="s">
        <x:v>5693</x:v>
      </x:c>
      <x:c r="K103" s="3" t="s">
        <x:v>5694</x:v>
      </x:c>
      <x:c r="L103" s="3" t="s">
        <x:v>5478</x:v>
      </x:c>
      <x:c r="M103" s="3" t="s">
        <x:v>3860</x:v>
      </x:c>
      <x:c r="N103" s="3" t="s">
        <x:v>5673</x:v>
      </x:c>
      <x:c r="O103" s="3" t="s">
        <x:v>5674</x:v>
      </x:c>
      <x:c r="P103" s="3" t="s">
        <x:v>5688</x:v>
      </x:c>
      <x:c r="Q103" s="3" t="s">
        <x:v>5675</x:v>
      </x:c>
      <x:c r="R103" s="3"/>
      <x:c r="S103" s="3" t="s">
        <x:v>5676</x:v>
      </x:c>
      <x:c r="T103" s="3" t="s">
        <x:v>5695</x:v>
      </x:c>
      <x:c r="U103" s="3" t="s">
        <x:v>5808</x:v>
      </x:c>
    </x:row>
    <x:row r="104" ht="54.75" hidden="0" customHeight="1">
      <x:c r="A104" s="3" t="s">
        <x:v>5632</x:v>
      </x:c>
      <x:c r="B104" s="3" t="s">
        <x:v>5681</x:v>
      </x:c>
      <x:c r="C104" s="3" t="s">
        <x:v>5960</x:v>
      </x:c>
      <x:c r="D104" s="3" t="s">
        <x:v>5573</x:v>
      </x:c>
      <x:c r="E104" s="3" t="s">
        <x:v>5961</x:v>
      </x:c>
      <x:c r="F104" s="3" t="s">
        <x:v>5962</x:v>
      </x:c>
      <x:c r="G104" s="3" t="s">
        <x:v>5963</x:v>
      </x:c>
      <x:c r="H104" s="3" t="s">
        <x:v>5692</x:v>
      </x:c>
      <x:c r="I104" s="3" t="s">
        <x:v>5729</x:v>
      </x:c>
      <x:c r="J104" s="3" t="s">
        <x:v>5693</x:v>
      </x:c>
      <x:c r="K104" s="3" t="s">
        <x:v>5694</x:v>
      </x:c>
      <x:c r="L104" s="3" t="s">
        <x:v>5573</x:v>
      </x:c>
      <x:c r="M104" s="3" t="s">
        <x:v>2681</x:v>
      </x:c>
      <x:c r="N104" s="3" t="s">
        <x:v>5673</x:v>
      </x:c>
      <x:c r="O104" s="3" t="s">
        <x:v>5674</x:v>
      </x:c>
      <x:c r="P104" s="3" t="s">
        <x:v>5688</x:v>
      </x:c>
      <x:c r="Q104" s="3" t="s">
        <x:v>5675</x:v>
      </x:c>
      <x:c r="R104" s="3"/>
      <x:c r="S104" s="3" t="s">
        <x:v>5676</x:v>
      </x:c>
      <x:c r="T104" s="3" t="s">
        <x:v>5695</x:v>
      </x:c>
      <x:c r="U104" s="3" t="s">
        <x:v>5964</x:v>
      </x:c>
    </x:row>
    <x:row r="105" ht="41.25" hidden="0" customHeight="1">
      <x:c r="A105" s="3" t="s">
        <x:v>5633</x:v>
      </x:c>
      <x:c r="B105" s="3" t="s">
        <x:v>5681</x:v>
      </x:c>
      <x:c r="C105" s="3" t="s">
        <x:v>5965</x:v>
      </x:c>
      <x:c r="D105" s="3" t="s">
        <x:v>5573</x:v>
      </x:c>
      <x:c r="E105" s="3" t="s">
        <x:v>5966</x:v>
      </x:c>
      <x:c r="F105" s="3" t="s">
        <x:v>5967</x:v>
      </x:c>
      <x:c r="G105" s="3" t="s">
        <x:v>5968</x:v>
      </x:c>
      <x:c r="H105" s="3" t="s">
        <x:v>5712</x:v>
      </x:c>
      <x:c r="I105" s="3" t="s">
        <x:v>5729</x:v>
      </x:c>
      <x:c r="J105" s="3" t="s">
        <x:v>5693</x:v>
      </x:c>
      <x:c r="K105" s="3" t="s">
        <x:v>5694</x:v>
      </x:c>
      <x:c r="L105" s="3" t="s">
        <x:v>5573</x:v>
      </x:c>
      <x:c r="M105" s="3" t="s">
        <x:v>839</x:v>
      </x:c>
      <x:c r="N105" s="3" t="s">
        <x:v>5673</x:v>
      </x:c>
      <x:c r="O105" s="3" t="s">
        <x:v>5674</x:v>
      </x:c>
      <x:c r="P105" s="3" t="s">
        <x:v>30</x:v>
      </x:c>
      <x:c r="Q105" s="3" t="s">
        <x:v>5675</x:v>
      </x:c>
      <x:c r="R105" s="3"/>
      <x:c r="S105" s="3" t="s">
        <x:v>5676</x:v>
      </x:c>
      <x:c r="T105" s="3" t="s">
        <x:v>5715</x:v>
      </x:c>
      <x:c r="U105" s="3" t="s">
        <x:v>5680</x:v>
      </x:c>
    </x:row>
    <x:row r="106" ht="41.25" hidden="0" customHeight="1">
      <x:c r="A106" s="3" t="s">
        <x:v>5635</x:v>
      </x:c>
      <x:c r="B106" s="3" t="s">
        <x:v>5681</x:v>
      </x:c>
      <x:c r="C106" s="3" t="s">
        <x:v>5969</x:v>
      </x:c>
      <x:c r="D106" s="3" t="s">
        <x:v>5573</x:v>
      </x:c>
      <x:c r="E106" s="3" t="s">
        <x:v>5970</x:v>
      </x:c>
      <x:c r="F106" s="3" t="s">
        <x:v>5971</x:v>
      </x:c>
      <x:c r="G106" s="3" t="s">
        <x:v>5972</x:v>
      </x:c>
      <x:c r="H106" s="3" t="s">
        <x:v>5712</x:v>
      </x:c>
      <x:c r="I106" s="3" t="s">
        <x:v>5729</x:v>
      </x:c>
      <x:c r="J106" s="3" t="s">
        <x:v>5693</x:v>
      </x:c>
      <x:c r="K106" s="3" t="s">
        <x:v>5694</x:v>
      </x:c>
      <x:c r="L106" s="3" t="s">
        <x:v>5573</x:v>
      </x:c>
      <x:c r="M106" s="3" t="s">
        <x:v>5634</x:v>
      </x:c>
      <x:c r="N106" s="3" t="s">
        <x:v>5673</x:v>
      </x:c>
      <x:c r="O106" s="3" t="s">
        <x:v>5674</x:v>
      </x:c>
      <x:c r="P106" s="3" t="s">
        <x:v>30</x:v>
      </x:c>
      <x:c r="Q106" s="3" t="s">
        <x:v>5675</x:v>
      </x:c>
      <x:c r="R106" s="3"/>
      <x:c r="S106" s="3" t="s">
        <x:v>5676</x:v>
      </x:c>
      <x:c r="T106" s="3" t="s">
        <x:v>5715</x:v>
      </x:c>
      <x:c r="U106" s="3" t="s">
        <x:v>5680</x:v>
      </x:c>
    </x:row>
    <x:row r="107" ht="41.25" hidden="0" customHeight="1">
      <x:c r="A107" s="3" t="s">
        <x:v>5637</x:v>
      </x:c>
      <x:c r="B107" s="3" t="s">
        <x:v>5681</x:v>
      </x:c>
      <x:c r="C107" s="3" t="s">
        <x:v>5973</x:v>
      </x:c>
      <x:c r="D107" s="3" t="s">
        <x:v>5573</x:v>
      </x:c>
      <x:c r="E107" s="3" t="s">
        <x:v>5974</x:v>
      </x:c>
      <x:c r="F107" s="3" t="s">
        <x:v>5975</x:v>
      </x:c>
      <x:c r="G107" s="3" t="s">
        <x:v>5976</x:v>
      </x:c>
      <x:c r="H107" s="3" t="s">
        <x:v>5712</x:v>
      </x:c>
      <x:c r="I107" s="3" t="s">
        <x:v>5729</x:v>
      </x:c>
      <x:c r="J107" s="3" t="s">
        <x:v>5693</x:v>
      </x:c>
      <x:c r="K107" s="3" t="s">
        <x:v>5694</x:v>
      </x:c>
      <x:c r="L107" s="3" t="s">
        <x:v>5573</x:v>
      </x:c>
      <x:c r="M107" s="3" t="s">
        <x:v>5636</x:v>
      </x:c>
      <x:c r="N107" s="3" t="s">
        <x:v>5673</x:v>
      </x:c>
      <x:c r="O107" s="3" t="s">
        <x:v>5674</x:v>
      </x:c>
      <x:c r="P107" s="3" t="s">
        <x:v>30</x:v>
      </x:c>
      <x:c r="Q107" s="3" t="s">
        <x:v>5675</x:v>
      </x:c>
      <x:c r="R107" s="3"/>
      <x:c r="S107" s="3" t="s">
        <x:v>5676</x:v>
      </x:c>
      <x:c r="T107" s="3" t="s">
        <x:v>5715</x:v>
      </x:c>
      <x:c r="U107" s="3" t="s">
        <x:v>5680</x:v>
      </x:c>
    </x:row>
    <x:row r="108" ht="27.75" hidden="0" customHeight="1">
      <x:c r="A108" s="3" t="s">
        <x:v>5638</x:v>
      </x:c>
      <x:c r="B108" s="3" t="s">
        <x:v>5681</x:v>
      </x:c>
      <x:c r="C108" s="3" t="s">
        <x:v>5977</x:v>
      </x:c>
      <x:c r="D108" s="3" t="s">
        <x:v>5551</x:v>
      </x:c>
      <x:c r="E108" s="3" t="s">
        <x:v>5978</x:v>
      </x:c>
      <x:c r="F108" s="3" t="s">
        <x:v>5979</x:v>
      </x:c>
      <x:c r="G108" s="3" t="s">
        <x:v>859</x:v>
      </x:c>
      <x:c r="H108" s="3" t="s">
        <x:v>5692</x:v>
      </x:c>
      <x:c r="I108" s="3" t="s">
        <x:v>5729</x:v>
      </x:c>
      <x:c r="J108" s="3" t="s">
        <x:v>5693</x:v>
      </x:c>
      <x:c r="K108" s="3" t="s">
        <x:v>5694</x:v>
      </x:c>
      <x:c r="L108" s="3" t="s">
        <x:v>5551</x:v>
      </x:c>
      <x:c r="M108" s="3" t="s">
        <x:v>857</x:v>
      </x:c>
      <x:c r="N108" s="3" t="s">
        <x:v>5673</x:v>
      </x:c>
      <x:c r="O108" s="3" t="s">
        <x:v>5674</x:v>
      </x:c>
      <x:c r="P108" s="3" t="s">
        <x:v>30</x:v>
      </x:c>
      <x:c r="Q108" s="3" t="s">
        <x:v>5675</x:v>
      </x:c>
      <x:c r="R108" s="3"/>
      <x:c r="S108" s="3" t="s">
        <x:v>5676</x:v>
      </x:c>
      <x:c r="T108" s="3" t="s">
        <x:v>5695</x:v>
      </x:c>
      <x:c r="U108" s="3" t="s">
        <x:v>5680</x:v>
      </x:c>
    </x:row>
    <x:row r="109" ht="41.25" hidden="0" customHeight="1">
      <x:c r="A109" s="3" t="s">
        <x:v>5639</x:v>
      </x:c>
      <x:c r="B109" s="3" t="s">
        <x:v>5681</x:v>
      </x:c>
      <x:c r="C109" s="3" t="s">
        <x:v>5980</x:v>
      </x:c>
      <x:c r="D109" s="3" t="s">
        <x:v>5551</x:v>
      </x:c>
      <x:c r="E109" s="3" t="s">
        <x:v>5750</x:v>
      </x:c>
      <x:c r="F109" s="3" t="s">
        <x:v>5981</x:v>
      </x:c>
      <x:c r="G109" s="3" t="s">
        <x:v>5982</x:v>
      </x:c>
      <x:c r="H109" s="3" t="s">
        <x:v>5692</x:v>
      </x:c>
      <x:c r="I109" s="3" t="s">
        <x:v>5729</x:v>
      </x:c>
      <x:c r="J109" s="3" t="s">
        <x:v>5693</x:v>
      </x:c>
      <x:c r="K109" s="3" t="s">
        <x:v>5694</x:v>
      </x:c>
      <x:c r="L109" s="3" t="s">
        <x:v>5551</x:v>
      </x:c>
      <x:c r="M109" s="3" t="s">
        <x:v>2645</x:v>
      </x:c>
      <x:c r="N109" s="3" t="s">
        <x:v>5673</x:v>
      </x:c>
      <x:c r="O109" s="3" t="s">
        <x:v>5674</x:v>
      </x:c>
      <x:c r="P109" s="3" t="s">
        <x:v>5688</x:v>
      </x:c>
      <x:c r="Q109" s="3" t="s">
        <x:v>5675</x:v>
      </x:c>
      <x:c r="R109" s="3"/>
      <x:c r="S109" s="3" t="s">
        <x:v>5676</x:v>
      </x:c>
      <x:c r="T109" s="3" t="s">
        <x:v>5695</x:v>
      </x:c>
      <x:c r="U109" s="3" t="s">
        <x:v>5983</x:v>
      </x:c>
    </x:row>
    <x:row r="110" ht="41.25" hidden="0" customHeight="1">
      <x:c r="A110" s="3" t="s">
        <x:v>5640</x:v>
      </x:c>
      <x:c r="B110" s="3" t="s">
        <x:v>5681</x:v>
      </x:c>
      <x:c r="C110" s="3" t="s">
        <x:v>2921</x:v>
      </x:c>
      <x:c r="D110" s="3" t="s">
        <x:v>5551</x:v>
      </x:c>
      <x:c r="E110" s="3" t="s">
        <x:v>5984</x:v>
      </x:c>
      <x:c r="F110" s="3" t="s">
        <x:v>5985</x:v>
      </x:c>
      <x:c r="G110" s="3" t="s">
        <x:v>2920</x:v>
      </x:c>
      <x:c r="H110" s="3" t="s">
        <x:v>5692</x:v>
      </x:c>
      <x:c r="I110" s="3" t="s">
        <x:v>5729</x:v>
      </x:c>
      <x:c r="J110" s="3" t="s">
        <x:v>5693</x:v>
      </x:c>
      <x:c r="K110" s="3" t="s">
        <x:v>5694</x:v>
      </x:c>
      <x:c r="L110" s="3" t="s">
        <x:v>5551</x:v>
      </x:c>
      <x:c r="M110" s="3" t="s">
        <x:v>2918</x:v>
      </x:c>
      <x:c r="N110" s="3" t="s">
        <x:v>5673</x:v>
      </x:c>
      <x:c r="O110" s="3" t="s">
        <x:v>5674</x:v>
      </x:c>
      <x:c r="P110" s="3" t="s">
        <x:v>5688</x:v>
      </x:c>
      <x:c r="Q110" s="3" t="s">
        <x:v>5675</x:v>
      </x:c>
      <x:c r="R110" s="3"/>
      <x:c r="S110" s="3" t="s">
        <x:v>5676</x:v>
      </x:c>
      <x:c r="T110" s="3" t="s">
        <x:v>5695</x:v>
      </x:c>
      <x:c r="U110" s="3" t="s">
        <x:v>5730</x:v>
      </x:c>
    </x:row>
    <x:row r="111" ht="41.25" hidden="0" customHeight="1">
      <x:c r="A111" s="3" t="s">
        <x:v>5641</x:v>
      </x:c>
      <x:c r="B111" s="3" t="s">
        <x:v>5700</x:v>
      </x:c>
      <x:c r="C111" s="3" t="s">
        <x:v>2960</x:v>
      </x:c>
      <x:c r="D111" s="3" t="s">
        <x:v>5478</x:v>
      </x:c>
      <x:c r="E111" s="3" t="s">
        <x:v>5986</x:v>
      </x:c>
      <x:c r="F111" s="3" t="s">
        <x:v>5987</x:v>
      </x:c>
      <x:c r="G111" s="3" t="s">
        <x:v>2959</x:v>
      </x:c>
      <x:c r="H111" s="3" t="s">
        <x:v>5766</x:v>
      </x:c>
      <x:c r="I111" s="3" t="s">
        <x:v>5729</x:v>
      </x:c>
      <x:c r="J111" s="3" t="s">
        <x:v>5693</x:v>
      </x:c>
      <x:c r="K111" s="3" t="s">
        <x:v>5694</x:v>
      </x:c>
      <x:c r="L111" s="3" t="s">
        <x:v>5478</x:v>
      </x:c>
      <x:c r="M111" s="3" t="s">
        <x:v>2957</x:v>
      </x:c>
      <x:c r="N111" s="3" t="s">
        <x:v>5673</x:v>
      </x:c>
      <x:c r="O111" s="3" t="s">
        <x:v>5674</x:v>
      </x:c>
      <x:c r="P111" s="3" t="s">
        <x:v>5688</x:v>
      </x:c>
      <x:c r="Q111" s="3" t="s">
        <x:v>5675</x:v>
      </x:c>
      <x:c r="R111" s="3"/>
      <x:c r="S111" s="3" t="s">
        <x:v>5676</x:v>
      </x:c>
      <x:c r="T111" s="3" t="s">
        <x:v>5715</x:v>
      </x:c>
      <x:c r="U111" s="3" t="s">
        <x:v>5730</x:v>
      </x:c>
    </x:row>
    <x:row r="112" ht="41.25" hidden="0" customHeight="1">
      <x:c r="A112" s="3" t="s">
        <x:v>5642</x:v>
      </x:c>
      <x:c r="B112" s="3" t="s">
        <x:v>5681</x:v>
      </x:c>
      <x:c r="C112" s="3" t="s">
        <x:v>5146</x:v>
      </x:c>
      <x:c r="D112" s="3" t="s">
        <x:v>5532</x:v>
      </x:c>
      <x:c r="E112" s="3" t="s">
        <x:v>5988</x:v>
      </x:c>
      <x:c r="F112" s="3" t="s">
        <x:v>5989</x:v>
      </x:c>
      <x:c r="G112" s="3" t="s">
        <x:v>5990</x:v>
      </x:c>
      <x:c r="H112" s="3" t="s">
        <x:v>5766</x:v>
      </x:c>
      <x:c r="I112" s="3" t="s">
        <x:v>5729</x:v>
      </x:c>
      <x:c r="J112" s="3" t="s">
        <x:v>5693</x:v>
      </x:c>
      <x:c r="K112" s="3" t="s">
        <x:v>5694</x:v>
      </x:c>
      <x:c r="L112" s="3" t="s">
        <x:v>5532</x:v>
      </x:c>
      <x:c r="M112" s="3" t="s">
        <x:v>5142</x:v>
      </x:c>
      <x:c r="N112" s="3" t="s">
        <x:v>5673</x:v>
      </x:c>
      <x:c r="O112" s="3" t="s">
        <x:v>5674</x:v>
      </x:c>
      <x:c r="P112" s="3" t="str">
        <x:v>PARTIALLY_EXTRACTED</x:v>
      </x:c>
      <x:c r="Q112" s="3" t="s">
        <x:v>5675</x:v>
      </x:c>
      <x:c r="R112" s="3"/>
      <x:c r="S112" s="3" t="s">
        <x:v>5676</x:v>
      </x:c>
      <x:c r="T112" s="3" t="s">
        <x:v>5715</x:v>
      </x:c>
      <x:c r="U112" s="3" t="str">
        <x:v>Not a verified PaperRecord; no page-level PDF audit. | B12: B12: abstract only after documented open-copy search. | B16: Read SI/code; reconcile percentage assignments, matching window and RMSE formula.</x:v>
      </x:c>
    </x:row>
    <x:row r="113" ht="41.25" hidden="0" customHeight="1">
      <x:c r="A113" s="3" t="s">
        <x:v>5643</x:v>
      </x:c>
      <x:c r="B113" s="3" t="s">
        <x:v>5700</x:v>
      </x:c>
      <x:c r="C113" s="3" t="s">
        <x:v>4619</x:v>
      </x:c>
      <x:c r="D113" s="3" t="s">
        <x:v>5481</x:v>
      </x:c>
      <x:c r="E113" s="3" t="s">
        <x:v>5768</x:v>
      </x:c>
      <x:c r="F113" s="3" t="s">
        <x:v>5991</x:v>
      </x:c>
      <x:c r="G113" s="3" t="s">
        <x:v>5992</x:v>
      </x:c>
      <x:c r="H113" s="3" t="s">
        <x:v>5766</x:v>
      </x:c>
      <x:c r="I113" s="3" t="s">
        <x:v>5761</x:v>
      </x:c>
      <x:c r="J113" s="3" t="s">
        <x:v>5993</x:v>
      </x:c>
      <x:c r="K113" s="3" t="s">
        <x:v>5694</x:v>
      </x:c>
      <x:c r="L113" s="3" t="s">
        <x:v>5481</x:v>
      </x:c>
      <x:c r="M113" s="3" t="s">
        <x:v>4614</x:v>
      </x:c>
      <x:c r="N113" s="3" t="s">
        <x:v>5673</x:v>
      </x:c>
      <x:c r="O113" s="3" t="s">
        <x:v>5674</x:v>
      </x:c>
      <x:c r="P113" s="3" t="s">
        <x:v>52</x:v>
      </x:c>
      <x:c r="Q113" s="3" t="s">
        <x:v>5675</x:v>
      </x:c>
      <x:c r="R113" s="3"/>
      <x:c r="S113" s="3" t="s">
        <x:v>5676</x:v>
      </x:c>
      <x:c r="T113" s="3" t="s">
        <x:v>5715</x:v>
      </x:c>
      <x:c r="U113" s="3" t="s">
        <x:v>5994</x:v>
      </x:c>
    </x:row>
    <x:row r="114" ht="41.25" hidden="0" customHeight="1">
      <x:c r="A114" s="3" t="s">
        <x:v>5645</x:v>
      </x:c>
      <x:c r="B114" s="3" t="s">
        <x:v>5700</x:v>
      </x:c>
      <x:c r="C114" s="3" t="s">
        <x:v>5175</x:v>
      </x:c>
      <x:c r="D114" s="3" t="s">
        <x:v>5536</x:v>
      </x:c>
      <x:c r="E114" s="3" t="s">
        <x:v>5995</x:v>
      </x:c>
      <x:c r="F114" s="3" t="s">
        <x:v>5996</x:v>
      </x:c>
      <x:c r="G114" s="3" t="s">
        <x:v>5997</x:v>
      </x:c>
      <x:c r="H114" s="3" t="s">
        <x:v>5766</x:v>
      </x:c>
      <x:c r="I114" s="3" t="s">
        <x:v>5729</x:v>
      </x:c>
      <x:c r="J114" s="3" t="s">
        <x:v>5693</x:v>
      </x:c>
      <x:c r="K114" s="3" t="s">
        <x:v>5694</x:v>
      </x:c>
      <x:c r="L114" s="3" t="s">
        <x:v>5536</x:v>
      </x:c>
      <x:c r="M114" s="3" t="s">
        <x:v>5171</x:v>
      </x:c>
      <x:c r="N114" s="3" t="s">
        <x:v>5673</x:v>
      </x:c>
      <x:c r="O114" s="3" t="s">
        <x:v>5674</x:v>
      </x:c>
      <x:c r="P114" s="3" t="s">
        <x:v>52</x:v>
      </x:c>
      <x:c r="Q114" s="3" t="s">
        <x:v>5675</x:v>
      </x:c>
      <x:c r="R114" s="3"/>
      <x:c r="S114" s="3" t="s">
        <x:v>5676</x:v>
      </x:c>
      <x:c r="T114" s="3" t="s">
        <x:v>5715</x:v>
      </x:c>
      <x:c r="U114" s="3" t="s">
        <x:v>5998</x:v>
      </x:c>
    </x:row>
    <x:row r="115" ht="41.25" hidden="0" customHeight="1">
      <x:c r="A115" s="3" t="s">
        <x:v>5647</x:v>
      </x:c>
      <x:c r="B115" s="3" t="s">
        <x:v>5681</x:v>
      </x:c>
      <x:c r="C115" s="3" t="s">
        <x:v>3343</x:v>
      </x:c>
      <x:c r="D115" s="3" t="s">
        <x:v>5497</x:v>
      </x:c>
      <x:c r="E115" s="3" t="s">
        <x:v>5999</x:v>
      </x:c>
      <x:c r="F115" s="3" t="s">
        <x:v>6000</x:v>
      </x:c>
      <x:c r="G115" s="3" t="s">
        <x:v>3342</x:v>
      </x:c>
      <x:c r="H115" s="3" t="s">
        <x:v>5692</x:v>
      </x:c>
      <x:c r="I115" s="3" t="s">
        <x:v>5729</x:v>
      </x:c>
      <x:c r="J115" s="3" t="s">
        <x:v>5713</x:v>
      </x:c>
      <x:c r="K115" s="3" t="s">
        <x:v>5694</x:v>
      </x:c>
      <x:c r="L115" s="3" t="s">
        <x:v>5497</x:v>
      </x:c>
      <x:c r="M115" s="3" t="s">
        <x:v>3339</x:v>
      </x:c>
      <x:c r="N115" s="3" t="s">
        <x:v>5673</x:v>
      </x:c>
      <x:c r="O115" s="3" t="s">
        <x:v>5674</x:v>
      </x:c>
      <x:c r="P115" s="3" t="s">
        <x:v>5688</x:v>
      </x:c>
      <x:c r="Q115" s="3" t="s">
        <x:v>5675</x:v>
      </x:c>
      <x:c r="R115" s="3"/>
      <x:c r="S115" s="3" t="s">
        <x:v>5676</x:v>
      </x:c>
      <x:c r="T115" s="3" t="s">
        <x:v>5695</x:v>
      </x:c>
      <x:c r="U115" s="3" t="s">
        <x:v>5730</x:v>
      </x:c>
    </x:row>
    <x:row r="116" ht="41.25" hidden="0" customHeight="1">
      <x:c r="A116" s="3" t="s">
        <x:v>5648</x:v>
      </x:c>
      <x:c r="B116" s="3" t="s">
        <x:v>5683</x:v>
      </x:c>
      <x:c r="C116" s="3" t="s">
        <x:v>542</x:v>
      </x:c>
      <x:c r="D116" s="3" t="s">
        <x:v>5582</x:v>
      </x:c>
      <x:c r="E116" s="3" t="s">
        <x:v>6001</x:v>
      </x:c>
      <x:c r="F116" s="3" t="s">
        <x:v>6002</x:v>
      </x:c>
      <x:c r="G116" s="3" t="s">
        <x:v>541</x:v>
      </x:c>
      <x:c r="H116" s="3" t="s">
        <x:v>52</x:v>
      </x:c>
      <x:c r="I116" s="3" t="s">
        <x:v>543</x:v>
      </x:c>
      <x:c r="J116" s="3" t="s">
        <x:v>5693</x:v>
      </x:c>
      <x:c r="K116" s="3" t="s">
        <x:v>6003</x:v>
      </x:c>
      <x:c r="L116" s="3" t="s">
        <x:v>6004</x:v>
      </x:c>
      <x:c r="M116" s="3" t="s">
        <x:v>538</x:v>
      </x:c>
      <x:c r="N116" s="3" t="s">
        <x:v>5673</x:v>
      </x:c>
      <x:c r="O116" s="3" t="s">
        <x:v>5674</x:v>
      </x:c>
      <x:c r="P116" s="3" t="s">
        <x:v>52</x:v>
      </x:c>
      <x:c r="Q116" s="3" t="s">
        <x:v>5675</x:v>
      </x:c>
      <x:c r="R116" s="3"/>
      <x:c r="S116" s="3" t="s">
        <x:v>5676</x:v>
      </x:c>
      <x:c r="T116" s="3" t="s">
        <x:v>5692</x:v>
      </x:c>
      <x:c r="U116" s="3" t="s">
        <x:v>6005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2" max="2" width="70" style="1" hidden="0" customWidth="1"/>
    <x:col min="3" max="4" width="24" style="1" hidden="0" customWidth="1"/>
  </x:cols>
  <x:sheetData>
    <x:row r="1" ht="15" hidden="0" customHeight="1">
      <x:c r="A1" s="6" t="s">
        <x:v>82</x:v>
      </x:c>
      <x:c r="B1" s="6" t="s">
        <x:v>5460</x:v>
      </x:c>
      <x:c r="C1" s="6" t="s">
        <x:v>5461</x:v>
      </x:c>
      <x:c r="D1" s="6" t="s">
        <x:v>6006</x:v>
      </x:c>
    </x:row>
    <x:row r="2" ht="15" hidden="0" customHeight="1">
      <x:c r="A2" s="3" t="s">
        <x:v>554</x:v>
      </x:c>
      <x:c r="B2" s="3" t="s">
        <x:v>5487</x:v>
      </x:c>
      <x:c r="C2" s="3" t="s">
        <x:v>5481</x:v>
      </x:c>
      <x:c r="D2" s="3" t="n">
        <x:v>6</x:v>
      </x:c>
    </x:row>
    <x:row r="3" ht="15" hidden="0" customHeight="1">
      <x:c r="A3" s="3" t="s">
        <x:v>573</x:v>
      </x:c>
      <x:c r="B3" s="3" t="s">
        <x:v>5524</x:v>
      </x:c>
      <x:c r="C3" s="3" t="s">
        <x:v>5481</x:v>
      </x:c>
      <x:c r="D3" s="3" t="n">
        <x:v>17</x:v>
      </x:c>
    </x:row>
    <x:row r="4" ht="15" hidden="0" customHeight="1">
      <x:c r="A4" s="3" t="s">
        <x:v>628</x:v>
      </x:c>
      <x:c r="B4" s="3" t="s">
        <x:v>5525</x:v>
      </x:c>
      <x:c r="C4" s="3" t="s">
        <x:v>5481</x:v>
      </x:c>
      <x:c r="D4" s="3" t="n">
        <x:v>10</x:v>
      </x:c>
    </x:row>
    <x:row r="5" ht="27.75" hidden="0" customHeight="1">
      <x:c r="A5" s="3" t="s">
        <x:v>661</x:v>
      </x:c>
      <x:c r="B5" s="3" t="s">
        <x:v>5537</x:v>
      </x:c>
      <x:c r="C5" s="3" t="s">
        <x:v>5538</x:v>
      </x:c>
      <x:c r="D5" s="3" t="n">
        <x:v>6</x:v>
      </x:c>
    </x:row>
    <x:row r="6" ht="27.75" hidden="0" customHeight="1">
      <x:c r="A6" s="3" t="s">
        <x:v>675</x:v>
      </x:c>
      <x:c r="B6" s="3" t="s">
        <x:v>5539</x:v>
      </x:c>
      <x:c r="C6" s="3" t="s">
        <x:v>5538</x:v>
      </x:c>
      <x:c r="D6" s="3" t="n">
        <x:v>5</x:v>
      </x:c>
    </x:row>
    <x:row r="7" ht="27.75" hidden="0" customHeight="1">
      <x:c r="A7" s="3" t="s">
        <x:v>688</x:v>
      </x:c>
      <x:c r="B7" s="3" t="s">
        <x:v>5541</x:v>
      </x:c>
      <x:c r="C7" s="3" t="s">
        <x:v>5538</x:v>
      </x:c>
      <x:c r="D7" s="3" t="n">
        <x:v>10</x:v>
      </x:c>
    </x:row>
    <x:row r="8" ht="15" hidden="0" customHeight="1">
      <x:c r="A8" s="3" t="s">
        <x:v>715</x:v>
      </x:c>
      <x:c r="B8" s="3" t="s">
        <x:v>5567</x:v>
      </x:c>
      <x:c r="C8" s="3" t="s">
        <x:v>5568</x:v>
      </x:c>
      <x:c r="D8" s="3" t="n">
        <x:v>6</x:v>
      </x:c>
    </x:row>
    <x:row r="9" ht="27.75" hidden="0" customHeight="1">
      <x:c r="A9" s="3" t="s">
        <x:v>730</x:v>
      </x:c>
      <x:c r="B9" s="3" t="s">
        <x:v>5571</x:v>
      </x:c>
      <x:c r="C9" s="3" t="s">
        <x:v>5568</x:v>
      </x:c>
      <x:c r="D9" s="3" t="n">
        <x:v>8</x:v>
      </x:c>
    </x:row>
    <x:row r="10" ht="15" hidden="0" customHeight="1">
      <x:c r="A10" s="3" t="s">
        <x:v>752</x:v>
      </x:c>
      <x:c r="B10" s="3" t="s">
        <x:v>5572</x:v>
      </x:c>
      <x:c r="C10" s="3" t="s">
        <x:v>5573</x:v>
      </x:c>
      <x:c r="D10" s="3" t="n">
        <x:v>9</x:v>
      </x:c>
    </x:row>
    <x:row r="11" ht="27.75" hidden="0" customHeight="1">
      <x:c r="A11" s="3" t="s">
        <x:v>781</x:v>
      </x:c>
      <x:c r="B11" s="3" t="s">
        <x:v>5574</x:v>
      </x:c>
      <x:c r="C11" s="3" t="s">
        <x:v>5573</x:v>
      </x:c>
      <x:c r="D11" s="3" t="n">
        <x:v>13</x:v>
      </x:c>
    </x:row>
    <x:row r="12" ht="27.75" hidden="0" customHeight="1">
      <x:c r="A12" s="3" t="s">
        <x:v>812</x:v>
      </x:c>
      <x:c r="B12" s="3" t="s">
        <x:v>5613</x:v>
      </x:c>
      <x:c r="C12" s="3" t="s">
        <x:v>5614</x:v>
      </x:c>
      <x:c r="D12" s="3" t="n">
        <x:v>10</x:v>
      </x:c>
    </x:row>
    <x:row r="13" ht="27.75" hidden="0" customHeight="1">
      <x:c r="A13" s="3" t="s">
        <x:v>839</x:v>
      </x:c>
      <x:c r="B13" s="3" t="s">
        <x:v>5633</x:v>
      </x:c>
      <x:c r="C13" s="3" t="s">
        <x:v>5573</x:v>
      </x:c>
      <x:c r="D13" s="3" t="n">
        <x:v>8</x:v>
      </x:c>
    </x:row>
    <x:row r="14" ht="27.75" hidden="0" customHeight="1">
      <x:c r="A14" s="3" t="s">
        <x:v>857</x:v>
      </x:c>
      <x:c r="B14" s="3" t="s">
        <x:v>5638</x:v>
      </x:c>
      <x:c r="C14" s="3" t="s">
        <x:v>5551</x:v>
      </x:c>
      <x:c r="D14" s="3" t="n">
        <x:v>6</x:v>
      </x:c>
    </x:row>
    <x:row r="15" ht="64.5" hidden="0" customHeight="1">
      <x:c r="A15" s="3" t="s">
        <x:v>875</x:v>
      </x:c>
      <x:c r="B15" s="3" t="s">
        <x:v>5490</x:v>
      </x:c>
      <x:c r="C15" s="3" t="s">
        <x:v>5481</x:v>
      </x:c>
      <x:c r="D15" s="3" t="n">
        <x:v>69</x:v>
      </x:c>
    </x:row>
    <x:row r="16" ht="64.5" hidden="0" customHeight="1">
      <x:c r="A16" s="3" t="s">
        <x:v>1107</x:v>
      </x:c>
      <x:c r="B16" s="3" t="s">
        <x:v>5492</x:v>
      </x:c>
      <x:c r="C16" s="3" t="s">
        <x:v>5493</x:v>
      </x:c>
      <x:c r="D16" s="3" t="n">
        <x:v>32</x:v>
      </x:c>
    </x:row>
    <x:row r="17" ht="64.5" hidden="0" customHeight="1">
      <x:c r="A17" s="3" t="s">
        <x:v>1197</x:v>
      </x:c>
      <x:c r="B17" s="3" t="s">
        <x:v>5495</x:v>
      </x:c>
      <x:c r="C17" s="3" t="s">
        <x:v>5493</x:v>
      </x:c>
      <x:c r="D17" s="3" t="n">
        <x:v>28</x:v>
      </x:c>
    </x:row>
    <x:row r="18" ht="64.5" hidden="0" customHeight="1">
      <x:c r="A18" s="3" t="s">
        <x:v>1279</x:v>
      </x:c>
      <x:c r="B18" s="3" t="s">
        <x:v>5496</x:v>
      </x:c>
      <x:c r="C18" s="3" t="s">
        <x:v>5497</x:v>
      </x:c>
      <x:c r="D18" s="3" t="n">
        <x:v>69</x:v>
      </x:c>
    </x:row>
    <x:row r="19" ht="64.5" hidden="0" customHeight="1">
      <x:c r="A19" s="3" t="s">
        <x:v>1466</x:v>
      </x:c>
      <x:c r="B19" s="3" t="s">
        <x:v>5499</x:v>
      </x:c>
      <x:c r="C19" s="3" t="s">
        <x:v>5481</x:v>
      </x:c>
      <x:c r="D19" s="3" t="n">
        <x:v>43</x:v>
      </x:c>
    </x:row>
    <x:row r="20" ht="61.5" hidden="0" customHeight="1">
      <x:c r="A20" s="3" t="s">
        <x:v>3426</x:v>
      </x:c>
      <x:c r="B20" s="3" t="s">
        <x:v>5508</x:v>
      </x:c>
      <x:c r="C20" s="3" t="s">
        <x:v>5493</x:v>
      </x:c>
      <x:c r="D20" s="3" t="n">
        <x:v>4</x:v>
      </x:c>
    </x:row>
    <x:row r="21" ht="61.5" hidden="0" customHeight="1">
      <x:c r="A21" s="3" t="s">
        <x:v>1703</x:v>
      </x:c>
      <x:c r="B21" s="3" t="s">
        <x:v>5513</x:v>
      </x:c>
      <x:c r="C21" s="3" t="s">
        <x:v>5493</x:v>
      </x:c>
      <x:c r="D21" s="3" t="n">
        <x:v>6</x:v>
      </x:c>
    </x:row>
    <x:row r="22" ht="61.5" hidden="0" customHeight="1">
      <x:c r="A22" s="3" t="s">
        <x:v>1730</x:v>
      </x:c>
      <x:c r="B22" s="3" t="s">
        <x:v>5516</x:v>
      </x:c>
      <x:c r="C22" s="3" t="s">
        <x:v>5493</x:v>
      </x:c>
      <x:c r="D22" s="3" t="n">
        <x:v>6</x:v>
      </x:c>
    </x:row>
    <x:row r="23" ht="61.5" hidden="0" customHeight="1">
      <x:c r="A23" s="3" t="s">
        <x:v>2425</x:v>
      </x:c>
      <x:c r="B23" s="3" t="s">
        <x:v>5517</x:v>
      </x:c>
      <x:c r="C23" s="3" t="s">
        <x:v>5493</x:v>
      </x:c>
      <x:c r="D23" s="3" t="n">
        <x:v>5</x:v>
      </x:c>
    </x:row>
    <x:row r="24" ht="61.5" hidden="0" customHeight="1">
      <x:c r="A24" s="3" t="s">
        <x:v>3443</x:v>
      </x:c>
      <x:c r="B24" s="3" t="s">
        <x:v>5518</x:v>
      </x:c>
      <x:c r="C24" s="3" t="s">
        <x:v>5493</x:v>
      </x:c>
      <x:c r="D24" s="3" t="n">
        <x:v>6</x:v>
      </x:c>
    </x:row>
    <x:row r="25" ht="61.5" hidden="0" customHeight="1">
      <x:c r="A25" s="3" t="s">
        <x:v>2444</x:v>
      </x:c>
      <x:c r="B25" s="3" t="s">
        <x:v>5522</x:v>
      </x:c>
      <x:c r="C25" s="3" t="s">
        <x:v>5493</x:v>
      </x:c>
      <x:c r="D25" s="3" t="n">
        <x:v>3</x:v>
      </x:c>
    </x:row>
    <x:row r="26" ht="61.5" hidden="0" customHeight="1">
      <x:c r="A26" s="3" t="s">
        <x:v>1614</x:v>
      </x:c>
      <x:c r="B26" s="3" t="s">
        <x:v>5527</x:v>
      </x:c>
      <x:c r="C26" s="3" t="s">
        <x:v>5481</x:v>
      </x:c>
      <x:c r="D26" s="3" t="n">
        <x:v>30</x:v>
      </x:c>
    </x:row>
    <x:row r="27" ht="61.5" hidden="0" customHeight="1">
      <x:c r="A27" s="3" t="s">
        <x:v>2999</x:v>
      </x:c>
      <x:c r="B27" s="3" t="s">
        <x:v>5528</x:v>
      </x:c>
      <x:c r="C27" s="3" t="s">
        <x:v>5481</x:v>
      </x:c>
      <x:c r="D27" s="3" t="n">
        <x:v>8</x:v>
      </x:c>
    </x:row>
    <x:row r="28" ht="61.5" hidden="0" customHeight="1">
      <x:c r="A28" s="3" t="s">
        <x:v>2138</x:v>
      </x:c>
      <x:c r="B28" s="3" t="s">
        <x:v>5530</x:v>
      </x:c>
      <x:c r="C28" s="3" t="s">
        <x:v>5481</x:v>
      </x:c>
      <x:c r="D28" s="3" t="n">
        <x:v>17</x:v>
      </x:c>
    </x:row>
    <x:row r="29" ht="61.5" hidden="0" customHeight="1">
      <x:c r="A29" s="3" t="s">
        <x:v>2874</x:v>
      </x:c>
      <x:c r="B29" s="3" t="s">
        <x:v>5531</x:v>
      </x:c>
      <x:c r="C29" s="3" t="s">
        <x:v>5532</x:v>
      </x:c>
      <x:c r="D29" s="3" t="n">
        <x:v>13</x:v>
      </x:c>
    </x:row>
    <x:row r="30" ht="61.5" hidden="0" customHeight="1">
      <x:c r="A30" s="3" t="s">
        <x:v>2181</x:v>
      </x:c>
      <x:c r="B30" s="3" t="s">
        <x:v>5533</x:v>
      </x:c>
      <x:c r="C30" s="3" t="s">
        <x:v>5532</x:v>
      </x:c>
      <x:c r="D30" s="3" t="n">
        <x:v>19</x:v>
      </x:c>
    </x:row>
    <x:row r="31" ht="61.5" hidden="0" customHeight="1">
      <x:c r="A31" s="1" t="s">
        <x:v>1812</x:v>
      </x:c>
      <x:c r="B31" s="1" t="s">
        <x:v>5534</x:v>
      </x:c>
      <x:c r="C31" s="1" t="s">
        <x:v>5478</x:v>
      </x:c>
      <x:c r="D31" s="1" t="n">
        <x:v>11</x:v>
      </x:c>
    </x:row>
    <x:row r="32" ht="61.5" hidden="0" customHeight="1">
      <x:c r="A32" s="1" t="s">
        <x:v>1845</x:v>
      </x:c>
      <x:c r="B32" s="1" t="s">
        <x:v>5535</x:v>
      </x:c>
      <x:c r="C32" s="1" t="s">
        <x:v>5536</x:v>
      </x:c>
      <x:c r="D32" s="1" t="n">
        <x:v>9</x:v>
      </x:c>
    </x:row>
    <x:row r="33" ht="61.5" hidden="0" customHeight="1">
      <x:c r="A33" s="1" t="s">
        <x:v>1871</x:v>
      </x:c>
      <x:c r="B33" s="1" t="s">
        <x:v>5540</x:v>
      </x:c>
      <x:c r="C33" s="1" t="s">
        <x:v>5538</x:v>
      </x:c>
      <x:c r="D33" s="1" t="n">
        <x:v>13</x:v>
      </x:c>
    </x:row>
    <x:row r="34" ht="61.5" hidden="0" customHeight="1">
      <x:c r="A34" s="1" t="s">
        <x:v>2760</x:v>
      </x:c>
      <x:c r="B34" s="1" t="s">
        <x:v>5542</x:v>
      </x:c>
      <x:c r="C34" s="1" t="s">
        <x:v>5538</x:v>
      </x:c>
      <x:c r="D34" s="1" t="n">
        <x:v>15</x:v>
      </x:c>
    </x:row>
    <x:row r="35" ht="61.5" hidden="0" customHeight="1">
      <x:c r="A35" s="1" t="s">
        <x:v>1910</x:v>
      </x:c>
      <x:c r="B35" s="1" t="s">
        <x:v>5543</x:v>
      </x:c>
      <x:c r="C35" s="1" t="s">
        <x:v>5478</x:v>
      </x:c>
      <x:c r="D35" s="1" t="n">
        <x:v>7</x:v>
      </x:c>
    </x:row>
    <x:row r="36" ht="61.5" hidden="0" customHeight="1">
      <x:c r="A36" s="1" t="s">
        <x:v>3993</x:v>
      </x:c>
      <x:c r="B36" s="1" t="s">
        <x:v>5546</x:v>
      </x:c>
      <x:c r="C36" s="1" t="s">
        <x:v>5538</x:v>
      </x:c>
      <x:c r="D36" s="1" t="n">
        <x:v>26</x:v>
      </x:c>
    </x:row>
    <x:row r="37" ht="61.5" hidden="0" customHeight="1">
      <x:c r="A37" s="1" t="s">
        <x:v>1754</x:v>
      </x:c>
      <x:c r="B37" s="1" t="s">
        <x:v>5547</x:v>
      </x:c>
      <x:c r="C37" s="1" t="s">
        <x:v>5538</x:v>
      </x:c>
      <x:c r="D37" s="1" t="n">
        <x:v>16</x:v>
      </x:c>
    </x:row>
    <x:row r="38" ht="61.5" hidden="0" customHeight="1">
      <x:c r="A38" s="1" t="s">
        <x:v>1932</x:v>
      </x:c>
      <x:c r="B38" s="1" t="s">
        <x:v>5548</x:v>
      </x:c>
      <x:c r="C38" s="1" t="s">
        <x:v>5486</x:v>
      </x:c>
      <x:c r="D38" s="1" t="n">
        <x:v>20</x:v>
      </x:c>
    </x:row>
    <x:row r="39" ht="61.5" hidden="0" customHeight="1">
      <x:c r="A39" s="1" t="s">
        <x:v>2802</x:v>
      </x:c>
      <x:c r="B39" s="1" t="s">
        <x:v>5549</x:v>
      </x:c>
      <x:c r="C39" s="1" t="s">
        <x:v>5486</x:v>
      </x:c>
      <x:c r="D39" s="1" t="n">
        <x:v>9</x:v>
      </x:c>
    </x:row>
    <x:row r="40" ht="61.5" hidden="0" customHeight="1">
      <x:c r="A40" s="1" t="s">
        <x:v>3808</x:v>
      </x:c>
      <x:c r="B40" s="1" t="s">
        <x:v>5550</x:v>
      </x:c>
      <x:c r="C40" s="1" t="s">
        <x:v>5551</x:v>
      </x:c>
      <x:c r="D40" s="1" t="n">
        <x:v>19</x:v>
      </x:c>
    </x:row>
    <x:row r="41" ht="61.5" hidden="0" customHeight="1">
      <x:c r="A41" s="1" t="s">
        <x:v>3649</x:v>
      </x:c>
      <x:c r="B41" s="1" t="s">
        <x:v>5553</x:v>
      </x:c>
      <x:c r="C41" s="1" t="s">
        <x:v>5554</x:v>
      </x:c>
      <x:c r="D41" s="1" t="n">
        <x:v>16</x:v>
      </x:c>
    </x:row>
    <x:row r="42" ht="61.5" hidden="0" customHeight="1">
      <x:c r="A42" s="1" t="s">
        <x:v>3721</x:v>
      </x:c>
      <x:c r="B42" s="1" t="s">
        <x:v>5555</x:v>
      </x:c>
      <x:c r="C42" s="1" t="s">
        <x:v>5554</x:v>
      </x:c>
      <x:c r="D42" s="1" t="n">
        <x:v>11</x:v>
      </x:c>
    </x:row>
    <x:row r="43" ht="61.5" hidden="0" customHeight="1">
      <x:c r="A43" s="1" t="s">
        <x:v>3466</x:v>
      </x:c>
      <x:c r="B43" s="1" t="s">
        <x:v>5556</x:v>
      </x:c>
      <x:c r="C43" s="1" t="s">
        <x:v>5554</x:v>
      </x:c>
      <x:c r="D43" s="1" t="n">
        <x:v>23</x:v>
      </x:c>
    </x:row>
    <x:row r="44" ht="61.5" hidden="0" customHeight="1">
      <x:c r="A44" s="1" t="s">
        <x:v>3668</x:v>
      </x:c>
      <x:c r="B44" s="1" t="s">
        <x:v>5557</x:v>
      </x:c>
      <x:c r="C44" s="1" t="s">
        <x:v>5554</x:v>
      </x:c>
      <x:c r="D44" s="1" t="n">
        <x:v>22</x:v>
      </x:c>
    </x:row>
    <x:row r="45" ht="61.5" hidden="0" customHeight="1">
      <x:c r="A45" s="1" t="s">
        <x:v>3759</x:v>
      </x:c>
      <x:c r="B45" s="1" t="s">
        <x:v>5558</x:v>
      </x:c>
      <x:c r="C45" s="1" t="s">
        <x:v>5503</x:v>
      </x:c>
      <x:c r="D45" s="1" t="n">
        <x:v>15</x:v>
      </x:c>
    </x:row>
    <x:row r="46" ht="61.5" hidden="0" customHeight="1">
      <x:c r="A46" s="1" t="s">
        <x:v>3191</x:v>
      </x:c>
      <x:c r="B46" s="1" t="s">
        <x:v>5563</x:v>
      </x:c>
      <x:c r="C46" s="1" t="s">
        <x:v>5503</x:v>
      </x:c>
      <x:c r="D46" s="1" t="n">
        <x:v>4</x:v>
      </x:c>
    </x:row>
    <x:row r="47" ht="61.5" hidden="0" customHeight="1">
      <x:c r="A47" s="1" t="s">
        <x:v>3207</x:v>
      </x:c>
      <x:c r="B47" s="1" t="s">
        <x:v>5564</x:v>
      </x:c>
      <x:c r="C47" s="1" t="s">
        <x:v>5503</x:v>
      </x:c>
      <x:c r="D47" s="1" t="n">
        <x:v>10</x:v>
      </x:c>
    </x:row>
    <x:row r="48" ht="61.5" hidden="0" customHeight="1">
      <x:c r="A48" s="1" t="s">
        <x:v>1980</x:v>
      </x:c>
      <x:c r="B48" s="1" t="s">
        <x:v>5569</x:v>
      </x:c>
      <x:c r="C48" s="1" t="s">
        <x:v>5568</x:v>
      </x:c>
      <x:c r="D48" s="1" t="n">
        <x:v>18</x:v>
      </x:c>
    </x:row>
    <x:row r="49" ht="61.5" hidden="0" customHeight="1">
      <x:c r="A49" s="1" t="s">
        <x:v>3535</x:v>
      </x:c>
      <x:c r="B49" s="1" t="s">
        <x:v>5570</x:v>
      </x:c>
      <x:c r="C49" s="1" t="s">
        <x:v>5568</x:v>
      </x:c>
      <x:c r="D49" s="1" t="n">
        <x:v>20</x:v>
      </x:c>
    </x:row>
    <x:row r="50" ht="61.5" hidden="0" customHeight="1">
      <x:c r="A50" s="1" t="s">
        <x:v>2227</x:v>
      </x:c>
      <x:c r="B50" s="1" t="s">
        <x:v>5575</x:v>
      </x:c>
      <x:c r="C50" s="1" t="s">
        <x:v>5573</x:v>
      </x:c>
      <x:c r="D50" s="1" t="n">
        <x:v>17</x:v>
      </x:c>
    </x:row>
    <x:row r="51" ht="61.5" hidden="0" customHeight="1">
      <x:c r="A51" s="1" t="s">
        <x:v>2268</x:v>
      </x:c>
      <x:c r="B51" s="1" t="s">
        <x:v>5576</x:v>
      </x:c>
      <x:c r="C51" s="1" t="s">
        <x:v>5573</x:v>
      </x:c>
      <x:c r="D51" s="1" t="n">
        <x:v>15</x:v>
      </x:c>
    </x:row>
    <x:row r="52" ht="61.5" hidden="0" customHeight="1">
      <x:c r="A52" s="1" t="s">
        <x:v>3142</x:v>
      </x:c>
      <x:c r="B52" s="1" t="s">
        <x:v>5577</x:v>
      </x:c>
      <x:c r="C52" s="1" t="s">
        <x:v>5573</x:v>
      </x:c>
      <x:c r="D52" s="1" t="n">
        <x:v>7</x:v>
      </x:c>
    </x:row>
    <x:row r="53" ht="61.5" hidden="0" customHeight="1">
      <x:c r="A53" s="1" t="s">
        <x:v>2025</x:v>
      </x:c>
      <x:c r="B53" s="1" t="s">
        <x:v>5578</x:v>
      </x:c>
      <x:c r="C53" s="1" t="s">
        <x:v>5579</x:v>
      </x:c>
      <x:c r="D53" s="1" t="n">
        <x:v>21</x:v>
      </x:c>
    </x:row>
    <x:row r="54" ht="61.5" hidden="0" customHeight="1">
      <x:c r="A54" s="1" t="s">
        <x:v>2830</x:v>
      </x:c>
      <x:c r="B54" s="1" t="s">
        <x:v>5591</x:v>
      </x:c>
      <x:c r="C54" s="1" t="s">
        <x:v>5592</x:v>
      </x:c>
      <x:c r="D54" s="1" t="n">
        <x:v>18</x:v>
      </x:c>
    </x:row>
    <x:row r="55" ht="61.5" hidden="0" customHeight="1">
      <x:c r="A55" s="1" t="s">
        <x:v>2306</x:v>
      </x:c>
      <x:c r="B55" s="1" t="s">
        <x:v>5593</x:v>
      </x:c>
      <x:c r="C55" s="1" t="s">
        <x:v>5592</x:v>
      </x:c>
      <x:c r="D55" s="1" t="n">
        <x:v>16</x:v>
      </x:c>
    </x:row>
    <x:row r="56" ht="61.5" hidden="0" customHeight="1">
      <x:c r="A56" s="1" t="s">
        <x:v>2554</x:v>
      </x:c>
      <x:c r="B56" s="1" t="s">
        <x:v>5594</x:v>
      </x:c>
      <x:c r="C56" s="1" t="s">
        <x:v>5592</x:v>
      </x:c>
      <x:c r="D56" s="1" t="n">
        <x:v>17</x:v>
      </x:c>
    </x:row>
    <x:row r="57" ht="61.5" hidden="0" customHeight="1">
      <x:c r="A57" s="1" t="s">
        <x:v>3247</x:v>
      </x:c>
      <x:c r="B57" s="1" t="s">
        <x:v>5597</x:v>
      </x:c>
      <x:c r="C57" s="1" t="s">
        <x:v>5592</x:v>
      </x:c>
      <x:c r="D57" s="1" t="n">
        <x:v>12</x:v>
      </x:c>
    </x:row>
    <x:row r="58" ht="61.5" hidden="0" customHeight="1">
      <x:c r="A58" s="1" t="s">
        <x:v>3296</x:v>
      </x:c>
      <x:c r="B58" s="1" t="s">
        <x:v>5598</x:v>
      </x:c>
      <x:c r="C58" s="1" t="s">
        <x:v>5599</x:v>
      </x:c>
      <x:c r="D58" s="1" t="n">
        <x:v>12</x:v>
      </x:c>
    </x:row>
    <x:row r="59" ht="61.5" hidden="0" customHeight="1">
      <x:c r="A59" s="1" t="s">
        <x:v>3029</x:v>
      </x:c>
      <x:c r="B59" s="1" t="s">
        <x:v>5600</x:v>
      </x:c>
      <x:c r="C59" s="1" t="s">
        <x:v>5601</x:v>
      </x:c>
      <x:c r="D59" s="1" t="n">
        <x:v>11</x:v>
      </x:c>
    </x:row>
    <x:row r="60" ht="61.5" hidden="0" customHeight="1">
      <x:c r="A60" s="1" t="s">
        <x:v>3064</x:v>
      </x:c>
      <x:c r="B60" s="1" t="s">
        <x:v>5602</x:v>
      </x:c>
      <x:c r="C60" s="1" t="s">
        <x:v>5603</x:v>
      </x:c>
      <x:c r="D60" s="1" t="n">
        <x:v>12</x:v>
      </x:c>
    </x:row>
    <x:row r="61" ht="61.5" hidden="0" customHeight="1">
      <x:c r="A61" s="1" t="s">
        <x:v>2344</x:v>
      </x:c>
      <x:c r="B61" s="1" t="s">
        <x:v>5604</x:v>
      </x:c>
      <x:c r="C61" s="1" t="s">
        <x:v>5603</x:v>
      </x:c>
      <x:c r="D61" s="1" t="n">
        <x:v>17</x:v>
      </x:c>
    </x:row>
    <x:row r="62" ht="61.5" hidden="0" customHeight="1">
      <x:c r="A62" s="1" t="s">
        <x:v>3375</x:v>
      </x:c>
      <x:c r="B62" s="1" t="s">
        <x:v>5605</x:v>
      </x:c>
      <x:c r="C62" s="1" t="s">
        <x:v>5603</x:v>
      </x:c>
      <x:c r="D62" s="1" t="n">
        <x:v>19</x:v>
      </x:c>
    </x:row>
    <x:row r="63" ht="61.5" hidden="0" customHeight="1">
      <x:c r="A63" s="1" t="s">
        <x:v>3106</x:v>
      </x:c>
      <x:c r="B63" s="1" t="s">
        <x:v>5606</x:v>
      </x:c>
      <x:c r="C63" s="1" t="s">
        <x:v>5603</x:v>
      </x:c>
      <x:c r="D63" s="1" t="n">
        <x:v>11</x:v>
      </x:c>
    </x:row>
    <x:row r="64" ht="61.5" hidden="0" customHeight="1">
      <x:c r="A64" s="1" t="s">
        <x:v>4068</x:v>
      </x:c>
      <x:c r="B64" s="1" t="s">
        <x:v>5607</x:v>
      </x:c>
      <x:c r="C64" s="1" t="s">
        <x:v>5608</x:v>
      </x:c>
      <x:c r="D64" s="1" t="n">
        <x:v>30</x:v>
      </x:c>
    </x:row>
    <x:row r="65" ht="61.5" hidden="0" customHeight="1">
      <x:c r="A65" s="1" t="s">
        <x:v>3600</x:v>
      </x:c>
      <x:c r="B65" s="1" t="s">
        <x:v>5609</x:v>
      </x:c>
      <x:c r="C65" s="1" t="s">
        <x:v>5608</x:v>
      </x:c>
      <x:c r="D65" s="1" t="n">
        <x:v>18</x:v>
      </x:c>
    </x:row>
    <x:row r="66" ht="61.5" hidden="0" customHeight="1">
      <x:c r="A66" s="1" t="s">
        <x:v>2461</x:v>
      </x:c>
      <x:c r="B66" s="1" t="s">
        <x:v>5610</x:v>
      </x:c>
      <x:c r="C66" s="1" t="s">
        <x:v>5599</x:v>
      </x:c>
      <x:c r="D66" s="1" t="n">
        <x:v>8</x:v>
      </x:c>
    </x:row>
    <x:row r="67" ht="61.5" hidden="0" customHeight="1">
      <x:c r="A67" s="1" t="s">
        <x:v>2492</x:v>
      </x:c>
      <x:c r="B67" s="1" t="s">
        <x:v>5611</x:v>
      </x:c>
      <x:c r="C67" s="1" t="s">
        <x:v>5599</x:v>
      </x:c>
      <x:c r="D67" s="1" t="n">
        <x:v>8</x:v>
      </x:c>
    </x:row>
    <x:row r="68" ht="61.5" hidden="0" customHeight="1">
      <x:c r="A68" s="1" t="s">
        <x:v>2517</x:v>
      </x:c>
      <x:c r="B68" s="1" t="s">
        <x:v>5612</x:v>
      </x:c>
      <x:c r="C68" s="1" t="s">
        <x:v>5599</x:v>
      </x:c>
      <x:c r="D68" s="1" t="n">
        <x:v>12</x:v>
      </x:c>
    </x:row>
    <x:row r="69" ht="61.5" hidden="0" customHeight="1">
      <x:c r="A69" s="1" t="s">
        <x:v>2390</x:v>
      </x:c>
      <x:c r="B69" s="1" t="s">
        <x:v>5615</x:v>
      </x:c>
      <x:c r="C69" s="1" t="s">
        <x:v>5614</x:v>
      </x:c>
      <x:c r="D69" s="1" t="n">
        <x:v>14</x:v>
      </x:c>
    </x:row>
    <x:row r="70" ht="61.5" hidden="0" customHeight="1">
      <x:c r="A70" s="1" t="s">
        <x:v>3163</x:v>
      </x:c>
      <x:c r="B70" s="1" t="s">
        <x:v>5616</x:v>
      </x:c>
      <x:c r="C70" s="1" t="s">
        <x:v>5614</x:v>
      </x:c>
      <x:c r="D70" s="1" t="n">
        <x:v>10</x:v>
      </x:c>
    </x:row>
    <x:row r="71" ht="61.5" hidden="0" customHeight="1">
      <x:c r="A71" s="1" t="s">
        <x:v>2084</x:v>
      </x:c>
      <x:c r="B71" s="1" t="s">
        <x:v>5619</x:v>
      </x:c>
      <x:c r="C71" s="1" t="s">
        <x:v>5497</x:v>
      </x:c>
      <x:c r="D71" s="1" t="n">
        <x:v>16</x:v>
      </x:c>
    </x:row>
    <x:row r="72" ht="61.5" hidden="0" customHeight="1">
      <x:c r="A72" s="1" t="s">
        <x:v>4144</x:v>
      </x:c>
      <x:c r="B72" s="1" t="s">
        <x:v>5622</x:v>
      </x:c>
      <x:c r="C72" s="1" t="s">
        <x:v>5538</x:v>
      </x:c>
      <x:c r="D72" s="1" t="n">
        <x:v>22</x:v>
      </x:c>
    </x:row>
    <x:row r="73" ht="61.5" hidden="0" customHeight="1">
      <x:c r="A73" s="1" t="s">
        <x:v>4188</x:v>
      </x:c>
      <x:c r="B73" s="1" t="s">
        <x:v>5623</x:v>
      </x:c>
      <x:c r="C73" s="1" t="s">
        <x:v>5538</x:v>
      </x:c>
      <x:c r="D73" s="1" t="n">
        <x:v>34</x:v>
      </x:c>
    </x:row>
    <x:row r="74" ht="61.5" hidden="0" customHeight="1">
      <x:c r="A74" s="1" t="s">
        <x:v>4278</x:v>
      </x:c>
      <x:c r="B74" s="1" t="s">
        <x:v>5624</x:v>
      </x:c>
      <x:c r="C74" s="1" t="s">
        <x:v>5538</x:v>
      </x:c>
      <x:c r="D74" s="1" t="n">
        <x:v>25</x:v>
      </x:c>
    </x:row>
    <x:row r="75" ht="61.5" hidden="0" customHeight="1">
      <x:c r="A75" s="1" t="s">
        <x:v>2598</x:v>
      </x:c>
      <x:c r="B75" s="1" t="s">
        <x:v>5630</x:v>
      </x:c>
      <x:c r="C75" s="1" t="s">
        <x:v>5608</x:v>
      </x:c>
      <x:c r="D75" s="1" t="n">
        <x:v>19</x:v>
      </x:c>
    </x:row>
    <x:row r="76" ht="61.5" hidden="0" customHeight="1">
      <x:c r="A76" s="1" t="s">
        <x:v>3860</x:v>
      </x:c>
      <x:c r="B76" s="1" t="s">
        <x:v>5631</x:v>
      </x:c>
      <x:c r="C76" s="1" t="s">
        <x:v>5478</x:v>
      </x:c>
      <x:c r="D76" s="1" t="n">
        <x:v>39</x:v>
      </x:c>
    </x:row>
    <x:row r="77" ht="61.5" hidden="0" customHeight="1">
      <x:c r="A77" s="1" t="s">
        <x:v>2681</x:v>
      </x:c>
      <x:c r="B77" s="1" t="s">
        <x:v>5632</x:v>
      </x:c>
      <x:c r="C77" s="1" t="s">
        <x:v>5573</x:v>
      </x:c>
      <x:c r="D77" s="1" t="n">
        <x:v>25</x:v>
      </x:c>
    </x:row>
    <x:row r="78" ht="61.5" hidden="0" customHeight="1">
      <x:c r="A78" s="1" t="s">
        <x:v>2645</x:v>
      </x:c>
      <x:c r="B78" s="1" t="s">
        <x:v>5639</x:v>
      </x:c>
      <x:c r="C78" s="1" t="s">
        <x:v>5551</x:v>
      </x:c>
      <x:c r="D78" s="1" t="n">
        <x:v>17</x:v>
      </x:c>
    </x:row>
    <x:row r="79" ht="61.5" hidden="0" customHeight="1">
      <x:c r="A79" s="1" t="s">
        <x:v>2918</x:v>
      </x:c>
      <x:c r="B79" s="1" t="s">
        <x:v>5640</x:v>
      </x:c>
      <x:c r="C79" s="1" t="s">
        <x:v>5551</x:v>
      </x:c>
      <x:c r="D79" s="1" t="n">
        <x:v>14</x:v>
      </x:c>
    </x:row>
    <x:row r="80" ht="61.5" hidden="0" customHeight="1">
      <x:c r="A80" s="1" t="s">
        <x:v>2957</x:v>
      </x:c>
      <x:c r="B80" s="1" t="s">
        <x:v>5641</x:v>
      </x:c>
      <x:c r="C80" s="1" t="s">
        <x:v>5478</x:v>
      </x:c>
      <x:c r="D80" s="1" t="n">
        <x:v>20</x:v>
      </x:c>
    </x:row>
    <x:row r="81" ht="61.5" hidden="0" customHeight="1">
      <x:c r="A81" s="1" t="s">
        <x:v>3339</x:v>
      </x:c>
      <x:c r="B81" s="1" t="s">
        <x:v>5647</x:v>
      </x:c>
      <x:c r="C81" s="1" t="s">
        <x:v>5497</x:v>
      </x:c>
      <x:c r="D81" s="1" t="n">
        <x:v>9</x:v>
      </x:c>
    </x:row>
    <x:row r="82" ht="15" hidden="0" customHeight="1">
      <x:c r="A82" s="1" t="s">
        <x:v>4553</x:v>
      </x:c>
      <x:c r="B82" s="1" t="s">
        <x:v>5519</x:v>
      </x:c>
      <x:c r="C82" s="1" t="s">
        <x:v>5493</x:v>
      </x:c>
      <x:c r="D82" s="1" t="n">
        <x:v>3</x:v>
      </x:c>
    </x:row>
    <x:row r="83" ht="15" hidden="0" customHeight="1">
      <x:c r="A83" s="1" t="s">
        <x:v>4570</x:v>
      </x:c>
      <x:c r="B83" s="1" t="s">
        <x:v>5521</x:v>
      </x:c>
      <x:c r="C83" s="1" t="s">
        <x:v>5493</x:v>
      </x:c>
      <x:c r="D83" s="1" t="n">
        <x:v>4</x:v>
      </x:c>
    </x:row>
    <x:row r="84" ht="15" hidden="0" customHeight="1">
      <x:c r="A84" s="1" t="s">
        <x:v>4585</x:v>
      </x:c>
      <x:c r="B84" s="1" t="s">
        <x:v>5565</x:v>
      </x:c>
      <x:c r="C84" s="1" t="s">
        <x:v>5503</x:v>
      </x:c>
      <x:c r="D84" s="1" t="n">
        <x:v>8</x:v>
      </x:c>
    </x:row>
    <x:row r="85" ht="15" hidden="0" customHeight="1">
      <x:c r="A85" s="1" t="s">
        <x:v>4482</x:v>
      </x:c>
      <x:c r="B85" s="1" t="s">
        <x:v>5617</x:v>
      </x:c>
      <x:c r="C85" s="1" t="s">
        <x:v>5599</x:v>
      </x:c>
      <x:c r="D85" s="1" t="n">
        <x:v>19</x:v>
      </x:c>
    </x:row>
    <x:row r="86" ht="15" hidden="0" customHeight="1">
      <x:c r="A86" s="1" t="s">
        <x:v>4336</x:v>
      </x:c>
      <x:c r="B86" s="1" t="s">
        <x:v>5620</x:v>
      </x:c>
      <x:c r="C86" s="1" t="s">
        <x:v>5481</x:v>
      </x:c>
      <x:c r="D86" s="1" t="n">
        <x:v>45</x:v>
      </x:c>
    </x:row>
    <x:row r="87" ht="15" hidden="0" customHeight="1">
      <x:c r="A87" s="1" t="s">
        <x:v>4614</x:v>
      </x:c>
      <x:c r="B87" s="1" t="s">
        <x:v>5643</x:v>
      </x:c>
      <x:c r="C87" s="1" t="s">
        <x:v>5481</x:v>
      </x:c>
      <x:c r="D87" s="1" t="n">
        <x:v>3</x:v>
      </x:c>
    </x:row>
    <x:row r="88" ht="15" hidden="0" customHeight="1">
      <x:c r="A88" s="1" t="s">
        <x:v>4629</x:v>
      </x:c>
      <x:c r="B88" s="1" t="s">
        <x:v>5505</x:v>
      </x:c>
      <x:c r="C88" s="1" t="s">
        <x:v>5503</x:v>
      </x:c>
      <x:c r="D88" s="1" t="n">
        <x:v>23</x:v>
      </x:c>
    </x:row>
    <x:row r="89" ht="15" hidden="0" customHeight="1">
      <x:c r="A89" s="1" t="s">
        <x:v>4833</x:v>
      </x:c>
      <x:c r="B89" s="1" t="s">
        <x:v>5595</x:v>
      </x:c>
      <x:c r="C89" s="1" t="s">
        <x:v>5592</x:v>
      </x:c>
      <x:c r="D89" s="1" t="n">
        <x:v>20</x:v>
      </x:c>
    </x:row>
    <x:row r="90" ht="15" hidden="0" customHeight="1">
      <x:c r="A90" s="1" t="s">
        <x:v>4786</x:v>
      </x:c>
      <x:c r="B90" s="1" t="s">
        <x:v>5625</x:v>
      </x:c>
      <x:c r="C90" s="1" t="s">
        <x:v>5608</x:v>
      </x:c>
      <x:c r="D90" s="1" t="n">
        <x:v>16</x:v>
      </x:c>
    </x:row>
    <x:row r="91" ht="15" hidden="0" customHeight="1">
      <x:c r="A91" s="1" t="s">
        <x:v>4707</x:v>
      </x:c>
      <x:c r="B91" s="1" t="s">
        <x:v>5627</x:v>
      </x:c>
      <x:c r="C91" s="1" t="s">
        <x:v>5608</x:v>
      </x:c>
      <x:c r="D91" s="1" t="n">
        <x:v>22</x:v>
      </x:c>
    </x:row>
    <x:row r="92" ht="15" hidden="0" customHeight="1">
      <x:c r="A92" s="1" t="s">
        <x:v>4916</x:v>
      </x:c>
      <x:c r="B92" s="1" t="s">
        <x:v>5514</x:v>
      </x:c>
      <x:c r="C92" s="1" t="s">
        <x:v>5493</x:v>
      </x:c>
      <x:c r="D92" s="1" t="n">
        <x:v>8</x:v>
      </x:c>
    </x:row>
    <x:row r="93" ht="15" hidden="0" customHeight="1">
      <x:c r="A93" s="1" t="s">
        <x:v>2999</x:v>
      </x:c>
      <x:c r="B93" s="1" t="s">
        <x:v>5528</x:v>
      </x:c>
      <x:c r="C93" s="1" t="s">
        <x:v>5481</x:v>
      </x:c>
      <x:c r="D93" s="1" t="n">
        <x:v>16</x:v>
      </x:c>
    </x:row>
    <x:row r="94" ht="15" hidden="0" customHeight="1">
      <x:c r="A94" s="1" t="s">
        <x:v>2802</x:v>
      </x:c>
      <x:c r="B94" s="1" t="s">
        <x:v>5549</x:v>
      </x:c>
      <x:c r="C94" s="1" t="s">
        <x:v>5486</x:v>
      </x:c>
      <x:c r="D94" s="1" t="n">
        <x:v>16</x:v>
      </x:c>
    </x:row>
    <x:row r="95" ht="15" hidden="0" customHeight="1">
      <x:c r="A95" s="1" t="s">
        <x:v>5101</x:v>
      </x:c>
      <x:c r="B95" s="1" t="s">
        <x:v>5510</x:v>
      </x:c>
      <x:c r="C95" s="1" t="s">
        <x:v>5493</x:v>
      </x:c>
      <x:c r="D95" s="1" t="n">
        <x:v>2</x:v>
      </x:c>
    </x:row>
    <x:row r="96" ht="15" hidden="0" customHeight="1">
      <x:c r="A96" s="1" t="s">
        <x:v>5151</x:v>
      </x:c>
      <x:c r="B96" s="1" t="s">
        <x:v>5523</x:v>
      </x:c>
      <x:c r="C96" s="1" t="s">
        <x:v>5493</x:v>
      </x:c>
      <x:c r="D96" s="1" t="n">
        <x:v>2</x:v>
      </x:c>
    </x:row>
    <x:row r="97" ht="15" hidden="0" customHeight="1">
      <x:c r="A97" s="1" t="s">
        <x:v>5111</x:v>
      </x:c>
      <x:c r="B97" s="1" t="s">
        <x:v>5545</x:v>
      </x:c>
      <x:c r="C97" s="1" t="s">
        <x:v>5538</x:v>
      </x:c>
      <x:c r="D97" s="1" t="n">
        <x:v>3</x:v>
      </x:c>
    </x:row>
    <x:row r="98" ht="15" hidden="0" customHeight="1">
      <x:c r="A98" s="1" t="s">
        <x:v>5123</x:v>
      </x:c>
      <x:c r="B98" s="1" t="s">
        <x:v>5552</x:v>
      </x:c>
      <x:c r="C98" s="1" t="s">
        <x:v>5486</x:v>
      </x:c>
      <x:c r="D98" s="1" t="n">
        <x:v>3</x:v>
      </x:c>
    </x:row>
    <x:row r="99" ht="15" hidden="0" customHeight="1">
      <x:c r="A99" s="1" t="s">
        <x:v>5134</x:v>
      </x:c>
      <x:c r="B99" s="1" t="s">
        <x:v>5561</x:v>
      </x:c>
      <x:c r="C99" s="1" t="s">
        <x:v>5503</x:v>
      </x:c>
      <x:c r="D99" s="1" t="n">
        <x:v>2</x:v>
      </x:c>
    </x:row>
    <x:row r="100" ht="15" hidden="0" customHeight="1">
      <x:c r="A100" s="1" t="s">
        <x:v>5160</x:v>
      </x:c>
      <x:c r="B100" s="1" t="s">
        <x:v>5562</x:v>
      </x:c>
      <x:c r="C100" s="1" t="s">
        <x:v>5503</x:v>
      </x:c>
      <x:c r="D100" s="1" t="n">
        <x:v>3</x:v>
      </x:c>
    </x:row>
    <x:row r="101" ht="15" hidden="0" customHeight="1">
      <x:c r="A101" s="1" t="s">
        <x:v>4833</x:v>
      </x:c>
      <x:c r="B101" s="1" t="s">
        <x:v>5595</x:v>
      </x:c>
      <x:c r="C101" s="1" t="s">
        <x:v>5592</x:v>
      </x:c>
      <x:c r="D101" s="1" t="n">
        <x:v>9</x:v>
      </x:c>
    </x:row>
    <x:row r="102" ht="15" hidden="0" customHeight="1">
      <x:c r="A102" s="1" t="s">
        <x:v>5142</x:v>
      </x:c>
      <x:c r="B102" s="1" t="s">
        <x:v>5642</x:v>
      </x:c>
      <x:c r="C102" s="1" t="s">
        <x:v>5532</x:v>
      </x:c>
      <x:c r="D102" s="1" t="n">
        <x:v>2</x:v>
      </x:c>
    </x:row>
    <x:row r="103" ht="15" hidden="0" customHeight="1">
      <x:c r="A103" s="1" t="s">
        <x:v>5171</x:v>
      </x:c>
      <x:c r="B103" s="1" t="s">
        <x:v>5645</x:v>
      </x:c>
      <x:c r="C103" s="1" t="s">
        <x:v>5536</x:v>
      </x:c>
      <x:c r="D103" s="1" t="n">
        <x:v>10</x:v>
      </x:c>
    </x:row>
    <x:row r="104" ht="15" hidden="0" customHeight="1">
      <x:c r="A104" s="1" t="s">
        <x:v>4707</x:v>
      </x:c>
      <x:c r="B104" s="1" t="s">
        <x:v>5627</x:v>
      </x:c>
      <x:c r="C104" s="1" t="s">
        <x:v>5608</x:v>
      </x:c>
      <x:c r="D104" s="1" t="n">
        <x:v>7</x:v>
      </x:c>
    </x:row>
    <x:row r="105" ht="15" hidden="0" customHeight="1">
      <x:c r="A105" s="1" t="s">
        <x:v>4916</x:v>
      </x:c>
      <x:c r="B105" s="1" t="s">
        <x:v>5514</x:v>
      </x:c>
      <x:c r="C105" s="1" t="s">
        <x:v>5493</x:v>
      </x:c>
      <x:c r="D105" s="1" t="n">
        <x:v>1</x:v>
      </x:c>
    </x:row>
    <x:row r="106" ht="15" hidden="0" customHeight="1">
      <x:c r="A106" s="1" t="s">
        <x:v>781</x:v>
      </x:c>
      <x:c r="B106" s="1" t="s">
        <x:v>5574</x:v>
      </x:c>
      <x:c r="C106" s="1" t="s">
        <x:v>5573</x:v>
      </x:c>
      <x:c r="D106" s="1" t="n">
        <x:v>1</x:v>
      </x:c>
    </x:row>
    <x:row r="107" ht="15" hidden="0" customHeight="1">
      <x:c r="A107" s="1" t="s">
        <x:v>4833</x:v>
      </x:c>
      <x:c r="B107" s="1" t="s">
        <x:v>5595</x:v>
      </x:c>
      <x:c r="C107" s="1" t="s">
        <x:v>5592</x:v>
      </x:c>
      <x:c r="D107" s="1" t="n">
        <x:v>4</x:v>
      </x:c>
    </x:row>
    <x:row r="108" ht="15" hidden="0" customHeight="1">
      <x:c r="A108" s="1" t="s">
        <x:v>4482</x:v>
      </x:c>
      <x:c r="B108" s="1" t="s">
        <x:v>5617</x:v>
      </x:c>
      <x:c r="C108" s="1" t="s">
        <x:v>5599</x:v>
      </x:c>
      <x:c r="D108" s="1" t="n">
        <x:v>1</x:v>
      </x:c>
    </x:row>
    <x:row r="109" ht="15" hidden="0" customHeight="1">
      <x:c r="A109" s="1" t="s">
        <x:v>4336</x:v>
      </x:c>
      <x:c r="B109" s="1" t="s">
        <x:v>5620</x:v>
      </x:c>
      <x:c r="C109" s="1" t="s">
        <x:v>5481</x:v>
      </x:c>
      <x:c r="D109" s="1" t="n">
        <x:v>2</x:v>
      </x:c>
    </x:row>
    <x:row r="110" ht="15" hidden="0" customHeight="1">
      <x:c r="A110" s="1" t="s">
        <x:v>4786</x:v>
      </x:c>
      <x:c r="B110" s="1" t="s">
        <x:v>5625</x:v>
      </x:c>
      <x:c r="C110" s="1" t="s">
        <x:v>5608</x:v>
      </x:c>
      <x:c r="D110" s="1" t="n">
        <x:v>6</x:v>
      </x:c>
    </x:row>
    <x:row r="111" ht="15" hidden="0" customHeight="1">
      <x:c r="A111" s="1" t="s">
        <x:v>554</x:v>
      </x:c>
      <x:c r="B111" s="1" t="s">
        <x:v>5487</x:v>
      </x:c>
      <x:c r="C111" s="1" t="s">
        <x:v>5481</x:v>
      </x:c>
      <x:c r="D111" s="1" t="n">
        <x:v>37</x:v>
      </x:c>
    </x:row>
    <x:row r="112" ht="15" hidden="0" customHeight="1">
      <x:c r="A112" s="1" t="s">
        <x:v>628</x:v>
      </x:c>
      <x:c r="B112" s="1" t="s">
        <x:v>5525</x:v>
      </x:c>
      <x:c r="C112" s="1" t="s">
        <x:v>5481</x:v>
      </x:c>
      <x:c r="D112" s="1" t="n">
        <x:v>16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5" width="34" style="1" hidden="0" customWidth="1"/>
  </x:cols>
  <x:sheetData>
    <x:row r="1" ht="15" hidden="0" customHeight="1">
      <x:c r="A1" s="6" t="s">
        <x:v>6007</x:v>
      </x:c>
      <x:c r="B1" s="6" t="s">
        <x:v>6008</x:v>
      </x:c>
      <x:c r="C1" s="6" t="s">
        <x:v>6009</x:v>
      </x:c>
      <x:c r="D1" s="6" t="s">
        <x:v>79</x:v>
      </x:c>
      <x:c r="E1" s="6" t="s">
        <x:v>6010</x:v>
      </x:c>
      <x:c r="F1" s="1" t="s">
        <x:v>6011</x:v>
      </x:c>
    </x:row>
    <x:row r="2" ht="41.25" hidden="0" customHeight="1">
      <x:c r="A2" s="3" t="s">
        <x:v>6012</x:v>
      </x:c>
      <x:c r="B2" s="3" t="s">
        <x:v>6013</x:v>
      </x:c>
      <x:c r="C2" s="3" t="s">
        <x:v>6014</x:v>
      </x:c>
      <x:c r="D2" s="3" t="s">
        <x:v>6015</x:v>
      </x:c>
      <x:c r="E2" s="3" t="s">
        <x:v>6016</x:v>
      </x:c>
    </x:row>
    <x:row r="3" ht="54.75" hidden="0" customHeight="1">
      <x:c r="A3" s="3" t="s">
        <x:v>6017</x:v>
      </x:c>
      <x:c r="B3" s="3" t="s">
        <x:v>6018</x:v>
      </x:c>
      <x:c r="C3" s="3" t="s">
        <x:v>6014</x:v>
      </x:c>
      <x:c r="D3" s="3" t="s">
        <x:v>6015</x:v>
      </x:c>
      <x:c r="E3" s="3" t="s">
        <x:v>6019</x:v>
      </x:c>
    </x:row>
    <x:row r="4" ht="41.25" hidden="0" customHeight="1">
      <x:c r="A4" s="3" t="s">
        <x:v>6020</x:v>
      </x:c>
      <x:c r="B4" s="3" t="s">
        <x:v>6021</x:v>
      </x:c>
      <x:c r="C4" s="3" t="s">
        <x:v>6022</x:v>
      </x:c>
      <x:c r="D4" s="3" t="s">
        <x:v>6015</x:v>
      </x:c>
      <x:c r="E4" s="3" t="s">
        <x:v>6023</x:v>
      </x:c>
    </x:row>
    <x:row r="5" ht="41.25" hidden="0" customHeight="1">
      <x:c r="A5" s="3" t="s">
        <x:v>6024</x:v>
      </x:c>
      <x:c r="B5" s="3" t="s">
        <x:v>6025</x:v>
      </x:c>
      <x:c r="C5" s="3" t="s">
        <x:v>356</x:v>
      </x:c>
      <x:c r="D5" s="3" t="s">
        <x:v>6015</x:v>
      </x:c>
      <x:c r="E5" s="3" t="s">
        <x:v>6026</x:v>
      </x:c>
    </x:row>
    <x:row r="6" ht="41.25" hidden="0" customHeight="1">
      <x:c r="A6" s="3" t="s">
        <x:v>6027</x:v>
      </x:c>
      <x:c r="B6" s="3" t="s">
        <x:v>6028</x:v>
      </x:c>
      <x:c r="C6" s="3" t="s">
        <x:v>194</x:v>
      </x:c>
      <x:c r="D6" s="3" t="s">
        <x:v>6015</x:v>
      </x:c>
      <x:c r="E6" s="3" t="s">
        <x:v>6029</x:v>
      </x:c>
    </x:row>
    <x:row r="7" ht="41.25" hidden="0" customHeight="1">
      <x:c r="A7" s="3" t="s">
        <x:v>6030</x:v>
      </x:c>
      <x:c r="B7" s="3" t="s">
        <x:v>6031</x:v>
      </x:c>
      <x:c r="C7" s="3" t="s">
        <x:v>279</x:v>
      </x:c>
      <x:c r="D7" s="3" t="s">
        <x:v>6015</x:v>
      </x:c>
      <x:c r="E7" s="3" t="s">
        <x:v>6032</x:v>
      </x:c>
    </x:row>
    <x:row r="8" ht="41.25" hidden="0" customHeight="1">
      <x:c r="A8" s="3" t="s">
        <x:v>6033</x:v>
      </x:c>
      <x:c r="B8" s="3" t="s">
        <x:v>6034</x:v>
      </x:c>
      <x:c r="C8" s="3" t="s">
        <x:v>6035</x:v>
      </x:c>
      <x:c r="D8" s="3" t="s">
        <x:v>6015</x:v>
      </x:c>
      <x:c r="E8" s="3" t="s">
        <x:v>6036</x:v>
      </x:c>
    </x:row>
    <x:row r="9" ht="41.25" hidden="0" customHeight="1">
      <x:c r="A9" s="3" t="s">
        <x:v>6037</x:v>
      </x:c>
      <x:c r="B9" s="3" t="s">
        <x:v>6038</x:v>
      </x:c>
      <x:c r="C9" s="3" t="s">
        <x:v>477</x:v>
      </x:c>
      <x:c r="D9" s="3" t="s">
        <x:v>6015</x:v>
      </x:c>
      <x:c r="E9" s="3" t="s">
        <x:v>6039</x:v>
      </x:c>
    </x:row>
    <x:row r="10" ht="69.75" hidden="0" customHeight="1">
      <x:c r="A10" s="3" t="s">
        <x:v>6040</x:v>
      </x:c>
      <x:c r="B10" s="3" t="s">
        <x:v>1102</x:v>
      </x:c>
      <x:c r="C10" s="3" t="s">
        <x:v>875</x:v>
      </x:c>
      <x:c r="D10" s="3" t="s">
        <x:v>181</x:v>
      </x:c>
      <x:c r="E10" s="3" t="s">
        <x:v>6041</x:v>
      </x:c>
    </x:row>
    <x:row r="11" ht="69.75" hidden="0" customHeight="1">
      <x:c r="A11" s="3" t="s">
        <x:v>6042</x:v>
      </x:c>
      <x:c r="B11" s="3" t="s">
        <x:v>1194</x:v>
      </x:c>
      <x:c r="C11" s="3" t="s">
        <x:v>1107</x:v>
      </x:c>
      <x:c r="D11" s="3" t="s">
        <x:v>181</x:v>
      </x:c>
      <x:c r="E11" s="3" t="s">
        <x:v>6043</x:v>
      </x:c>
    </x:row>
    <x:row r="12" ht="69.75" hidden="0" customHeight="1">
      <x:c r="A12" s="3" t="s">
        <x:v>6044</x:v>
      </x:c>
      <x:c r="B12" s="3" t="s">
        <x:v>1276</x:v>
      </x:c>
      <x:c r="C12" s="3" t="s">
        <x:v>1197</x:v>
      </x:c>
      <x:c r="D12" s="3" t="s">
        <x:v>181</x:v>
      </x:c>
      <x:c r="E12" s="3" t="s">
        <x:v>6045</x:v>
      </x:c>
    </x:row>
    <x:row r="13" ht="69.75" hidden="0" customHeight="1">
      <x:c r="A13" s="3" t="s">
        <x:v>6046</x:v>
      </x:c>
      <x:c r="B13" s="3" t="s">
        <x:v>1463</x:v>
      </x:c>
      <x:c r="C13" s="3" t="s">
        <x:v>1279</x:v>
      </x:c>
      <x:c r="D13" s="3" t="s">
        <x:v>181</x:v>
      </x:c>
      <x:c r="E13" s="3" t="s">
        <x:v>6047</x:v>
      </x:c>
    </x:row>
    <x:row r="14" ht="69.75" hidden="0" customHeight="1">
      <x:c r="A14" s="3" t="s">
        <x:v>6048</x:v>
      </x:c>
      <x:c r="B14" s="3" t="s">
        <x:v>1611</x:v>
      </x:c>
      <x:c r="C14" s="3" t="s">
        <x:v>1466</x:v>
      </x:c>
      <x:c r="D14" s="3" t="s">
        <x:v>181</x:v>
      </x:c>
      <x:c r="E14" s="3" t="s">
        <x:v>6049</x:v>
      </x:c>
    </x:row>
    <x:row r="15" ht="79.5" hidden="0" customHeight="1">
      <x:c r="A15" s="8" t="s">
        <x:v>6050</x:v>
      </x:c>
      <x:c r="B15" s="8" t="s">
        <x:v>2747</x:v>
      </x:c>
      <x:c r="C15" s="8" t="s">
        <x:v>2181</x:v>
      </x:c>
      <x:c r="D15" s="8" t="s">
        <x:v>6051</x:v>
      </x:c>
      <x:c r="E15" s="8" t="s">
        <x:v>6052</x:v>
      </x:c>
      <x:c r="F15" s="1" t="s">
        <x:v>6053</x:v>
      </x:c>
    </x:row>
    <x:row r="16" ht="79.5" hidden="0" customHeight="1">
      <x:c r="A16" s="8" t="s">
        <x:v>6054</x:v>
      </x:c>
      <x:c r="B16" s="8" t="s">
        <x:v>2752</x:v>
      </x:c>
      <x:c r="C16" s="8" t="s">
        <x:v>1871</x:v>
      </x:c>
      <x:c r="D16" s="8" t="s">
        <x:v>6051</x:v>
      </x:c>
      <x:c r="E16" s="8" t="s">
        <x:v>6055</x:v>
      </x:c>
      <x:c r="F16" s="1" t="s">
        <x:v>6056</x:v>
      </x:c>
    </x:row>
    <x:row r="17" ht="79.5" hidden="0" customHeight="1">
      <x:c r="A17" s="8" t="s">
        <x:v>6057</x:v>
      </x:c>
      <x:c r="B17" s="8" t="s">
        <x:v>2755</x:v>
      </x:c>
      <x:c r="C17" s="8" t="s">
        <x:v>2390</x:v>
      </x:c>
      <x:c r="D17" s="8" t="s">
        <x:v>6051</x:v>
      </x:c>
      <x:c r="E17" s="8" t="s">
        <x:v>6058</x:v>
      </x:c>
      <x:c r="F17" s="1" t="s">
        <x:v>6059</x:v>
      </x:c>
    </x:row>
    <x:row r="18" ht="79.5" hidden="0" customHeight="1">
      <x:c r="A18" s="8" t="s">
        <x:v>6060</x:v>
      </x:c>
      <x:c r="B18" s="8" t="s">
        <x:v>2758</x:v>
      </x:c>
      <x:c r="C18" s="8" t="s">
        <x:v>2598</x:v>
      </x:c>
      <x:c r="D18" s="8" t="s">
        <x:v>6051</x:v>
      </x:c>
      <x:c r="E18" s="8" t="s">
        <x:v>6061</x:v>
      </x:c>
      <x:c r="F18" s="1" t="s">
        <x:v>6062</x:v>
      </x:c>
    </x:row>
    <x:row r="19" ht="15" hidden="0" customHeight="1">
      <x:c r="A19" s="1" t="s">
        <x:v>4476</x:v>
      </x:c>
      <x:c r="B19" s="1" t="s">
        <x:v>4478</x:v>
      </x:c>
      <x:c r="C19" s="1" t="s">
        <x:v>4336</x:v>
      </x:c>
      <x:c r="D19" s="1" t="s">
        <x:v>6051</x:v>
      </x:c>
      <x:c r="E19" s="1" t="s">
        <x:v>6063</x:v>
      </x:c>
      <x:c r="F19" s="1" t="s">
        <x:v>6064</x:v>
      </x:c>
    </x:row>
    <x:row r="20" ht="15" hidden="0" customHeight="1">
      <x:c r="A20" s="1" t="s">
        <x:v>4829</x:v>
      </x:c>
      <x:c r="B20" s="1" t="s">
        <x:v>4830</x:v>
      </x:c>
      <x:c r="C20" s="1" t="s">
        <x:v>4786</x:v>
      </x:c>
      <x:c r="D20" s="1" t="s">
        <x:v>6051</x:v>
      </x:c>
      <x:c r="E20" s="1" t="s">
        <x:v>6065</x:v>
      </x:c>
      <x:c r="F20" s="1" t="s">
        <x:v>6064</x:v>
      </x:c>
    </x:row>
    <x:row r="21" ht="15" hidden="0" customHeight="1">
      <x:c r="A21" s="1" t="s">
        <x:v>4947</x:v>
      </x:c>
      <x:c r="B21" s="1" t="s">
        <x:v>4948</x:v>
      </x:c>
      <x:c r="C21" s="1" t="s">
        <x:v>4916</x:v>
      </x:c>
      <x:c r="D21" s="1" t="s">
        <x:v>6051</x:v>
      </x:c>
      <x:c r="E21" s="1" t="s">
        <x:v>6066</x:v>
      </x:c>
      <x:c r="F21" s="1" t="s">
        <x:v>6064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796875" defaultRowHeight="15"/>
  <x:cols>
    <x:col min="1" max="1" width="16" style="1" hidden="0" customWidth="1"/>
    <x:col min="2" max="3" width="55" style="1" hidden="0" customWidth="1"/>
    <x:col min="4" max="5" width="25" style="1" hidden="0" customWidth="1"/>
    <x:col min="6" max="11" width="44" style="1" hidden="0" customWidth="1"/>
  </x:cols>
  <x:sheetData>
    <x:row r="1" ht="39.75" hidden="0" customHeight="1">
      <x:c r="A1" s="11" t="s">
        <x:v>82</x:v>
      </x:c>
      <x:c r="B1" s="11" t="s">
        <x:v>5460</x:v>
      </x:c>
      <x:c r="C1" s="11" t="s">
        <x:v>5654</x:v>
      </x:c>
      <x:c r="D1" s="11" t="s">
        <x:v>6067</x:v>
      </x:c>
      <x:c r="E1" s="11" t="s">
        <x:v>6068</x:v>
      </x:c>
      <x:c r="F1" s="11" t="s">
        <x:v>6069</x:v>
      </x:c>
      <x:c r="G1" s="11" t="s">
        <x:v>6070</x:v>
      </x:c>
      <x:c r="H1" s="11" t="s">
        <x:v>6071</x:v>
      </x:c>
      <x:c r="I1" s="11" t="s">
        <x:v>6072</x:v>
      </x:c>
      <x:c r="J1" s="11" t="s">
        <x:v>6073</x:v>
      </x:c>
      <x:c r="K1" s="11" t="s">
        <x:v>6074</x:v>
      </x:c>
    </x:row>
    <x:row r="2" ht="54.75" hidden="0" customHeight="1">
      <x:c r="A2" s="8" t="s">
        <x:v>5501</x:v>
      </x:c>
      <x:c r="B2" s="8" t="s">
        <x:v>5502</x:v>
      </x:c>
      <x:c r="C2" s="8" t="s">
        <x:v>5722</x:v>
      </x:c>
      <x:c r="D2" s="8" t="s">
        <x:v>6075</x:v>
      </x:c>
      <x:c r="E2" s="8" t="n">
        <x:v>0</x:v>
      </x:c>
      <x:c r="F2" s="8" t="s">
        <x:v>6076</x:v>
      </x:c>
      <x:c r="G2" s="8" t="s">
        <x:v>6077</x:v>
      </x:c>
      <x:c r="H2" s="8" t="s">
        <x:v>30</x:v>
      </x:c>
      <x:c r="I2" s="8" t="s">
        <x:v>883</x:v>
      </x:c>
      <x:c r="J2" s="8" t="s">
        <x:v>6078</x:v>
      </x:c>
      <x:c r="K2" s="8"/>
    </x:row>
    <x:row r="3" ht="54.75" hidden="0" customHeight="1">
      <x:c r="A3" s="8" t="s">
        <x:v>4629</x:v>
      </x:c>
      <x:c r="B3" s="8" t="s">
        <x:v>5505</x:v>
      </x:c>
      <x:c r="C3" s="8" t="s">
        <x:v>5725</x:v>
      </x:c>
      <x:c r="D3" s="8" t="s">
        <x:v>6079</x:v>
      </x:c>
      <x:c r="E3" s="8" t="n">
        <x:v>0</x:v>
      </x:c>
      <x:c r="F3" s="8" t="s">
        <x:v>6076</x:v>
      </x:c>
      <x:c r="G3" s="8" t="s">
        <x:v>6080</x:v>
      </x:c>
      <x:c r="H3" s="8" t="s">
        <x:v>6081</x:v>
      </x:c>
      <x:c r="I3" s="8" t="s">
        <x:v>3474</x:v>
      </x:c>
      <x:c r="J3" s="8" t="s">
        <x:v>6082</x:v>
      </x:c>
      <x:c r="K3" s="8"/>
    </x:row>
    <x:row r="4" ht="54.75" hidden="0" customHeight="1">
      <x:c r="A4" s="8" t="s">
        <x:v>3426</x:v>
      </x:c>
      <x:c r="B4" s="8" t="s">
        <x:v>5508</x:v>
      </x:c>
      <x:c r="C4" s="8" t="s">
        <x:v>3429</x:v>
      </x:c>
      <x:c r="D4" s="8" t="s">
        <x:v>6079</x:v>
      </x:c>
      <x:c r="E4" s="8" t="n">
        <x:v>4</x:v>
      </x:c>
      <x:c r="F4" s="8" t="s">
        <x:v>6076</x:v>
      </x:c>
      <x:c r="G4" s="8" t="s">
        <x:v>6083</x:v>
      </x:c>
      <x:c r="H4" s="8" t="s">
        <x:v>30</x:v>
      </x:c>
      <x:c r="I4" s="8" t="s">
        <x:v>883</x:v>
      </x:c>
      <x:c r="J4" s="8" t="s">
        <x:v>6084</x:v>
      </x:c>
      <x:c r="K4" s="8"/>
    </x:row>
    <x:row r="5" ht="54.75" hidden="0" customHeight="1">
      <x:c r="A5" s="8" t="s">
        <x:v>5101</x:v>
      </x:c>
      <x:c r="B5" s="8" t="s">
        <x:v>5510</x:v>
      </x:c>
      <x:c r="C5" s="8" t="s">
        <x:v>5732</x:v>
      </x:c>
      <x:c r="D5" s="8" t="s">
        <x:v>52</x:v>
      </x:c>
      <x:c r="E5" s="8" t="n">
        <x:v>0</x:v>
      </x:c>
      <x:c r="F5" s="8" t="s">
        <x:v>6076</x:v>
      </x:c>
      <x:c r="G5" s="8" t="s">
        <x:v>6085</x:v>
      </x:c>
      <x:c r="H5" s="8" t="s">
        <x:v>6086</x:v>
      </x:c>
      <x:c r="I5" s="8" t="s">
        <x:v>20</x:v>
      </x:c>
      <x:c r="J5" s="8" t="s">
        <x:v>6087</x:v>
      </x:c>
      <x:c r="K5" s="8"/>
    </x:row>
    <x:row r="6" ht="54.75" hidden="0" customHeight="1">
      <x:c r="A6" s="8" t="s">
        <x:v>1703</x:v>
      </x:c>
      <x:c r="B6" s="8" t="s">
        <x:v>5513</x:v>
      </x:c>
      <x:c r="C6" s="8" t="s">
        <x:v>1707</x:v>
      </x:c>
      <x:c r="D6" s="8" t="s">
        <x:v>6079</x:v>
      </x:c>
      <x:c r="E6" s="8" t="n">
        <x:v>6</x:v>
      </x:c>
      <x:c r="F6" s="8" t="s">
        <x:v>6076</x:v>
      </x:c>
      <x:c r="G6" s="8" t="s">
        <x:v>6088</x:v>
      </x:c>
      <x:c r="H6" s="8" t="s">
        <x:v>30</x:v>
      </x:c>
      <x:c r="I6" s="8" t="s">
        <x:v>883</x:v>
      </x:c>
      <x:c r="J6" s="8" t="s">
        <x:v>6084</x:v>
      </x:c>
      <x:c r="K6" s="8"/>
    </x:row>
    <x:row r="7" ht="54.75" hidden="0" customHeight="1">
      <x:c r="A7" s="8" t="s">
        <x:v>4916</x:v>
      </x:c>
      <x:c r="B7" s="8" t="s">
        <x:v>5514</x:v>
      </x:c>
      <x:c r="C7" s="8" t="s">
        <x:v>5738</x:v>
      </x:c>
      <x:c r="D7" s="8" t="s">
        <x:v>6079</x:v>
      </x:c>
      <x:c r="E7" s="8" t="n">
        <x:v>0</x:v>
      </x:c>
      <x:c r="F7" s="8" t="s">
        <x:v>6089</x:v>
      </x:c>
      <x:c r="G7" s="8"/>
      <x:c r="H7" s="8" t="s">
        <x:v>6090</x:v>
      </x:c>
      <x:c r="I7" s="8" t="s">
        <x:v>20</x:v>
      </x:c>
      <x:c r="J7" s="8" t="s">
        <x:v>6091</x:v>
      </x:c>
      <x:c r="K7" s="8"/>
    </x:row>
    <x:row r="8" ht="54.75" hidden="0" customHeight="1">
      <x:c r="A8" s="8" t="s">
        <x:v>1730</x:v>
      </x:c>
      <x:c r="B8" s="8" t="s">
        <x:v>5516</x:v>
      </x:c>
      <x:c r="C8" s="8" t="s">
        <x:v>1733</x:v>
      </x:c>
      <x:c r="D8" s="8" t="s">
        <x:v>6079</x:v>
      </x:c>
      <x:c r="E8" s="8" t="n">
        <x:v>6</x:v>
      </x:c>
      <x:c r="F8" s="8" t="s">
        <x:v>6076</x:v>
      </x:c>
      <x:c r="G8" s="8" t="s">
        <x:v>6092</x:v>
      </x:c>
      <x:c r="H8" s="8" t="s">
        <x:v>30</x:v>
      </x:c>
      <x:c r="I8" s="8" t="s">
        <x:v>883</x:v>
      </x:c>
      <x:c r="J8" s="8" t="s">
        <x:v>6084</x:v>
      </x:c>
      <x:c r="K8" s="8"/>
    </x:row>
    <x:row r="9" ht="54.75" hidden="0" customHeight="1">
      <x:c r="A9" s="8" t="s">
        <x:v>2425</x:v>
      </x:c>
      <x:c r="B9" s="8" t="s">
        <x:v>5517</x:v>
      </x:c>
      <x:c r="C9" s="8" t="s">
        <x:v>2427</x:v>
      </x:c>
      <x:c r="D9" s="8" t="s">
        <x:v>6079</x:v>
      </x:c>
      <x:c r="E9" s="8" t="n">
        <x:v>5</x:v>
      </x:c>
      <x:c r="F9" s="8" t="s">
        <x:v>6076</x:v>
      </x:c>
      <x:c r="G9" s="8" t="s">
        <x:v>6093</x:v>
      </x:c>
      <x:c r="H9" s="8" t="s">
        <x:v>30</x:v>
      </x:c>
      <x:c r="I9" s="8" t="s">
        <x:v>883</x:v>
      </x:c>
      <x:c r="J9" s="8" t="s">
        <x:v>6084</x:v>
      </x:c>
      <x:c r="K9" s="8"/>
    </x:row>
    <x:row r="10" ht="54.75" hidden="0" customHeight="1">
      <x:c r="A10" s="8" t="s">
        <x:v>3443</x:v>
      </x:c>
      <x:c r="B10" s="8" t="s">
        <x:v>5518</x:v>
      </x:c>
      <x:c r="C10" s="8" t="s">
        <x:v>3446</x:v>
      </x:c>
      <x:c r="D10" s="8" t="s">
        <x:v>6079</x:v>
      </x:c>
      <x:c r="E10" s="8" t="n">
        <x:v>6</x:v>
      </x:c>
      <x:c r="F10" s="8" t="s">
        <x:v>6076</x:v>
      </x:c>
      <x:c r="G10" s="8" t="s">
        <x:v>6094</x:v>
      </x:c>
      <x:c r="H10" s="8" t="s">
        <x:v>30</x:v>
      </x:c>
      <x:c r="I10" s="8" t="s">
        <x:v>883</x:v>
      </x:c>
      <x:c r="J10" s="8" t="s">
        <x:v>6084</x:v>
      </x:c>
      <x:c r="K10" s="8"/>
    </x:row>
    <x:row r="11" ht="54.75" hidden="0" customHeight="1">
      <x:c r="A11" s="8" t="s">
        <x:v>4553</x:v>
      </x:c>
      <x:c r="B11" s="8" t="s">
        <x:v>5519</x:v>
      </x:c>
      <x:c r="C11" s="8" t="s">
        <x:v>4558</x:v>
      </x:c>
      <x:c r="D11" s="8" t="s">
        <x:v>6079</x:v>
      </x:c>
      <x:c r="E11" s="8" t="n">
        <x:v>0</x:v>
      </x:c>
      <x:c r="F11" s="8" t="s">
        <x:v>6076</x:v>
      </x:c>
      <x:c r="G11" s="8" t="s">
        <x:v>6095</x:v>
      </x:c>
      <x:c r="H11" s="8" t="s">
        <x:v>112</x:v>
      </x:c>
      <x:c r="I11" s="8" t="s">
        <x:v>3474</x:v>
      </x:c>
      <x:c r="J11" s="8" t="s">
        <x:v>6096</x:v>
      </x:c>
      <x:c r="K11" s="8"/>
    </x:row>
    <x:row r="12" ht="54.75" hidden="0" customHeight="1">
      <x:c r="A12" s="8" t="s">
        <x:v>4570</x:v>
      </x:c>
      <x:c r="B12" s="8" t="s">
        <x:v>5521</x:v>
      </x:c>
      <x:c r="C12" s="8" t="s">
        <x:v>4573</x:v>
      </x:c>
      <x:c r="D12" s="8" t="s">
        <x:v>6079</x:v>
      </x:c>
      <x:c r="E12" s="8" t="n">
        <x:v>0</x:v>
      </x:c>
      <x:c r="F12" s="8" t="s">
        <x:v>6076</x:v>
      </x:c>
      <x:c r="G12" s="8" t="s">
        <x:v>6097</x:v>
      </x:c>
      <x:c r="H12" s="8" t="s">
        <x:v>112</x:v>
      </x:c>
      <x:c r="I12" s="8" t="s">
        <x:v>3474</x:v>
      </x:c>
      <x:c r="J12" s="8" t="s">
        <x:v>6098</x:v>
      </x:c>
      <x:c r="K12" s="8"/>
    </x:row>
    <x:row r="13" ht="54.75" hidden="0" customHeight="1">
      <x:c r="A13" s="8" t="s">
        <x:v>2444</x:v>
      </x:c>
      <x:c r="B13" s="8" t="s">
        <x:v>5522</x:v>
      </x:c>
      <x:c r="C13" s="8" t="s">
        <x:v>2447</x:v>
      </x:c>
      <x:c r="D13" s="8" t="s">
        <x:v>6079</x:v>
      </x:c>
      <x:c r="E13" s="8" t="n">
        <x:v>3</x:v>
      </x:c>
      <x:c r="F13" s="8" t="s">
        <x:v>6076</x:v>
      </x:c>
      <x:c r="G13" s="8" t="s">
        <x:v>6099</x:v>
      </x:c>
      <x:c r="H13" s="8" t="s">
        <x:v>30</x:v>
      </x:c>
      <x:c r="I13" s="8" t="s">
        <x:v>883</x:v>
      </x:c>
      <x:c r="J13" s="8" t="s">
        <x:v>6084</x:v>
      </x:c>
      <x:c r="K13" s="8"/>
    </x:row>
    <x:row r="14" ht="54.75" hidden="0" customHeight="1">
      <x:c r="A14" s="8" t="s">
        <x:v>5151</x:v>
      </x:c>
      <x:c r="B14" s="8" t="s">
        <x:v>5523</x:v>
      </x:c>
      <x:c r="C14" s="8" t="s">
        <x:v>5755</x:v>
      </x:c>
      <x:c r="D14" s="8" t="s">
        <x:v>52</x:v>
      </x:c>
      <x:c r="E14" s="8" t="n">
        <x:v>0</x:v>
      </x:c>
      <x:c r="F14" s="8" t="s">
        <x:v>6076</x:v>
      </x:c>
      <x:c r="G14" s="8" t="s">
        <x:v>6077</x:v>
      </x:c>
      <x:c r="H14" s="8" t="s">
        <x:v>6086</x:v>
      </x:c>
      <x:c r="I14" s="8" t="s">
        <x:v>20</x:v>
      </x:c>
      <x:c r="J14" s="8" t="s">
        <x:v>6087</x:v>
      </x:c>
      <x:c r="K14" s="8"/>
    </x:row>
    <x:row r="15" ht="54.75" hidden="0" customHeight="1">
      <x:c r="A15" s="8" t="s">
        <x:v>1614</x:v>
      </x:c>
      <x:c r="B15" s="8" t="s">
        <x:v>5527</x:v>
      </x:c>
      <x:c r="C15" s="8" t="s">
        <x:v>1618</x:v>
      </x:c>
      <x:c r="D15" s="8" t="s">
        <x:v>6079</x:v>
      </x:c>
      <x:c r="E15" s="8" t="n">
        <x:v>30</x:v>
      </x:c>
      <x:c r="F15" s="8" t="s">
        <x:v>6076</x:v>
      </x:c>
      <x:c r="G15" s="8" t="s">
        <x:v>6100</x:v>
      </x:c>
      <x:c r="H15" s="8" t="s">
        <x:v>30</x:v>
      </x:c>
      <x:c r="I15" s="8" t="s">
        <x:v>883</x:v>
      </x:c>
      <x:c r="J15" s="8" t="s">
        <x:v>6084</x:v>
      </x:c>
      <x:c r="K15" s="8"/>
    </x:row>
    <x:row r="16" ht="54.75" hidden="0" customHeight="1">
      <x:c r="A16" s="8" t="s">
        <x:v>2999</x:v>
      </x:c>
      <x:c r="B16" s="8" t="s">
        <x:v>5528</x:v>
      </x:c>
      <x:c r="C16" s="8" t="s">
        <x:v>3001</x:v>
      </x:c>
      <x:c r="D16" s="8" t="s">
        <x:v>6079</x:v>
      </x:c>
      <x:c r="E16" s="8" t="n">
        <x:v>8</x:v>
      </x:c>
      <x:c r="F16" s="8" t="s">
        <x:v>6076</x:v>
      </x:c>
      <x:c r="G16" s="8" t="s">
        <x:v>6101</x:v>
      </x:c>
      <x:c r="H16" s="8" t="s">
        <x:v>30</x:v>
      </x:c>
      <x:c r="I16" s="8" t="s">
        <x:v>883</x:v>
      </x:c>
      <x:c r="J16" s="8" t="s">
        <x:v>6084</x:v>
      </x:c>
      <x:c r="K16" s="8"/>
    </x:row>
    <x:row r="17" ht="54.75" hidden="0" customHeight="1">
      <x:c r="A17" s="8" t="s">
        <x:v>2138</x:v>
      </x:c>
      <x:c r="B17" s="8" t="s">
        <x:v>5530</x:v>
      </x:c>
      <x:c r="C17" s="8" t="s">
        <x:v>2140</x:v>
      </x:c>
      <x:c r="D17" s="8" t="s">
        <x:v>6079</x:v>
      </x:c>
      <x:c r="E17" s="8" t="n">
        <x:v>17</x:v>
      </x:c>
      <x:c r="F17" s="8" t="s">
        <x:v>6076</x:v>
      </x:c>
      <x:c r="G17" s="8" t="s">
        <x:v>6102</x:v>
      </x:c>
      <x:c r="H17" s="8" t="s">
        <x:v>30</x:v>
      </x:c>
      <x:c r="I17" s="8" t="s">
        <x:v>883</x:v>
      </x:c>
      <x:c r="J17" s="8" t="s">
        <x:v>6084</x:v>
      </x:c>
      <x:c r="K17" s="8"/>
    </x:row>
    <x:row r="18" ht="54.75" hidden="0" customHeight="1">
      <x:c r="A18" s="8" t="s">
        <x:v>2874</x:v>
      </x:c>
      <x:c r="B18" s="8" t="s">
        <x:v>5531</x:v>
      </x:c>
      <x:c r="C18" s="8" t="s">
        <x:v>2877</x:v>
      </x:c>
      <x:c r="D18" s="8" t="s">
        <x:v>6079</x:v>
      </x:c>
      <x:c r="E18" s="8" t="n">
        <x:v>13</x:v>
      </x:c>
      <x:c r="F18" s="8" t="s">
        <x:v>6076</x:v>
      </x:c>
      <x:c r="G18" s="8" t="s">
        <x:v>6103</x:v>
      </x:c>
      <x:c r="H18" s="8" t="s">
        <x:v>30</x:v>
      </x:c>
      <x:c r="I18" s="8" t="s">
        <x:v>883</x:v>
      </x:c>
      <x:c r="J18" s="8" t="s">
        <x:v>6084</x:v>
      </x:c>
      <x:c r="K18" s="8"/>
    </x:row>
    <x:row r="19" ht="54.75" hidden="0" customHeight="1">
      <x:c r="A19" s="8" t="s">
        <x:v>2181</x:v>
      </x:c>
      <x:c r="B19" s="8" t="s">
        <x:v>5533</x:v>
      </x:c>
      <x:c r="C19" s="8" t="s">
        <x:v>2183</x:v>
      </x:c>
      <x:c r="D19" s="8" t="s">
        <x:v>6079</x:v>
      </x:c>
      <x:c r="E19" s="8" t="n">
        <x:v>19</x:v>
      </x:c>
      <x:c r="F19" s="8" t="s">
        <x:v>6076</x:v>
      </x:c>
      <x:c r="G19" s="8" t="s">
        <x:v>6104</x:v>
      </x:c>
      <x:c r="H19" s="8" t="s">
        <x:v>30</x:v>
      </x:c>
      <x:c r="I19" s="8" t="s">
        <x:v>883</x:v>
      </x:c>
      <x:c r="J19" s="8" t="s">
        <x:v>6084</x:v>
      </x:c>
      <x:c r="K19" s="8"/>
    </x:row>
    <x:row r="20" ht="54.75" hidden="0" customHeight="1">
      <x:c r="A20" s="8" t="s">
        <x:v>1812</x:v>
      </x:c>
      <x:c r="B20" s="8" t="s">
        <x:v>5534</x:v>
      </x:c>
      <x:c r="C20" s="8" t="s">
        <x:v>1814</x:v>
      </x:c>
      <x:c r="D20" s="8" t="s">
        <x:v>6079</x:v>
      </x:c>
      <x:c r="E20" s="8" t="n">
        <x:v>11</x:v>
      </x:c>
      <x:c r="F20" s="8" t="s">
        <x:v>6105</x:v>
      </x:c>
      <x:c r="G20" s="8"/>
      <x:c r="H20" s="8" t="s">
        <x:v>30</x:v>
      </x:c>
      <x:c r="I20" s="8" t="s">
        <x:v>883</x:v>
      </x:c>
      <x:c r="J20" s="8" t="s">
        <x:v>6084</x:v>
      </x:c>
      <x:c r="K20" s="8"/>
    </x:row>
    <x:row r="21" ht="54.75" hidden="0" customHeight="1">
      <x:c r="A21" s="8" t="s">
        <x:v>1845</x:v>
      </x:c>
      <x:c r="B21" s="8" t="s">
        <x:v>5535</x:v>
      </x:c>
      <x:c r="C21" s="8" t="s">
        <x:v>1847</x:v>
      </x:c>
      <x:c r="D21" s="8" t="s">
        <x:v>6079</x:v>
      </x:c>
      <x:c r="E21" s="8" t="n">
        <x:v>9</x:v>
      </x:c>
      <x:c r="F21" s="8" t="s">
        <x:v>6105</x:v>
      </x:c>
      <x:c r="G21" s="8"/>
      <x:c r="H21" s="8" t="s">
        <x:v>30</x:v>
      </x:c>
      <x:c r="I21" s="8" t="s">
        <x:v>883</x:v>
      </x:c>
      <x:c r="J21" s="8" t="s">
        <x:v>6084</x:v>
      </x:c>
      <x:c r="K21" s="8"/>
    </x:row>
    <x:row r="22" ht="54.75" hidden="0" customHeight="1">
      <x:c r="A22" s="8" t="s">
        <x:v>1871</x:v>
      </x:c>
      <x:c r="B22" s="8" t="s">
        <x:v>5540</x:v>
      </x:c>
      <x:c r="C22" s="8" t="s">
        <x:v>1873</x:v>
      </x:c>
      <x:c r="D22" s="8" t="s">
        <x:v>6079</x:v>
      </x:c>
      <x:c r="E22" s="8" t="n">
        <x:v>13</x:v>
      </x:c>
      <x:c r="F22" s="8" t="s">
        <x:v>6105</x:v>
      </x:c>
      <x:c r="G22" s="8"/>
      <x:c r="H22" s="8" t="s">
        <x:v>30</x:v>
      </x:c>
      <x:c r="I22" s="8" t="s">
        <x:v>883</x:v>
      </x:c>
      <x:c r="J22" s="8" t="s">
        <x:v>6084</x:v>
      </x:c>
      <x:c r="K22" s="8"/>
    </x:row>
    <x:row r="23" ht="54.75" hidden="0" customHeight="1">
      <x:c r="A23" s="8" t="s">
        <x:v>2760</x:v>
      </x:c>
      <x:c r="B23" s="8" t="s">
        <x:v>5542</x:v>
      </x:c>
      <x:c r="C23" s="8" t="s">
        <x:v>2762</x:v>
      </x:c>
      <x:c r="D23" s="8" t="s">
        <x:v>6079</x:v>
      </x:c>
      <x:c r="E23" s="8" t="n">
        <x:v>15</x:v>
      </x:c>
      <x:c r="F23" s="8" t="s">
        <x:v>6076</x:v>
      </x:c>
      <x:c r="G23" s="8" t="s">
        <x:v>6106</x:v>
      </x:c>
      <x:c r="H23" s="8" t="s">
        <x:v>30</x:v>
      </x:c>
      <x:c r="I23" s="8" t="s">
        <x:v>883</x:v>
      </x:c>
      <x:c r="J23" s="8" t="s">
        <x:v>6084</x:v>
      </x:c>
      <x:c r="K23" s="8"/>
    </x:row>
    <x:row r="24" ht="54.75" hidden="0" customHeight="1">
      <x:c r="A24" s="8" t="s">
        <x:v>1910</x:v>
      </x:c>
      <x:c r="B24" s="8" t="s">
        <x:v>5543</x:v>
      </x:c>
      <x:c r="C24" s="8" t="s">
        <x:v>1912</x:v>
      </x:c>
      <x:c r="D24" s="8" t="s">
        <x:v>6079</x:v>
      </x:c>
      <x:c r="E24" s="8" t="n">
        <x:v>7</x:v>
      </x:c>
      <x:c r="F24" s="8" t="s">
        <x:v>6105</x:v>
      </x:c>
      <x:c r="G24" s="8"/>
      <x:c r="H24" s="8" t="s">
        <x:v>30</x:v>
      </x:c>
      <x:c r="I24" s="8" t="s">
        <x:v>883</x:v>
      </x:c>
      <x:c r="J24" s="8" t="s">
        <x:v>6084</x:v>
      </x:c>
      <x:c r="K24" s="8"/>
    </x:row>
    <x:row r="25" ht="54.75" hidden="0" customHeight="1">
      <x:c r="A25" s="8" t="s">
        <x:v>5111</x:v>
      </x:c>
      <x:c r="B25" s="8" t="s">
        <x:v>5545</x:v>
      </x:c>
      <x:c r="C25" s="8" t="s">
        <x:v>5797</x:v>
      </x:c>
      <x:c r="D25" s="8" t="s">
        <x:v>52</x:v>
      </x:c>
      <x:c r="E25" s="8" t="n">
        <x:v>0</x:v>
      </x:c>
      <x:c r="F25" s="8" t="s">
        <x:v>6089</x:v>
      </x:c>
      <x:c r="G25" s="8"/>
      <x:c r="H25" s="8" t="s">
        <x:v>6086</x:v>
      </x:c>
      <x:c r="I25" s="8" t="s">
        <x:v>20</x:v>
      </x:c>
      <x:c r="J25" s="8" t="s">
        <x:v>6087</x:v>
      </x:c>
      <x:c r="K25" s="8"/>
    </x:row>
    <x:row r="26" ht="54.75" hidden="0" customHeight="1">
      <x:c r="A26" s="8" t="s">
        <x:v>3993</x:v>
      </x:c>
      <x:c r="B26" s="8" t="s">
        <x:v>5546</x:v>
      </x:c>
      <x:c r="C26" s="8" t="s">
        <x:v>3996</x:v>
      </x:c>
      <x:c r="D26" s="8" t="s">
        <x:v>6079</x:v>
      </x:c>
      <x:c r="E26" s="8" t="n">
        <x:v>26</x:v>
      </x:c>
      <x:c r="F26" s="8" t="s">
        <x:v>6089</x:v>
      </x:c>
      <x:c r="G26" s="8"/>
      <x:c r="H26" s="8" t="s">
        <x:v>112</x:v>
      </x:c>
      <x:c r="I26" s="8" t="s">
        <x:v>3474</x:v>
      </x:c>
      <x:c r="J26" s="8" t="s">
        <x:v>6084</x:v>
      </x:c>
      <x:c r="K26" s="8" t="s">
        <x:v>3999</x:v>
      </x:c>
    </x:row>
    <x:row r="27" ht="54.75" hidden="0" customHeight="1">
      <x:c r="A27" s="8" t="s">
        <x:v>1754</x:v>
      </x:c>
      <x:c r="B27" s="8" t="s">
        <x:v>5547</x:v>
      </x:c>
      <x:c r="C27" s="8" t="s">
        <x:v>1757</x:v>
      </x:c>
      <x:c r="D27" s="8" t="s">
        <x:v>6079</x:v>
      </x:c>
      <x:c r="E27" s="8" t="n">
        <x:v>16</x:v>
      </x:c>
      <x:c r="F27" s="8" t="s">
        <x:v>6076</x:v>
      </x:c>
      <x:c r="G27" s="8" t="s">
        <x:v>6107</x:v>
      </x:c>
      <x:c r="H27" s="8" t="s">
        <x:v>30</x:v>
      </x:c>
      <x:c r="I27" s="8" t="s">
        <x:v>883</x:v>
      </x:c>
      <x:c r="J27" s="8" t="s">
        <x:v>6084</x:v>
      </x:c>
      <x:c r="K27" s="8"/>
    </x:row>
    <x:row r="28" ht="54.75" hidden="0" customHeight="1">
      <x:c r="A28" s="8" t="s">
        <x:v>1932</x:v>
      </x:c>
      <x:c r="B28" s="8" t="s">
        <x:v>5548</x:v>
      </x:c>
      <x:c r="C28" s="8" t="s">
        <x:v>1935</x:v>
      </x:c>
      <x:c r="D28" s="8" t="s">
        <x:v>6079</x:v>
      </x:c>
      <x:c r="E28" s="8" t="n">
        <x:v>20</x:v>
      </x:c>
      <x:c r="F28" s="8" t="s">
        <x:v>6076</x:v>
      </x:c>
      <x:c r="G28" s="8" t="s">
        <x:v>6108</x:v>
      </x:c>
      <x:c r="H28" s="8" t="s">
        <x:v>30</x:v>
      </x:c>
      <x:c r="I28" s="8" t="s">
        <x:v>883</x:v>
      </x:c>
      <x:c r="J28" s="8" t="s">
        <x:v>6084</x:v>
      </x:c>
      <x:c r="K28" s="8"/>
    </x:row>
    <x:row r="29" ht="54.75" hidden="0" customHeight="1">
      <x:c r="A29" s="8" t="s">
        <x:v>2802</x:v>
      </x:c>
      <x:c r="B29" s="8" t="s">
        <x:v>5549</x:v>
      </x:c>
      <x:c r="C29" s="8" t="s">
        <x:v>2803</x:v>
      </x:c>
      <x:c r="D29" s="8" t="s">
        <x:v>6079</x:v>
      </x:c>
      <x:c r="E29" s="8" t="n">
        <x:v>9</x:v>
      </x:c>
      <x:c r="F29" s="8" t="s">
        <x:v>6076</x:v>
      </x:c>
      <x:c r="G29" s="8" t="s">
        <x:v>6109</x:v>
      </x:c>
      <x:c r="H29" s="8" t="s">
        <x:v>30</x:v>
      </x:c>
      <x:c r="I29" s="8" t="str">
        <x:v>2026-09-28</x:v>
      </x:c>
      <x:c r="J29" s="8" t="str">
        <x:v>See COVERAGE follow_up and BATCH_LOG B16.</x:v>
      </x:c>
      <x:c r="K29" s="8"/>
    </x:row>
    <x:row r="30" ht="54.75" hidden="0" customHeight="1">
      <x:c r="A30" s="8" t="s">
        <x:v>3808</x:v>
      </x:c>
      <x:c r="B30" s="8" t="s">
        <x:v>5550</x:v>
      </x:c>
      <x:c r="C30" s="8" t="s">
        <x:v>3811</x:v>
      </x:c>
      <x:c r="D30" s="8" t="s">
        <x:v>6079</x:v>
      </x:c>
      <x:c r="E30" s="8" t="n">
        <x:v>19</x:v>
      </x:c>
      <x:c r="F30" s="8" t="s">
        <x:v>6105</x:v>
      </x:c>
      <x:c r="G30" s="8"/>
      <x:c r="H30" s="8" t="s">
        <x:v>3471</x:v>
      </x:c>
      <x:c r="I30" s="8" t="s">
        <x:v>3474</x:v>
      </x:c>
      <x:c r="J30" s="8" t="s">
        <x:v>6084</x:v>
      </x:c>
      <x:c r="K30" s="8" t="s">
        <x:v>3473</x:v>
      </x:c>
    </x:row>
    <x:row r="31" ht="54.75" hidden="0" customHeight="1">
      <x:c r="A31" s="8" t="s">
        <x:v>5123</x:v>
      </x:c>
      <x:c r="B31" s="8" t="s">
        <x:v>5552</x:v>
      </x:c>
      <x:c r="C31" s="8" t="s">
        <x:v>5811</x:v>
      </x:c>
      <x:c r="D31" s="8" t="s">
        <x:v>52</x:v>
      </x:c>
      <x:c r="E31" s="8" t="n">
        <x:v>0</x:v>
      </x:c>
      <x:c r="F31" s="8" t="s">
        <x:v>6105</x:v>
      </x:c>
      <x:c r="G31" s="8"/>
      <x:c r="H31" s="8" t="s">
        <x:v>6086</x:v>
      </x:c>
      <x:c r="I31" s="8" t="s">
        <x:v>20</x:v>
      </x:c>
      <x:c r="J31" s="8" t="s">
        <x:v>6087</x:v>
      </x:c>
      <x:c r="K31" s="8"/>
    </x:row>
    <x:row r="32" ht="54.75" hidden="0" customHeight="1">
      <x:c r="A32" s="8" t="s">
        <x:v>3649</x:v>
      </x:c>
      <x:c r="B32" s="8" t="s">
        <x:v>5553</x:v>
      </x:c>
      <x:c r="C32" s="8" t="s">
        <x:v>3651</x:v>
      </x:c>
      <x:c r="D32" s="8" t="s">
        <x:v>6079</x:v>
      </x:c>
      <x:c r="E32" s="8" t="n">
        <x:v>16</x:v>
      </x:c>
      <x:c r="F32" s="8" t="s">
        <x:v>6105</x:v>
      </x:c>
      <x:c r="G32" s="8"/>
      <x:c r="H32" s="8" t="s">
        <x:v>3471</x:v>
      </x:c>
      <x:c r="I32" s="8" t="s">
        <x:v>3474</x:v>
      </x:c>
      <x:c r="J32" s="8" t="s">
        <x:v>6084</x:v>
      </x:c>
      <x:c r="K32" s="8" t="s">
        <x:v>3473</x:v>
      </x:c>
    </x:row>
    <x:row r="33" ht="54.75" hidden="0" customHeight="1">
      <x:c r="A33" s="8" t="s">
        <x:v>3721</x:v>
      </x:c>
      <x:c r="B33" s="8" t="s">
        <x:v>5555</x:v>
      </x:c>
      <x:c r="C33" s="8" t="s">
        <x:v>3724</x:v>
      </x:c>
      <x:c r="D33" s="8" t="s">
        <x:v>6079</x:v>
      </x:c>
      <x:c r="E33" s="8" t="n">
        <x:v>11</x:v>
      </x:c>
      <x:c r="F33" s="8" t="s">
        <x:v>6105</x:v>
      </x:c>
      <x:c r="G33" s="8"/>
      <x:c r="H33" s="8" t="s">
        <x:v>30</x:v>
      </x:c>
      <x:c r="I33" s="8" t="s">
        <x:v>3474</x:v>
      </x:c>
      <x:c r="J33" s="8" t="s">
        <x:v>6084</x:v>
      </x:c>
      <x:c r="K33" s="8"/>
    </x:row>
    <x:row r="34" ht="54.75" hidden="0" customHeight="1">
      <x:c r="A34" s="8" t="s">
        <x:v>3466</x:v>
      </x:c>
      <x:c r="B34" s="8" t="s">
        <x:v>5556</x:v>
      </x:c>
      <x:c r="C34" s="8" t="s">
        <x:v>3469</x:v>
      </x:c>
      <x:c r="D34" s="8" t="s">
        <x:v>6079</x:v>
      </x:c>
      <x:c r="E34" s="8" t="n">
        <x:v>23</x:v>
      </x:c>
      <x:c r="F34" s="8" t="s">
        <x:v>6105</x:v>
      </x:c>
      <x:c r="G34" s="8"/>
      <x:c r="H34" s="8" t="s">
        <x:v>3471</x:v>
      </x:c>
      <x:c r="I34" s="8" t="s">
        <x:v>3474</x:v>
      </x:c>
      <x:c r="J34" s="8" t="s">
        <x:v>6084</x:v>
      </x:c>
      <x:c r="K34" s="8" t="s">
        <x:v>3473</x:v>
      </x:c>
    </x:row>
    <x:row r="35" ht="54.75" hidden="0" customHeight="1">
      <x:c r="A35" s="8" t="s">
        <x:v>3668</x:v>
      </x:c>
      <x:c r="B35" s="8" t="s">
        <x:v>5557</x:v>
      </x:c>
      <x:c r="C35" s="8" t="s">
        <x:v>3671</x:v>
      </x:c>
      <x:c r="D35" s="8" t="s">
        <x:v>6079</x:v>
      </x:c>
      <x:c r="E35" s="8" t="n">
        <x:v>22</x:v>
      </x:c>
      <x:c r="F35" s="8" t="s">
        <x:v>6105</x:v>
      </x:c>
      <x:c r="G35" s="8"/>
      <x:c r="H35" s="8" t="s">
        <x:v>30</x:v>
      </x:c>
      <x:c r="I35" s="8" t="s">
        <x:v>3474</x:v>
      </x:c>
      <x:c r="J35" s="8" t="s">
        <x:v>6084</x:v>
      </x:c>
      <x:c r="K35" s="8"/>
    </x:row>
    <x:row r="36" ht="54.75" hidden="0" customHeight="1">
      <x:c r="A36" s="8" t="s">
        <x:v>3759</x:v>
      </x:c>
      <x:c r="B36" s="8" t="s">
        <x:v>5558</x:v>
      </x:c>
      <x:c r="C36" s="8" t="s">
        <x:v>3762</x:v>
      </x:c>
      <x:c r="D36" s="8" t="s">
        <x:v>6079</x:v>
      </x:c>
      <x:c r="E36" s="8" t="n">
        <x:v>15</x:v>
      </x:c>
      <x:c r="F36" s="8" t="s">
        <x:v>6105</x:v>
      </x:c>
      <x:c r="G36" s="8"/>
      <x:c r="H36" s="8" t="s">
        <x:v>3764</x:v>
      </x:c>
      <x:c r="I36" s="8" t="s">
        <x:v>3474</x:v>
      </x:c>
      <x:c r="J36" s="8" t="s">
        <x:v>6084</x:v>
      </x:c>
      <x:c r="K36" s="8" t="s">
        <x:v>3766</x:v>
      </x:c>
    </x:row>
    <x:row r="37" ht="54.75" hidden="0" customHeight="1">
      <x:c r="A37" s="8" t="s">
        <x:v>5559</x:v>
      </x:c>
      <x:c r="B37" s="8" t="s">
        <x:v>5560</x:v>
      </x:c>
      <x:c r="C37" s="8" t="s">
        <x:v>5830</x:v>
      </x:c>
      <x:c r="D37" s="8" t="s">
        <x:v>6075</x:v>
      </x:c>
      <x:c r="E37" s="8" t="n">
        <x:v>0</x:v>
      </x:c>
      <x:c r="F37" s="8" t="s">
        <x:v>6105</x:v>
      </x:c>
      <x:c r="G37" s="8"/>
      <x:c r="H37" s="8" t="s">
        <x:v>30</x:v>
      </x:c>
      <x:c r="I37" s="8" t="s">
        <x:v>883</x:v>
      </x:c>
      <x:c r="J37" s="8" t="s">
        <x:v>6078</x:v>
      </x:c>
      <x:c r="K37" s="8"/>
    </x:row>
    <x:row r="38" ht="54.75" hidden="0" customHeight="1">
      <x:c r="A38" s="8" t="s">
        <x:v>5134</x:v>
      </x:c>
      <x:c r="B38" s="8" t="s">
        <x:v>5561</x:v>
      </x:c>
      <x:c r="C38" s="8" t="s">
        <x:v>5833</x:v>
      </x:c>
      <x:c r="D38" s="8" t="str">
        <x:v>SECTIONS_EXTRACTED</x:v>
      </x:c>
      <x:c r="E38" s="8" t="n">
        <x:v>0</x:v>
      </x:c>
      <x:c r="F38" s="8" t="s">
        <x:v>6105</x:v>
      </x:c>
      <x:c r="G38" s="8"/>
      <x:c r="H38" s="8" t="s">
        <x:v>6086</x:v>
      </x:c>
      <x:c r="I38" s="8" t="s">
        <x:v>20</x:v>
      </x:c>
      <x:c r="J38" s="8" t="str">
        <x:v>See COVERAGE follow_up and BATCH_LOG B16.</x:v>
      </x:c>
      <x:c r="K38" s="8"/>
    </x:row>
    <x:row r="39" ht="54.75" hidden="0" customHeight="1">
      <x:c r="A39" s="8" t="s">
        <x:v>5160</x:v>
      </x:c>
      <x:c r="B39" s="8" t="s">
        <x:v>5562</x:v>
      </x:c>
      <x:c r="C39" s="8" t="s">
        <x:v>5836</x:v>
      </x:c>
      <x:c r="D39" s="8" t="s">
        <x:v>52</x:v>
      </x:c>
      <x:c r="E39" s="8" t="n">
        <x:v>0</x:v>
      </x:c>
      <x:c r="F39" s="8" t="s">
        <x:v>6105</x:v>
      </x:c>
      <x:c r="G39" s="8"/>
      <x:c r="H39" s="8" t="s">
        <x:v>6086</x:v>
      </x:c>
      <x:c r="I39" s="8" t="s">
        <x:v>20</x:v>
      </x:c>
      <x:c r="J39" s="8" t="s">
        <x:v>6087</x:v>
      </x:c>
      <x:c r="K39" s="8"/>
    </x:row>
    <x:row r="40" ht="54.75" hidden="0" customHeight="1">
      <x:c r="A40" s="8" t="s">
        <x:v>3191</x:v>
      </x:c>
      <x:c r="B40" s="8" t="s">
        <x:v>5563</x:v>
      </x:c>
      <x:c r="C40" s="8" t="s">
        <x:v>3193</x:v>
      </x:c>
      <x:c r="D40" s="8" t="s">
        <x:v>6079</x:v>
      </x:c>
      <x:c r="E40" s="8" t="n">
        <x:v>4</x:v>
      </x:c>
      <x:c r="F40" s="8" t="s">
        <x:v>6105</x:v>
      </x:c>
      <x:c r="G40" s="8"/>
      <x:c r="H40" s="8" t="s">
        <x:v>3195</x:v>
      </x:c>
      <x:c r="I40" s="8" t="s">
        <x:v>883</x:v>
      </x:c>
      <x:c r="J40" s="8" t="s">
        <x:v>6084</x:v>
      </x:c>
      <x:c r="K40" s="8" t="s">
        <x:v>3197</x:v>
      </x:c>
    </x:row>
    <x:row r="41" ht="54.75" hidden="0" customHeight="1">
      <x:c r="A41" s="8" t="s">
        <x:v>3207</x:v>
      </x:c>
      <x:c r="B41" s="8" t="s">
        <x:v>5564</x:v>
      </x:c>
      <x:c r="C41" s="8" t="s">
        <x:v>3211</x:v>
      </x:c>
      <x:c r="D41" s="8" t="s">
        <x:v>6079</x:v>
      </x:c>
      <x:c r="E41" s="8" t="n">
        <x:v>10</x:v>
      </x:c>
      <x:c r="F41" s="8" t="s">
        <x:v>6105</x:v>
      </x:c>
      <x:c r="G41" s="8"/>
      <x:c r="H41" s="8" t="s">
        <x:v>30</x:v>
      </x:c>
      <x:c r="I41" s="8" t="s">
        <x:v>883</x:v>
      </x:c>
      <x:c r="J41" s="8" t="s">
        <x:v>6084</x:v>
      </x:c>
      <x:c r="K41" s="8"/>
    </x:row>
    <x:row r="42" ht="54.75" hidden="0" customHeight="1">
      <x:c r="A42" s="8" t="s">
        <x:v>4585</x:v>
      </x:c>
      <x:c r="B42" s="8" t="s">
        <x:v>5565</x:v>
      </x:c>
      <x:c r="C42" s="8" t="s">
        <x:v>4588</x:v>
      </x:c>
      <x:c r="D42" s="8" t="s">
        <x:v>6110</x:v>
      </x:c>
      <x:c r="E42" s="8" t="n">
        <x:v>0</x:v>
      </x:c>
      <x:c r="F42" s="8" t="s">
        <x:v>6105</x:v>
      </x:c>
      <x:c r="G42" s="8"/>
      <x:c r="H42" s="8" t="s">
        <x:v>4590</x:v>
      </x:c>
      <x:c r="I42" s="8" t="s">
        <x:v>3474</x:v>
      </x:c>
      <x:c r="J42" s="8" t="s">
        <x:v>6111</x:v>
      </x:c>
      <x:c r="K42" s="8"/>
    </x:row>
    <x:row r="43" ht="54.75" hidden="0" customHeight="1">
      <x:c r="A43" s="8" t="s">
        <x:v>1980</x:v>
      </x:c>
      <x:c r="B43" s="8" t="s">
        <x:v>5569</x:v>
      </x:c>
      <x:c r="C43" s="8" t="s">
        <x:v>1982</x:v>
      </x:c>
      <x:c r="D43" s="8" t="s">
        <x:v>6079</x:v>
      </x:c>
      <x:c r="E43" s="8" t="n">
        <x:v>18</x:v>
      </x:c>
      <x:c r="F43" s="8" t="s">
        <x:v>6105</x:v>
      </x:c>
      <x:c r="G43" s="8"/>
      <x:c r="H43" s="8" t="s">
        <x:v>30</x:v>
      </x:c>
      <x:c r="I43" s="8" t="s">
        <x:v>883</x:v>
      </x:c>
      <x:c r="J43" s="8" t="s">
        <x:v>6084</x:v>
      </x:c>
      <x:c r="K43" s="8"/>
    </x:row>
    <x:row r="44" ht="54.75" hidden="0" customHeight="1">
      <x:c r="A44" s="8" t="s">
        <x:v>3535</x:v>
      </x:c>
      <x:c r="B44" s="8" t="s">
        <x:v>5570</x:v>
      </x:c>
      <x:c r="C44" s="8" t="s">
        <x:v>3539</x:v>
      </x:c>
      <x:c r="D44" s="8" t="s">
        <x:v>6079</x:v>
      </x:c>
      <x:c r="E44" s="8" t="n">
        <x:v>20</x:v>
      </x:c>
      <x:c r="F44" s="8" t="s">
        <x:v>6105</x:v>
      </x:c>
      <x:c r="G44" s="8"/>
      <x:c r="H44" s="8" t="s">
        <x:v>3471</x:v>
      </x:c>
      <x:c r="I44" s="8" t="s">
        <x:v>3474</x:v>
      </x:c>
      <x:c r="J44" s="8" t="s">
        <x:v>6084</x:v>
      </x:c>
      <x:c r="K44" s="8" t="s">
        <x:v>3473</x:v>
      </x:c>
    </x:row>
    <x:row r="45" ht="54.75" hidden="0" customHeight="1">
      <x:c r="A45" s="8" t="s">
        <x:v>2227</x:v>
      </x:c>
      <x:c r="B45" s="8" t="s">
        <x:v>5575</x:v>
      </x:c>
      <x:c r="C45" s="8" t="s">
        <x:v>2229</x:v>
      </x:c>
      <x:c r="D45" s="8" t="s">
        <x:v>6079</x:v>
      </x:c>
      <x:c r="E45" s="8" t="n">
        <x:v>17</x:v>
      </x:c>
      <x:c r="F45" s="8" t="s">
        <x:v>6105</x:v>
      </x:c>
      <x:c r="G45" s="8"/>
      <x:c r="H45" s="8" t="s">
        <x:v>30</x:v>
      </x:c>
      <x:c r="I45" s="8" t="s">
        <x:v>883</x:v>
      </x:c>
      <x:c r="J45" s="8" t="s">
        <x:v>6084</x:v>
      </x:c>
      <x:c r="K45" s="8"/>
    </x:row>
    <x:row r="46" ht="54.75" hidden="0" customHeight="1">
      <x:c r="A46" s="8" t="s">
        <x:v>2268</x:v>
      </x:c>
      <x:c r="B46" s="8" t="s">
        <x:v>5576</x:v>
      </x:c>
      <x:c r="C46" s="8" t="s">
        <x:v>2270</x:v>
      </x:c>
      <x:c r="D46" s="8" t="s">
        <x:v>6079</x:v>
      </x:c>
      <x:c r="E46" s="8" t="n">
        <x:v>15</x:v>
      </x:c>
      <x:c r="F46" s="8" t="s">
        <x:v>6105</x:v>
      </x:c>
      <x:c r="G46" s="8"/>
      <x:c r="H46" s="8" t="s">
        <x:v>30</x:v>
      </x:c>
      <x:c r="I46" s="8" t="s">
        <x:v>883</x:v>
      </x:c>
      <x:c r="J46" s="8" t="s">
        <x:v>6084</x:v>
      </x:c>
      <x:c r="K46" s="8"/>
    </x:row>
    <x:row r="47" ht="54.75" hidden="0" customHeight="1">
      <x:c r="A47" s="8" t="s">
        <x:v>3142</x:v>
      </x:c>
      <x:c r="B47" s="8" t="s">
        <x:v>5577</x:v>
      </x:c>
      <x:c r="C47" s="8" t="s">
        <x:v>3145</x:v>
      </x:c>
      <x:c r="D47" s="8" t="s">
        <x:v>6079</x:v>
      </x:c>
      <x:c r="E47" s="8" t="n">
        <x:v>7</x:v>
      </x:c>
      <x:c r="F47" s="8" t="s">
        <x:v>6105</x:v>
      </x:c>
      <x:c r="G47" s="8"/>
      <x:c r="H47" s="8" t="s">
        <x:v>30</x:v>
      </x:c>
      <x:c r="I47" s="8" t="s">
        <x:v>883</x:v>
      </x:c>
      <x:c r="J47" s="8" t="s">
        <x:v>6084</x:v>
      </x:c>
      <x:c r="K47" s="8"/>
    </x:row>
    <x:row r="48" ht="54.75" hidden="0" customHeight="1">
      <x:c r="A48" s="8" t="s">
        <x:v>2025</x:v>
      </x:c>
      <x:c r="B48" s="8" t="s">
        <x:v>5578</x:v>
      </x:c>
      <x:c r="C48" s="8" t="s">
        <x:v>2027</x:v>
      </x:c>
      <x:c r="D48" s="8" t="s">
        <x:v>6079</x:v>
      </x:c>
      <x:c r="E48" s="8" t="n">
        <x:v>21</x:v>
      </x:c>
      <x:c r="F48" s="8" t="s">
        <x:v>6105</x:v>
      </x:c>
      <x:c r="G48" s="8"/>
      <x:c r="H48" s="8" t="s">
        <x:v>30</x:v>
      </x:c>
      <x:c r="I48" s="8" t="s">
        <x:v>883</x:v>
      </x:c>
      <x:c r="J48" s="8" t="s">
        <x:v>6084</x:v>
      </x:c>
      <x:c r="K48" s="8"/>
    </x:row>
    <x:row r="49" ht="54.75" hidden="0" customHeight="1">
      <x:c r="A49" s="8" t="s">
        <x:v>5580</x:v>
      </x:c>
      <x:c r="B49" s="8" t="s">
        <x:v>5581</x:v>
      </x:c>
      <x:c r="C49" s="8" t="s">
        <x:v>5868</x:v>
      </x:c>
      <x:c r="D49" s="8" t="s">
        <x:v>6075</x:v>
      </x:c>
      <x:c r="E49" s="8" t="n">
        <x:v>0</x:v>
      </x:c>
      <x:c r="F49" s="8" t="s">
        <x:v>6105</x:v>
      </x:c>
      <x:c r="G49" s="8"/>
      <x:c r="H49" s="8" t="s">
        <x:v>30</x:v>
      </x:c>
      <x:c r="I49" s="8" t="s">
        <x:v>883</x:v>
      </x:c>
      <x:c r="J49" s="8" t="s">
        <x:v>6078</x:v>
      </x:c>
      <x:c r="K49" s="8"/>
    </x:row>
    <x:row r="50" ht="54.75" hidden="0" customHeight="1">
      <x:c r="A50" s="8" t="s">
        <x:v>5583</x:v>
      </x:c>
      <x:c r="B50" s="8" t="s">
        <x:v>5584</x:v>
      </x:c>
      <x:c r="C50" s="8" t="s">
        <x:v>5872</x:v>
      </x:c>
      <x:c r="D50" s="8" t="s">
        <x:v>6075</x:v>
      </x:c>
      <x:c r="E50" s="8" t="n">
        <x:v>0</x:v>
      </x:c>
      <x:c r="F50" s="8" t="s">
        <x:v>6105</x:v>
      </x:c>
      <x:c r="G50" s="8"/>
      <x:c r="H50" s="8" t="s">
        <x:v>30</x:v>
      </x:c>
      <x:c r="I50" s="8" t="s">
        <x:v>883</x:v>
      </x:c>
      <x:c r="J50" s="8" t="s">
        <x:v>6078</x:v>
      </x:c>
      <x:c r="K50" s="8"/>
    </x:row>
    <x:row r="51" ht="54.75" hidden="0" customHeight="1">
      <x:c r="A51" s="8" t="s">
        <x:v>5585</x:v>
      </x:c>
      <x:c r="B51" s="8" t="s">
        <x:v>5586</x:v>
      </x:c>
      <x:c r="C51" s="8" t="s">
        <x:v>5876</x:v>
      </x:c>
      <x:c r="D51" s="8" t="s">
        <x:v>6075</x:v>
      </x:c>
      <x:c r="E51" s="8" t="n">
        <x:v>0</x:v>
      </x:c>
      <x:c r="F51" s="8" t="s">
        <x:v>6105</x:v>
      </x:c>
      <x:c r="G51" s="8"/>
      <x:c r="H51" s="8" t="s">
        <x:v>30</x:v>
      </x:c>
      <x:c r="I51" s="8" t="s">
        <x:v>883</x:v>
      </x:c>
      <x:c r="J51" s="8" t="s">
        <x:v>6078</x:v>
      </x:c>
      <x:c r="K51" s="8"/>
    </x:row>
    <x:row r="52" ht="54.75" hidden="0" customHeight="1">
      <x:c r="A52" s="8" t="s">
        <x:v>5587</x:v>
      </x:c>
      <x:c r="B52" s="8" t="s">
        <x:v>5588</x:v>
      </x:c>
      <x:c r="C52" s="8" t="s">
        <x:v>5880</x:v>
      </x:c>
      <x:c r="D52" s="8" t="s">
        <x:v>6075</x:v>
      </x:c>
      <x:c r="E52" s="8" t="n">
        <x:v>0</x:v>
      </x:c>
      <x:c r="F52" s="8" t="s">
        <x:v>6105</x:v>
      </x:c>
      <x:c r="G52" s="8"/>
      <x:c r="H52" s="8" t="s">
        <x:v>30</x:v>
      </x:c>
      <x:c r="I52" s="8" t="s">
        <x:v>883</x:v>
      </x:c>
      <x:c r="J52" s="8" t="s">
        <x:v>6078</x:v>
      </x:c>
      <x:c r="K52" s="8"/>
    </x:row>
    <x:row r="53" ht="54.75" hidden="0" customHeight="1">
      <x:c r="A53" s="8" t="s">
        <x:v>5589</x:v>
      </x:c>
      <x:c r="B53" s="8" t="s">
        <x:v>5590</x:v>
      </x:c>
      <x:c r="C53" s="8" t="s">
        <x:v>5884</x:v>
      </x:c>
      <x:c r="D53" s="8" t="s">
        <x:v>6075</x:v>
      </x:c>
      <x:c r="E53" s="8" t="n">
        <x:v>0</x:v>
      </x:c>
      <x:c r="F53" s="8" t="s">
        <x:v>6105</x:v>
      </x:c>
      <x:c r="G53" s="8"/>
      <x:c r="H53" s="8" t="s">
        <x:v>30</x:v>
      </x:c>
      <x:c r="I53" s="8" t="s">
        <x:v>883</x:v>
      </x:c>
      <x:c r="J53" s="8" t="s">
        <x:v>6078</x:v>
      </x:c>
      <x:c r="K53" s="8"/>
    </x:row>
    <x:row r="54" ht="54.75" hidden="0" customHeight="1">
      <x:c r="A54" s="8" t="s">
        <x:v>2830</x:v>
      </x:c>
      <x:c r="B54" s="8" t="s">
        <x:v>5591</x:v>
      </x:c>
      <x:c r="C54" s="8" t="s">
        <x:v>2832</x:v>
      </x:c>
      <x:c r="D54" s="8" t="s">
        <x:v>6079</x:v>
      </x:c>
      <x:c r="E54" s="8" t="n">
        <x:v>18</x:v>
      </x:c>
      <x:c r="F54" s="8" t="s">
        <x:v>6105</x:v>
      </x:c>
      <x:c r="G54" s="8"/>
      <x:c r="H54" s="8" t="s">
        <x:v>30</x:v>
      </x:c>
      <x:c r="I54" s="8" t="s">
        <x:v>883</x:v>
      </x:c>
      <x:c r="J54" s="8" t="s">
        <x:v>6084</x:v>
      </x:c>
      <x:c r="K54" s="8"/>
    </x:row>
    <x:row r="55" ht="54.75" hidden="0" customHeight="1">
      <x:c r="A55" s="8" t="s">
        <x:v>2306</x:v>
      </x:c>
      <x:c r="B55" s="8" t="s">
        <x:v>5593</x:v>
      </x:c>
      <x:c r="C55" s="8" t="s">
        <x:v>2308</x:v>
      </x:c>
      <x:c r="D55" s="8" t="s">
        <x:v>6079</x:v>
      </x:c>
      <x:c r="E55" s="8" t="n">
        <x:v>16</x:v>
      </x:c>
      <x:c r="F55" s="8" t="s">
        <x:v>6105</x:v>
      </x:c>
      <x:c r="G55" s="8"/>
      <x:c r="H55" s="8" t="s">
        <x:v>30</x:v>
      </x:c>
      <x:c r="I55" s="8" t="s">
        <x:v>883</x:v>
      </x:c>
      <x:c r="J55" s="8" t="s">
        <x:v>6084</x:v>
      </x:c>
      <x:c r="K55" s="8"/>
    </x:row>
    <x:row r="56" ht="54.75" hidden="0" customHeight="1">
      <x:c r="A56" s="8" t="s">
        <x:v>2554</x:v>
      </x:c>
      <x:c r="B56" s="8" t="s">
        <x:v>5594</x:v>
      </x:c>
      <x:c r="C56" s="8" t="s">
        <x:v>2555</x:v>
      </x:c>
      <x:c r="D56" s="8" t="s">
        <x:v>6079</x:v>
      </x:c>
      <x:c r="E56" s="8" t="n">
        <x:v>17</x:v>
      </x:c>
      <x:c r="F56" s="8" t="s">
        <x:v>6105</x:v>
      </x:c>
      <x:c r="G56" s="8"/>
      <x:c r="H56" s="8" t="s">
        <x:v>30</x:v>
      </x:c>
      <x:c r="I56" s="8" t="s">
        <x:v>883</x:v>
      </x:c>
      <x:c r="J56" s="8" t="s">
        <x:v>6084</x:v>
      </x:c>
      <x:c r="K56" s="8"/>
    </x:row>
    <x:row r="57" ht="54.75" hidden="0" customHeight="1">
      <x:c r="A57" s="8" t="s">
        <x:v>4833</x:v>
      </x:c>
      <x:c r="B57" s="8" t="s">
        <x:v>5595</x:v>
      </x:c>
      <x:c r="C57" s="8" t="s">
        <x:v>5893</x:v>
      </x:c>
      <x:c r="D57" s="8" t="s">
        <x:v>6079</x:v>
      </x:c>
      <x:c r="E57" s="8" t="n">
        <x:v>0</x:v>
      </x:c>
      <x:c r="F57" s="8" t="s">
        <x:v>6105</x:v>
      </x:c>
      <x:c r="G57" s="8"/>
      <x:c r="H57" s="8" t="s">
        <x:v>6112</x:v>
      </x:c>
      <x:c r="I57" s="8" t="s">
        <x:v>3474</x:v>
      </x:c>
      <x:c r="J57" s="8" t="s">
        <x:v>6113</x:v>
      </x:c>
      <x:c r="K57" s="8"/>
    </x:row>
    <x:row r="58" ht="54.75" hidden="0" customHeight="1">
      <x:c r="A58" s="8" t="s">
        <x:v>3247</x:v>
      </x:c>
      <x:c r="B58" s="8" t="s">
        <x:v>5597</x:v>
      </x:c>
      <x:c r="C58" s="8" t="s">
        <x:v>3250</x:v>
      </x:c>
      <x:c r="D58" s="8" t="s">
        <x:v>6079</x:v>
      </x:c>
      <x:c r="E58" s="8" t="n">
        <x:v>12</x:v>
      </x:c>
      <x:c r="F58" s="8" t="s">
        <x:v>6105</x:v>
      </x:c>
      <x:c r="G58" s="8"/>
      <x:c r="H58" s="8" t="s">
        <x:v>30</x:v>
      </x:c>
      <x:c r="I58" s="8" t="s">
        <x:v>883</x:v>
      </x:c>
      <x:c r="J58" s="8" t="s">
        <x:v>6084</x:v>
      </x:c>
      <x:c r="K58" s="8"/>
    </x:row>
    <x:row r="59" ht="54.75" hidden="0" customHeight="1">
      <x:c r="A59" s="8" t="s">
        <x:v>3296</x:v>
      </x:c>
      <x:c r="B59" s="8" t="s">
        <x:v>5598</x:v>
      </x:c>
      <x:c r="C59" s="8" t="s">
        <x:v>3298</x:v>
      </x:c>
      <x:c r="D59" s="8" t="s">
        <x:v>6079</x:v>
      </x:c>
      <x:c r="E59" s="8" t="n">
        <x:v>12</x:v>
      </x:c>
      <x:c r="F59" s="8" t="s">
        <x:v>6105</x:v>
      </x:c>
      <x:c r="G59" s="8"/>
      <x:c r="H59" s="8" t="s">
        <x:v>30</x:v>
      </x:c>
      <x:c r="I59" s="8" t="s">
        <x:v>883</x:v>
      </x:c>
      <x:c r="J59" s="8" t="s">
        <x:v>6084</x:v>
      </x:c>
      <x:c r="K59" s="8"/>
    </x:row>
    <x:row r="60" ht="54.75" hidden="0" customHeight="1">
      <x:c r="A60" s="8" t="s">
        <x:v>3029</x:v>
      </x:c>
      <x:c r="B60" s="8" t="s">
        <x:v>5600</x:v>
      </x:c>
      <x:c r="C60" s="8" t="s">
        <x:v>3031</x:v>
      </x:c>
      <x:c r="D60" s="8" t="s">
        <x:v>6079</x:v>
      </x:c>
      <x:c r="E60" s="8" t="n">
        <x:v>11</x:v>
      </x:c>
      <x:c r="F60" s="8" t="s">
        <x:v>6105</x:v>
      </x:c>
      <x:c r="G60" s="8"/>
      <x:c r="H60" s="8" t="s">
        <x:v>30</x:v>
      </x:c>
      <x:c r="I60" s="8" t="s">
        <x:v>883</x:v>
      </x:c>
      <x:c r="J60" s="8" t="s">
        <x:v>6084</x:v>
      </x:c>
      <x:c r="K60" s="8"/>
    </x:row>
    <x:row r="61" ht="54.75" hidden="0" customHeight="1">
      <x:c r="A61" s="8" t="s">
        <x:v>3064</x:v>
      </x:c>
      <x:c r="B61" s="8" t="s">
        <x:v>5602</x:v>
      </x:c>
      <x:c r="C61" s="8" t="s">
        <x:v>3066</x:v>
      </x:c>
      <x:c r="D61" s="8" t="s">
        <x:v>6079</x:v>
      </x:c>
      <x:c r="E61" s="8" t="n">
        <x:v>12</x:v>
      </x:c>
      <x:c r="F61" s="8" t="s">
        <x:v>6105</x:v>
      </x:c>
      <x:c r="G61" s="8"/>
      <x:c r="H61" s="8" t="s">
        <x:v>30</x:v>
      </x:c>
      <x:c r="I61" s="8" t="s">
        <x:v>883</x:v>
      </x:c>
      <x:c r="J61" s="8" t="s">
        <x:v>6084</x:v>
      </x:c>
      <x:c r="K61" s="8"/>
    </x:row>
    <x:row r="62" ht="54.75" hidden="0" customHeight="1">
      <x:c r="A62" s="8" t="s">
        <x:v>2344</x:v>
      </x:c>
      <x:c r="B62" s="8" t="s">
        <x:v>5604</x:v>
      </x:c>
      <x:c r="C62" s="8" t="s">
        <x:v>2346</x:v>
      </x:c>
      <x:c r="D62" s="8" t="s">
        <x:v>6079</x:v>
      </x:c>
      <x:c r="E62" s="8" t="n">
        <x:v>17</x:v>
      </x:c>
      <x:c r="F62" s="8" t="s">
        <x:v>6105</x:v>
      </x:c>
      <x:c r="G62" s="8"/>
      <x:c r="H62" s="8" t="s">
        <x:v>30</x:v>
      </x:c>
      <x:c r="I62" s="8" t="s">
        <x:v>883</x:v>
      </x:c>
      <x:c r="J62" s="8" t="s">
        <x:v>6084</x:v>
      </x:c>
      <x:c r="K62" s="8"/>
    </x:row>
    <x:row r="63" ht="54.75" hidden="0" customHeight="1">
      <x:c r="A63" s="8" t="s">
        <x:v>3375</x:v>
      </x:c>
      <x:c r="B63" s="8" t="s">
        <x:v>5605</x:v>
      </x:c>
      <x:c r="C63" s="8" t="s">
        <x:v>3377</x:v>
      </x:c>
      <x:c r="D63" s="8" t="s">
        <x:v>6079</x:v>
      </x:c>
      <x:c r="E63" s="8" t="n">
        <x:v>19</x:v>
      </x:c>
      <x:c r="F63" s="8" t="s">
        <x:v>6105</x:v>
      </x:c>
      <x:c r="G63" s="8"/>
      <x:c r="H63" s="8" t="s">
        <x:v>30</x:v>
      </x:c>
      <x:c r="I63" s="8" t="s">
        <x:v>883</x:v>
      </x:c>
      <x:c r="J63" s="8" t="s">
        <x:v>6084</x:v>
      </x:c>
      <x:c r="K63" s="8"/>
    </x:row>
    <x:row r="64" ht="54.75" hidden="0" customHeight="1">
      <x:c r="A64" s="8" t="s">
        <x:v>3106</x:v>
      </x:c>
      <x:c r="B64" s="8" t="s">
        <x:v>5606</x:v>
      </x:c>
      <x:c r="C64" s="8" t="s">
        <x:v>3108</x:v>
      </x:c>
      <x:c r="D64" s="8" t="s">
        <x:v>6079</x:v>
      </x:c>
      <x:c r="E64" s="8" t="n">
        <x:v>11</x:v>
      </x:c>
      <x:c r="F64" s="8" t="s">
        <x:v>6105</x:v>
      </x:c>
      <x:c r="G64" s="8"/>
      <x:c r="H64" s="8" t="s">
        <x:v>30</x:v>
      </x:c>
      <x:c r="I64" s="8" t="s">
        <x:v>883</x:v>
      </x:c>
      <x:c r="J64" s="8" t="s">
        <x:v>6084</x:v>
      </x:c>
      <x:c r="K64" s="8"/>
    </x:row>
    <x:row r="65" ht="54.75" hidden="0" customHeight="1">
      <x:c r="A65" s="8" t="s">
        <x:v>4068</x:v>
      </x:c>
      <x:c r="B65" s="8" t="s">
        <x:v>5607</x:v>
      </x:c>
      <x:c r="C65" s="8" t="s">
        <x:v>4071</x:v>
      </x:c>
      <x:c r="D65" s="8" t="s">
        <x:v>6079</x:v>
      </x:c>
      <x:c r="E65" s="8" t="n">
        <x:v>30</x:v>
      </x:c>
      <x:c r="F65" s="8" t="s">
        <x:v>6105</x:v>
      </x:c>
      <x:c r="G65" s="8"/>
      <x:c r="H65" s="8" t="s">
        <x:v>112</x:v>
      </x:c>
      <x:c r="I65" s="8" t="s">
        <x:v>3474</x:v>
      </x:c>
      <x:c r="J65" s="8" t="s">
        <x:v>6084</x:v>
      </x:c>
      <x:c r="K65" s="8" t="s">
        <x:v>3999</x:v>
      </x:c>
    </x:row>
    <x:row r="66" ht="54.75" hidden="0" customHeight="1">
      <x:c r="A66" s="8" t="s">
        <x:v>3600</x:v>
      </x:c>
      <x:c r="B66" s="8" t="s">
        <x:v>5609</x:v>
      </x:c>
      <x:c r="C66" s="8" t="s">
        <x:v>3603</x:v>
      </x:c>
      <x:c r="D66" s="8" t="s">
        <x:v>6079</x:v>
      </x:c>
      <x:c r="E66" s="8" t="n">
        <x:v>18</x:v>
      </x:c>
      <x:c r="F66" s="8" t="s">
        <x:v>6105</x:v>
      </x:c>
      <x:c r="G66" s="8"/>
      <x:c r="H66" s="8" t="s">
        <x:v>3471</x:v>
      </x:c>
      <x:c r="I66" s="8" t="s">
        <x:v>3474</x:v>
      </x:c>
      <x:c r="J66" s="8" t="s">
        <x:v>6084</x:v>
      </x:c>
      <x:c r="K66" s="8" t="s">
        <x:v>3473</x:v>
      </x:c>
    </x:row>
    <x:row r="67" ht="54.75" hidden="0" customHeight="1">
      <x:c r="A67" s="8" t="s">
        <x:v>2461</x:v>
      </x:c>
      <x:c r="B67" s="8" t="s">
        <x:v>5610</x:v>
      </x:c>
      <x:c r="C67" s="8" t="s">
        <x:v>2463</x:v>
      </x:c>
      <x:c r="D67" s="8" t="s">
        <x:v>6079</x:v>
      </x:c>
      <x:c r="E67" s="8" t="n">
        <x:v>8</x:v>
      </x:c>
      <x:c r="F67" s="8" t="s">
        <x:v>6105</x:v>
      </x:c>
      <x:c r="G67" s="8"/>
      <x:c r="H67" s="8" t="s">
        <x:v>30</x:v>
      </x:c>
      <x:c r="I67" s="8" t="s">
        <x:v>883</x:v>
      </x:c>
      <x:c r="J67" s="8" t="s">
        <x:v>6084</x:v>
      </x:c>
      <x:c r="K67" s="8"/>
    </x:row>
    <x:row r="68" ht="54.75" hidden="0" customHeight="1">
      <x:c r="A68" s="8" t="s">
        <x:v>2492</x:v>
      </x:c>
      <x:c r="B68" s="8" t="s">
        <x:v>5611</x:v>
      </x:c>
      <x:c r="C68" s="8" t="s">
        <x:v>2494</x:v>
      </x:c>
      <x:c r="D68" s="8" t="s">
        <x:v>6079</x:v>
      </x:c>
      <x:c r="E68" s="8" t="n">
        <x:v>8</x:v>
      </x:c>
      <x:c r="F68" s="8" t="s">
        <x:v>6105</x:v>
      </x:c>
      <x:c r="G68" s="8"/>
      <x:c r="H68" s="8" t="s">
        <x:v>30</x:v>
      </x:c>
      <x:c r="I68" s="8" t="s">
        <x:v>883</x:v>
      </x:c>
      <x:c r="J68" s="8" t="s">
        <x:v>6084</x:v>
      </x:c>
      <x:c r="K68" s="8"/>
    </x:row>
    <x:row r="69" ht="54.75" hidden="0" customHeight="1">
      <x:c r="A69" s="8" t="s">
        <x:v>2517</x:v>
      </x:c>
      <x:c r="B69" s="8" t="s">
        <x:v>5612</x:v>
      </x:c>
      <x:c r="C69" s="8" t="s">
        <x:v>2519</x:v>
      </x:c>
      <x:c r="D69" s="8" t="s">
        <x:v>6079</x:v>
      </x:c>
      <x:c r="E69" s="8" t="n">
        <x:v>12</x:v>
      </x:c>
      <x:c r="F69" s="8" t="s">
        <x:v>6105</x:v>
      </x:c>
      <x:c r="G69" s="8"/>
      <x:c r="H69" s="8" t="s">
        <x:v>30</x:v>
      </x:c>
      <x:c r="I69" s="8" t="s">
        <x:v>883</x:v>
      </x:c>
      <x:c r="J69" s="8" t="s">
        <x:v>6084</x:v>
      </x:c>
      <x:c r="K69" s="8"/>
    </x:row>
    <x:row r="70" ht="54.75" hidden="0" customHeight="1">
      <x:c r="A70" s="8" t="s">
        <x:v>2390</x:v>
      </x:c>
      <x:c r="B70" s="8" t="s">
        <x:v>5615</x:v>
      </x:c>
      <x:c r="C70" s="8" t="s">
        <x:v>2392</x:v>
      </x:c>
      <x:c r="D70" s="8" t="s">
        <x:v>6079</x:v>
      </x:c>
      <x:c r="E70" s="8" t="n">
        <x:v>14</x:v>
      </x:c>
      <x:c r="F70" s="8" t="s">
        <x:v>6105</x:v>
      </x:c>
      <x:c r="G70" s="8"/>
      <x:c r="H70" s="8" t="s">
        <x:v>30</x:v>
      </x:c>
      <x:c r="I70" s="8" t="s">
        <x:v>883</x:v>
      </x:c>
      <x:c r="J70" s="8" t="s">
        <x:v>6084</x:v>
      </x:c>
      <x:c r="K70" s="8"/>
    </x:row>
    <x:row r="71" ht="54.75" hidden="0" customHeight="1">
      <x:c r="A71" s="8" t="s">
        <x:v>3163</x:v>
      </x:c>
      <x:c r="B71" s="8" t="s">
        <x:v>5616</x:v>
      </x:c>
      <x:c r="C71" s="8" t="s">
        <x:v>3164</x:v>
      </x:c>
      <x:c r="D71" s="8" t="s">
        <x:v>6079</x:v>
      </x:c>
      <x:c r="E71" s="8" t="n">
        <x:v>10</x:v>
      </x:c>
      <x:c r="F71" s="8" t="s">
        <x:v>6105</x:v>
      </x:c>
      <x:c r="G71" s="8"/>
      <x:c r="H71" s="8" t="s">
        <x:v>30</x:v>
      </x:c>
      <x:c r="I71" s="8" t="s">
        <x:v>883</x:v>
      </x:c>
      <x:c r="J71" s="8" t="s">
        <x:v>6084</x:v>
      </x:c>
      <x:c r="K71" s="8"/>
    </x:row>
    <x:row r="72" ht="54.75" hidden="0" customHeight="1">
      <x:c r="A72" s="8" t="s">
        <x:v>4482</x:v>
      </x:c>
      <x:c r="B72" s="8" t="s">
        <x:v>5617</x:v>
      </x:c>
      <x:c r="C72" s="8" t="s">
        <x:v>4485</x:v>
      </x:c>
      <x:c r="D72" s="8" t="s">
        <x:v>6079</x:v>
      </x:c>
      <x:c r="E72" s="8" t="n">
        <x:v>0</x:v>
      </x:c>
      <x:c r="F72" s="8" t="s">
        <x:v>6105</x:v>
      </x:c>
      <x:c r="G72" s="8"/>
      <x:c r="H72" s="8" t="s">
        <x:v>112</x:v>
      </x:c>
      <x:c r="I72" s="8" t="s">
        <x:v>3474</x:v>
      </x:c>
      <x:c r="J72" s="8" t="s">
        <x:v>6114</x:v>
      </x:c>
      <x:c r="K72" s="8"/>
    </x:row>
    <x:row r="73" ht="54.75" hidden="0" customHeight="1">
      <x:c r="A73" s="8" t="s">
        <x:v>2084</x:v>
      </x:c>
      <x:c r="B73" s="8" t="s">
        <x:v>5619</x:v>
      </x:c>
      <x:c r="C73" s="8" t="s">
        <x:v>2087</x:v>
      </x:c>
      <x:c r="D73" s="8" t="s">
        <x:v>6079</x:v>
      </x:c>
      <x:c r="E73" s="8" t="n">
        <x:v>16</x:v>
      </x:c>
      <x:c r="F73" s="8" t="s">
        <x:v>6105</x:v>
      </x:c>
      <x:c r="G73" s="8"/>
      <x:c r="H73" s="8" t="s">
        <x:v>30</x:v>
      </x:c>
      <x:c r="I73" s="8" t="s">
        <x:v>883</x:v>
      </x:c>
      <x:c r="J73" s="8" t="s">
        <x:v>6084</x:v>
      </x:c>
      <x:c r="K73" s="8"/>
    </x:row>
    <x:row r="74" ht="54.75" hidden="0" customHeight="1">
      <x:c r="A74" s="8" t="s">
        <x:v>4336</x:v>
      </x:c>
      <x:c r="B74" s="8" t="s">
        <x:v>5620</x:v>
      </x:c>
      <x:c r="C74" s="8" t="s">
        <x:v>5933</x:v>
      </x:c>
      <x:c r="D74" s="8" t="s">
        <x:v>6079</x:v>
      </x:c>
      <x:c r="E74" s="8" t="n">
        <x:v>0</x:v>
      </x:c>
      <x:c r="F74" s="8" t="s">
        <x:v>6105</x:v>
      </x:c>
      <x:c r="G74" s="8"/>
      <x:c r="H74" s="8" t="s">
        <x:v>5292</x:v>
      </x:c>
      <x:c r="I74" s="8" t="s">
        <x:v>3474</x:v>
      </x:c>
      <x:c r="J74" s="8" t="s">
        <x:v>6115</x:v>
      </x:c>
      <x:c r="K74" s="8"/>
    </x:row>
    <x:row r="75" ht="54.75" hidden="0" customHeight="1">
      <x:c r="A75" s="8" t="s">
        <x:v>4144</x:v>
      </x:c>
      <x:c r="B75" s="8" t="s">
        <x:v>5622</x:v>
      </x:c>
      <x:c r="C75" s="8" t="s">
        <x:v>4147</x:v>
      </x:c>
      <x:c r="D75" s="8" t="s">
        <x:v>6079</x:v>
      </x:c>
      <x:c r="E75" s="8" t="n">
        <x:v>22</x:v>
      </x:c>
      <x:c r="F75" s="8" t="s">
        <x:v>6105</x:v>
      </x:c>
      <x:c r="G75" s="8"/>
      <x:c r="H75" s="8" t="s">
        <x:v>112</x:v>
      </x:c>
      <x:c r="I75" s="8" t="s">
        <x:v>3474</x:v>
      </x:c>
      <x:c r="J75" s="8" t="s">
        <x:v>6084</x:v>
      </x:c>
      <x:c r="K75" s="8" t="s">
        <x:v>3999</x:v>
      </x:c>
    </x:row>
    <x:row r="76" ht="54.75" hidden="0" customHeight="1">
      <x:c r="A76" s="8" t="s">
        <x:v>4188</x:v>
      </x:c>
      <x:c r="B76" s="8" t="s">
        <x:v>5623</x:v>
      </x:c>
      <x:c r="C76" s="8" t="s">
        <x:v>4191</x:v>
      </x:c>
      <x:c r="D76" s="8" t="s">
        <x:v>6079</x:v>
      </x:c>
      <x:c r="E76" s="8" t="n">
        <x:v>34</x:v>
      </x:c>
      <x:c r="F76" s="8" t="s">
        <x:v>6105</x:v>
      </x:c>
      <x:c r="G76" s="8"/>
      <x:c r="H76" s="8" t="s">
        <x:v>3471</x:v>
      </x:c>
      <x:c r="I76" s="8" t="s">
        <x:v>3474</x:v>
      </x:c>
      <x:c r="J76" s="8" t="s">
        <x:v>6084</x:v>
      </x:c>
      <x:c r="K76" s="8" t="s">
        <x:v>3999</x:v>
      </x:c>
    </x:row>
    <x:row r="77" ht="54.75" hidden="0" customHeight="1">
      <x:c r="A77" s="8" t="s">
        <x:v>4278</x:v>
      </x:c>
      <x:c r="B77" s="8" t="s">
        <x:v>5624</x:v>
      </x:c>
      <x:c r="C77" s="8" t="s">
        <x:v>4281</x:v>
      </x:c>
      <x:c r="D77" s="8" t="s">
        <x:v>6079</x:v>
      </x:c>
      <x:c r="E77" s="8" t="n">
        <x:v>25</x:v>
      </x:c>
      <x:c r="F77" s="8" t="s">
        <x:v>6105</x:v>
      </x:c>
      <x:c r="G77" s="8"/>
      <x:c r="H77" s="8" t="s">
        <x:v>3471</x:v>
      </x:c>
      <x:c r="I77" s="8" t="s">
        <x:v>3474</x:v>
      </x:c>
      <x:c r="J77" s="8" t="s">
        <x:v>6084</x:v>
      </x:c>
      <x:c r="K77" s="8" t="s">
        <x:v>3999</x:v>
      </x:c>
    </x:row>
    <x:row r="78" ht="54.75" hidden="0" customHeight="1">
      <x:c r="A78" s="8" t="s">
        <x:v>4786</x:v>
      </x:c>
      <x:c r="B78" s="8" t="s">
        <x:v>5625</x:v>
      </x:c>
      <x:c r="C78" s="8" t="s">
        <x:v>5946</x:v>
      </x:c>
      <x:c r="D78" s="8" t="s">
        <x:v>6079</x:v>
      </x:c>
      <x:c r="E78" s="8" t="n">
        <x:v>0</x:v>
      </x:c>
      <x:c r="F78" s="8" t="s">
        <x:v>6105</x:v>
      </x:c>
      <x:c r="G78" s="8"/>
      <x:c r="H78" s="8" t="s">
        <x:v>6116</x:v>
      </x:c>
      <x:c r="I78" s="8" t="s">
        <x:v>3474</x:v>
      </x:c>
      <x:c r="J78" s="8" t="s">
        <x:v>6117</x:v>
      </x:c>
      <x:c r="K78" s="8"/>
    </x:row>
    <x:row r="79" ht="54.75" hidden="0" customHeight="1">
      <x:c r="A79" s="8" t="s">
        <x:v>4707</x:v>
      </x:c>
      <x:c r="B79" s="8" t="s">
        <x:v>5627</x:v>
      </x:c>
      <x:c r="C79" s="8" t="s">
        <x:v>5950</x:v>
      </x:c>
      <x:c r="D79" s="8" t="s">
        <x:v>6079</x:v>
      </x:c>
      <x:c r="E79" s="8" t="n">
        <x:v>0</x:v>
      </x:c>
      <x:c r="F79" s="8" t="s">
        <x:v>6105</x:v>
      </x:c>
      <x:c r="G79" s="8"/>
      <x:c r="H79" s="8" t="s">
        <x:v>6118</x:v>
      </x:c>
      <x:c r="I79" s="8" t="s">
        <x:v>3474</x:v>
      </x:c>
      <x:c r="J79" s="8" t="s">
        <x:v>6117</x:v>
      </x:c>
      <x:c r="K79" s="8"/>
    </x:row>
    <x:row r="80" ht="54.75" hidden="0" customHeight="1">
      <x:c r="A80" s="8" t="s">
        <x:v>2598</x:v>
      </x:c>
      <x:c r="B80" s="8" t="s">
        <x:v>5630</x:v>
      </x:c>
      <x:c r="C80" s="8" t="s">
        <x:v>2599</x:v>
      </x:c>
      <x:c r="D80" s="8" t="s">
        <x:v>6079</x:v>
      </x:c>
      <x:c r="E80" s="8" t="n">
        <x:v>19</x:v>
      </x:c>
      <x:c r="F80" s="8" t="s">
        <x:v>6105</x:v>
      </x:c>
      <x:c r="G80" s="8"/>
      <x:c r="H80" s="8" t="s">
        <x:v>2601</x:v>
      </x:c>
      <x:c r="I80" s="8" t="s">
        <x:v>883</x:v>
      </x:c>
      <x:c r="J80" s="8" t="s">
        <x:v>6084</x:v>
      </x:c>
      <x:c r="K80" s="8" t="s">
        <x:v>2603</x:v>
      </x:c>
    </x:row>
    <x:row r="81" ht="54.75" hidden="0" customHeight="1">
      <x:c r="A81" s="8" t="s">
        <x:v>3860</x:v>
      </x:c>
      <x:c r="B81" s="8" t="s">
        <x:v>5631</x:v>
      </x:c>
      <x:c r="C81" s="8" t="s">
        <x:v>3863</x:v>
      </x:c>
      <x:c r="D81" s="8" t="s">
        <x:v>6079</x:v>
      </x:c>
      <x:c r="E81" s="8" t="n">
        <x:v>39</x:v>
      </x:c>
      <x:c r="F81" s="8" t="s">
        <x:v>6105</x:v>
      </x:c>
      <x:c r="G81" s="8"/>
      <x:c r="H81" s="8" t="s">
        <x:v>3471</x:v>
      </x:c>
      <x:c r="I81" s="8" t="s">
        <x:v>3474</x:v>
      </x:c>
      <x:c r="J81" s="8" t="s">
        <x:v>6084</x:v>
      </x:c>
      <x:c r="K81" s="8" t="s">
        <x:v>3473</x:v>
      </x:c>
    </x:row>
    <x:row r="82" ht="54.75" hidden="0" customHeight="1">
      <x:c r="A82" s="8" t="s">
        <x:v>2681</x:v>
      </x:c>
      <x:c r="B82" s="8" t="s">
        <x:v>5632</x:v>
      </x:c>
      <x:c r="C82" s="8" t="s">
        <x:v>2684</x:v>
      </x:c>
      <x:c r="D82" s="8" t="s">
        <x:v>6079</x:v>
      </x:c>
      <x:c r="E82" s="8" t="n">
        <x:v>25</x:v>
      </x:c>
      <x:c r="F82" s="8" t="s">
        <x:v>6105</x:v>
      </x:c>
      <x:c r="G82" s="8"/>
      <x:c r="H82" s="8" t="s">
        <x:v>2601</x:v>
      </x:c>
      <x:c r="I82" s="8" t="s">
        <x:v>883</x:v>
      </x:c>
      <x:c r="J82" s="8" t="s">
        <x:v>6084</x:v>
      </x:c>
      <x:c r="K82" s="8" t="s">
        <x:v>2687</x:v>
      </x:c>
    </x:row>
    <x:row r="83" ht="54.75" hidden="0" customHeight="1">
      <x:c r="A83" s="8" t="s">
        <x:v>5634</x:v>
      </x:c>
      <x:c r="B83" s="8" t="s">
        <x:v>5635</x:v>
      </x:c>
      <x:c r="C83" s="8" t="s">
        <x:v>5972</x:v>
      </x:c>
      <x:c r="D83" s="8" t="s">
        <x:v>6075</x:v>
      </x:c>
      <x:c r="E83" s="8" t="n">
        <x:v>0</x:v>
      </x:c>
      <x:c r="F83" s="8" t="s">
        <x:v>6105</x:v>
      </x:c>
      <x:c r="G83" s="8"/>
      <x:c r="H83" s="8" t="s">
        <x:v>30</x:v>
      </x:c>
      <x:c r="I83" s="8" t="s">
        <x:v>883</x:v>
      </x:c>
      <x:c r="J83" s="8" t="s">
        <x:v>6078</x:v>
      </x:c>
      <x:c r="K83" s="8"/>
    </x:row>
    <x:row r="84" ht="54.75" hidden="0" customHeight="1">
      <x:c r="A84" s="8" t="s">
        <x:v>5636</x:v>
      </x:c>
      <x:c r="B84" s="8" t="s">
        <x:v>5637</x:v>
      </x:c>
      <x:c r="C84" s="8" t="s">
        <x:v>5976</x:v>
      </x:c>
      <x:c r="D84" s="8" t="s">
        <x:v>6075</x:v>
      </x:c>
      <x:c r="E84" s="8" t="n">
        <x:v>0</x:v>
      </x:c>
      <x:c r="F84" s="8" t="s">
        <x:v>6105</x:v>
      </x:c>
      <x:c r="G84" s="8"/>
      <x:c r="H84" s="8" t="s">
        <x:v>30</x:v>
      </x:c>
      <x:c r="I84" s="8" t="s">
        <x:v>883</x:v>
      </x:c>
      <x:c r="J84" s="8" t="s">
        <x:v>6078</x:v>
      </x:c>
      <x:c r="K84" s="8"/>
    </x:row>
    <x:row r="85" ht="54.75" hidden="0" customHeight="1">
      <x:c r="A85" s="8" t="s">
        <x:v>2645</x:v>
      </x:c>
      <x:c r="B85" s="8" t="s">
        <x:v>5639</x:v>
      </x:c>
      <x:c r="C85" s="8" t="s">
        <x:v>2647</x:v>
      </x:c>
      <x:c r="D85" s="8" t="s">
        <x:v>6079</x:v>
      </x:c>
      <x:c r="E85" s="8" t="n">
        <x:v>17</x:v>
      </x:c>
      <x:c r="F85" s="8" t="s">
        <x:v>6105</x:v>
      </x:c>
      <x:c r="G85" s="8"/>
      <x:c r="H85" s="8" t="s">
        <x:v>2648</x:v>
      </x:c>
      <x:c r="I85" s="8" t="s">
        <x:v>883</x:v>
      </x:c>
      <x:c r="J85" s="8" t="s">
        <x:v>6084</x:v>
      </x:c>
      <x:c r="K85" s="8" t="s">
        <x:v>2651</x:v>
      </x:c>
    </x:row>
    <x:row r="86" ht="54.75" hidden="0" customHeight="1">
      <x:c r="A86" s="8" t="s">
        <x:v>2918</x:v>
      </x:c>
      <x:c r="B86" s="8" t="s">
        <x:v>5640</x:v>
      </x:c>
      <x:c r="C86" s="8" t="s">
        <x:v>2920</x:v>
      </x:c>
      <x:c r="D86" s="8" t="s">
        <x:v>6079</x:v>
      </x:c>
      <x:c r="E86" s="8" t="n">
        <x:v>14</x:v>
      </x:c>
      <x:c r="F86" s="8" t="s">
        <x:v>6105</x:v>
      </x:c>
      <x:c r="G86" s="8"/>
      <x:c r="H86" s="8" t="s">
        <x:v>30</x:v>
      </x:c>
      <x:c r="I86" s="8" t="s">
        <x:v>883</x:v>
      </x:c>
      <x:c r="J86" s="8" t="s">
        <x:v>6084</x:v>
      </x:c>
      <x:c r="K86" s="8"/>
    </x:row>
    <x:row r="87" ht="54.75" hidden="0" customHeight="1">
      <x:c r="A87" s="8" t="s">
        <x:v>2957</x:v>
      </x:c>
      <x:c r="B87" s="8" t="s">
        <x:v>5641</x:v>
      </x:c>
      <x:c r="C87" s="8" t="s">
        <x:v>2959</x:v>
      </x:c>
      <x:c r="D87" s="8" t="s">
        <x:v>6079</x:v>
      </x:c>
      <x:c r="E87" s="8" t="n">
        <x:v>20</x:v>
      </x:c>
      <x:c r="F87" s="8" t="s">
        <x:v>6105</x:v>
      </x:c>
      <x:c r="G87" s="8"/>
      <x:c r="H87" s="8" t="s">
        <x:v>30</x:v>
      </x:c>
      <x:c r="I87" s="8" t="s">
        <x:v>883</x:v>
      </x:c>
      <x:c r="J87" s="8" t="s">
        <x:v>6084</x:v>
      </x:c>
      <x:c r="K87" s="8"/>
    </x:row>
    <x:row r="88" ht="54.75" hidden="0" customHeight="1">
      <x:c r="A88" s="8" t="s">
        <x:v>5142</x:v>
      </x:c>
      <x:c r="B88" s="8" t="s">
        <x:v>5642</x:v>
      </x:c>
      <x:c r="C88" s="8" t="s">
        <x:v>5990</x:v>
      </x:c>
      <x:c r="D88" s="8" t="str">
        <x:v>SECTIONS_EXTRACTED</x:v>
      </x:c>
      <x:c r="E88" s="8" t="n">
        <x:v>0</x:v>
      </x:c>
      <x:c r="F88" s="8" t="s">
        <x:v>6105</x:v>
      </x:c>
      <x:c r="G88" s="8"/>
      <x:c r="H88" s="8" t="s">
        <x:v>6086</x:v>
      </x:c>
      <x:c r="I88" s="8" t="s">
        <x:v>20</x:v>
      </x:c>
      <x:c r="J88" s="8" t="str">
        <x:v>See COVERAGE follow_up and BATCH_LOG B16.</x:v>
      </x:c>
      <x:c r="K88" s="8"/>
    </x:row>
    <x:row r="89" ht="54.75" hidden="0" customHeight="1">
      <x:c r="A89" s="8" t="s">
        <x:v>4614</x:v>
      </x:c>
      <x:c r="B89" s="8" t="s">
        <x:v>5643</x:v>
      </x:c>
      <x:c r="C89" s="8" t="s">
        <x:v>5992</x:v>
      </x:c>
      <x:c r="D89" s="8" t="s">
        <x:v>6079</x:v>
      </x:c>
      <x:c r="E89" s="8" t="n">
        <x:v>0</x:v>
      </x:c>
      <x:c r="F89" s="8" t="s">
        <x:v>6105</x:v>
      </x:c>
      <x:c r="G89" s="8"/>
      <x:c r="H89" s="8" t="s">
        <x:v>4620</x:v>
      </x:c>
      <x:c r="I89" s="8" t="s">
        <x:v>3474</x:v>
      </x:c>
      <x:c r="J89" s="8" t="s">
        <x:v>6119</x:v>
      </x:c>
      <x:c r="K89" s="8"/>
    </x:row>
    <x:row r="90" ht="54.75" hidden="0" customHeight="1">
      <x:c r="A90" s="8" t="s">
        <x:v>5171</x:v>
      </x:c>
      <x:c r="B90" s="8" t="s">
        <x:v>5645</x:v>
      </x:c>
      <x:c r="C90" s="8" t="s">
        <x:v>5997</x:v>
      </x:c>
      <x:c r="D90" s="8" t="s">
        <x:v>52</x:v>
      </x:c>
      <x:c r="E90" s="8" t="n">
        <x:v>0</x:v>
      </x:c>
      <x:c r="F90" s="8" t="s">
        <x:v>6105</x:v>
      </x:c>
      <x:c r="G90" s="8"/>
      <x:c r="H90" s="8" t="s">
        <x:v>6086</x:v>
      </x:c>
      <x:c r="I90" s="8" t="s">
        <x:v>20</x:v>
      </x:c>
      <x:c r="J90" s="8" t="s">
        <x:v>6087</x:v>
      </x:c>
      <x:c r="K90" s="8"/>
    </x:row>
    <x:row r="91" ht="54.75" hidden="0" customHeight="1">
      <x:c r="A91" s="8" t="s">
        <x:v>3339</x:v>
      </x:c>
      <x:c r="B91" s="8" t="s">
        <x:v>5647</x:v>
      </x:c>
      <x:c r="C91" s="8" t="s">
        <x:v>3342</x:v>
      </x:c>
      <x:c r="D91" s="8" t="s">
        <x:v>6079</x:v>
      </x:c>
      <x:c r="E91" s="8" t="n">
        <x:v>9</x:v>
      </x:c>
      <x:c r="F91" s="8" t="s">
        <x:v>6105</x:v>
      </x:c>
      <x:c r="G91" s="8"/>
      <x:c r="H91" s="8" t="s">
        <x:v>30</x:v>
      </x:c>
      <x:c r="I91" s="8" t="s">
        <x:v>883</x:v>
      </x:c>
      <x:c r="J91" s="8" t="s">
        <x:v>6084</x:v>
      </x:c>
      <x:c r="K91" s="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796875" defaultRowHeight="15"/>
  <x:cols>
    <x:col min="1" max="1" width="16" style="1" hidden="0" customWidth="1"/>
    <x:col min="2" max="2" width="55" style="1" hidden="0" customWidth="1"/>
    <x:col min="3" max="47" width="25" style="1" hidden="0" customWidth="1"/>
  </x:cols>
  <x:sheetData>
    <x:row r="1" ht="39.75" hidden="0" customHeight="1">
      <x:c r="A1" s="11" t="s">
        <x:v>82</x:v>
      </x:c>
      <x:c r="B1" s="11" t="s">
        <x:v>6120</x:v>
      </x:c>
      <x:c r="C1" s="11" t="s">
        <x:v>6121</x:v>
      </x:c>
      <x:c r="D1" s="11" t="s">
        <x:v>6122</x:v>
      </x:c>
      <x:c r="E1" s="11" t="s">
        <x:v>4721</x:v>
      </x:c>
      <x:c r="F1" s="11" t="s">
        <x:v>4725</x:v>
      </x:c>
      <x:c r="G1" s="11" t="s">
        <x:v>6123</x:v>
      </x:c>
      <x:c r="H1" s="11" t="s">
        <x:v>6124</x:v>
      </x:c>
      <x:c r="I1" s="11" t="s">
        <x:v>6125</x:v>
      </x:c>
      <x:c r="J1" s="11" t="s">
        <x:v>6126</x:v>
      </x:c>
      <x:c r="K1" s="11" t="s">
        <x:v>1343</x:v>
      </x:c>
      <x:c r="L1" s="11" t="s">
        <x:v>6127</x:v>
      </x:c>
      <x:c r="M1" s="11" t="s">
        <x:v>6128</x:v>
      </x:c>
      <x:c r="N1" s="11" t="s">
        <x:v>6129</x:v>
      </x:c>
      <x:c r="O1" s="11" t="s">
        <x:v>6130</x:v>
      </x:c>
      <x:c r="P1" s="11" t="s">
        <x:v>6131</x:v>
      </x:c>
      <x:c r="Q1" s="11" t="s">
        <x:v>1640</x:v>
      </x:c>
      <x:c r="R1" s="11" t="s">
        <x:v>6132</x:v>
      </x:c>
      <x:c r="S1" s="11" t="s">
        <x:v>6133</x:v>
      </x:c>
      <x:c r="T1" s="11" t="s">
        <x:v>6134</x:v>
      </x:c>
      <x:c r="U1" s="11" t="s">
        <x:v>6135</x:v>
      </x:c>
      <x:c r="V1" s="11" t="s">
        <x:v>990</x:v>
      </x:c>
      <x:c r="W1" s="11" t="s">
        <x:v>6136</x:v>
      </x:c>
      <x:c r="X1" s="11" t="s">
        <x:v>6137</x:v>
      </x:c>
      <x:c r="Y1" s="11" t="s">
        <x:v>6138</x:v>
      </x:c>
      <x:c r="Z1" s="11" t="s">
        <x:v>6139</x:v>
      </x:c>
      <x:c r="AA1" s="11" t="s">
        <x:v>6140</x:v>
      </x:c>
      <x:c r="AB1" s="11" t="s">
        <x:v>4749</x:v>
      </x:c>
      <x:c r="AC1" s="11" t="s">
        <x:v>6141</x:v>
      </x:c>
      <x:c r="AD1" s="11" t="s">
        <x:v>6142</x:v>
      </x:c>
      <x:c r="AE1" s="11" t="s">
        <x:v>6143</x:v>
      </x:c>
      <x:c r="AF1" s="11" t="s">
        <x:v>4742</x:v>
      </x:c>
      <x:c r="AG1" s="11" t="s">
        <x:v>6144</x:v>
      </x:c>
      <x:c r="AH1" s="11" t="s">
        <x:v>6145</x:v>
      </x:c>
      <x:c r="AI1" s="11" t="s">
        <x:v>6146</x:v>
      </x:c>
      <x:c r="AJ1" s="11" t="s">
        <x:v>6147</x:v>
      </x:c>
      <x:c r="AK1" s="11" t="s">
        <x:v>6148</x:v>
      </x:c>
      <x:c r="AL1" s="11" t="s">
        <x:v>6149</x:v>
      </x:c>
      <x:c r="AM1" s="11" t="s">
        <x:v>4449</x:v>
      </x:c>
      <x:c r="AN1" s="11" t="s">
        <x:v>6150</x:v>
      </x:c>
      <x:c r="AO1" s="11" t="s">
        <x:v>6151</x:v>
      </x:c>
      <x:c r="AP1" s="11" t="s">
        <x:v>6152</x:v>
      </x:c>
      <x:c r="AQ1" s="11" t="s">
        <x:v>4471</x:v>
      </x:c>
      <x:c r="AR1" s="11" t="s">
        <x:v>6153</x:v>
      </x:c>
      <x:c r="AS1" s="11" t="s">
        <x:v>6154</x:v>
      </x:c>
      <x:c r="AT1" s="11" t="s">
        <x:v>6155</x:v>
      </x:c>
      <x:c r="AU1" s="11" t="s">
        <x:v>6156</x:v>
      </x:c>
    </x:row>
    <x:row r="2" ht="54.75" hidden="0" customHeight="1">
      <x:c r="A2" s="8" t="s">
        <x:v>5501</x:v>
      </x:c>
      <x:c r="B2" s="8" t="s">
        <x:v>6157</x:v>
      </x:c>
      <x:c r="C2" s="8" t="s">
        <x:v>30</x:v>
      </x:c>
      <x:c r="D2" s="8" t="s">
        <x:v>30</x:v>
      </x:c>
      <x:c r="E2" s="8" t="s">
        <x:v>30</x:v>
      </x:c>
      <x:c r="F2" s="8" t="s">
        <x:v>30</x:v>
      </x:c>
      <x:c r="G2" s="8" t="s">
        <x:v>30</x:v>
      </x:c>
      <x:c r="H2" s="8" t="s">
        <x:v>30</x:v>
      </x:c>
      <x:c r="I2" s="8" t="s">
        <x:v>30</x:v>
      </x:c>
      <x:c r="J2" s="8" t="s">
        <x:v>30</x:v>
      </x:c>
      <x:c r="K2" s="8" t="s">
        <x:v>30</x:v>
      </x:c>
      <x:c r="L2" s="8" t="s">
        <x:v>30</x:v>
      </x:c>
      <x:c r="M2" s="8" t="s">
        <x:v>30</x:v>
      </x:c>
      <x:c r="N2" s="8" t="s">
        <x:v>30</x:v>
      </x:c>
      <x:c r="O2" s="8" t="s">
        <x:v>30</x:v>
      </x:c>
      <x:c r="P2" s="8" t="s">
        <x:v>30</x:v>
      </x:c>
      <x:c r="Q2" s="8" t="s">
        <x:v>30</x:v>
      </x:c>
      <x:c r="R2" s="8" t="s">
        <x:v>30</x:v>
      </x:c>
      <x:c r="S2" s="8" t="s">
        <x:v>30</x:v>
      </x:c>
      <x:c r="T2" s="8" t="s">
        <x:v>30</x:v>
      </x:c>
      <x:c r="U2" s="8" t="s">
        <x:v>30</x:v>
      </x:c>
      <x:c r="V2" s="8" t="s">
        <x:v>30</x:v>
      </x:c>
      <x:c r="W2" s="8" t="s">
        <x:v>30</x:v>
      </x:c>
      <x:c r="X2" s="8" t="s">
        <x:v>30</x:v>
      </x:c>
      <x:c r="Y2" s="8" t="s">
        <x:v>30</x:v>
      </x:c>
      <x:c r="Z2" s="8" t="s">
        <x:v>30</x:v>
      </x:c>
      <x:c r="AA2" s="8" t="s">
        <x:v>30</x:v>
      </x:c>
      <x:c r="AB2" s="8" t="s">
        <x:v>30</x:v>
      </x:c>
      <x:c r="AC2" s="8" t="s">
        <x:v>30</x:v>
      </x:c>
      <x:c r="AD2" s="8" t="s">
        <x:v>30</x:v>
      </x:c>
      <x:c r="AE2" s="8" t="s">
        <x:v>30</x:v>
      </x:c>
      <x:c r="AF2" s="8" t="s">
        <x:v>30</x:v>
      </x:c>
      <x:c r="AG2" s="8" t="s">
        <x:v>30</x:v>
      </x:c>
      <x:c r="AH2" s="8" t="s">
        <x:v>30</x:v>
      </x:c>
      <x:c r="AI2" s="8" t="s">
        <x:v>30</x:v>
      </x:c>
      <x:c r="AJ2" s="8" t="s">
        <x:v>30</x:v>
      </x:c>
      <x:c r="AK2" s="8" t="s">
        <x:v>30</x:v>
      </x:c>
      <x:c r="AL2" s="8" t="s">
        <x:v>30</x:v>
      </x:c>
      <x:c r="AM2" s="8" t="s">
        <x:v>30</x:v>
      </x:c>
      <x:c r="AN2" s="8" t="s">
        <x:v>30</x:v>
      </x:c>
      <x:c r="AO2" s="8" t="s">
        <x:v>30</x:v>
      </x:c>
      <x:c r="AP2" s="8" t="s">
        <x:v>30</x:v>
      </x:c>
      <x:c r="AQ2" s="8" t="s">
        <x:v>30</x:v>
      </x:c>
      <x:c r="AR2" s="8" t="s">
        <x:v>30</x:v>
      </x:c>
      <x:c r="AS2" s="8" t="s">
        <x:v>30</x:v>
      </x:c>
      <x:c r="AT2" s="8" t="s">
        <x:v>30</x:v>
      </x:c>
      <x:c r="AU2" s="8" t="s">
        <x:v>30</x:v>
      </x:c>
    </x:row>
    <x:row r="3" ht="54.75" hidden="0" customHeight="1">
      <x:c r="A3" s="8" t="s">
        <x:v>4629</x:v>
      </x:c>
      <x:c r="B3" s="8" t="s">
        <x:v>6158</x:v>
      </x:c>
      <x:c r="C3" s="8" t="s">
        <x:v>6159</x:v>
      </x:c>
      <x:c r="D3" s="8" t="s">
        <x:v>6159</x:v>
      </x:c>
      <x:c r="E3" s="8" t="s">
        <x:v>6159</x:v>
      </x:c>
      <x:c r="F3" s="8" t="s">
        <x:v>6159</x:v>
      </x:c>
      <x:c r="G3" s="8" t="s">
        <x:v>6159</x:v>
      </x:c>
      <x:c r="H3" s="8" t="s">
        <x:v>6159</x:v>
      </x:c>
      <x:c r="I3" s="8" t="s">
        <x:v>30</x:v>
      </x:c>
      <x:c r="J3" s="8" t="s">
        <x:v>30</x:v>
      </x:c>
      <x:c r="K3" s="8" t="s">
        <x:v>30</x:v>
      </x:c>
      <x:c r="L3" s="8" t="s">
        <x:v>30</x:v>
      </x:c>
      <x:c r="M3" s="8" t="s">
        <x:v>30</x:v>
      </x:c>
      <x:c r="N3" s="8" t="s">
        <x:v>30</x:v>
      </x:c>
      <x:c r="O3" s="8" t="s">
        <x:v>30</x:v>
      </x:c>
      <x:c r="P3" s="8" t="s">
        <x:v>30</x:v>
      </x:c>
      <x:c r="Q3" s="8" t="s">
        <x:v>30</x:v>
      </x:c>
      <x:c r="R3" s="8" t="s">
        <x:v>32</x:v>
      </x:c>
      <x:c r="S3" s="8" t="s">
        <x:v>30</x:v>
      </x:c>
      <x:c r="T3" s="8" t="s">
        <x:v>30</x:v>
      </x:c>
      <x:c r="U3" s="8" t="s">
        <x:v>30</x:v>
      </x:c>
      <x:c r="V3" s="8" t="s">
        <x:v>30</x:v>
      </x:c>
      <x:c r="W3" s="8" t="s">
        <x:v>30</x:v>
      </x:c>
      <x:c r="X3" s="8" t="s">
        <x:v>30</x:v>
      </x:c>
      <x:c r="Y3" s="8" t="s">
        <x:v>30</x:v>
      </x:c>
      <x:c r="Z3" s="8" t="s">
        <x:v>30</x:v>
      </x:c>
      <x:c r="AA3" s="8" t="s">
        <x:v>30</x:v>
      </x:c>
      <x:c r="AB3" s="8" t="s">
        <x:v>30</x:v>
      </x:c>
      <x:c r="AC3" s="8" t="s">
        <x:v>30</x:v>
      </x:c>
      <x:c r="AD3" s="8" t="s">
        <x:v>30</x:v>
      </x:c>
      <x:c r="AE3" s="8" t="s">
        <x:v>30</x:v>
      </x:c>
      <x:c r="AF3" s="8" t="s">
        <x:v>30</x:v>
      </x:c>
      <x:c r="AG3" s="8" t="s">
        <x:v>30</x:v>
      </x:c>
      <x:c r="AH3" s="8" t="s">
        <x:v>30</x:v>
      </x:c>
      <x:c r="AI3" s="8" t="s">
        <x:v>30</x:v>
      </x:c>
      <x:c r="AJ3" s="8" t="s">
        <x:v>30</x:v>
      </x:c>
      <x:c r="AK3" s="8" t="s">
        <x:v>30</x:v>
      </x:c>
      <x:c r="AL3" s="8" t="s">
        <x:v>6159</x:v>
      </x:c>
      <x:c r="AM3" s="8" t="s">
        <x:v>6159</x:v>
      </x:c>
      <x:c r="AN3" s="8" t="s">
        <x:v>30</x:v>
      </x:c>
      <x:c r="AO3" s="8" t="s">
        <x:v>6159</x:v>
      </x:c>
      <x:c r="AP3" s="8" t="s">
        <x:v>6159</x:v>
      </x:c>
      <x:c r="AQ3" s="8" t="s">
        <x:v>30</x:v>
      </x:c>
      <x:c r="AR3" s="8" t="s">
        <x:v>30</x:v>
      </x:c>
      <x:c r="AS3" s="8" t="s">
        <x:v>32</x:v>
      </x:c>
      <x:c r="AT3" s="8" t="s">
        <x:v>30</x:v>
      </x:c>
      <x:c r="AU3" s="8" t="s">
        <x:v>30</x:v>
      </x:c>
    </x:row>
    <x:row r="4" ht="54.75" hidden="0" customHeight="1">
      <x:c r="A4" s="8" t="s">
        <x:v>3426</x:v>
      </x:c>
      <x:c r="B4" s="8" t="s">
        <x:v>6157</x:v>
      </x:c>
      <x:c r="C4" s="8" t="s">
        <x:v>30</x:v>
      </x:c>
      <x:c r="D4" s="8" t="s">
        <x:v>30</x:v>
      </x:c>
      <x:c r="E4" s="8" t="s">
        <x:v>30</x:v>
      </x:c>
      <x:c r="F4" s="8" t="s">
        <x:v>30</x:v>
      </x:c>
      <x:c r="G4" s="8" t="s">
        <x:v>30</x:v>
      </x:c>
      <x:c r="H4" s="8" t="s">
        <x:v>30</x:v>
      </x:c>
      <x:c r="I4" s="8" t="s">
        <x:v>30</x:v>
      </x:c>
      <x:c r="J4" s="8" t="s">
        <x:v>30</x:v>
      </x:c>
      <x:c r="K4" s="8" t="s">
        <x:v>30</x:v>
      </x:c>
      <x:c r="L4" s="8" t="s">
        <x:v>30</x:v>
      </x:c>
      <x:c r="M4" s="8" t="s">
        <x:v>30</x:v>
      </x:c>
      <x:c r="N4" s="8" t="s">
        <x:v>30</x:v>
      </x:c>
      <x:c r="O4" s="8" t="s">
        <x:v>30</x:v>
      </x:c>
      <x:c r="P4" s="8" t="s">
        <x:v>30</x:v>
      </x:c>
      <x:c r="Q4" s="8" t="s">
        <x:v>30</x:v>
      </x:c>
      <x:c r="R4" s="8" t="s">
        <x:v>30</x:v>
      </x:c>
      <x:c r="S4" s="8" t="s">
        <x:v>30</x:v>
      </x:c>
      <x:c r="T4" s="8" t="s">
        <x:v>30</x:v>
      </x:c>
      <x:c r="U4" s="8" t="s">
        <x:v>30</x:v>
      </x:c>
      <x:c r="V4" s="8" t="s">
        <x:v>30</x:v>
      </x:c>
      <x:c r="W4" s="8" t="s">
        <x:v>30</x:v>
      </x:c>
      <x:c r="X4" s="8" t="s">
        <x:v>30</x:v>
      </x:c>
      <x:c r="Y4" s="8" t="s">
        <x:v>30</x:v>
      </x:c>
      <x:c r="Z4" s="8" t="s">
        <x:v>30</x:v>
      </x:c>
      <x:c r="AA4" s="8" t="s">
        <x:v>30</x:v>
      </x:c>
      <x:c r="AB4" s="8" t="s">
        <x:v>30</x:v>
      </x:c>
      <x:c r="AC4" s="8" t="s">
        <x:v>30</x:v>
      </x:c>
      <x:c r="AD4" s="8" t="s">
        <x:v>30</x:v>
      </x:c>
      <x:c r="AE4" s="8" t="s">
        <x:v>30</x:v>
      </x:c>
      <x:c r="AF4" s="8" t="s">
        <x:v>30</x:v>
      </x:c>
      <x:c r="AG4" s="8" t="s">
        <x:v>30</x:v>
      </x:c>
      <x:c r="AH4" s="8" t="s">
        <x:v>30</x:v>
      </x:c>
      <x:c r="AI4" s="8" t="s">
        <x:v>30</x:v>
      </x:c>
      <x:c r="AJ4" s="8" t="s">
        <x:v>30</x:v>
      </x:c>
      <x:c r="AK4" s="8" t="s">
        <x:v>30</x:v>
      </x:c>
      <x:c r="AL4" s="8" t="s">
        <x:v>30</x:v>
      </x:c>
      <x:c r="AM4" s="8" t="s">
        <x:v>30</x:v>
      </x:c>
      <x:c r="AN4" s="8" t="s">
        <x:v>30</x:v>
      </x:c>
      <x:c r="AO4" s="8" t="s">
        <x:v>30</x:v>
      </x:c>
      <x:c r="AP4" s="8" t="s">
        <x:v>6159</x:v>
      </x:c>
      <x:c r="AQ4" s="8" t="s">
        <x:v>30</x:v>
      </x:c>
      <x:c r="AR4" s="8" t="s">
        <x:v>30</x:v>
      </x:c>
      <x:c r="AS4" s="8" t="s">
        <x:v>30</x:v>
      </x:c>
      <x:c r="AT4" s="8" t="s">
        <x:v>30</x:v>
      </x:c>
      <x:c r="AU4" s="8" t="s">
        <x:v>30</x:v>
      </x:c>
    </x:row>
    <x:row r="5" ht="54.75" hidden="0" customHeight="1">
      <x:c r="A5" s="8" t="s">
        <x:v>5101</x:v>
      </x:c>
      <x:c r="B5" s="8" t="s">
        <x:v>6158</x:v>
      </x:c>
      <x:c r="C5" s="8" t="s">
        <x:v>6159</x:v>
      </x:c>
      <x:c r="D5" s="8" t="s">
        <x:v>30</x:v>
      </x:c>
      <x:c r="E5" s="8" t="s">
        <x:v>30</x:v>
      </x:c>
      <x:c r="F5" s="8" t="s">
        <x:v>30</x:v>
      </x:c>
      <x:c r="G5" s="8" t="s">
        <x:v>30</x:v>
      </x:c>
      <x:c r="H5" s="8" t="s">
        <x:v>30</x:v>
      </x:c>
      <x:c r="I5" s="8" t="s">
        <x:v>30</x:v>
      </x:c>
      <x:c r="J5" s="8" t="s">
        <x:v>30</x:v>
      </x:c>
      <x:c r="K5" s="8" t="s">
        <x:v>30</x:v>
      </x:c>
      <x:c r="L5" s="8" t="s">
        <x:v>30</x:v>
      </x:c>
      <x:c r="M5" s="8" t="s">
        <x:v>30</x:v>
      </x:c>
      <x:c r="N5" s="8" t="s">
        <x:v>30</x:v>
      </x:c>
      <x:c r="O5" s="8" t="s">
        <x:v>30</x:v>
      </x:c>
      <x:c r="P5" s="8" t="s">
        <x:v>30</x:v>
      </x:c>
      <x:c r="Q5" s="8" t="s">
        <x:v>30</x:v>
      </x:c>
      <x:c r="R5" s="8" t="s">
        <x:v>30</x:v>
      </x:c>
      <x:c r="S5" s="8" t="s">
        <x:v>30</x:v>
      </x:c>
      <x:c r="T5" s="8" t="s">
        <x:v>30</x:v>
      </x:c>
      <x:c r="U5" s="8" t="s">
        <x:v>30</x:v>
      </x:c>
      <x:c r="V5" s="8" t="s">
        <x:v>30</x:v>
      </x:c>
      <x:c r="W5" s="8" t="s">
        <x:v>30</x:v>
      </x:c>
      <x:c r="X5" s="8" t="s">
        <x:v>30</x:v>
      </x:c>
      <x:c r="Y5" s="8" t="s">
        <x:v>30</x:v>
      </x:c>
      <x:c r="Z5" s="8" t="s">
        <x:v>30</x:v>
      </x:c>
      <x:c r="AA5" s="8" t="s">
        <x:v>30</x:v>
      </x:c>
      <x:c r="AB5" s="8" t="s">
        <x:v>30</x:v>
      </x:c>
      <x:c r="AC5" s="8" t="s">
        <x:v>30</x:v>
      </x:c>
      <x:c r="AD5" s="8" t="s">
        <x:v>30</x:v>
      </x:c>
      <x:c r="AE5" s="8" t="s">
        <x:v>30</x:v>
      </x:c>
      <x:c r="AF5" s="8" t="s">
        <x:v>30</x:v>
      </x:c>
      <x:c r="AG5" s="8" t="s">
        <x:v>30</x:v>
      </x:c>
      <x:c r="AH5" s="8" t="s">
        <x:v>30</x:v>
      </x:c>
      <x:c r="AI5" s="8" t="s">
        <x:v>30</x:v>
      </x:c>
      <x:c r="AJ5" s="8" t="s">
        <x:v>30</x:v>
      </x:c>
      <x:c r="AK5" s="8" t="s">
        <x:v>30</x:v>
      </x:c>
      <x:c r="AL5" s="8" t="s">
        <x:v>30</x:v>
      </x:c>
      <x:c r="AM5" s="8" t="s">
        <x:v>30</x:v>
      </x:c>
      <x:c r="AN5" s="8" t="s">
        <x:v>30</x:v>
      </x:c>
      <x:c r="AO5" s="8" t="s">
        <x:v>30</x:v>
      </x:c>
      <x:c r="AP5" s="8" t="s">
        <x:v>30</x:v>
      </x:c>
      <x:c r="AQ5" s="8" t="s">
        <x:v>30</x:v>
      </x:c>
      <x:c r="AR5" s="8" t="s">
        <x:v>30</x:v>
      </x:c>
      <x:c r="AS5" s="8" t="s">
        <x:v>30</x:v>
      </x:c>
      <x:c r="AT5" s="8" t="s">
        <x:v>30</x:v>
      </x:c>
      <x:c r="AU5" s="8" t="s">
        <x:v>30</x:v>
      </x:c>
    </x:row>
    <x:row r="6" ht="54.75" hidden="0" customHeight="1">
      <x:c r="A6" s="8" t="s">
        <x:v>1703</x:v>
      </x:c>
      <x:c r="B6" s="8" t="s">
        <x:v>6157</x:v>
      </x:c>
      <x:c r="C6" s="8" t="s">
        <x:v>6159</x:v>
      </x:c>
      <x:c r="D6" s="8" t="s">
        <x:v>30</x:v>
      </x:c>
      <x:c r="E6" s="8" t="s">
        <x:v>30</x:v>
      </x:c>
      <x:c r="F6" s="8" t="s">
        <x:v>30</x:v>
      </x:c>
      <x:c r="G6" s="8" t="s">
        <x:v>30</x:v>
      </x:c>
      <x:c r="H6" s="8" t="s">
        <x:v>30</x:v>
      </x:c>
      <x:c r="I6" s="8" t="s">
        <x:v>30</x:v>
      </x:c>
      <x:c r="J6" s="8" t="s">
        <x:v>30</x:v>
      </x:c>
      <x:c r="K6" s="8" t="s">
        <x:v>30</x:v>
      </x:c>
      <x:c r="L6" s="8" t="s">
        <x:v>30</x:v>
      </x:c>
      <x:c r="M6" s="8" t="s">
        <x:v>30</x:v>
      </x:c>
      <x:c r="N6" s="8" t="s">
        <x:v>30</x:v>
      </x:c>
      <x:c r="O6" s="8" t="s">
        <x:v>30</x:v>
      </x:c>
      <x:c r="P6" s="8" t="s">
        <x:v>30</x:v>
      </x:c>
      <x:c r="Q6" s="8" t="s">
        <x:v>30</x:v>
      </x:c>
      <x:c r="R6" s="8" t="s">
        <x:v>30</x:v>
      </x:c>
      <x:c r="S6" s="8" t="s">
        <x:v>30</x:v>
      </x:c>
      <x:c r="T6" s="8" t="s">
        <x:v>30</x:v>
      </x:c>
      <x:c r="U6" s="8" t="s">
        <x:v>30</x:v>
      </x:c>
      <x:c r="V6" s="8" t="s">
        <x:v>30</x:v>
      </x:c>
      <x:c r="W6" s="8" t="s">
        <x:v>30</x:v>
      </x:c>
      <x:c r="X6" s="8" t="s">
        <x:v>30</x:v>
      </x:c>
      <x:c r="Y6" s="8" t="s">
        <x:v>30</x:v>
      </x:c>
      <x:c r="Z6" s="8" t="s">
        <x:v>30</x:v>
      </x:c>
      <x:c r="AA6" s="8" t="s">
        <x:v>30</x:v>
      </x:c>
      <x:c r="AB6" s="8" t="s">
        <x:v>30</x:v>
      </x:c>
      <x:c r="AC6" s="8" t="s">
        <x:v>30</x:v>
      </x:c>
      <x:c r="AD6" s="8" t="s">
        <x:v>30</x:v>
      </x:c>
      <x:c r="AE6" s="8" t="s">
        <x:v>30</x:v>
      </x:c>
      <x:c r="AF6" s="8" t="s">
        <x:v>30</x:v>
      </x:c>
      <x:c r="AG6" s="8" t="s">
        <x:v>30</x:v>
      </x:c>
      <x:c r="AH6" s="8" t="s">
        <x:v>30</x:v>
      </x:c>
      <x:c r="AI6" s="8" t="s">
        <x:v>30</x:v>
      </x:c>
      <x:c r="AJ6" s="8" t="s">
        <x:v>30</x:v>
      </x:c>
      <x:c r="AK6" s="8" t="s">
        <x:v>30</x:v>
      </x:c>
      <x:c r="AL6" s="8" t="s">
        <x:v>30</x:v>
      </x:c>
      <x:c r="AM6" s="8" t="s">
        <x:v>30</x:v>
      </x:c>
      <x:c r="AN6" s="8" t="s">
        <x:v>30</x:v>
      </x:c>
      <x:c r="AO6" s="8" t="s">
        <x:v>30</x:v>
      </x:c>
      <x:c r="AP6" s="8" t="s">
        <x:v>6159</x:v>
      </x:c>
      <x:c r="AQ6" s="8" t="s">
        <x:v>6159</x:v>
      </x:c>
      <x:c r="AR6" s="8" t="s">
        <x:v>30</x:v>
      </x:c>
      <x:c r="AS6" s="8" t="s">
        <x:v>30</x:v>
      </x:c>
      <x:c r="AT6" s="8" t="s">
        <x:v>30</x:v>
      </x:c>
      <x:c r="AU6" s="8" t="s">
        <x:v>30</x:v>
      </x:c>
    </x:row>
    <x:row r="7" ht="54.75" hidden="0" customHeight="1">
      <x:c r="A7" s="8" t="s">
        <x:v>4916</x:v>
      </x:c>
      <x:c r="B7" s="8" t="s">
        <x:v>6158</x:v>
      </x:c>
      <x:c r="C7" s="8" t="s">
        <x:v>6159</x:v>
      </x:c>
      <x:c r="D7" s="8" t="s">
        <x:v>30</x:v>
      </x:c>
      <x:c r="E7" s="8" t="s">
        <x:v>30</x:v>
      </x:c>
      <x:c r="F7" s="8" t="s">
        <x:v>30</x:v>
      </x:c>
      <x:c r="G7" s="8" t="s">
        <x:v>30</x:v>
      </x:c>
      <x:c r="H7" s="8" t="s">
        <x:v>30</x:v>
      </x:c>
      <x:c r="I7" s="8" t="s">
        <x:v>30</x:v>
      </x:c>
      <x:c r="J7" s="8" t="s">
        <x:v>30</x:v>
      </x:c>
      <x:c r="K7" s="8" t="s">
        <x:v>30</x:v>
      </x:c>
      <x:c r="L7" s="8" t="s">
        <x:v>30</x:v>
      </x:c>
      <x:c r="M7" s="8" t="s">
        <x:v>30</x:v>
      </x:c>
      <x:c r="N7" s="8" t="s">
        <x:v>30</x:v>
      </x:c>
      <x:c r="O7" s="8" t="s">
        <x:v>30</x:v>
      </x:c>
      <x:c r="P7" s="8" t="s">
        <x:v>30</x:v>
      </x:c>
      <x:c r="Q7" s="8" t="s">
        <x:v>30</x:v>
      </x:c>
      <x:c r="R7" s="8" t="s">
        <x:v>30</x:v>
      </x:c>
      <x:c r="S7" s="8" t="s">
        <x:v>30</x:v>
      </x:c>
      <x:c r="T7" s="8" t="s">
        <x:v>30</x:v>
      </x:c>
      <x:c r="U7" s="8" t="s">
        <x:v>30</x:v>
      </x:c>
      <x:c r="V7" s="8" t="s">
        <x:v>30</x:v>
      </x:c>
      <x:c r="W7" s="8" t="s">
        <x:v>30</x:v>
      </x:c>
      <x:c r="X7" s="8" t="s">
        <x:v>30</x:v>
      </x:c>
      <x:c r="Y7" s="8" t="s">
        <x:v>30</x:v>
      </x:c>
      <x:c r="Z7" s="8" t="s">
        <x:v>30</x:v>
      </x:c>
      <x:c r="AA7" s="8" t="s">
        <x:v>30</x:v>
      </x:c>
      <x:c r="AB7" s="8" t="s">
        <x:v>30</x:v>
      </x:c>
      <x:c r="AC7" s="8" t="s">
        <x:v>30</x:v>
      </x:c>
      <x:c r="AD7" s="8" t="s">
        <x:v>30</x:v>
      </x:c>
      <x:c r="AE7" s="8" t="s">
        <x:v>30</x:v>
      </x:c>
      <x:c r="AF7" s="8" t="s">
        <x:v>30</x:v>
      </x:c>
      <x:c r="AG7" s="8" t="s">
        <x:v>30</x:v>
      </x:c>
      <x:c r="AH7" s="8" t="s">
        <x:v>30</x:v>
      </x:c>
      <x:c r="AI7" s="8" t="s">
        <x:v>30</x:v>
      </x:c>
      <x:c r="AJ7" s="8" t="s">
        <x:v>30</x:v>
      </x:c>
      <x:c r="AK7" s="8" t="s">
        <x:v>30</x:v>
      </x:c>
      <x:c r="AL7" s="8" t="s">
        <x:v>30</x:v>
      </x:c>
      <x:c r="AM7" s="8" t="s">
        <x:v>30</x:v>
      </x:c>
      <x:c r="AN7" s="8" t="s">
        <x:v>30</x:v>
      </x:c>
      <x:c r="AO7" s="8" t="s">
        <x:v>30</x:v>
      </x:c>
      <x:c r="AP7" s="8" t="s">
        <x:v>30</x:v>
      </x:c>
      <x:c r="AQ7" s="8" t="s">
        <x:v>6159</x:v>
      </x:c>
      <x:c r="AR7" s="8" t="s">
        <x:v>30</x:v>
      </x:c>
      <x:c r="AS7" s="8" t="s">
        <x:v>30</x:v>
      </x:c>
      <x:c r="AT7" s="8" t="s">
        <x:v>30</x:v>
      </x:c>
      <x:c r="AU7" s="8" t="s">
        <x:v>6159</x:v>
      </x:c>
    </x:row>
    <x:row r="8" ht="54.75" hidden="0" customHeight="1">
      <x:c r="A8" s="8" t="s">
        <x:v>1730</x:v>
      </x:c>
      <x:c r="B8" s="8" t="s">
        <x:v>6157</x:v>
      </x:c>
      <x:c r="C8" s="8" t="s">
        <x:v>6159</x:v>
      </x:c>
      <x:c r="D8" s="8" t="s">
        <x:v>30</x:v>
      </x:c>
      <x:c r="E8" s="8" t="s">
        <x:v>30</x:v>
      </x:c>
      <x:c r="F8" s="8" t="s">
        <x:v>30</x:v>
      </x:c>
      <x:c r="G8" s="8" t="s">
        <x:v>30</x:v>
      </x:c>
      <x:c r="H8" s="8" t="s">
        <x:v>30</x:v>
      </x:c>
      <x:c r="I8" s="8" t="s">
        <x:v>30</x:v>
      </x:c>
      <x:c r="J8" s="8" t="s">
        <x:v>30</x:v>
      </x:c>
      <x:c r="K8" s="8" t="s">
        <x:v>30</x:v>
      </x:c>
      <x:c r="L8" s="8" t="s">
        <x:v>30</x:v>
      </x:c>
      <x:c r="M8" s="8" t="s">
        <x:v>30</x:v>
      </x:c>
      <x:c r="N8" s="8" t="s">
        <x:v>30</x:v>
      </x:c>
      <x:c r="O8" s="8" t="s">
        <x:v>30</x:v>
      </x:c>
      <x:c r="P8" s="8" t="s">
        <x:v>30</x:v>
      </x:c>
      <x:c r="Q8" s="8" t="s">
        <x:v>30</x:v>
      </x:c>
      <x:c r="R8" s="8" t="s">
        <x:v>30</x:v>
      </x:c>
      <x:c r="S8" s="8" t="s">
        <x:v>30</x:v>
      </x:c>
      <x:c r="T8" s="8" t="s">
        <x:v>30</x:v>
      </x:c>
      <x:c r="U8" s="8" t="s">
        <x:v>30</x:v>
      </x:c>
      <x:c r="V8" s="8" t="s">
        <x:v>30</x:v>
      </x:c>
      <x:c r="W8" s="8" t="s">
        <x:v>30</x:v>
      </x:c>
      <x:c r="X8" s="8" t="s">
        <x:v>30</x:v>
      </x:c>
      <x:c r="Y8" s="8" t="s">
        <x:v>30</x:v>
      </x:c>
      <x:c r="Z8" s="8" t="s">
        <x:v>30</x:v>
      </x:c>
      <x:c r="AA8" s="8" t="s">
        <x:v>30</x:v>
      </x:c>
      <x:c r="AB8" s="8" t="s">
        <x:v>30</x:v>
      </x:c>
      <x:c r="AC8" s="8" t="s">
        <x:v>30</x:v>
      </x:c>
      <x:c r="AD8" s="8" t="s">
        <x:v>30</x:v>
      </x:c>
      <x:c r="AE8" s="8" t="s">
        <x:v>30</x:v>
      </x:c>
      <x:c r="AF8" s="8" t="s">
        <x:v>30</x:v>
      </x:c>
      <x:c r="AG8" s="8" t="s">
        <x:v>30</x:v>
      </x:c>
      <x:c r="AH8" s="8" t="s">
        <x:v>30</x:v>
      </x:c>
      <x:c r="AI8" s="8" t="s">
        <x:v>30</x:v>
      </x:c>
      <x:c r="AJ8" s="8" t="s">
        <x:v>30</x:v>
      </x:c>
      <x:c r="AK8" s="8" t="s">
        <x:v>30</x:v>
      </x:c>
      <x:c r="AL8" s="8" t="s">
        <x:v>30</x:v>
      </x:c>
      <x:c r="AM8" s="8" t="s">
        <x:v>30</x:v>
      </x:c>
      <x:c r="AN8" s="8" t="s">
        <x:v>30</x:v>
      </x:c>
      <x:c r="AO8" s="8" t="s">
        <x:v>30</x:v>
      </x:c>
      <x:c r="AP8" s="8" t="s">
        <x:v>30</x:v>
      </x:c>
      <x:c r="AQ8" s="8" t="s">
        <x:v>6159</x:v>
      </x:c>
      <x:c r="AR8" s="8" t="s">
        <x:v>30</x:v>
      </x:c>
      <x:c r="AS8" s="8" t="s">
        <x:v>30</x:v>
      </x:c>
      <x:c r="AT8" s="8" t="s">
        <x:v>30</x:v>
      </x:c>
      <x:c r="AU8" s="8" t="s">
        <x:v>30</x:v>
      </x:c>
    </x:row>
    <x:row r="9" ht="54.75" hidden="0" customHeight="1">
      <x:c r="A9" s="8" t="s">
        <x:v>2425</x:v>
      </x:c>
      <x:c r="B9" s="8" t="s">
        <x:v>6157</x:v>
      </x:c>
      <x:c r="C9" s="8" t="s">
        <x:v>6159</x:v>
      </x:c>
      <x:c r="D9" s="8" t="s">
        <x:v>30</x:v>
      </x:c>
      <x:c r="E9" s="8" t="s">
        <x:v>30</x:v>
      </x:c>
      <x:c r="F9" s="8" t="s">
        <x:v>30</x:v>
      </x:c>
      <x:c r="G9" s="8" t="s">
        <x:v>30</x:v>
      </x:c>
      <x:c r="H9" s="8" t="s">
        <x:v>30</x:v>
      </x:c>
      <x:c r="I9" s="8" t="s">
        <x:v>30</x:v>
      </x:c>
      <x:c r="J9" s="8" t="s">
        <x:v>30</x:v>
      </x:c>
      <x:c r="K9" s="8" t="s">
        <x:v>30</x:v>
      </x:c>
      <x:c r="L9" s="8" t="s">
        <x:v>30</x:v>
      </x:c>
      <x:c r="M9" s="8" t="s">
        <x:v>30</x:v>
      </x:c>
      <x:c r="N9" s="8" t="s">
        <x:v>30</x:v>
      </x:c>
      <x:c r="O9" s="8" t="s">
        <x:v>30</x:v>
      </x:c>
      <x:c r="P9" s="8" t="s">
        <x:v>30</x:v>
      </x:c>
      <x:c r="Q9" s="8" t="s">
        <x:v>30</x:v>
      </x:c>
      <x:c r="R9" s="8" t="s">
        <x:v>30</x:v>
      </x:c>
      <x:c r="S9" s="8" t="s">
        <x:v>30</x:v>
      </x:c>
      <x:c r="T9" s="8" t="s">
        <x:v>30</x:v>
      </x:c>
      <x:c r="U9" s="8" t="s">
        <x:v>30</x:v>
      </x:c>
      <x:c r="V9" s="8" t="s">
        <x:v>30</x:v>
      </x:c>
      <x:c r="W9" s="8" t="s">
        <x:v>30</x:v>
      </x:c>
      <x:c r="X9" s="8" t="s">
        <x:v>30</x:v>
      </x:c>
      <x:c r="Y9" s="8" t="s">
        <x:v>30</x:v>
      </x:c>
      <x:c r="Z9" s="8" t="s">
        <x:v>30</x:v>
      </x:c>
      <x:c r="AA9" s="8" t="s">
        <x:v>30</x:v>
      </x:c>
      <x:c r="AB9" s="8" t="s">
        <x:v>30</x:v>
      </x:c>
      <x:c r="AC9" s="8" t="s">
        <x:v>30</x:v>
      </x:c>
      <x:c r="AD9" s="8" t="s">
        <x:v>30</x:v>
      </x:c>
      <x:c r="AE9" s="8" t="s">
        <x:v>30</x:v>
      </x:c>
      <x:c r="AF9" s="8" t="s">
        <x:v>30</x:v>
      </x:c>
      <x:c r="AG9" s="8" t="s">
        <x:v>30</x:v>
      </x:c>
      <x:c r="AH9" s="8" t="s">
        <x:v>30</x:v>
      </x:c>
      <x:c r="AI9" s="8" t="s">
        <x:v>30</x:v>
      </x:c>
      <x:c r="AJ9" s="8" t="s">
        <x:v>30</x:v>
      </x:c>
      <x:c r="AK9" s="8" t="s">
        <x:v>30</x:v>
      </x:c>
      <x:c r="AL9" s="8" t="s">
        <x:v>30</x:v>
      </x:c>
      <x:c r="AM9" s="8" t="s">
        <x:v>30</x:v>
      </x:c>
      <x:c r="AN9" s="8" t="s">
        <x:v>30</x:v>
      </x:c>
      <x:c r="AO9" s="8" t="s">
        <x:v>30</x:v>
      </x:c>
      <x:c r="AP9" s="8" t="s">
        <x:v>6159</x:v>
      </x:c>
      <x:c r="AQ9" s="8" t="s">
        <x:v>30</x:v>
      </x:c>
      <x:c r="AR9" s="8" t="s">
        <x:v>6159</x:v>
      </x:c>
      <x:c r="AS9" s="8" t="s">
        <x:v>30</x:v>
      </x:c>
      <x:c r="AT9" s="8" t="s">
        <x:v>30</x:v>
      </x:c>
      <x:c r="AU9" s="8" t="s">
        <x:v>30</x:v>
      </x:c>
    </x:row>
    <x:row r="10" ht="54.75" hidden="0" customHeight="1">
      <x:c r="A10" s="8" t="s">
        <x:v>3443</x:v>
      </x:c>
      <x:c r="B10" s="8" t="s">
        <x:v>6157</x:v>
      </x:c>
      <x:c r="C10" s="8" t="s">
        <x:v>30</x:v>
      </x:c>
      <x:c r="D10" s="8" t="s">
        <x:v>30</x:v>
      </x:c>
      <x:c r="E10" s="8" t="s">
        <x:v>30</x:v>
      </x:c>
      <x:c r="F10" s="8" t="s">
        <x:v>30</x:v>
      </x:c>
      <x:c r="G10" s="8" t="s">
        <x:v>30</x:v>
      </x:c>
      <x:c r="H10" s="8" t="s">
        <x:v>30</x:v>
      </x:c>
      <x:c r="I10" s="8" t="s">
        <x:v>30</x:v>
      </x:c>
      <x:c r="J10" s="8" t="s">
        <x:v>30</x:v>
      </x:c>
      <x:c r="K10" s="8" t="s">
        <x:v>30</x:v>
      </x:c>
      <x:c r="L10" s="8" t="s">
        <x:v>30</x:v>
      </x:c>
      <x:c r="M10" s="8" t="s">
        <x:v>30</x:v>
      </x:c>
      <x:c r="N10" s="8" t="s">
        <x:v>30</x:v>
      </x:c>
      <x:c r="O10" s="8" t="s">
        <x:v>30</x:v>
      </x:c>
      <x:c r="P10" s="8" t="s">
        <x:v>30</x:v>
      </x:c>
      <x:c r="Q10" s="8" t="s">
        <x:v>30</x:v>
      </x:c>
      <x:c r="R10" s="8" t="s">
        <x:v>30</x:v>
      </x:c>
      <x:c r="S10" s="8" t="s">
        <x:v>30</x:v>
      </x:c>
      <x:c r="T10" s="8" t="s">
        <x:v>30</x:v>
      </x:c>
      <x:c r="U10" s="8" t="s">
        <x:v>30</x:v>
      </x:c>
      <x:c r="V10" s="8" t="s">
        <x:v>30</x:v>
      </x:c>
      <x:c r="W10" s="8" t="s">
        <x:v>30</x:v>
      </x:c>
      <x:c r="X10" s="8" t="s">
        <x:v>30</x:v>
      </x:c>
      <x:c r="Y10" s="8" t="s">
        <x:v>30</x:v>
      </x:c>
      <x:c r="Z10" s="8" t="s">
        <x:v>30</x:v>
      </x:c>
      <x:c r="AA10" s="8" t="s">
        <x:v>30</x:v>
      </x:c>
      <x:c r="AB10" s="8" t="s">
        <x:v>30</x:v>
      </x:c>
      <x:c r="AC10" s="8" t="s">
        <x:v>30</x:v>
      </x:c>
      <x:c r="AD10" s="8" t="s">
        <x:v>30</x:v>
      </x:c>
      <x:c r="AE10" s="8" t="s">
        <x:v>30</x:v>
      </x:c>
      <x:c r="AF10" s="8" t="s">
        <x:v>30</x:v>
      </x:c>
      <x:c r="AG10" s="8" t="s">
        <x:v>6159</x:v>
      </x:c>
      <x:c r="AH10" s="8" t="s">
        <x:v>30</x:v>
      </x:c>
      <x:c r="AI10" s="8" t="s">
        <x:v>30</x:v>
      </x:c>
      <x:c r="AJ10" s="8" t="s">
        <x:v>30</x:v>
      </x:c>
      <x:c r="AK10" s="8" t="s">
        <x:v>30</x:v>
      </x:c>
      <x:c r="AL10" s="8" t="s">
        <x:v>30</x:v>
      </x:c>
      <x:c r="AM10" s="8" t="s">
        <x:v>30</x:v>
      </x:c>
      <x:c r="AN10" s="8" t="s">
        <x:v>30</x:v>
      </x:c>
      <x:c r="AO10" s="8" t="s">
        <x:v>30</x:v>
      </x:c>
      <x:c r="AP10" s="8" t="s">
        <x:v>6159</x:v>
      </x:c>
      <x:c r="AQ10" s="8" t="s">
        <x:v>30</x:v>
      </x:c>
      <x:c r="AR10" s="8" t="s">
        <x:v>30</x:v>
      </x:c>
      <x:c r="AS10" s="8" t="s">
        <x:v>30</x:v>
      </x:c>
      <x:c r="AT10" s="8" t="s">
        <x:v>30</x:v>
      </x:c>
      <x:c r="AU10" s="8" t="s">
        <x:v>30</x:v>
      </x:c>
    </x:row>
    <x:row r="11" ht="54.75" hidden="0" customHeight="1">
      <x:c r="A11" s="8" t="s">
        <x:v>4553</x:v>
      </x:c>
      <x:c r="B11" s="8" t="s">
        <x:v>6158</x:v>
      </x:c>
      <x:c r="C11" s="8" t="s">
        <x:v>6159</x:v>
      </x:c>
      <x:c r="D11" s="8" t="s">
        <x:v>30</x:v>
      </x:c>
      <x:c r="E11" s="8" t="s">
        <x:v>30</x:v>
      </x:c>
      <x:c r="F11" s="8" t="s">
        <x:v>30</x:v>
      </x:c>
      <x:c r="G11" s="8" t="s">
        <x:v>30</x:v>
      </x:c>
      <x:c r="H11" s="8" t="s">
        <x:v>30</x:v>
      </x:c>
      <x:c r="I11" s="8" t="s">
        <x:v>30</x:v>
      </x:c>
      <x:c r="J11" s="8" t="s">
        <x:v>30</x:v>
      </x:c>
      <x:c r="K11" s="8" t="s">
        <x:v>30</x:v>
      </x:c>
      <x:c r="L11" s="8" t="s">
        <x:v>30</x:v>
      </x:c>
      <x:c r="M11" s="8" t="s">
        <x:v>30</x:v>
      </x:c>
      <x:c r="N11" s="8" t="s">
        <x:v>30</x:v>
      </x:c>
      <x:c r="O11" s="8" t="s">
        <x:v>30</x:v>
      </x:c>
      <x:c r="P11" s="8" t="s">
        <x:v>30</x:v>
      </x:c>
      <x:c r="Q11" s="8" t="s">
        <x:v>30</x:v>
      </x:c>
      <x:c r="R11" s="8" t="s">
        <x:v>30</x:v>
      </x:c>
      <x:c r="S11" s="8" t="s">
        <x:v>30</x:v>
      </x:c>
      <x:c r="T11" s="8" t="s">
        <x:v>30</x:v>
      </x:c>
      <x:c r="U11" s="8" t="s">
        <x:v>30</x:v>
      </x:c>
      <x:c r="V11" s="8" t="s">
        <x:v>30</x:v>
      </x:c>
      <x:c r="W11" s="8" t="s">
        <x:v>30</x:v>
      </x:c>
      <x:c r="X11" s="8" t="s">
        <x:v>30</x:v>
      </x:c>
      <x:c r="Y11" s="8" t="s">
        <x:v>30</x:v>
      </x:c>
      <x:c r="Z11" s="8" t="s">
        <x:v>30</x:v>
      </x:c>
      <x:c r="AA11" s="8" t="s">
        <x:v>30</x:v>
      </x:c>
      <x:c r="AB11" s="8" t="s">
        <x:v>30</x:v>
      </x:c>
      <x:c r="AC11" s="8" t="s">
        <x:v>30</x:v>
      </x:c>
      <x:c r="AD11" s="8" t="s">
        <x:v>30</x:v>
      </x:c>
      <x:c r="AE11" s="8" t="s">
        <x:v>30</x:v>
      </x:c>
      <x:c r="AF11" s="8" t="s">
        <x:v>30</x:v>
      </x:c>
      <x:c r="AG11" s="8" t="s">
        <x:v>30</x:v>
      </x:c>
      <x:c r="AH11" s="8" t="s">
        <x:v>30</x:v>
      </x:c>
      <x:c r="AI11" s="8" t="s">
        <x:v>30</x:v>
      </x:c>
      <x:c r="AJ11" s="8" t="s">
        <x:v>30</x:v>
      </x:c>
      <x:c r="AK11" s="8" t="s">
        <x:v>30</x:v>
      </x:c>
      <x:c r="AL11" s="8" t="s">
        <x:v>30</x:v>
      </x:c>
      <x:c r="AM11" s="8" t="s">
        <x:v>30</x:v>
      </x:c>
      <x:c r="AN11" s="8" t="s">
        <x:v>30</x:v>
      </x:c>
      <x:c r="AO11" s="8" t="s">
        <x:v>30</x:v>
      </x:c>
      <x:c r="AP11" s="8" t="s">
        <x:v>30</x:v>
      </x:c>
      <x:c r="AQ11" s="8" t="s">
        <x:v>30</x:v>
      </x:c>
      <x:c r="AR11" s="8" t="s">
        <x:v>30</x:v>
      </x:c>
      <x:c r="AS11" s="8" t="s">
        <x:v>30</x:v>
      </x:c>
      <x:c r="AT11" s="8" t="s">
        <x:v>30</x:v>
      </x:c>
      <x:c r="AU11" s="8" t="s">
        <x:v>30</x:v>
      </x:c>
    </x:row>
    <x:row r="12" ht="54.75" hidden="0" customHeight="1">
      <x:c r="A12" s="8" t="s">
        <x:v>4570</x:v>
      </x:c>
      <x:c r="B12" s="8" t="s">
        <x:v>6158</x:v>
      </x:c>
      <x:c r="C12" s="8" t="s">
        <x:v>6159</x:v>
      </x:c>
      <x:c r="D12" s="8" t="s">
        <x:v>30</x:v>
      </x:c>
      <x:c r="E12" s="8" t="s">
        <x:v>30</x:v>
      </x:c>
      <x:c r="F12" s="8" t="s">
        <x:v>30</x:v>
      </x:c>
      <x:c r="G12" s="8" t="s">
        <x:v>30</x:v>
      </x:c>
      <x:c r="H12" s="8" t="s">
        <x:v>30</x:v>
      </x:c>
      <x:c r="I12" s="8" t="s">
        <x:v>30</x:v>
      </x:c>
      <x:c r="J12" s="8" t="s">
        <x:v>30</x:v>
      </x:c>
      <x:c r="K12" s="8" t="s">
        <x:v>30</x:v>
      </x:c>
      <x:c r="L12" s="8" t="s">
        <x:v>30</x:v>
      </x:c>
      <x:c r="M12" s="8" t="s">
        <x:v>30</x:v>
      </x:c>
      <x:c r="N12" s="8" t="s">
        <x:v>30</x:v>
      </x:c>
      <x:c r="O12" s="8" t="s">
        <x:v>30</x:v>
      </x:c>
      <x:c r="P12" s="8" t="s">
        <x:v>30</x:v>
      </x:c>
      <x:c r="Q12" s="8" t="s">
        <x:v>30</x:v>
      </x:c>
      <x:c r="R12" s="8" t="s">
        <x:v>30</x:v>
      </x:c>
      <x:c r="S12" s="8" t="s">
        <x:v>30</x:v>
      </x:c>
      <x:c r="T12" s="8" t="s">
        <x:v>30</x:v>
      </x:c>
      <x:c r="U12" s="8" t="s">
        <x:v>30</x:v>
      </x:c>
      <x:c r="V12" s="8" t="s">
        <x:v>30</x:v>
      </x:c>
      <x:c r="W12" s="8" t="s">
        <x:v>30</x:v>
      </x:c>
      <x:c r="X12" s="8" t="s">
        <x:v>30</x:v>
      </x:c>
      <x:c r="Y12" s="8" t="s">
        <x:v>30</x:v>
      </x:c>
      <x:c r="Z12" s="8" t="s">
        <x:v>30</x:v>
      </x:c>
      <x:c r="AA12" s="8" t="s">
        <x:v>30</x:v>
      </x:c>
      <x:c r="AB12" s="8" t="s">
        <x:v>30</x:v>
      </x:c>
      <x:c r="AC12" s="8" t="s">
        <x:v>30</x:v>
      </x:c>
      <x:c r="AD12" s="8" t="s">
        <x:v>30</x:v>
      </x:c>
      <x:c r="AE12" s="8" t="s">
        <x:v>30</x:v>
      </x:c>
      <x:c r="AF12" s="8" t="s">
        <x:v>30</x:v>
      </x:c>
      <x:c r="AG12" s="8" t="s">
        <x:v>30</x:v>
      </x:c>
      <x:c r="AH12" s="8" t="s">
        <x:v>30</x:v>
      </x:c>
      <x:c r="AI12" s="8" t="s">
        <x:v>30</x:v>
      </x:c>
      <x:c r="AJ12" s="8" t="s">
        <x:v>30</x:v>
      </x:c>
      <x:c r="AK12" s="8" t="s">
        <x:v>30</x:v>
      </x:c>
      <x:c r="AL12" s="8" t="s">
        <x:v>30</x:v>
      </x:c>
      <x:c r="AM12" s="8" t="s">
        <x:v>30</x:v>
      </x:c>
      <x:c r="AN12" s="8" t="s">
        <x:v>30</x:v>
      </x:c>
      <x:c r="AO12" s="8" t="s">
        <x:v>30</x:v>
      </x:c>
      <x:c r="AP12" s="8" t="s">
        <x:v>30</x:v>
      </x:c>
      <x:c r="AQ12" s="8" t="s">
        <x:v>6159</x:v>
      </x:c>
      <x:c r="AR12" s="8" t="s">
        <x:v>30</x:v>
      </x:c>
      <x:c r="AS12" s="8" t="s">
        <x:v>30</x:v>
      </x:c>
      <x:c r="AT12" s="8" t="s">
        <x:v>30</x:v>
      </x:c>
      <x:c r="AU12" s="8" t="s">
        <x:v>30</x:v>
      </x:c>
    </x:row>
    <x:row r="13" ht="54.75" hidden="0" customHeight="1">
      <x:c r="A13" s="8" t="s">
        <x:v>2444</x:v>
      </x:c>
      <x:c r="B13" s="8" t="s">
        <x:v>6157</x:v>
      </x:c>
      <x:c r="C13" s="8" t="s">
        <x:v>30</x:v>
      </x:c>
      <x:c r="D13" s="8" t="s">
        <x:v>30</x:v>
      </x:c>
      <x:c r="E13" s="8" t="s">
        <x:v>30</x:v>
      </x:c>
      <x:c r="F13" s="8" t="s">
        <x:v>30</x:v>
      </x:c>
      <x:c r="G13" s="8" t="s">
        <x:v>30</x:v>
      </x:c>
      <x:c r="H13" s="8" t="s">
        <x:v>30</x:v>
      </x:c>
      <x:c r="I13" s="8" t="s">
        <x:v>30</x:v>
      </x:c>
      <x:c r="J13" s="8" t="s">
        <x:v>30</x:v>
      </x:c>
      <x:c r="K13" s="8" t="s">
        <x:v>30</x:v>
      </x:c>
      <x:c r="L13" s="8" t="s">
        <x:v>30</x:v>
      </x:c>
      <x:c r="M13" s="8" t="s">
        <x:v>30</x:v>
      </x:c>
      <x:c r="N13" s="8" t="s">
        <x:v>30</x:v>
      </x:c>
      <x:c r="O13" s="8" t="s">
        <x:v>30</x:v>
      </x:c>
      <x:c r="P13" s="8" t="s">
        <x:v>30</x:v>
      </x:c>
      <x:c r="Q13" s="8" t="s">
        <x:v>30</x:v>
      </x:c>
      <x:c r="R13" s="8" t="s">
        <x:v>30</x:v>
      </x:c>
      <x:c r="S13" s="8" t="s">
        <x:v>30</x:v>
      </x:c>
      <x:c r="T13" s="8" t="s">
        <x:v>30</x:v>
      </x:c>
      <x:c r="U13" s="8" t="s">
        <x:v>30</x:v>
      </x:c>
      <x:c r="V13" s="8" t="s">
        <x:v>30</x:v>
      </x:c>
      <x:c r="W13" s="8" t="s">
        <x:v>30</x:v>
      </x:c>
      <x:c r="X13" s="8" t="s">
        <x:v>30</x:v>
      </x:c>
      <x:c r="Y13" s="8" t="s">
        <x:v>30</x:v>
      </x:c>
      <x:c r="Z13" s="8" t="s">
        <x:v>30</x:v>
      </x:c>
      <x:c r="AA13" s="8" t="s">
        <x:v>30</x:v>
      </x:c>
      <x:c r="AB13" s="8" t="s">
        <x:v>30</x:v>
      </x:c>
      <x:c r="AC13" s="8" t="s">
        <x:v>30</x:v>
      </x:c>
      <x:c r="AD13" s="8" t="s">
        <x:v>30</x:v>
      </x:c>
      <x:c r="AE13" s="8" t="s">
        <x:v>30</x:v>
      </x:c>
      <x:c r="AF13" s="8" t="s">
        <x:v>30</x:v>
      </x:c>
      <x:c r="AG13" s="8" t="s">
        <x:v>30</x:v>
      </x:c>
      <x:c r="AH13" s="8" t="s">
        <x:v>30</x:v>
      </x:c>
      <x:c r="AI13" s="8" t="s">
        <x:v>30</x:v>
      </x:c>
      <x:c r="AJ13" s="8" t="s">
        <x:v>30</x:v>
      </x:c>
      <x:c r="AK13" s="8" t="s">
        <x:v>30</x:v>
      </x:c>
      <x:c r="AL13" s="8" t="s">
        <x:v>30</x:v>
      </x:c>
      <x:c r="AM13" s="8" t="s">
        <x:v>30</x:v>
      </x:c>
      <x:c r="AN13" s="8" t="s">
        <x:v>30</x:v>
      </x:c>
      <x:c r="AO13" s="8" t="s">
        <x:v>30</x:v>
      </x:c>
      <x:c r="AP13" s="8" t="s">
        <x:v>6159</x:v>
      </x:c>
      <x:c r="AQ13" s="8" t="s">
        <x:v>30</x:v>
      </x:c>
      <x:c r="AR13" s="8" t="s">
        <x:v>30</x:v>
      </x:c>
      <x:c r="AS13" s="8" t="s">
        <x:v>30</x:v>
      </x:c>
      <x:c r="AT13" s="8" t="s">
        <x:v>30</x:v>
      </x:c>
      <x:c r="AU13" s="8" t="s">
        <x:v>30</x:v>
      </x:c>
    </x:row>
    <x:row r="14" ht="54.75" hidden="0" customHeight="1">
      <x:c r="A14" s="8" t="s">
        <x:v>5151</x:v>
      </x:c>
      <x:c r="B14" s="8" t="s">
        <x:v>6158</x:v>
      </x:c>
      <x:c r="C14" s="8" t="s">
        <x:v>6159</x:v>
      </x:c>
      <x:c r="D14" s="8" t="s">
        <x:v>30</x:v>
      </x:c>
      <x:c r="E14" s="8" t="s">
        <x:v>30</x:v>
      </x:c>
      <x:c r="F14" s="8" t="s">
        <x:v>30</x:v>
      </x:c>
      <x:c r="G14" s="8" t="s">
        <x:v>30</x:v>
      </x:c>
      <x:c r="H14" s="8" t="s">
        <x:v>30</x:v>
      </x:c>
      <x:c r="I14" s="8" t="s">
        <x:v>30</x:v>
      </x:c>
      <x:c r="J14" s="8" t="s">
        <x:v>30</x:v>
      </x:c>
      <x:c r="K14" s="8" t="s">
        <x:v>30</x:v>
      </x:c>
      <x:c r="L14" s="8" t="s">
        <x:v>30</x:v>
      </x:c>
      <x:c r="M14" s="8" t="s">
        <x:v>30</x:v>
      </x:c>
      <x:c r="N14" s="8" t="s">
        <x:v>30</x:v>
      </x:c>
      <x:c r="O14" s="8" t="s">
        <x:v>30</x:v>
      </x:c>
      <x:c r="P14" s="8" t="s">
        <x:v>30</x:v>
      </x:c>
      <x:c r="Q14" s="8" t="s">
        <x:v>30</x:v>
      </x:c>
      <x:c r="R14" s="8" t="s">
        <x:v>30</x:v>
      </x:c>
      <x:c r="S14" s="8" t="s">
        <x:v>30</x:v>
      </x:c>
      <x:c r="T14" s="8" t="s">
        <x:v>30</x:v>
      </x:c>
      <x:c r="U14" s="8" t="s">
        <x:v>30</x:v>
      </x:c>
      <x:c r="V14" s="8" t="s">
        <x:v>30</x:v>
      </x:c>
      <x:c r="W14" s="8" t="s">
        <x:v>30</x:v>
      </x:c>
      <x:c r="X14" s="8" t="s">
        <x:v>30</x:v>
      </x:c>
      <x:c r="Y14" s="8" t="s">
        <x:v>30</x:v>
      </x:c>
      <x:c r="Z14" s="8" t="s">
        <x:v>30</x:v>
      </x:c>
      <x:c r="AA14" s="8" t="s">
        <x:v>30</x:v>
      </x:c>
      <x:c r="AB14" s="8" t="s">
        <x:v>30</x:v>
      </x:c>
      <x:c r="AC14" s="8" t="s">
        <x:v>30</x:v>
      </x:c>
      <x:c r="AD14" s="8" t="s">
        <x:v>30</x:v>
      </x:c>
      <x:c r="AE14" s="8" t="s">
        <x:v>30</x:v>
      </x:c>
      <x:c r="AF14" s="8" t="s">
        <x:v>30</x:v>
      </x:c>
      <x:c r="AG14" s="8" t="s">
        <x:v>30</x:v>
      </x:c>
      <x:c r="AH14" s="8" t="s">
        <x:v>30</x:v>
      </x:c>
      <x:c r="AI14" s="8" t="s">
        <x:v>30</x:v>
      </x:c>
      <x:c r="AJ14" s="8" t="s">
        <x:v>30</x:v>
      </x:c>
      <x:c r="AK14" s="8" t="s">
        <x:v>30</x:v>
      </x:c>
      <x:c r="AL14" s="8" t="s">
        <x:v>30</x:v>
      </x:c>
      <x:c r="AM14" s="8" t="s">
        <x:v>30</x:v>
      </x:c>
      <x:c r="AN14" s="8" t="s">
        <x:v>30</x:v>
      </x:c>
      <x:c r="AO14" s="8" t="s">
        <x:v>30</x:v>
      </x:c>
      <x:c r="AP14" s="8" t="s">
        <x:v>30</x:v>
      </x:c>
      <x:c r="AQ14" s="8" t="s">
        <x:v>6159</x:v>
      </x:c>
      <x:c r="AR14" s="8" t="s">
        <x:v>30</x:v>
      </x:c>
      <x:c r="AS14" s="8" t="s">
        <x:v>30</x:v>
      </x:c>
      <x:c r="AT14" s="8" t="s">
        <x:v>30</x:v>
      </x:c>
      <x:c r="AU14" s="8" t="s">
        <x:v>30</x:v>
      </x:c>
    </x:row>
    <x:row r="15" ht="54.75" hidden="0" customHeight="1">
      <x:c r="A15" s="8" t="s">
        <x:v>1614</x:v>
      </x:c>
      <x:c r="B15" s="8" t="s">
        <x:v>6157</x:v>
      </x:c>
      <x:c r="C15" s="8" t="s">
        <x:v>30</x:v>
      </x:c>
      <x:c r="D15" s="8" t="s">
        <x:v>6159</x:v>
      </x:c>
      <x:c r="E15" s="8" t="s">
        <x:v>30</x:v>
      </x:c>
      <x:c r="F15" s="8" t="s">
        <x:v>6159</x:v>
      </x:c>
      <x:c r="G15" s="8" t="s">
        <x:v>30</x:v>
      </x:c>
      <x:c r="H15" s="8" t="s">
        <x:v>6159</x:v>
      </x:c>
      <x:c r="I15" s="8" t="s">
        <x:v>30</x:v>
      </x:c>
      <x:c r="J15" s="8" t="s">
        <x:v>30</x:v>
      </x:c>
      <x:c r="K15" s="8" t="s">
        <x:v>6159</x:v>
      </x:c>
      <x:c r="L15" s="8" t="s">
        <x:v>6159</x:v>
      </x:c>
      <x:c r="M15" s="8" t="s">
        <x:v>30</x:v>
      </x:c>
      <x:c r="N15" s="8" t="s">
        <x:v>30</x:v>
      </x:c>
      <x:c r="O15" s="8" t="s">
        <x:v>30</x:v>
      </x:c>
      <x:c r="P15" s="8" t="s">
        <x:v>30</x:v>
      </x:c>
      <x:c r="Q15" s="8" t="s">
        <x:v>6159</x:v>
      </x:c>
      <x:c r="R15" s="8" t="s">
        <x:v>6159</x:v>
      </x:c>
      <x:c r="S15" s="8" t="s">
        <x:v>6159</x:v>
      </x:c>
      <x:c r="T15" s="8" t="s">
        <x:v>6159</x:v>
      </x:c>
      <x:c r="U15" s="8" t="s">
        <x:v>6159</x:v>
      </x:c>
      <x:c r="V15" s="8" t="s">
        <x:v>6159</x:v>
      </x:c>
      <x:c r="W15" s="8" t="s">
        <x:v>6159</x:v>
      </x:c>
      <x:c r="X15" s="8" t="s">
        <x:v>6159</x:v>
      </x:c>
      <x:c r="Y15" s="8" t="s">
        <x:v>30</x:v>
      </x:c>
      <x:c r="Z15" s="8" t="s">
        <x:v>30</x:v>
      </x:c>
      <x:c r="AA15" s="8" t="s">
        <x:v>30</x:v>
      </x:c>
      <x:c r="AB15" s="8" t="s">
        <x:v>6159</x:v>
      </x:c>
      <x:c r="AC15" s="8" t="s">
        <x:v>6159</x:v>
      </x:c>
      <x:c r="AD15" s="8" t="s">
        <x:v>30</x:v>
      </x:c>
      <x:c r="AE15" s="8" t="s">
        <x:v>30</x:v>
      </x:c>
      <x:c r="AF15" s="8" t="s">
        <x:v>6159</x:v>
      </x:c>
      <x:c r="AG15" s="8" t="s">
        <x:v>30</x:v>
      </x:c>
      <x:c r="AH15" s="8" t="s">
        <x:v>30</x:v>
      </x:c>
      <x:c r="AI15" s="8" t="s">
        <x:v>30</x:v>
      </x:c>
      <x:c r="AJ15" s="8" t="s">
        <x:v>30</x:v>
      </x:c>
      <x:c r="AK15" s="8" t="s">
        <x:v>30</x:v>
      </x:c>
      <x:c r="AL15" s="8" t="s">
        <x:v>30</x:v>
      </x:c>
      <x:c r="AM15" s="8" t="s">
        <x:v>30</x:v>
      </x:c>
      <x:c r="AN15" s="8" t="s">
        <x:v>30</x:v>
      </x:c>
      <x:c r="AO15" s="8" t="s">
        <x:v>30</x:v>
      </x:c>
      <x:c r="AP15" s="8" t="s">
        <x:v>30</x:v>
      </x:c>
      <x:c r="AQ15" s="8" t="s">
        <x:v>30</x:v>
      </x:c>
      <x:c r="AR15" s="8" t="s">
        <x:v>6159</x:v>
      </x:c>
      <x:c r="AS15" s="8" t="s">
        <x:v>6159</x:v>
      </x:c>
      <x:c r="AT15" s="8" t="s">
        <x:v>6159</x:v>
      </x:c>
      <x:c r="AU15" s="8" t="s">
        <x:v>30</x:v>
      </x:c>
    </x:row>
    <x:row r="16" ht="54.75" hidden="0" customHeight="1">
      <x:c r="A16" s="8" t="s">
        <x:v>2999</x:v>
      </x:c>
      <x:c r="B16" s="8" t="s">
        <x:v>6158</x:v>
      </x:c>
      <x:c r="C16" s="8" t="s">
        <x:v>6159</x:v>
      </x:c>
      <x:c r="D16" s="8" t="s">
        <x:v>6159</x:v>
      </x:c>
      <x:c r="E16" s="8" t="s">
        <x:v>6159</x:v>
      </x:c>
      <x:c r="F16" s="8" t="s">
        <x:v>6159</x:v>
      </x:c>
      <x:c r="G16" s="8" t="s">
        <x:v>6159</x:v>
      </x:c>
      <x:c r="H16" s="8" t="s">
        <x:v>6159</x:v>
      </x:c>
      <x:c r="I16" s="8" t="s">
        <x:v>30</x:v>
      </x:c>
      <x:c r="J16" s="8" t="s">
        <x:v>30</x:v>
      </x:c>
      <x:c r="K16" s="8" t="s">
        <x:v>30</x:v>
      </x:c>
      <x:c r="L16" s="8" t="s">
        <x:v>30</x:v>
      </x:c>
      <x:c r="M16" s="8" t="s">
        <x:v>30</x:v>
      </x:c>
      <x:c r="N16" s="8" t="s">
        <x:v>30</x:v>
      </x:c>
      <x:c r="O16" s="8" t="s">
        <x:v>30</x:v>
      </x:c>
      <x:c r="P16" s="8" t="s">
        <x:v>30</x:v>
      </x:c>
      <x:c r="Q16" s="8" t="s">
        <x:v>30</x:v>
      </x:c>
      <x:c r="R16" s="8" t="s">
        <x:v>6159</x:v>
      </x:c>
      <x:c r="S16" s="8" t="s">
        <x:v>30</x:v>
      </x:c>
      <x:c r="T16" s="8" t="s">
        <x:v>30</x:v>
      </x:c>
      <x:c r="U16" s="8" t="s">
        <x:v>30</x:v>
      </x:c>
      <x:c r="V16" s="8" t="s">
        <x:v>30</x:v>
      </x:c>
      <x:c r="W16" s="8" t="s">
        <x:v>30</x:v>
      </x:c>
      <x:c r="X16" s="8" t="s">
        <x:v>30</x:v>
      </x:c>
      <x:c r="Y16" s="8" t="s">
        <x:v>30</x:v>
      </x:c>
      <x:c r="Z16" s="8" t="s">
        <x:v>30</x:v>
      </x:c>
      <x:c r="AA16" s="8" t="s">
        <x:v>30</x:v>
      </x:c>
      <x:c r="AB16" s="8" t="s">
        <x:v>30</x:v>
      </x:c>
      <x:c r="AC16" s="8" t="s">
        <x:v>30</x:v>
      </x:c>
      <x:c r="AD16" s="8" t="s">
        <x:v>30</x:v>
      </x:c>
      <x:c r="AE16" s="8" t="s">
        <x:v>30</x:v>
      </x:c>
      <x:c r="AF16" s="8" t="s">
        <x:v>30</x:v>
      </x:c>
      <x:c r="AG16" s="8" t="s">
        <x:v>30</x:v>
      </x:c>
      <x:c r="AH16" s="8" t="s">
        <x:v>30</x:v>
      </x:c>
      <x:c r="AI16" s="8" t="s">
        <x:v>30</x:v>
      </x:c>
      <x:c r="AJ16" s="8" t="s">
        <x:v>30</x:v>
      </x:c>
      <x:c r="AK16" s="8" t="s">
        <x:v>30</x:v>
      </x:c>
      <x:c r="AL16" s="8" t="s">
        <x:v>6159</x:v>
      </x:c>
      <x:c r="AM16" s="8" t="s">
        <x:v>6159</x:v>
      </x:c>
      <x:c r="AN16" s="8" t="s">
        <x:v>30</x:v>
      </x:c>
      <x:c r="AO16" s="8" t="s">
        <x:v>6159</x:v>
      </x:c>
      <x:c r="AP16" s="8" t="s">
        <x:v>6159</x:v>
      </x:c>
      <x:c r="AQ16" s="8" t="s">
        <x:v>30</x:v>
      </x:c>
      <x:c r="AR16" s="8" t="s">
        <x:v>30</x:v>
      </x:c>
      <x:c r="AS16" s="8" t="s">
        <x:v>6159</x:v>
      </x:c>
      <x:c r="AT16" s="8" t="s">
        <x:v>6159</x:v>
      </x:c>
      <x:c r="AU16" s="8" t="s">
        <x:v>30</x:v>
      </x:c>
    </x:row>
    <x:row r="17" ht="54.75" hidden="0" customHeight="1">
      <x:c r="A17" s="8" t="s">
        <x:v>2138</x:v>
      </x:c>
      <x:c r="B17" s="8" t="s">
        <x:v>6157</x:v>
      </x:c>
      <x:c r="C17" s="8" t="s">
        <x:v>30</x:v>
      </x:c>
      <x:c r="D17" s="8" t="s">
        <x:v>6159</x:v>
      </x:c>
      <x:c r="E17" s="8" t="s">
        <x:v>6159</x:v>
      </x:c>
      <x:c r="F17" s="8" t="s">
        <x:v>6159</x:v>
      </x:c>
      <x:c r="G17" s="8" t="s">
        <x:v>6159</x:v>
      </x:c>
      <x:c r="H17" s="8" t="s">
        <x:v>6159</x:v>
      </x:c>
      <x:c r="I17" s="8" t="s">
        <x:v>6159</x:v>
      </x:c>
      <x:c r="J17" s="8" t="s">
        <x:v>6159</x:v>
      </x:c>
      <x:c r="K17" s="8" t="s">
        <x:v>6159</x:v>
      </x:c>
      <x:c r="L17" s="8" t="s">
        <x:v>30</x:v>
      </x:c>
      <x:c r="M17" s="8" t="s">
        <x:v>6159</x:v>
      </x:c>
      <x:c r="N17" s="8" t="s">
        <x:v>30</x:v>
      </x:c>
      <x:c r="O17" s="8" t="s">
        <x:v>30</x:v>
      </x:c>
      <x:c r="P17" s="8" t="s">
        <x:v>30</x:v>
      </x:c>
      <x:c r="Q17" s="8" t="s">
        <x:v>30</x:v>
      </x:c>
      <x:c r="R17" s="8" t="s">
        <x:v>6159</x:v>
      </x:c>
      <x:c r="S17" s="8" t="s">
        <x:v>6159</x:v>
      </x:c>
      <x:c r="T17" s="8" t="s">
        <x:v>30</x:v>
      </x:c>
      <x:c r="U17" s="8" t="s">
        <x:v>30</x:v>
      </x:c>
      <x:c r="V17" s="8" t="s">
        <x:v>6159</x:v>
      </x:c>
      <x:c r="W17" s="8" t="s">
        <x:v>30</x:v>
      </x:c>
      <x:c r="X17" s="8" t="s">
        <x:v>30</x:v>
      </x:c>
      <x:c r="Y17" s="8" t="s">
        <x:v>30</x:v>
      </x:c>
      <x:c r="Z17" s="8" t="s">
        <x:v>30</x:v>
      </x:c>
      <x:c r="AA17" s="8" t="s">
        <x:v>30</x:v>
      </x:c>
      <x:c r="AB17" s="8" t="s">
        <x:v>30</x:v>
      </x:c>
      <x:c r="AC17" s="8" t="s">
        <x:v>30</x:v>
      </x:c>
      <x:c r="AD17" s="8" t="s">
        <x:v>30</x:v>
      </x:c>
      <x:c r="AE17" s="8" t="s">
        <x:v>30</x:v>
      </x:c>
      <x:c r="AF17" s="8" t="s">
        <x:v>30</x:v>
      </x:c>
      <x:c r="AG17" s="8" t="s">
        <x:v>30</x:v>
      </x:c>
      <x:c r="AH17" s="8" t="s">
        <x:v>30</x:v>
      </x:c>
      <x:c r="AI17" s="8" t="s">
        <x:v>30</x:v>
      </x:c>
      <x:c r="AJ17" s="8" t="s">
        <x:v>30</x:v>
      </x:c>
      <x:c r="AK17" s="8" t="s">
        <x:v>30</x:v>
      </x:c>
      <x:c r="AL17" s="8" t="s">
        <x:v>30</x:v>
      </x:c>
      <x:c r="AM17" s="8" t="s">
        <x:v>6159</x:v>
      </x:c>
      <x:c r="AN17" s="8" t="s">
        <x:v>30</x:v>
      </x:c>
      <x:c r="AO17" s="8" t="s">
        <x:v>6159</x:v>
      </x:c>
      <x:c r="AP17" s="8" t="s">
        <x:v>30</x:v>
      </x:c>
      <x:c r="AQ17" s="8" t="s">
        <x:v>30</x:v>
      </x:c>
      <x:c r="AR17" s="8" t="s">
        <x:v>30</x:v>
      </x:c>
      <x:c r="AS17" s="8" t="s">
        <x:v>30</x:v>
      </x:c>
      <x:c r="AT17" s="8" t="s">
        <x:v>30</x:v>
      </x:c>
      <x:c r="AU17" s="8" t="s">
        <x:v>30</x:v>
      </x:c>
    </x:row>
    <x:row r="18" ht="54.75" hidden="0" customHeight="1">
      <x:c r="A18" s="8" t="s">
        <x:v>2874</x:v>
      </x:c>
      <x:c r="B18" s="8" t="s">
        <x:v>6157</x:v>
      </x:c>
      <x:c r="C18" s="8" t="s">
        <x:v>30</x:v>
      </x:c>
      <x:c r="D18" s="8" t="s">
        <x:v>6159</x:v>
      </x:c>
      <x:c r="E18" s="8" t="s">
        <x:v>30</x:v>
      </x:c>
      <x:c r="F18" s="8" t="s">
        <x:v>6159</x:v>
      </x:c>
      <x:c r="G18" s="8" t="s">
        <x:v>6159</x:v>
      </x:c>
      <x:c r="H18" s="8" t="s">
        <x:v>6159</x:v>
      </x:c>
      <x:c r="I18" s="8" t="s">
        <x:v>30</x:v>
      </x:c>
      <x:c r="J18" s="8" t="s">
        <x:v>30</x:v>
      </x:c>
      <x:c r="K18" s="8" t="s">
        <x:v>6159</x:v>
      </x:c>
      <x:c r="L18" s="8" t="s">
        <x:v>30</x:v>
      </x:c>
      <x:c r="M18" s="8" t="s">
        <x:v>30</x:v>
      </x:c>
      <x:c r="N18" s="8" t="s">
        <x:v>30</x:v>
      </x:c>
      <x:c r="O18" s="8" t="s">
        <x:v>30</x:v>
      </x:c>
      <x:c r="P18" s="8" t="s">
        <x:v>30</x:v>
      </x:c>
      <x:c r="Q18" s="8" t="s">
        <x:v>30</x:v>
      </x:c>
      <x:c r="R18" s="8" t="s">
        <x:v>30</x:v>
      </x:c>
      <x:c r="S18" s="8" t="s">
        <x:v>6159</x:v>
      </x:c>
      <x:c r="T18" s="8" t="s">
        <x:v>30</x:v>
      </x:c>
      <x:c r="U18" s="8" t="s">
        <x:v>30</x:v>
      </x:c>
      <x:c r="V18" s="8" t="s">
        <x:v>30</x:v>
      </x:c>
      <x:c r="W18" s="8" t="s">
        <x:v>30</x:v>
      </x:c>
      <x:c r="X18" s="8" t="s">
        <x:v>30</x:v>
      </x:c>
      <x:c r="Y18" s="8" t="s">
        <x:v>30</x:v>
      </x:c>
      <x:c r="Z18" s="8" t="s">
        <x:v>30</x:v>
      </x:c>
      <x:c r="AA18" s="8" t="s">
        <x:v>30</x:v>
      </x:c>
      <x:c r="AB18" s="8" t="s">
        <x:v>6159</x:v>
      </x:c>
      <x:c r="AC18" s="8" t="s">
        <x:v>30</x:v>
      </x:c>
      <x:c r="AD18" s="8" t="s">
        <x:v>30</x:v>
      </x:c>
      <x:c r="AE18" s="8" t="s">
        <x:v>30</x:v>
      </x:c>
      <x:c r="AF18" s="8" t="s">
        <x:v>30</x:v>
      </x:c>
      <x:c r="AG18" s="8" t="s">
        <x:v>30</x:v>
      </x:c>
      <x:c r="AH18" s="8" t="s">
        <x:v>30</x:v>
      </x:c>
      <x:c r="AI18" s="8" t="s">
        <x:v>30</x:v>
      </x:c>
      <x:c r="AJ18" s="8" t="s">
        <x:v>30</x:v>
      </x:c>
      <x:c r="AK18" s="8" t="s">
        <x:v>30</x:v>
      </x:c>
      <x:c r="AL18" s="8" t="s">
        <x:v>30</x:v>
      </x:c>
      <x:c r="AM18" s="8" t="s">
        <x:v>6159</x:v>
      </x:c>
      <x:c r="AN18" s="8" t="s">
        <x:v>30</x:v>
      </x:c>
      <x:c r="AO18" s="8" t="s">
        <x:v>30</x:v>
      </x:c>
      <x:c r="AP18" s="8" t="s">
        <x:v>30</x:v>
      </x:c>
      <x:c r="AQ18" s="8" t="s">
        <x:v>30</x:v>
      </x:c>
      <x:c r="AR18" s="8" t="s">
        <x:v>30</x:v>
      </x:c>
      <x:c r="AS18" s="8" t="s">
        <x:v>30</x:v>
      </x:c>
      <x:c r="AT18" s="8" t="s">
        <x:v>30</x:v>
      </x:c>
      <x:c r="AU18" s="8" t="s">
        <x:v>30</x:v>
      </x:c>
    </x:row>
    <x:row r="19" ht="54.75" hidden="0" customHeight="1">
      <x:c r="A19" s="8" t="s">
        <x:v>2181</x:v>
      </x:c>
      <x:c r="B19" s="8" t="s">
        <x:v>6157</x:v>
      </x:c>
      <x:c r="C19" s="8" t="s">
        <x:v>30</x:v>
      </x:c>
      <x:c r="D19" s="8" t="s">
        <x:v>6159</x:v>
      </x:c>
      <x:c r="E19" s="8" t="s">
        <x:v>6159</x:v>
      </x:c>
      <x:c r="F19" s="8" t="s">
        <x:v>30</x:v>
      </x:c>
      <x:c r="G19" s="8" t="s">
        <x:v>6159</x:v>
      </x:c>
      <x:c r="H19" s="8" t="s">
        <x:v>6159</x:v>
      </x:c>
      <x:c r="I19" s="8" t="s">
        <x:v>30</x:v>
      </x:c>
      <x:c r="J19" s="8" t="s">
        <x:v>30</x:v>
      </x:c>
      <x:c r="K19" s="8" t="s">
        <x:v>6159</x:v>
      </x:c>
      <x:c r="L19" s="8" t="s">
        <x:v>30</x:v>
      </x:c>
      <x:c r="M19" s="8" t="s">
        <x:v>6159</x:v>
      </x:c>
      <x:c r="N19" s="8" t="s">
        <x:v>30</x:v>
      </x:c>
      <x:c r="O19" s="8" t="s">
        <x:v>6159</x:v>
      </x:c>
      <x:c r="P19" s="8" t="s">
        <x:v>30</x:v>
      </x:c>
      <x:c r="Q19" s="8" t="s">
        <x:v>30</x:v>
      </x:c>
      <x:c r="R19" s="8" t="s">
        <x:v>6159</x:v>
      </x:c>
      <x:c r="S19" s="8" t="s">
        <x:v>6159</x:v>
      </x:c>
      <x:c r="T19" s="8" t="s">
        <x:v>30</x:v>
      </x:c>
      <x:c r="U19" s="8" t="s">
        <x:v>30</x:v>
      </x:c>
      <x:c r="V19" s="8" t="s">
        <x:v>6159</x:v>
      </x:c>
      <x:c r="W19" s="8" t="s">
        <x:v>30</x:v>
      </x:c>
      <x:c r="X19" s="8" t="s">
        <x:v>30</x:v>
      </x:c>
      <x:c r="Y19" s="8" t="s">
        <x:v>6159</x:v>
      </x:c>
      <x:c r="Z19" s="8" t="s">
        <x:v>30</x:v>
      </x:c>
      <x:c r="AA19" s="8" t="s">
        <x:v>30</x:v>
      </x:c>
      <x:c r="AB19" s="8" t="s">
        <x:v>6159</x:v>
      </x:c>
      <x:c r="AC19" s="8" t="s">
        <x:v>30</x:v>
      </x:c>
      <x:c r="AD19" s="8" t="s">
        <x:v>30</x:v>
      </x:c>
      <x:c r="AE19" s="8" t="s">
        <x:v>30</x:v>
      </x:c>
      <x:c r="AF19" s="8" t="s">
        <x:v>30</x:v>
      </x:c>
      <x:c r="AG19" s="8" t="s">
        <x:v>30</x:v>
      </x:c>
      <x:c r="AH19" s="8" t="s">
        <x:v>30</x:v>
      </x:c>
      <x:c r="AI19" s="8" t="s">
        <x:v>30</x:v>
      </x:c>
      <x:c r="AJ19" s="8" t="s">
        <x:v>30</x:v>
      </x:c>
      <x:c r="AK19" s="8" t="s">
        <x:v>30</x:v>
      </x:c>
      <x:c r="AL19" s="8" t="s">
        <x:v>30</x:v>
      </x:c>
      <x:c r="AM19" s="8" t="s">
        <x:v>30</x:v>
      </x:c>
      <x:c r="AN19" s="8" t="s">
        <x:v>30</x:v>
      </x:c>
      <x:c r="AO19" s="8" t="s">
        <x:v>6159</x:v>
      </x:c>
      <x:c r="AP19" s="8" t="s">
        <x:v>6159</x:v>
      </x:c>
      <x:c r="AQ19" s="8" t="s">
        <x:v>30</x:v>
      </x:c>
      <x:c r="AR19" s="8" t="s">
        <x:v>30</x:v>
      </x:c>
      <x:c r="AS19" s="8" t="s">
        <x:v>30</x:v>
      </x:c>
      <x:c r="AT19" s="8" t="s">
        <x:v>30</x:v>
      </x:c>
      <x:c r="AU19" s="8" t="s">
        <x:v>6159</x:v>
      </x:c>
    </x:row>
    <x:row r="20" ht="54.75" hidden="0" customHeight="1">
      <x:c r="A20" s="8" t="s">
        <x:v>1812</x:v>
      </x:c>
      <x:c r="B20" s="8" t="s">
        <x:v>6157</x:v>
      </x:c>
      <x:c r="C20" s="8" t="s">
        <x:v>30</x:v>
      </x:c>
      <x:c r="D20" s="8" t="s">
        <x:v>6159</x:v>
      </x:c>
      <x:c r="E20" s="8" t="s">
        <x:v>30</x:v>
      </x:c>
      <x:c r="F20" s="8" t="s">
        <x:v>30</x:v>
      </x:c>
      <x:c r="G20" s="8" t="s">
        <x:v>6159</x:v>
      </x:c>
      <x:c r="H20" s="8" t="s">
        <x:v>6159</x:v>
      </x:c>
      <x:c r="I20" s="8" t="s">
        <x:v>30</x:v>
      </x:c>
      <x:c r="J20" s="8" t="s">
        <x:v>30</x:v>
      </x:c>
      <x:c r="K20" s="8" t="s">
        <x:v>30</x:v>
      </x:c>
      <x:c r="L20" s="8" t="s">
        <x:v>30</x:v>
      </x:c>
      <x:c r="M20" s="8" t="s">
        <x:v>30</x:v>
      </x:c>
      <x:c r="N20" s="8" t="s">
        <x:v>30</x:v>
      </x:c>
      <x:c r="O20" s="8" t="s">
        <x:v>30</x:v>
      </x:c>
      <x:c r="P20" s="8" t="s">
        <x:v>30</x:v>
      </x:c>
      <x:c r="Q20" s="8" t="s">
        <x:v>30</x:v>
      </x:c>
      <x:c r="R20" s="8" t="s">
        <x:v>30</x:v>
      </x:c>
      <x:c r="S20" s="8" t="s">
        <x:v>6159</x:v>
      </x:c>
      <x:c r="T20" s="8" t="s">
        <x:v>30</x:v>
      </x:c>
      <x:c r="U20" s="8" t="s">
        <x:v>30</x:v>
      </x:c>
      <x:c r="V20" s="8" t="s">
        <x:v>30</x:v>
      </x:c>
      <x:c r="W20" s="8" t="s">
        <x:v>30</x:v>
      </x:c>
      <x:c r="X20" s="8" t="s">
        <x:v>30</x:v>
      </x:c>
      <x:c r="Y20" s="8" t="s">
        <x:v>30</x:v>
      </x:c>
      <x:c r="Z20" s="8" t="s">
        <x:v>30</x:v>
      </x:c>
      <x:c r="AA20" s="8" t="s">
        <x:v>30</x:v>
      </x:c>
      <x:c r="AB20" s="8" t="s">
        <x:v>30</x:v>
      </x:c>
      <x:c r="AC20" s="8" t="s">
        <x:v>30</x:v>
      </x:c>
      <x:c r="AD20" s="8" t="s">
        <x:v>30</x:v>
      </x:c>
      <x:c r="AE20" s="8" t="s">
        <x:v>30</x:v>
      </x:c>
      <x:c r="AF20" s="8" t="s">
        <x:v>30</x:v>
      </x:c>
      <x:c r="AG20" s="8" t="s">
        <x:v>30</x:v>
      </x:c>
      <x:c r="AH20" s="8" t="s">
        <x:v>30</x:v>
      </x:c>
      <x:c r="AI20" s="8" t="s">
        <x:v>30</x:v>
      </x:c>
      <x:c r="AJ20" s="8" t="s">
        <x:v>30</x:v>
      </x:c>
      <x:c r="AK20" s="8" t="s">
        <x:v>30</x:v>
      </x:c>
      <x:c r="AL20" s="8" t="s">
        <x:v>30</x:v>
      </x:c>
      <x:c r="AM20" s="8" t="s">
        <x:v>30</x:v>
      </x:c>
      <x:c r="AN20" s="8" t="s">
        <x:v>30</x:v>
      </x:c>
      <x:c r="AO20" s="8" t="s">
        <x:v>30</x:v>
      </x:c>
      <x:c r="AP20" s="8" t="s">
        <x:v>30</x:v>
      </x:c>
      <x:c r="AQ20" s="8" t="s">
        <x:v>30</x:v>
      </x:c>
      <x:c r="AR20" s="8" t="s">
        <x:v>30</x:v>
      </x:c>
      <x:c r="AS20" s="8" t="s">
        <x:v>30</x:v>
      </x:c>
      <x:c r="AT20" s="8" t="s">
        <x:v>30</x:v>
      </x:c>
      <x:c r="AU20" s="8" t="s">
        <x:v>30</x:v>
      </x:c>
    </x:row>
    <x:row r="21" ht="54.75" hidden="0" customHeight="1">
      <x:c r="A21" s="8" t="s">
        <x:v>1845</x:v>
      </x:c>
      <x:c r="B21" s="8" t="s">
        <x:v>6157</x:v>
      </x:c>
      <x:c r="C21" s="8" t="s">
        <x:v>30</x:v>
      </x:c>
      <x:c r="D21" s="8" t="s">
        <x:v>30</x:v>
      </x:c>
      <x:c r="E21" s="8" t="s">
        <x:v>6159</x:v>
      </x:c>
      <x:c r="F21" s="8" t="s">
        <x:v>30</x:v>
      </x:c>
      <x:c r="G21" s="8" t="s">
        <x:v>30</x:v>
      </x:c>
      <x:c r="H21" s="8" t="s">
        <x:v>6159</x:v>
      </x:c>
      <x:c r="I21" s="8" t="s">
        <x:v>6159</x:v>
      </x:c>
      <x:c r="J21" s="8" t="s">
        <x:v>6159</x:v>
      </x:c>
      <x:c r="K21" s="8" t="s">
        <x:v>30</x:v>
      </x:c>
      <x:c r="L21" s="8" t="s">
        <x:v>30</x:v>
      </x:c>
      <x:c r="M21" s="8" t="s">
        <x:v>30</x:v>
      </x:c>
      <x:c r="N21" s="8" t="s">
        <x:v>30</x:v>
      </x:c>
      <x:c r="O21" s="8" t="s">
        <x:v>30</x:v>
      </x:c>
      <x:c r="P21" s="8" t="s">
        <x:v>30</x:v>
      </x:c>
      <x:c r="Q21" s="8" t="s">
        <x:v>30</x:v>
      </x:c>
      <x:c r="R21" s="8" t="s">
        <x:v>6159</x:v>
      </x:c>
      <x:c r="S21" s="8" t="s">
        <x:v>30</x:v>
      </x:c>
      <x:c r="T21" s="8" t="s">
        <x:v>30</x:v>
      </x:c>
      <x:c r="U21" s="8" t="s">
        <x:v>30</x:v>
      </x:c>
      <x:c r="V21" s="8" t="s">
        <x:v>30</x:v>
      </x:c>
      <x:c r="W21" s="8" t="s">
        <x:v>30</x:v>
      </x:c>
      <x:c r="X21" s="8" t="s">
        <x:v>30</x:v>
      </x:c>
      <x:c r="Y21" s="8" t="s">
        <x:v>6159</x:v>
      </x:c>
      <x:c r="Z21" s="8" t="s">
        <x:v>30</x:v>
      </x:c>
      <x:c r="AA21" s="8" t="s">
        <x:v>30</x:v>
      </x:c>
      <x:c r="AB21" s="8" t="s">
        <x:v>30</x:v>
      </x:c>
      <x:c r="AC21" s="8" t="s">
        <x:v>30</x:v>
      </x:c>
      <x:c r="AD21" s="8" t="s">
        <x:v>30</x:v>
      </x:c>
      <x:c r="AE21" s="8" t="s">
        <x:v>30</x:v>
      </x:c>
      <x:c r="AF21" s="8" t="s">
        <x:v>30</x:v>
      </x:c>
      <x:c r="AG21" s="8" t="s">
        <x:v>30</x:v>
      </x:c>
      <x:c r="AH21" s="8" t="s">
        <x:v>30</x:v>
      </x:c>
      <x:c r="AI21" s="8" t="s">
        <x:v>30</x:v>
      </x:c>
      <x:c r="AJ21" s="8" t="s">
        <x:v>30</x:v>
      </x:c>
      <x:c r="AK21" s="8" t="s">
        <x:v>30</x:v>
      </x:c>
      <x:c r="AL21" s="8" t="s">
        <x:v>30</x:v>
      </x:c>
      <x:c r="AM21" s="8" t="s">
        <x:v>30</x:v>
      </x:c>
      <x:c r="AN21" s="8" t="s">
        <x:v>30</x:v>
      </x:c>
      <x:c r="AO21" s="8" t="s">
        <x:v>30</x:v>
      </x:c>
      <x:c r="AP21" s="8" t="s">
        <x:v>6159</x:v>
      </x:c>
      <x:c r="AQ21" s="8" t="s">
        <x:v>30</x:v>
      </x:c>
      <x:c r="AR21" s="8" t="s">
        <x:v>30</x:v>
      </x:c>
      <x:c r="AS21" s="8" t="s">
        <x:v>30</x:v>
      </x:c>
      <x:c r="AT21" s="8" t="s">
        <x:v>30</x:v>
      </x:c>
      <x:c r="AU21" s="8" t="s">
        <x:v>30</x:v>
      </x:c>
    </x:row>
    <x:row r="22" ht="54.75" hidden="0" customHeight="1">
      <x:c r="A22" s="8" t="s">
        <x:v>1871</x:v>
      </x:c>
      <x:c r="B22" s="8" t="s">
        <x:v>6157</x:v>
      </x:c>
      <x:c r="C22" s="8" t="s">
        <x:v>30</x:v>
      </x:c>
      <x:c r="D22" s="8" t="s">
        <x:v>6159</x:v>
      </x:c>
      <x:c r="E22" s="8" t="s">
        <x:v>30</x:v>
      </x:c>
      <x:c r="F22" s="8" t="s">
        <x:v>30</x:v>
      </x:c>
      <x:c r="G22" s="8" t="s">
        <x:v>6159</x:v>
      </x:c>
      <x:c r="H22" s="8" t="s">
        <x:v>6159</x:v>
      </x:c>
      <x:c r="I22" s="8" t="s">
        <x:v>30</x:v>
      </x:c>
      <x:c r="J22" s="8" t="s">
        <x:v>30</x:v>
      </x:c>
      <x:c r="K22" s="8" t="s">
        <x:v>30</x:v>
      </x:c>
      <x:c r="L22" s="8" t="s">
        <x:v>30</x:v>
      </x:c>
      <x:c r="M22" s="8" t="s">
        <x:v>30</x:v>
      </x:c>
      <x:c r="N22" s="8" t="s">
        <x:v>30</x:v>
      </x:c>
      <x:c r="O22" s="8" t="s">
        <x:v>30</x:v>
      </x:c>
      <x:c r="P22" s="8" t="s">
        <x:v>30</x:v>
      </x:c>
      <x:c r="Q22" s="8" t="s">
        <x:v>30</x:v>
      </x:c>
      <x:c r="R22" s="8" t="s">
        <x:v>30</x:v>
      </x:c>
      <x:c r="S22" s="8" t="s">
        <x:v>30</x:v>
      </x:c>
      <x:c r="T22" s="8" t="s">
        <x:v>30</x:v>
      </x:c>
      <x:c r="U22" s="8" t="s">
        <x:v>30</x:v>
      </x:c>
      <x:c r="V22" s="8" t="s">
        <x:v>6159</x:v>
      </x:c>
      <x:c r="W22" s="8" t="s">
        <x:v>6159</x:v>
      </x:c>
      <x:c r="X22" s="8" t="s">
        <x:v>6159</x:v>
      </x:c>
      <x:c r="Y22" s="8" t="s">
        <x:v>30</x:v>
      </x:c>
      <x:c r="Z22" s="8" t="s">
        <x:v>30</x:v>
      </x:c>
      <x:c r="AA22" s="8" t="s">
        <x:v>30</x:v>
      </x:c>
      <x:c r="AB22" s="8" t="s">
        <x:v>30</x:v>
      </x:c>
      <x:c r="AC22" s="8" t="s">
        <x:v>30</x:v>
      </x:c>
      <x:c r="AD22" s="8" t="s">
        <x:v>30</x:v>
      </x:c>
      <x:c r="AE22" s="8" t="s">
        <x:v>30</x:v>
      </x:c>
      <x:c r="AF22" s="8" t="s">
        <x:v>30</x:v>
      </x:c>
      <x:c r="AG22" s="8" t="s">
        <x:v>30</x:v>
      </x:c>
      <x:c r="AH22" s="8" t="s">
        <x:v>30</x:v>
      </x:c>
      <x:c r="AI22" s="8" t="s">
        <x:v>30</x:v>
      </x:c>
      <x:c r="AJ22" s="8" t="s">
        <x:v>30</x:v>
      </x:c>
      <x:c r="AK22" s="8" t="s">
        <x:v>30</x:v>
      </x:c>
      <x:c r="AL22" s="8" t="s">
        <x:v>30</x:v>
      </x:c>
      <x:c r="AM22" s="8" t="s">
        <x:v>6159</x:v>
      </x:c>
      <x:c r="AN22" s="8" t="s">
        <x:v>30</x:v>
      </x:c>
      <x:c r="AO22" s="8" t="s">
        <x:v>30</x:v>
      </x:c>
      <x:c r="AP22" s="8" t="s">
        <x:v>6159</x:v>
      </x:c>
      <x:c r="AQ22" s="8" t="s">
        <x:v>6159</x:v>
      </x:c>
      <x:c r="AR22" s="8" t="s">
        <x:v>30</x:v>
      </x:c>
      <x:c r="AS22" s="8" t="s">
        <x:v>30</x:v>
      </x:c>
      <x:c r="AT22" s="8" t="s">
        <x:v>30</x:v>
      </x:c>
      <x:c r="AU22" s="8" t="s">
        <x:v>6159</x:v>
      </x:c>
    </x:row>
    <x:row r="23" ht="54.75" hidden="0" customHeight="1">
      <x:c r="A23" s="8" t="s">
        <x:v>2760</x:v>
      </x:c>
      <x:c r="B23" s="8" t="s">
        <x:v>6157</x:v>
      </x:c>
      <x:c r="C23" s="8" t="s">
        <x:v>30</x:v>
      </x:c>
      <x:c r="D23" s="8" t="s">
        <x:v>6159</x:v>
      </x:c>
      <x:c r="E23" s="8" t="s">
        <x:v>6159</x:v>
      </x:c>
      <x:c r="F23" s="8" t="s">
        <x:v>6159</x:v>
      </x:c>
      <x:c r="G23" s="8" t="s">
        <x:v>6159</x:v>
      </x:c>
      <x:c r="H23" s="8" t="s">
        <x:v>6159</x:v>
      </x:c>
      <x:c r="I23" s="8" t="s">
        <x:v>30</x:v>
      </x:c>
      <x:c r="J23" s="8" t="s">
        <x:v>30</x:v>
      </x:c>
      <x:c r="K23" s="8" t="s">
        <x:v>30</x:v>
      </x:c>
      <x:c r="L23" s="8" t="s">
        <x:v>30</x:v>
      </x:c>
      <x:c r="M23" s="8" t="s">
        <x:v>30</x:v>
      </x:c>
      <x:c r="N23" s="8" t="s">
        <x:v>30</x:v>
      </x:c>
      <x:c r="O23" s="8" t="s">
        <x:v>30</x:v>
      </x:c>
      <x:c r="P23" s="8" t="s">
        <x:v>30</x:v>
      </x:c>
      <x:c r="Q23" s="8" t="s">
        <x:v>30</x:v>
      </x:c>
      <x:c r="R23" s="8" t="s">
        <x:v>30</x:v>
      </x:c>
      <x:c r="S23" s="8" t="s">
        <x:v>30</x:v>
      </x:c>
      <x:c r="T23" s="8" t="s">
        <x:v>30</x:v>
      </x:c>
      <x:c r="U23" s="8" t="s">
        <x:v>30</x:v>
      </x:c>
      <x:c r="V23" s="8" t="s">
        <x:v>30</x:v>
      </x:c>
      <x:c r="W23" s="8" t="s">
        <x:v>30</x:v>
      </x:c>
      <x:c r="X23" s="8" t="s">
        <x:v>30</x:v>
      </x:c>
      <x:c r="Y23" s="8" t="s">
        <x:v>30</x:v>
      </x:c>
      <x:c r="Z23" s="8" t="s">
        <x:v>30</x:v>
      </x:c>
      <x:c r="AA23" s="8" t="s">
        <x:v>30</x:v>
      </x:c>
      <x:c r="AB23" s="8" t="s">
        <x:v>30</x:v>
      </x:c>
      <x:c r="AC23" s="8" t="s">
        <x:v>6159</x:v>
      </x:c>
      <x:c r="AD23" s="8" t="s">
        <x:v>30</x:v>
      </x:c>
      <x:c r="AE23" s="8" t="s">
        <x:v>30</x:v>
      </x:c>
      <x:c r="AF23" s="8" t="s">
        <x:v>6159</x:v>
      </x:c>
      <x:c r="AG23" s="8" t="s">
        <x:v>6159</x:v>
      </x:c>
      <x:c r="AH23" s="8" t="s">
        <x:v>30</x:v>
      </x:c>
      <x:c r="AI23" s="8" t="s">
        <x:v>30</x:v>
      </x:c>
      <x:c r="AJ23" s="8" t="s">
        <x:v>30</x:v>
      </x:c>
      <x:c r="AK23" s="8" t="s">
        <x:v>30</x:v>
      </x:c>
      <x:c r="AL23" s="8" t="s">
        <x:v>30</x:v>
      </x:c>
      <x:c r="AM23" s="8" t="s">
        <x:v>30</x:v>
      </x:c>
      <x:c r="AN23" s="8" t="s">
        <x:v>30</x:v>
      </x:c>
      <x:c r="AO23" s="8" t="s">
        <x:v>30</x:v>
      </x:c>
      <x:c r="AP23" s="8" t="s">
        <x:v>30</x:v>
      </x:c>
      <x:c r="AQ23" s="8" t="s">
        <x:v>30</x:v>
      </x:c>
      <x:c r="AR23" s="8" t="s">
        <x:v>30</x:v>
      </x:c>
      <x:c r="AS23" s="8" t="s">
        <x:v>30</x:v>
      </x:c>
      <x:c r="AT23" s="8" t="s">
        <x:v>30</x:v>
      </x:c>
      <x:c r="AU23" s="8" t="s">
        <x:v>30</x:v>
      </x:c>
    </x:row>
    <x:row r="24" ht="54.75" hidden="0" customHeight="1">
      <x:c r="A24" s="8" t="s">
        <x:v>1910</x:v>
      </x:c>
      <x:c r="B24" s="8" t="s">
        <x:v>6157</x:v>
      </x:c>
      <x:c r="C24" s="8" t="s">
        <x:v>30</x:v>
      </x:c>
      <x:c r="D24" s="8" t="s">
        <x:v>6159</x:v>
      </x:c>
      <x:c r="E24" s="8" t="s">
        <x:v>30</x:v>
      </x:c>
      <x:c r="F24" s="8" t="s">
        <x:v>6159</x:v>
      </x:c>
      <x:c r="G24" s="8" t="s">
        <x:v>30</x:v>
      </x:c>
      <x:c r="H24" s="8" t="s">
        <x:v>6159</x:v>
      </x:c>
      <x:c r="I24" s="8" t="s">
        <x:v>30</x:v>
      </x:c>
      <x:c r="J24" s="8" t="s">
        <x:v>30</x:v>
      </x:c>
      <x:c r="K24" s="8" t="s">
        <x:v>30</x:v>
      </x:c>
      <x:c r="L24" s="8" t="s">
        <x:v>30</x:v>
      </x:c>
      <x:c r="M24" s="8" t="s">
        <x:v>30</x:v>
      </x:c>
      <x:c r="N24" s="8" t="s">
        <x:v>30</x:v>
      </x:c>
      <x:c r="O24" s="8" t="s">
        <x:v>30</x:v>
      </x:c>
      <x:c r="P24" s="8" t="s">
        <x:v>30</x:v>
      </x:c>
      <x:c r="Q24" s="8" t="s">
        <x:v>30</x:v>
      </x:c>
      <x:c r="R24" s="8" t="s">
        <x:v>30</x:v>
      </x:c>
      <x:c r="S24" s="8" t="s">
        <x:v>30</x:v>
      </x:c>
      <x:c r="T24" s="8" t="s">
        <x:v>30</x:v>
      </x:c>
      <x:c r="U24" s="8" t="s">
        <x:v>30</x:v>
      </x:c>
      <x:c r="V24" s="8" t="s">
        <x:v>30</x:v>
      </x:c>
      <x:c r="W24" s="8" t="s">
        <x:v>30</x:v>
      </x:c>
      <x:c r="X24" s="8" t="s">
        <x:v>30</x:v>
      </x:c>
      <x:c r="Y24" s="8" t="s">
        <x:v>6159</x:v>
      </x:c>
      <x:c r="Z24" s="8" t="s">
        <x:v>30</x:v>
      </x:c>
      <x:c r="AA24" s="8" t="s">
        <x:v>30</x:v>
      </x:c>
      <x:c r="AB24" s="8" t="s">
        <x:v>6159</x:v>
      </x:c>
      <x:c r="AC24" s="8" t="s">
        <x:v>30</x:v>
      </x:c>
      <x:c r="AD24" s="8" t="s">
        <x:v>30</x:v>
      </x:c>
      <x:c r="AE24" s="8" t="s">
        <x:v>30</x:v>
      </x:c>
      <x:c r="AF24" s="8" t="s">
        <x:v>30</x:v>
      </x:c>
      <x:c r="AG24" s="8" t="s">
        <x:v>30</x:v>
      </x:c>
      <x:c r="AH24" s="8" t="s">
        <x:v>30</x:v>
      </x:c>
      <x:c r="AI24" s="8" t="s">
        <x:v>30</x:v>
      </x:c>
      <x:c r="AJ24" s="8" t="s">
        <x:v>30</x:v>
      </x:c>
      <x:c r="AK24" s="8" t="s">
        <x:v>30</x:v>
      </x:c>
      <x:c r="AL24" s="8" t="s">
        <x:v>30</x:v>
      </x:c>
      <x:c r="AM24" s="8" t="s">
        <x:v>30</x:v>
      </x:c>
      <x:c r="AN24" s="8" t="s">
        <x:v>30</x:v>
      </x:c>
      <x:c r="AO24" s="8" t="s">
        <x:v>30</x:v>
      </x:c>
      <x:c r="AP24" s="8" t="s">
        <x:v>30</x:v>
      </x:c>
      <x:c r="AQ24" s="8" t="s">
        <x:v>30</x:v>
      </x:c>
      <x:c r="AR24" s="8" t="s">
        <x:v>6159</x:v>
      </x:c>
      <x:c r="AS24" s="8" t="s">
        <x:v>6159</x:v>
      </x:c>
      <x:c r="AT24" s="8" t="s">
        <x:v>6159</x:v>
      </x:c>
      <x:c r="AU24" s="8" t="s">
        <x:v>30</x:v>
      </x:c>
    </x:row>
    <x:row r="25" ht="54.75" hidden="0" customHeight="1">
      <x:c r="A25" s="8" t="s">
        <x:v>5111</x:v>
      </x:c>
      <x:c r="B25" s="8" t="s">
        <x:v>6158</x:v>
      </x:c>
      <x:c r="C25" s="8" t="s">
        <x:v>30</x:v>
      </x:c>
      <x:c r="D25" s="8" t="s">
        <x:v>6159</x:v>
      </x:c>
      <x:c r="E25" s="8" t="s">
        <x:v>30</x:v>
      </x:c>
      <x:c r="F25" s="8" t="s">
        <x:v>30</x:v>
      </x:c>
      <x:c r="G25" s="8" t="s">
        <x:v>30</x:v>
      </x:c>
      <x:c r="H25" s="8" t="s">
        <x:v>30</x:v>
      </x:c>
      <x:c r="I25" s="8" t="s">
        <x:v>30</x:v>
      </x:c>
      <x:c r="J25" s="8" t="s">
        <x:v>30</x:v>
      </x:c>
      <x:c r="K25" s="8" t="s">
        <x:v>30</x:v>
      </x:c>
      <x:c r="L25" s="8" t="s">
        <x:v>30</x:v>
      </x:c>
      <x:c r="M25" s="8" t="s">
        <x:v>30</x:v>
      </x:c>
      <x:c r="N25" s="8" t="s">
        <x:v>30</x:v>
      </x:c>
      <x:c r="O25" s="8" t="s">
        <x:v>30</x:v>
      </x:c>
      <x:c r="P25" s="8" t="s">
        <x:v>30</x:v>
      </x:c>
      <x:c r="Q25" s="8" t="s">
        <x:v>30</x:v>
      </x:c>
      <x:c r="R25" s="8" t="s">
        <x:v>30</x:v>
      </x:c>
      <x:c r="S25" s="8" t="s">
        <x:v>30</x:v>
      </x:c>
      <x:c r="T25" s="8" t="s">
        <x:v>30</x:v>
      </x:c>
      <x:c r="U25" s="8" t="s">
        <x:v>30</x:v>
      </x:c>
      <x:c r="V25" s="8" t="s">
        <x:v>30</x:v>
      </x:c>
      <x:c r="W25" s="8" t="s">
        <x:v>30</x:v>
      </x:c>
      <x:c r="X25" s="8" t="s">
        <x:v>30</x:v>
      </x:c>
      <x:c r="Y25" s="8" t="s">
        <x:v>30</x:v>
      </x:c>
      <x:c r="Z25" s="8" t="s">
        <x:v>30</x:v>
      </x:c>
      <x:c r="AA25" s="8" t="s">
        <x:v>30</x:v>
      </x:c>
      <x:c r="AB25" s="8" t="s">
        <x:v>30</x:v>
      </x:c>
      <x:c r="AC25" s="8" t="s">
        <x:v>30</x:v>
      </x:c>
      <x:c r="AD25" s="8" t="s">
        <x:v>30</x:v>
      </x:c>
      <x:c r="AE25" s="8" t="s">
        <x:v>30</x:v>
      </x:c>
      <x:c r="AF25" s="8" t="s">
        <x:v>30</x:v>
      </x:c>
      <x:c r="AG25" s="8" t="s">
        <x:v>6159</x:v>
      </x:c>
      <x:c r="AH25" s="8" t="s">
        <x:v>30</x:v>
      </x:c>
      <x:c r="AI25" s="8" t="s">
        <x:v>30</x:v>
      </x:c>
      <x:c r="AJ25" s="8" t="s">
        <x:v>30</x:v>
      </x:c>
      <x:c r="AK25" s="8" t="s">
        <x:v>30</x:v>
      </x:c>
      <x:c r="AL25" s="8" t="s">
        <x:v>30</x:v>
      </x:c>
      <x:c r="AM25" s="8" t="s">
        <x:v>30</x:v>
      </x:c>
      <x:c r="AN25" s="8" t="s">
        <x:v>30</x:v>
      </x:c>
      <x:c r="AO25" s="8" t="s">
        <x:v>6159</x:v>
      </x:c>
      <x:c r="AP25" s="8" t="s">
        <x:v>30</x:v>
      </x:c>
      <x:c r="AQ25" s="8" t="s">
        <x:v>30</x:v>
      </x:c>
      <x:c r="AR25" s="8" t="s">
        <x:v>30</x:v>
      </x:c>
      <x:c r="AS25" s="8" t="s">
        <x:v>30</x:v>
      </x:c>
      <x:c r="AT25" s="8" t="s">
        <x:v>30</x:v>
      </x:c>
      <x:c r="AU25" s="8" t="s">
        <x:v>30</x:v>
      </x:c>
    </x:row>
    <x:row r="26" ht="54.75" hidden="0" customHeight="1">
      <x:c r="A26" s="8" t="s">
        <x:v>3993</x:v>
      </x:c>
      <x:c r="B26" s="8" t="s">
        <x:v>6157</x:v>
      </x:c>
      <x:c r="C26" s="8" t="s">
        <x:v>6159</x:v>
      </x:c>
      <x:c r="D26" s="8" t="s">
        <x:v>6159</x:v>
      </x:c>
      <x:c r="E26" s="8" t="s">
        <x:v>6159</x:v>
      </x:c>
      <x:c r="F26" s="8" t="s">
        <x:v>30</x:v>
      </x:c>
      <x:c r="G26" s="8" t="s">
        <x:v>6159</x:v>
      </x:c>
      <x:c r="H26" s="8" t="s">
        <x:v>30</x:v>
      </x:c>
      <x:c r="I26" s="8" t="s">
        <x:v>30</x:v>
      </x:c>
      <x:c r="J26" s="8" t="s">
        <x:v>30</x:v>
      </x:c>
      <x:c r="K26" s="8" t="s">
        <x:v>30</x:v>
      </x:c>
      <x:c r="L26" s="8" t="s">
        <x:v>30</x:v>
      </x:c>
      <x:c r="M26" s="8" t="s">
        <x:v>30</x:v>
      </x:c>
      <x:c r="N26" s="8" t="s">
        <x:v>30</x:v>
      </x:c>
      <x:c r="O26" s="8" t="s">
        <x:v>30</x:v>
      </x:c>
      <x:c r="P26" s="8" t="s">
        <x:v>30</x:v>
      </x:c>
      <x:c r="Q26" s="8" t="s">
        <x:v>30</x:v>
      </x:c>
      <x:c r="R26" s="8" t="s">
        <x:v>30</x:v>
      </x:c>
      <x:c r="S26" s="8" t="s">
        <x:v>30</x:v>
      </x:c>
      <x:c r="T26" s="8" t="s">
        <x:v>30</x:v>
      </x:c>
      <x:c r="U26" s="8" t="s">
        <x:v>30</x:v>
      </x:c>
      <x:c r="V26" s="8" t="s">
        <x:v>30</x:v>
      </x:c>
      <x:c r="W26" s="8" t="s">
        <x:v>30</x:v>
      </x:c>
      <x:c r="X26" s="8" t="s">
        <x:v>30</x:v>
      </x:c>
      <x:c r="Y26" s="8" t="s">
        <x:v>6159</x:v>
      </x:c>
      <x:c r="Z26" s="8" t="s">
        <x:v>6159</x:v>
      </x:c>
      <x:c r="AA26" s="8" t="s">
        <x:v>30</x:v>
      </x:c>
      <x:c r="AB26" s="8" t="s">
        <x:v>30</x:v>
      </x:c>
      <x:c r="AC26" s="8" t="s">
        <x:v>6159</x:v>
      </x:c>
      <x:c r="AD26" s="8" t="s">
        <x:v>30</x:v>
      </x:c>
      <x:c r="AE26" s="8" t="s">
        <x:v>6159</x:v>
      </x:c>
      <x:c r="AF26" s="8" t="s">
        <x:v>6159</x:v>
      </x:c>
      <x:c r="AG26" s="8" t="s">
        <x:v>6159</x:v>
      </x:c>
      <x:c r="AH26" s="8" t="s">
        <x:v>30</x:v>
      </x:c>
      <x:c r="AI26" s="8" t="s">
        <x:v>30</x:v>
      </x:c>
      <x:c r="AJ26" s="8" t="s">
        <x:v>30</x:v>
      </x:c>
      <x:c r="AK26" s="8" t="s">
        <x:v>30</x:v>
      </x:c>
      <x:c r="AL26" s="8" t="s">
        <x:v>30</x:v>
      </x:c>
      <x:c r="AM26" s="8" t="s">
        <x:v>6159</x:v>
      </x:c>
      <x:c r="AN26" s="8" t="s">
        <x:v>30</x:v>
      </x:c>
      <x:c r="AO26" s="8" t="s">
        <x:v>30</x:v>
      </x:c>
      <x:c r="AP26" s="8" t="s">
        <x:v>6159</x:v>
      </x:c>
      <x:c r="AQ26" s="8" t="s">
        <x:v>6159</x:v>
      </x:c>
      <x:c r="AR26" s="8" t="s">
        <x:v>30</x:v>
      </x:c>
      <x:c r="AS26" s="8" t="s">
        <x:v>30</x:v>
      </x:c>
      <x:c r="AT26" s="8" t="s">
        <x:v>30</x:v>
      </x:c>
      <x:c r="AU26" s="8" t="s">
        <x:v>30</x:v>
      </x:c>
    </x:row>
    <x:row r="27" ht="54.75" hidden="0" customHeight="1">
      <x:c r="A27" s="8" t="s">
        <x:v>1754</x:v>
      </x:c>
      <x:c r="B27" s="8" t="s">
        <x:v>6157</x:v>
      </x:c>
      <x:c r="C27" s="8" t="s">
        <x:v>30</x:v>
      </x:c>
      <x:c r="D27" s="8" t="s">
        <x:v>6159</x:v>
      </x:c>
      <x:c r="E27" s="8" t="s">
        <x:v>6159</x:v>
      </x:c>
      <x:c r="F27" s="8" t="s">
        <x:v>30</x:v>
      </x:c>
      <x:c r="G27" s="8" t="s">
        <x:v>30</x:v>
      </x:c>
      <x:c r="H27" s="8" t="s">
        <x:v>30</x:v>
      </x:c>
      <x:c r="I27" s="8" t="s">
        <x:v>30</x:v>
      </x:c>
      <x:c r="J27" s="8" t="s">
        <x:v>30</x:v>
      </x:c>
      <x:c r="K27" s="8" t="s">
        <x:v>30</x:v>
      </x:c>
      <x:c r="L27" s="8" t="s">
        <x:v>30</x:v>
      </x:c>
      <x:c r="M27" s="8" t="s">
        <x:v>30</x:v>
      </x:c>
      <x:c r="N27" s="8" t="s">
        <x:v>30</x:v>
      </x:c>
      <x:c r="O27" s="8" t="s">
        <x:v>30</x:v>
      </x:c>
      <x:c r="P27" s="8" t="s">
        <x:v>30</x:v>
      </x:c>
      <x:c r="Q27" s="8" t="s">
        <x:v>30</x:v>
      </x:c>
      <x:c r="R27" s="8" t="s">
        <x:v>30</x:v>
      </x:c>
      <x:c r="S27" s="8" t="s">
        <x:v>30</x:v>
      </x:c>
      <x:c r="T27" s="8" t="s">
        <x:v>30</x:v>
      </x:c>
      <x:c r="U27" s="8" t="s">
        <x:v>30</x:v>
      </x:c>
      <x:c r="V27" s="8" t="s">
        <x:v>30</x:v>
      </x:c>
      <x:c r="W27" s="8" t="s">
        <x:v>30</x:v>
      </x:c>
      <x:c r="X27" s="8" t="s">
        <x:v>30</x:v>
      </x:c>
      <x:c r="Y27" s="8" t="s">
        <x:v>30</x:v>
      </x:c>
      <x:c r="Z27" s="8" t="s">
        <x:v>6159</x:v>
      </x:c>
      <x:c r="AA27" s="8" t="s">
        <x:v>30</x:v>
      </x:c>
      <x:c r="AB27" s="8" t="s">
        <x:v>30</x:v>
      </x:c>
      <x:c r="AC27" s="8" t="s">
        <x:v>6159</x:v>
      </x:c>
      <x:c r="AD27" s="8" t="s">
        <x:v>30</x:v>
      </x:c>
      <x:c r="AE27" s="8" t="s">
        <x:v>30</x:v>
      </x:c>
      <x:c r="AF27" s="8" t="s">
        <x:v>6159</x:v>
      </x:c>
      <x:c r="AG27" s="8" t="s">
        <x:v>6159</x:v>
      </x:c>
      <x:c r="AH27" s="8" t="s">
        <x:v>30</x:v>
      </x:c>
      <x:c r="AI27" s="8" t="s">
        <x:v>30</x:v>
      </x:c>
      <x:c r="AJ27" s="8" t="s">
        <x:v>30</x:v>
      </x:c>
      <x:c r="AK27" s="8" t="s">
        <x:v>30</x:v>
      </x:c>
      <x:c r="AL27" s="8" t="s">
        <x:v>30</x:v>
      </x:c>
      <x:c r="AM27" s="8" t="s">
        <x:v>30</x:v>
      </x:c>
      <x:c r="AN27" s="8" t="s">
        <x:v>30</x:v>
      </x:c>
      <x:c r="AO27" s="8" t="s">
        <x:v>6159</x:v>
      </x:c>
      <x:c r="AP27" s="8" t="s">
        <x:v>6159</x:v>
      </x:c>
      <x:c r="AQ27" s="8" t="s">
        <x:v>30</x:v>
      </x:c>
      <x:c r="AR27" s="8" t="s">
        <x:v>30</x:v>
      </x:c>
      <x:c r="AS27" s="8" t="s">
        <x:v>30</x:v>
      </x:c>
      <x:c r="AT27" s="8" t="s">
        <x:v>30</x:v>
      </x:c>
      <x:c r="AU27" s="8" t="s">
        <x:v>30</x:v>
      </x:c>
    </x:row>
    <x:row r="28" ht="54.75" hidden="0" customHeight="1">
      <x:c r="A28" s="8" t="s">
        <x:v>1932</x:v>
      </x:c>
      <x:c r="B28" s="8" t="s">
        <x:v>6157</x:v>
      </x:c>
      <x:c r="C28" s="8" t="s">
        <x:v>30</x:v>
      </x:c>
      <x:c r="D28" s="8" t="s">
        <x:v>6159</x:v>
      </x:c>
      <x:c r="E28" s="8" t="s">
        <x:v>6159</x:v>
      </x:c>
      <x:c r="F28" s="8" t="s">
        <x:v>6159</x:v>
      </x:c>
      <x:c r="G28" s="8" t="s">
        <x:v>6159</x:v>
      </x:c>
      <x:c r="H28" s="8" t="s">
        <x:v>6159</x:v>
      </x:c>
      <x:c r="I28" s="8" t="s">
        <x:v>6159</x:v>
      </x:c>
      <x:c r="J28" s="8" t="s">
        <x:v>6159</x:v>
      </x:c>
      <x:c r="K28" s="8" t="s">
        <x:v>30</x:v>
      </x:c>
      <x:c r="L28" s="8" t="s">
        <x:v>30</x:v>
      </x:c>
      <x:c r="M28" s="8" t="s">
        <x:v>30</x:v>
      </x:c>
      <x:c r="N28" s="8" t="s">
        <x:v>30</x:v>
      </x:c>
      <x:c r="O28" s="8" t="s">
        <x:v>30</x:v>
      </x:c>
      <x:c r="P28" s="8" t="s">
        <x:v>30</x:v>
      </x:c>
      <x:c r="Q28" s="8" t="s">
        <x:v>30</x:v>
      </x:c>
      <x:c r="R28" s="8" t="s">
        <x:v>6159</x:v>
      </x:c>
      <x:c r="S28" s="8" t="s">
        <x:v>6159</x:v>
      </x:c>
      <x:c r="T28" s="8" t="s">
        <x:v>6159</x:v>
      </x:c>
      <x:c r="U28" s="8" t="s">
        <x:v>6159</x:v>
      </x:c>
      <x:c r="V28" s="8" t="s">
        <x:v>6159</x:v>
      </x:c>
      <x:c r="W28" s="8" t="s">
        <x:v>30</x:v>
      </x:c>
      <x:c r="X28" s="8" t="s">
        <x:v>30</x:v>
      </x:c>
      <x:c r="Y28" s="8" t="s">
        <x:v>6159</x:v>
      </x:c>
      <x:c r="Z28" s="8" t="s">
        <x:v>30</x:v>
      </x:c>
      <x:c r="AA28" s="8" t="s">
        <x:v>30</x:v>
      </x:c>
      <x:c r="AB28" s="8" t="s">
        <x:v>6159</x:v>
      </x:c>
      <x:c r="AC28" s="8" t="s">
        <x:v>30</x:v>
      </x:c>
      <x:c r="AD28" s="8" t="s">
        <x:v>30</x:v>
      </x:c>
      <x:c r="AE28" s="8" t="s">
        <x:v>30</x:v>
      </x:c>
      <x:c r="AF28" s="8" t="s">
        <x:v>30</x:v>
      </x:c>
      <x:c r="AG28" s="8" t="s">
        <x:v>30</x:v>
      </x:c>
      <x:c r="AH28" s="8" t="s">
        <x:v>30</x:v>
      </x:c>
      <x:c r="AI28" s="8" t="s">
        <x:v>30</x:v>
      </x:c>
      <x:c r="AJ28" s="8" t="s">
        <x:v>30</x:v>
      </x:c>
      <x:c r="AK28" s="8" t="s">
        <x:v>30</x:v>
      </x:c>
      <x:c r="AL28" s="8" t="s">
        <x:v>30</x:v>
      </x:c>
      <x:c r="AM28" s="8" t="s">
        <x:v>30</x:v>
      </x:c>
      <x:c r="AN28" s="8" t="s">
        <x:v>6159</x:v>
      </x:c>
      <x:c r="AO28" s="8" t="s">
        <x:v>6159</x:v>
      </x:c>
      <x:c r="AP28" s="8" t="s">
        <x:v>30</x:v>
      </x:c>
      <x:c r="AQ28" s="8" t="s">
        <x:v>30</x:v>
      </x:c>
      <x:c r="AR28" s="8" t="s">
        <x:v>30</x:v>
      </x:c>
      <x:c r="AS28" s="8" t="s">
        <x:v>30</x:v>
      </x:c>
      <x:c r="AT28" s="8" t="s">
        <x:v>30</x:v>
      </x:c>
      <x:c r="AU28" s="8" t="s">
        <x:v>30</x:v>
      </x:c>
    </x:row>
    <x:row r="29" ht="54.75" hidden="0" customHeight="1">
      <x:c r="A29" s="8" t="s">
        <x:v>2802</x:v>
      </x:c>
      <x:c r="B29" s="8" t="s">
        <x:v>6158</x:v>
      </x:c>
      <x:c r="C29" s="8" t="s">
        <x:v>6159</x:v>
      </x:c>
      <x:c r="D29" s="8" t="s">
        <x:v>6159</x:v>
      </x:c>
      <x:c r="E29" s="8" t="s">
        <x:v>6159</x:v>
      </x:c>
      <x:c r="F29" s="8" t="s">
        <x:v>6159</x:v>
      </x:c>
      <x:c r="G29" s="8" t="s">
        <x:v>30</x:v>
      </x:c>
      <x:c r="H29" s="8" t="s">
        <x:v>6159</x:v>
      </x:c>
      <x:c r="I29" s="8" t="s">
        <x:v>30</x:v>
      </x:c>
      <x:c r="J29" s="8" t="s">
        <x:v>30</x:v>
      </x:c>
      <x:c r="K29" s="8" t="s">
        <x:v>30</x:v>
      </x:c>
      <x:c r="L29" s="8" t="s">
        <x:v>30</x:v>
      </x:c>
      <x:c r="M29" s="8" t="s">
        <x:v>30</x:v>
      </x:c>
      <x:c r="N29" s="8" t="s">
        <x:v>30</x:v>
      </x:c>
      <x:c r="O29" s="8" t="s">
        <x:v>30</x:v>
      </x:c>
      <x:c r="P29" s="8" t="s">
        <x:v>30</x:v>
      </x:c>
      <x:c r="Q29" s="8" t="s">
        <x:v>30</x:v>
      </x:c>
      <x:c r="R29" s="8" t="s">
        <x:v>32</x:v>
      </x:c>
      <x:c r="S29" s="8" t="s">
        <x:v>30</x:v>
      </x:c>
      <x:c r="T29" s="8" t="s">
        <x:v>30</x:v>
      </x:c>
      <x:c r="U29" s="8" t="s">
        <x:v>30</x:v>
      </x:c>
      <x:c r="V29" s="8" t="s">
        <x:v>30</x:v>
      </x:c>
      <x:c r="W29" s="8" t="s">
        <x:v>30</x:v>
      </x:c>
      <x:c r="X29" s="8" t="s">
        <x:v>30</x:v>
      </x:c>
      <x:c r="Y29" s="8" t="s">
        <x:v>6159</x:v>
      </x:c>
      <x:c r="Z29" s="8" t="s">
        <x:v>30</x:v>
      </x:c>
      <x:c r="AA29" s="8" t="s">
        <x:v>30</x:v>
      </x:c>
      <x:c r="AB29" s="8" t="s">
        <x:v>30</x:v>
      </x:c>
      <x:c r="AC29" s="8" t="s">
        <x:v>30</x:v>
      </x:c>
      <x:c r="AD29" s="8" t="s">
        <x:v>30</x:v>
      </x:c>
      <x:c r="AE29" s="8" t="s">
        <x:v>30</x:v>
      </x:c>
      <x:c r="AF29" s="8" t="s">
        <x:v>30</x:v>
      </x:c>
      <x:c r="AG29" s="8" t="s">
        <x:v>30</x:v>
      </x:c>
      <x:c r="AH29" s="8" t="s">
        <x:v>30</x:v>
      </x:c>
      <x:c r="AI29" s="8" t="s">
        <x:v>30</x:v>
      </x:c>
      <x:c r="AJ29" s="8" t="s">
        <x:v>30</x:v>
      </x:c>
      <x:c r="AK29" s="8" t="s">
        <x:v>30</x:v>
      </x:c>
      <x:c r="AL29" s="8" t="s">
        <x:v>6159</x:v>
      </x:c>
      <x:c r="AM29" s="8" t="s">
        <x:v>32</x:v>
      </x:c>
      <x:c r="AN29" s="8" t="s">
        <x:v>30</x:v>
      </x:c>
      <x:c r="AO29" s="8" t="s">
        <x:v>6159</x:v>
      </x:c>
      <x:c r="AP29" s="8" t="s">
        <x:v>6159</x:v>
      </x:c>
      <x:c r="AQ29" s="8" t="s">
        <x:v>30</x:v>
      </x:c>
      <x:c r="AR29" s="8" t="s">
        <x:v>30</x:v>
      </x:c>
      <x:c r="AS29" s="8" t="s">
        <x:v>32</x:v>
      </x:c>
      <x:c r="AT29" s="8" t="s">
        <x:v>30</x:v>
      </x:c>
      <x:c r="AU29" s="8" t="s">
        <x:v>30</x:v>
      </x:c>
    </x:row>
    <x:row r="30" ht="54.75" hidden="0" customHeight="1">
      <x:c r="A30" s="8" t="s">
        <x:v>3808</x:v>
      </x:c>
      <x:c r="B30" s="8" t="s">
        <x:v>6157</x:v>
      </x:c>
      <x:c r="C30" s="8" t="s">
        <x:v>30</x:v>
      </x:c>
      <x:c r="D30" s="8" t="s">
        <x:v>30</x:v>
      </x:c>
      <x:c r="E30" s="8" t="s">
        <x:v>6159</x:v>
      </x:c>
      <x:c r="F30" s="8" t="s">
        <x:v>6159</x:v>
      </x:c>
      <x:c r="G30" s="8" t="s">
        <x:v>6159</x:v>
      </x:c>
      <x:c r="H30" s="8" t="s">
        <x:v>6159</x:v>
      </x:c>
      <x:c r="I30" s="8" t="s">
        <x:v>6159</x:v>
      </x:c>
      <x:c r="J30" s="8" t="s">
        <x:v>30</x:v>
      </x:c>
      <x:c r="K30" s="8" t="s">
        <x:v>30</x:v>
      </x:c>
      <x:c r="L30" s="8" t="s">
        <x:v>30</x:v>
      </x:c>
      <x:c r="M30" s="8" t="s">
        <x:v>30</x:v>
      </x:c>
      <x:c r="N30" s="8" t="s">
        <x:v>30</x:v>
      </x:c>
      <x:c r="O30" s="8" t="s">
        <x:v>30</x:v>
      </x:c>
      <x:c r="P30" s="8" t="s">
        <x:v>30</x:v>
      </x:c>
      <x:c r="Q30" s="8" t="s">
        <x:v>30</x:v>
      </x:c>
      <x:c r="R30" s="8" t="s">
        <x:v>30</x:v>
      </x:c>
      <x:c r="S30" s="8" t="s">
        <x:v>30</x:v>
      </x:c>
      <x:c r="T30" s="8" t="s">
        <x:v>30</x:v>
      </x:c>
      <x:c r="U30" s="8" t="s">
        <x:v>30</x:v>
      </x:c>
      <x:c r="V30" s="8" t="s">
        <x:v>6159</x:v>
      </x:c>
      <x:c r="W30" s="8" t="s">
        <x:v>6159</x:v>
      </x:c>
      <x:c r="X30" s="8" t="s">
        <x:v>30</x:v>
      </x:c>
      <x:c r="Y30" s="8" t="s">
        <x:v>30</x:v>
      </x:c>
      <x:c r="Z30" s="8" t="s">
        <x:v>6159</x:v>
      </x:c>
      <x:c r="AA30" s="8" t="s">
        <x:v>30</x:v>
      </x:c>
      <x:c r="AB30" s="8" t="s">
        <x:v>30</x:v>
      </x:c>
      <x:c r="AC30" s="8" t="s">
        <x:v>6159</x:v>
      </x:c>
      <x:c r="AD30" s="8" t="s">
        <x:v>30</x:v>
      </x:c>
      <x:c r="AE30" s="8" t="s">
        <x:v>30</x:v>
      </x:c>
      <x:c r="AF30" s="8" t="s">
        <x:v>30</x:v>
      </x:c>
      <x:c r="AG30" s="8" t="s">
        <x:v>30</x:v>
      </x:c>
      <x:c r="AH30" s="8" t="s">
        <x:v>30</x:v>
      </x:c>
      <x:c r="AI30" s="8" t="s">
        <x:v>30</x:v>
      </x:c>
      <x:c r="AJ30" s="8" t="s">
        <x:v>30</x:v>
      </x:c>
      <x:c r="AK30" s="8" t="s">
        <x:v>30</x:v>
      </x:c>
      <x:c r="AL30" s="8" t="s">
        <x:v>6159</x:v>
      </x:c>
      <x:c r="AM30" s="8" t="s">
        <x:v>6159</x:v>
      </x:c>
      <x:c r="AN30" s="8" t="s">
        <x:v>30</x:v>
      </x:c>
      <x:c r="AO30" s="8" t="s">
        <x:v>30</x:v>
      </x:c>
      <x:c r="AP30" s="8" t="s">
        <x:v>30</x:v>
      </x:c>
      <x:c r="AQ30" s="8" t="s">
        <x:v>30</x:v>
      </x:c>
      <x:c r="AR30" s="8" t="s">
        <x:v>6159</x:v>
      </x:c>
      <x:c r="AS30" s="8" t="s">
        <x:v>30</x:v>
      </x:c>
      <x:c r="AT30" s="8" t="s">
        <x:v>30</x:v>
      </x:c>
      <x:c r="AU30" s="8" t="s">
        <x:v>30</x:v>
      </x:c>
    </x:row>
    <x:row r="31" ht="54.75" hidden="0" customHeight="1">
      <x:c r="A31" s="8" t="s">
        <x:v>5123</x:v>
      </x:c>
      <x:c r="B31" s="8" t="s">
        <x:v>6158</x:v>
      </x:c>
      <x:c r="C31" s="8" t="s">
        <x:v>30</x:v>
      </x:c>
      <x:c r="D31" s="8" t="s">
        <x:v>30</x:v>
      </x:c>
      <x:c r="E31" s="8" t="s">
        <x:v>6159</x:v>
      </x:c>
      <x:c r="F31" s="8" t="s">
        <x:v>30</x:v>
      </x:c>
      <x:c r="G31" s="8" t="s">
        <x:v>30</x:v>
      </x:c>
      <x:c r="H31" s="8" t="s">
        <x:v>6159</x:v>
      </x:c>
      <x:c r="I31" s="8" t="s">
        <x:v>30</x:v>
      </x:c>
      <x:c r="J31" s="8" t="s">
        <x:v>30</x:v>
      </x:c>
      <x:c r="K31" s="8" t="s">
        <x:v>30</x:v>
      </x:c>
      <x:c r="L31" s="8" t="s">
        <x:v>30</x:v>
      </x:c>
      <x:c r="M31" s="8" t="s">
        <x:v>30</x:v>
      </x:c>
      <x:c r="N31" s="8" t="s">
        <x:v>30</x:v>
      </x:c>
      <x:c r="O31" s="8" t="s">
        <x:v>30</x:v>
      </x:c>
      <x:c r="P31" s="8" t="s">
        <x:v>30</x:v>
      </x:c>
      <x:c r="Q31" s="8" t="s">
        <x:v>30</x:v>
      </x:c>
      <x:c r="R31" s="8" t="s">
        <x:v>30</x:v>
      </x:c>
      <x:c r="S31" s="8" t="s">
        <x:v>30</x:v>
      </x:c>
      <x:c r="T31" s="8" t="s">
        <x:v>30</x:v>
      </x:c>
      <x:c r="U31" s="8" t="s">
        <x:v>30</x:v>
      </x:c>
      <x:c r="V31" s="8" t="s">
        <x:v>30</x:v>
      </x:c>
      <x:c r="W31" s="8" t="s">
        <x:v>30</x:v>
      </x:c>
      <x:c r="X31" s="8" t="s">
        <x:v>30</x:v>
      </x:c>
      <x:c r="Y31" s="8" t="s">
        <x:v>30</x:v>
      </x:c>
      <x:c r="Z31" s="8" t="s">
        <x:v>30</x:v>
      </x:c>
      <x:c r="AA31" s="8" t="s">
        <x:v>30</x:v>
      </x:c>
      <x:c r="AB31" s="8" t="s">
        <x:v>30</x:v>
      </x:c>
      <x:c r="AC31" s="8" t="s">
        <x:v>30</x:v>
      </x:c>
      <x:c r="AD31" s="8" t="s">
        <x:v>30</x:v>
      </x:c>
      <x:c r="AE31" s="8" t="s">
        <x:v>30</x:v>
      </x:c>
      <x:c r="AF31" s="8" t="s">
        <x:v>30</x:v>
      </x:c>
      <x:c r="AG31" s="8" t="s">
        <x:v>30</x:v>
      </x:c>
      <x:c r="AH31" s="8" t="s">
        <x:v>30</x:v>
      </x:c>
      <x:c r="AI31" s="8" t="s">
        <x:v>30</x:v>
      </x:c>
      <x:c r="AJ31" s="8" t="s">
        <x:v>30</x:v>
      </x:c>
      <x:c r="AK31" s="8" t="s">
        <x:v>30</x:v>
      </x:c>
      <x:c r="AL31" s="8" t="s">
        <x:v>30</x:v>
      </x:c>
      <x:c r="AM31" s="8" t="s">
        <x:v>30</x:v>
      </x:c>
      <x:c r="AN31" s="8" t="s">
        <x:v>30</x:v>
      </x:c>
      <x:c r="AO31" s="8" t="s">
        <x:v>6159</x:v>
      </x:c>
      <x:c r="AP31" s="8" t="s">
        <x:v>30</x:v>
      </x:c>
      <x:c r="AQ31" s="8" t="s">
        <x:v>30</x:v>
      </x:c>
      <x:c r="AR31" s="8" t="s">
        <x:v>30</x:v>
      </x:c>
      <x:c r="AS31" s="8" t="s">
        <x:v>30</x:v>
      </x:c>
      <x:c r="AT31" s="8" t="s">
        <x:v>30</x:v>
      </x:c>
      <x:c r="AU31" s="8" t="s">
        <x:v>30</x:v>
      </x:c>
    </x:row>
    <x:row r="32" ht="54.75" hidden="0" customHeight="1">
      <x:c r="A32" s="8" t="s">
        <x:v>3649</x:v>
      </x:c>
      <x:c r="B32" s="8" t="s">
        <x:v>6157</x:v>
      </x:c>
      <x:c r="C32" s="8" t="s">
        <x:v>30</x:v>
      </x:c>
      <x:c r="D32" s="8" t="s">
        <x:v>6159</x:v>
      </x:c>
      <x:c r="E32" s="8" t="s">
        <x:v>6159</x:v>
      </x:c>
      <x:c r="F32" s="8" t="s">
        <x:v>30</x:v>
      </x:c>
      <x:c r="G32" s="8" t="s">
        <x:v>6159</x:v>
      </x:c>
      <x:c r="H32" s="8" t="s">
        <x:v>30</x:v>
      </x:c>
      <x:c r="I32" s="8" t="s">
        <x:v>30</x:v>
      </x:c>
      <x:c r="J32" s="8" t="s">
        <x:v>30</x:v>
      </x:c>
      <x:c r="K32" s="8" t="s">
        <x:v>30</x:v>
      </x:c>
      <x:c r="L32" s="8" t="s">
        <x:v>30</x:v>
      </x:c>
      <x:c r="M32" s="8" t="s">
        <x:v>30</x:v>
      </x:c>
      <x:c r="N32" s="8" t="s">
        <x:v>30</x:v>
      </x:c>
      <x:c r="O32" s="8" t="s">
        <x:v>30</x:v>
      </x:c>
      <x:c r="P32" s="8" t="s">
        <x:v>30</x:v>
      </x:c>
      <x:c r="Q32" s="8" t="s">
        <x:v>30</x:v>
      </x:c>
      <x:c r="R32" s="8" t="s">
        <x:v>6159</x:v>
      </x:c>
      <x:c r="S32" s="8" t="s">
        <x:v>6159</x:v>
      </x:c>
      <x:c r="T32" s="8" t="s">
        <x:v>6159</x:v>
      </x:c>
      <x:c r="U32" s="8" t="s">
        <x:v>30</x:v>
      </x:c>
      <x:c r="V32" s="8" t="s">
        <x:v>30</x:v>
      </x:c>
      <x:c r="W32" s="8" t="s">
        <x:v>30</x:v>
      </x:c>
      <x:c r="X32" s="8" t="s">
        <x:v>30</x:v>
      </x:c>
      <x:c r="Y32" s="8" t="s">
        <x:v>6159</x:v>
      </x:c>
      <x:c r="Z32" s="8" t="s">
        <x:v>6159</x:v>
      </x:c>
      <x:c r="AA32" s="8" t="s">
        <x:v>30</x:v>
      </x:c>
      <x:c r="AB32" s="8" t="s">
        <x:v>30</x:v>
      </x:c>
      <x:c r="AC32" s="8" t="s">
        <x:v>30</x:v>
      </x:c>
      <x:c r="AD32" s="8" t="s">
        <x:v>30</x:v>
      </x:c>
      <x:c r="AE32" s="8" t="s">
        <x:v>30</x:v>
      </x:c>
      <x:c r="AF32" s="8" t="s">
        <x:v>30</x:v>
      </x:c>
      <x:c r="AG32" s="8" t="s">
        <x:v>30</x:v>
      </x:c>
      <x:c r="AH32" s="8" t="s">
        <x:v>30</x:v>
      </x:c>
      <x:c r="AI32" s="8" t="s">
        <x:v>30</x:v>
      </x:c>
      <x:c r="AJ32" s="8" t="s">
        <x:v>30</x:v>
      </x:c>
      <x:c r="AK32" s="8" t="s">
        <x:v>30</x:v>
      </x:c>
      <x:c r="AL32" s="8" t="s">
        <x:v>30</x:v>
      </x:c>
      <x:c r="AM32" s="8" t="s">
        <x:v>30</x:v>
      </x:c>
      <x:c r="AN32" s="8" t="s">
        <x:v>30</x:v>
      </x:c>
      <x:c r="AO32" s="8" t="s">
        <x:v>30</x:v>
      </x:c>
      <x:c r="AP32" s="8" t="s">
        <x:v>6159</x:v>
      </x:c>
      <x:c r="AQ32" s="8" t="s">
        <x:v>30</x:v>
      </x:c>
      <x:c r="AR32" s="8" t="s">
        <x:v>6159</x:v>
      </x:c>
      <x:c r="AS32" s="8" t="s">
        <x:v>6159</x:v>
      </x:c>
      <x:c r="AT32" s="8" t="s">
        <x:v>30</x:v>
      </x:c>
      <x:c r="AU32" s="8" t="s">
        <x:v>30</x:v>
      </x:c>
    </x:row>
    <x:row r="33" ht="54.75" hidden="0" customHeight="1">
      <x:c r="A33" s="8" t="s">
        <x:v>3721</x:v>
      </x:c>
      <x:c r="B33" s="8" t="s">
        <x:v>6157</x:v>
      </x:c>
      <x:c r="C33" s="8" t="s">
        <x:v>30</x:v>
      </x:c>
      <x:c r="D33" s="8" t="s">
        <x:v>6159</x:v>
      </x:c>
      <x:c r="E33" s="8" t="s">
        <x:v>6159</x:v>
      </x:c>
      <x:c r="F33" s="8" t="s">
        <x:v>30</x:v>
      </x:c>
      <x:c r="G33" s="8" t="s">
        <x:v>30</x:v>
      </x:c>
      <x:c r="H33" s="8" t="s">
        <x:v>6159</x:v>
      </x:c>
      <x:c r="I33" s="8" t="s">
        <x:v>30</x:v>
      </x:c>
      <x:c r="J33" s="8" t="s">
        <x:v>30</x:v>
      </x:c>
      <x:c r="K33" s="8" t="s">
        <x:v>30</x:v>
      </x:c>
      <x:c r="L33" s="8" t="s">
        <x:v>30</x:v>
      </x:c>
      <x:c r="M33" s="8" t="s">
        <x:v>30</x:v>
      </x:c>
      <x:c r="N33" s="8" t="s">
        <x:v>30</x:v>
      </x:c>
      <x:c r="O33" s="8" t="s">
        <x:v>30</x:v>
      </x:c>
      <x:c r="P33" s="8" t="s">
        <x:v>30</x:v>
      </x:c>
      <x:c r="Q33" s="8" t="s">
        <x:v>30</x:v>
      </x:c>
      <x:c r="R33" s="8" t="s">
        <x:v>30</x:v>
      </x:c>
      <x:c r="S33" s="8" t="s">
        <x:v>30</x:v>
      </x:c>
      <x:c r="T33" s="8" t="s">
        <x:v>30</x:v>
      </x:c>
      <x:c r="U33" s="8" t="s">
        <x:v>30</x:v>
      </x:c>
      <x:c r="V33" s="8" t="s">
        <x:v>30</x:v>
      </x:c>
      <x:c r="W33" s="8" t="s">
        <x:v>30</x:v>
      </x:c>
      <x:c r="X33" s="8" t="s">
        <x:v>30</x:v>
      </x:c>
      <x:c r="Y33" s="8" t="s">
        <x:v>30</x:v>
      </x:c>
      <x:c r="Z33" s="8" t="s">
        <x:v>30</x:v>
      </x:c>
      <x:c r="AA33" s="8" t="s">
        <x:v>30</x:v>
      </x:c>
      <x:c r="AB33" s="8" t="s">
        <x:v>30</x:v>
      </x:c>
      <x:c r="AC33" s="8" t="s">
        <x:v>30</x:v>
      </x:c>
      <x:c r="AD33" s="8" t="s">
        <x:v>30</x:v>
      </x:c>
      <x:c r="AE33" s="8" t="s">
        <x:v>30</x:v>
      </x:c>
      <x:c r="AF33" s="8" t="s">
        <x:v>30</x:v>
      </x:c>
      <x:c r="AG33" s="8" t="s">
        <x:v>30</x:v>
      </x:c>
      <x:c r="AH33" s="8" t="s">
        <x:v>30</x:v>
      </x:c>
      <x:c r="AI33" s="8" t="s">
        <x:v>30</x:v>
      </x:c>
      <x:c r="AJ33" s="8" t="s">
        <x:v>30</x:v>
      </x:c>
      <x:c r="AK33" s="8" t="s">
        <x:v>30</x:v>
      </x:c>
      <x:c r="AL33" s="8" t="s">
        <x:v>6159</x:v>
      </x:c>
      <x:c r="AM33" s="8" t="s">
        <x:v>30</x:v>
      </x:c>
      <x:c r="AN33" s="8" t="s">
        <x:v>6159</x:v>
      </x:c>
      <x:c r="AO33" s="8" t="s">
        <x:v>30</x:v>
      </x:c>
      <x:c r="AP33" s="8" t="s">
        <x:v>6159</x:v>
      </x:c>
      <x:c r="AQ33" s="8" t="s">
        <x:v>30</x:v>
      </x:c>
      <x:c r="AR33" s="8" t="s">
        <x:v>6159</x:v>
      </x:c>
      <x:c r="AS33" s="8" t="s">
        <x:v>6159</x:v>
      </x:c>
      <x:c r="AT33" s="8" t="s">
        <x:v>30</x:v>
      </x:c>
      <x:c r="AU33" s="8" t="s">
        <x:v>30</x:v>
      </x:c>
    </x:row>
    <x:row r="34" ht="54.75" hidden="0" customHeight="1">
      <x:c r="A34" s="8" t="s">
        <x:v>3466</x:v>
      </x:c>
      <x:c r="B34" s="8" t="s">
        <x:v>6157</x:v>
      </x:c>
      <x:c r="C34" s="8" t="s">
        <x:v>30</x:v>
      </x:c>
      <x:c r="D34" s="8" t="s">
        <x:v>6159</x:v>
      </x:c>
      <x:c r="E34" s="8" t="s">
        <x:v>6159</x:v>
      </x:c>
      <x:c r="F34" s="8" t="s">
        <x:v>6159</x:v>
      </x:c>
      <x:c r="G34" s="8" t="s">
        <x:v>6159</x:v>
      </x:c>
      <x:c r="H34" s="8" t="s">
        <x:v>6159</x:v>
      </x:c>
      <x:c r="I34" s="8" t="s">
        <x:v>30</x:v>
      </x:c>
      <x:c r="J34" s="8" t="s">
        <x:v>30</x:v>
      </x:c>
      <x:c r="K34" s="8" t="s">
        <x:v>6159</x:v>
      </x:c>
      <x:c r="L34" s="8" t="s">
        <x:v>30</x:v>
      </x:c>
      <x:c r="M34" s="8" t="s">
        <x:v>30</x:v>
      </x:c>
      <x:c r="N34" s="8" t="s">
        <x:v>30</x:v>
      </x:c>
      <x:c r="O34" s="8" t="s">
        <x:v>6159</x:v>
      </x:c>
      <x:c r="P34" s="8" t="s">
        <x:v>30</x:v>
      </x:c>
      <x:c r="Q34" s="8" t="s">
        <x:v>30</x:v>
      </x:c>
      <x:c r="R34" s="8" t="s">
        <x:v>30</x:v>
      </x:c>
      <x:c r="S34" s="8" t="s">
        <x:v>30</x:v>
      </x:c>
      <x:c r="T34" s="8" t="s">
        <x:v>30</x:v>
      </x:c>
      <x:c r="U34" s="8" t="s">
        <x:v>30</x:v>
      </x:c>
      <x:c r="V34" s="8" t="s">
        <x:v>6159</x:v>
      </x:c>
      <x:c r="W34" s="8" t="s">
        <x:v>30</x:v>
      </x:c>
      <x:c r="X34" s="8" t="s">
        <x:v>30</x:v>
      </x:c>
      <x:c r="Y34" s="8" t="s">
        <x:v>30</x:v>
      </x:c>
      <x:c r="Z34" s="8" t="s">
        <x:v>30</x:v>
      </x:c>
      <x:c r="AA34" s="8" t="s">
        <x:v>30</x:v>
      </x:c>
      <x:c r="AB34" s="8" t="s">
        <x:v>30</x:v>
      </x:c>
      <x:c r="AC34" s="8" t="s">
        <x:v>30</x:v>
      </x:c>
      <x:c r="AD34" s="8" t="s">
        <x:v>30</x:v>
      </x:c>
      <x:c r="AE34" s="8" t="s">
        <x:v>30</x:v>
      </x:c>
      <x:c r="AF34" s="8" t="s">
        <x:v>30</x:v>
      </x:c>
      <x:c r="AG34" s="8" t="s">
        <x:v>30</x:v>
      </x:c>
      <x:c r="AH34" s="8" t="s">
        <x:v>30</x:v>
      </x:c>
      <x:c r="AI34" s="8" t="s">
        <x:v>30</x:v>
      </x:c>
      <x:c r="AJ34" s="8" t="s">
        <x:v>30</x:v>
      </x:c>
      <x:c r="AK34" s="8" t="s">
        <x:v>30</x:v>
      </x:c>
      <x:c r="AL34" s="8" t="s">
        <x:v>30</x:v>
      </x:c>
      <x:c r="AM34" s="8" t="s">
        <x:v>30</x:v>
      </x:c>
      <x:c r="AN34" s="8" t="s">
        <x:v>30</x:v>
      </x:c>
      <x:c r="AO34" s="8" t="s">
        <x:v>30</x:v>
      </x:c>
      <x:c r="AP34" s="8" t="s">
        <x:v>6159</x:v>
      </x:c>
      <x:c r="AQ34" s="8" t="s">
        <x:v>6159</x:v>
      </x:c>
      <x:c r="AR34" s="8" t="s">
        <x:v>30</x:v>
      </x:c>
      <x:c r="AS34" s="8" t="s">
        <x:v>30</x:v>
      </x:c>
      <x:c r="AT34" s="8" t="s">
        <x:v>30</x:v>
      </x:c>
      <x:c r="AU34" s="8" t="s">
        <x:v>30</x:v>
      </x:c>
    </x:row>
    <x:row r="35" ht="54.75" hidden="0" customHeight="1">
      <x:c r="A35" s="8" t="s">
        <x:v>3668</x:v>
      </x:c>
      <x:c r="B35" s="8" t="s">
        <x:v>6157</x:v>
      </x:c>
      <x:c r="C35" s="8" t="s">
        <x:v>30</x:v>
      </x:c>
      <x:c r="D35" s="8" t="s">
        <x:v>6159</x:v>
      </x:c>
      <x:c r="E35" s="8" t="s">
        <x:v>6159</x:v>
      </x:c>
      <x:c r="F35" s="8" t="s">
        <x:v>6159</x:v>
      </x:c>
      <x:c r="G35" s="8" t="s">
        <x:v>6159</x:v>
      </x:c>
      <x:c r="H35" s="8" t="s">
        <x:v>6159</x:v>
      </x:c>
      <x:c r="I35" s="8" t="s">
        <x:v>30</x:v>
      </x:c>
      <x:c r="J35" s="8" t="s">
        <x:v>30</x:v>
      </x:c>
      <x:c r="K35" s="8" t="s">
        <x:v>6159</x:v>
      </x:c>
      <x:c r="L35" s="8" t="s">
        <x:v>30</x:v>
      </x:c>
      <x:c r="M35" s="8" t="s">
        <x:v>6159</x:v>
      </x:c>
      <x:c r="N35" s="8" t="s">
        <x:v>30</x:v>
      </x:c>
      <x:c r="O35" s="8" t="s">
        <x:v>6159</x:v>
      </x:c>
      <x:c r="P35" s="8" t="s">
        <x:v>30</x:v>
      </x:c>
      <x:c r="Q35" s="8" t="s">
        <x:v>6159</x:v>
      </x:c>
      <x:c r="R35" s="8" t="s">
        <x:v>6159</x:v>
      </x:c>
      <x:c r="S35" s="8" t="s">
        <x:v>6159</x:v>
      </x:c>
      <x:c r="T35" s="8" t="s">
        <x:v>30</x:v>
      </x:c>
      <x:c r="U35" s="8" t="s">
        <x:v>30</x:v>
      </x:c>
      <x:c r="V35" s="8" t="s">
        <x:v>6159</x:v>
      </x:c>
      <x:c r="W35" s="8" t="s">
        <x:v>30</x:v>
      </x:c>
      <x:c r="X35" s="8" t="s">
        <x:v>30</x:v>
      </x:c>
      <x:c r="Y35" s="8" t="s">
        <x:v>6159</x:v>
      </x:c>
      <x:c r="Z35" s="8" t="s">
        <x:v>30</x:v>
      </x:c>
      <x:c r="AA35" s="8" t="s">
        <x:v>30</x:v>
      </x:c>
      <x:c r="AB35" s="8" t="s">
        <x:v>6159</x:v>
      </x:c>
      <x:c r="AC35" s="8" t="s">
        <x:v>30</x:v>
      </x:c>
      <x:c r="AD35" s="8" t="s">
        <x:v>30</x:v>
      </x:c>
      <x:c r="AE35" s="8" t="s">
        <x:v>30</x:v>
      </x:c>
      <x:c r="AF35" s="8" t="s">
        <x:v>30</x:v>
      </x:c>
      <x:c r="AG35" s="8" t="s">
        <x:v>30</x:v>
      </x:c>
      <x:c r="AH35" s="8" t="s">
        <x:v>30</x:v>
      </x:c>
      <x:c r="AI35" s="8" t="s">
        <x:v>30</x:v>
      </x:c>
      <x:c r="AJ35" s="8" t="s">
        <x:v>30</x:v>
      </x:c>
      <x:c r="AK35" s="8" t="s">
        <x:v>30</x:v>
      </x:c>
      <x:c r="AL35" s="8" t="s">
        <x:v>30</x:v>
      </x:c>
      <x:c r="AM35" s="8" t="s">
        <x:v>30</x:v>
      </x:c>
      <x:c r="AN35" s="8" t="s">
        <x:v>6159</x:v>
      </x:c>
      <x:c r="AO35" s="8" t="s">
        <x:v>30</x:v>
      </x:c>
      <x:c r="AP35" s="8" t="s">
        <x:v>30</x:v>
      </x:c>
      <x:c r="AQ35" s="8" t="s">
        <x:v>30</x:v>
      </x:c>
      <x:c r="AR35" s="8" t="s">
        <x:v>6159</x:v>
      </x:c>
      <x:c r="AS35" s="8" t="s">
        <x:v>6159</x:v>
      </x:c>
      <x:c r="AT35" s="8" t="s">
        <x:v>30</x:v>
      </x:c>
      <x:c r="AU35" s="8" t="s">
        <x:v>30</x:v>
      </x:c>
    </x:row>
    <x:row r="36" ht="54.75" hidden="0" customHeight="1">
      <x:c r="A36" s="8" t="s">
        <x:v>3759</x:v>
      </x:c>
      <x:c r="B36" s="8" t="s">
        <x:v>6157</x:v>
      </x:c>
      <x:c r="C36" s="8" t="s">
        <x:v>30</x:v>
      </x:c>
      <x:c r="D36" s="8" t="s">
        <x:v>30</x:v>
      </x:c>
      <x:c r="E36" s="8" t="s">
        <x:v>6159</x:v>
      </x:c>
      <x:c r="F36" s="8" t="s">
        <x:v>30</x:v>
      </x:c>
      <x:c r="G36" s="8" t="s">
        <x:v>30</x:v>
      </x:c>
      <x:c r="H36" s="8" t="s">
        <x:v>6159</x:v>
      </x:c>
      <x:c r="I36" s="8" t="s">
        <x:v>6159</x:v>
      </x:c>
      <x:c r="J36" s="8" t="s">
        <x:v>30</x:v>
      </x:c>
      <x:c r="K36" s="8" t="s">
        <x:v>30</x:v>
      </x:c>
      <x:c r="L36" s="8" t="s">
        <x:v>30</x:v>
      </x:c>
      <x:c r="M36" s="8" t="s">
        <x:v>30</x:v>
      </x:c>
      <x:c r="N36" s="8" t="s">
        <x:v>30</x:v>
      </x:c>
      <x:c r="O36" s="8" t="s">
        <x:v>30</x:v>
      </x:c>
      <x:c r="P36" s="8" t="s">
        <x:v>30</x:v>
      </x:c>
      <x:c r="Q36" s="8" t="s">
        <x:v>30</x:v>
      </x:c>
      <x:c r="R36" s="8" t="s">
        <x:v>30</x:v>
      </x:c>
      <x:c r="S36" s="8" t="s">
        <x:v>30</x:v>
      </x:c>
      <x:c r="T36" s="8" t="s">
        <x:v>30</x:v>
      </x:c>
      <x:c r="U36" s="8" t="s">
        <x:v>30</x:v>
      </x:c>
      <x:c r="V36" s="8" t="s">
        <x:v>30</x:v>
      </x:c>
      <x:c r="W36" s="8" t="s">
        <x:v>30</x:v>
      </x:c>
      <x:c r="X36" s="8" t="s">
        <x:v>30</x:v>
      </x:c>
      <x:c r="Y36" s="8" t="s">
        <x:v>30</x:v>
      </x:c>
      <x:c r="Z36" s="8" t="s">
        <x:v>30</x:v>
      </x:c>
      <x:c r="AA36" s="8" t="s">
        <x:v>30</x:v>
      </x:c>
      <x:c r="AB36" s="8" t="s">
        <x:v>30</x:v>
      </x:c>
      <x:c r="AC36" s="8" t="s">
        <x:v>30</x:v>
      </x:c>
      <x:c r="AD36" s="8" t="s">
        <x:v>30</x:v>
      </x:c>
      <x:c r="AE36" s="8" t="s">
        <x:v>30</x:v>
      </x:c>
      <x:c r="AF36" s="8" t="s">
        <x:v>30</x:v>
      </x:c>
      <x:c r="AG36" s="8" t="s">
        <x:v>30</x:v>
      </x:c>
      <x:c r="AH36" s="8" t="s">
        <x:v>6159</x:v>
      </x:c>
      <x:c r="AI36" s="8" t="s">
        <x:v>6159</x:v>
      </x:c>
      <x:c r="AJ36" s="8" t="s">
        <x:v>6159</x:v>
      </x:c>
      <x:c r="AK36" s="8" t="s">
        <x:v>6159</x:v>
      </x:c>
      <x:c r="AL36" s="8" t="s">
        <x:v>30</x:v>
      </x:c>
      <x:c r="AM36" s="8" t="s">
        <x:v>6159</x:v>
      </x:c>
      <x:c r="AN36" s="8" t="s">
        <x:v>6159</x:v>
      </x:c>
      <x:c r="AO36" s="8" t="s">
        <x:v>30</x:v>
      </x:c>
      <x:c r="AP36" s="8" t="s">
        <x:v>6159</x:v>
      </x:c>
      <x:c r="AQ36" s="8" t="s">
        <x:v>30</x:v>
      </x:c>
      <x:c r="AR36" s="8" t="s">
        <x:v>30</x:v>
      </x:c>
      <x:c r="AS36" s="8" t="s">
        <x:v>30</x:v>
      </x:c>
      <x:c r="AT36" s="8" t="s">
        <x:v>30</x:v>
      </x:c>
      <x:c r="AU36" s="8" t="s">
        <x:v>30</x:v>
      </x:c>
    </x:row>
    <x:row r="37" ht="54.75" hidden="0" customHeight="1">
      <x:c r="A37" s="8" t="s">
        <x:v>5559</x:v>
      </x:c>
      <x:c r="B37" s="8" t="s">
        <x:v>6157</x:v>
      </x:c>
      <x:c r="C37" s="8" t="s">
        <x:v>30</x:v>
      </x:c>
      <x:c r="D37" s="8" t="s">
        <x:v>30</x:v>
      </x:c>
      <x:c r="E37" s="8" t="s">
        <x:v>30</x:v>
      </x:c>
      <x:c r="F37" s="8" t="s">
        <x:v>30</x:v>
      </x:c>
      <x:c r="G37" s="8" t="s">
        <x:v>30</x:v>
      </x:c>
      <x:c r="H37" s="8" t="s">
        <x:v>30</x:v>
      </x:c>
      <x:c r="I37" s="8" t="s">
        <x:v>30</x:v>
      </x:c>
      <x:c r="J37" s="8" t="s">
        <x:v>30</x:v>
      </x:c>
      <x:c r="K37" s="8" t="s">
        <x:v>30</x:v>
      </x:c>
      <x:c r="L37" s="8" t="s">
        <x:v>30</x:v>
      </x:c>
      <x:c r="M37" s="8" t="s">
        <x:v>30</x:v>
      </x:c>
      <x:c r="N37" s="8" t="s">
        <x:v>30</x:v>
      </x:c>
      <x:c r="O37" s="8" t="s">
        <x:v>30</x:v>
      </x:c>
      <x:c r="P37" s="8" t="s">
        <x:v>30</x:v>
      </x:c>
      <x:c r="Q37" s="8" t="s">
        <x:v>30</x:v>
      </x:c>
      <x:c r="R37" s="8" t="s">
        <x:v>30</x:v>
      </x:c>
      <x:c r="S37" s="8" t="s">
        <x:v>30</x:v>
      </x:c>
      <x:c r="T37" s="8" t="s">
        <x:v>30</x:v>
      </x:c>
      <x:c r="U37" s="8" t="s">
        <x:v>30</x:v>
      </x:c>
      <x:c r="V37" s="8" t="s">
        <x:v>30</x:v>
      </x:c>
      <x:c r="W37" s="8" t="s">
        <x:v>30</x:v>
      </x:c>
      <x:c r="X37" s="8" t="s">
        <x:v>30</x:v>
      </x:c>
      <x:c r="Y37" s="8" t="s">
        <x:v>30</x:v>
      </x:c>
      <x:c r="Z37" s="8" t="s">
        <x:v>30</x:v>
      </x:c>
      <x:c r="AA37" s="8" t="s">
        <x:v>30</x:v>
      </x:c>
      <x:c r="AB37" s="8" t="s">
        <x:v>30</x:v>
      </x:c>
      <x:c r="AC37" s="8" t="s">
        <x:v>30</x:v>
      </x:c>
      <x:c r="AD37" s="8" t="s">
        <x:v>30</x:v>
      </x:c>
      <x:c r="AE37" s="8" t="s">
        <x:v>30</x:v>
      </x:c>
      <x:c r="AF37" s="8" t="s">
        <x:v>30</x:v>
      </x:c>
      <x:c r="AG37" s="8" t="s">
        <x:v>30</x:v>
      </x:c>
      <x:c r="AH37" s="8" t="s">
        <x:v>30</x:v>
      </x:c>
      <x:c r="AI37" s="8" t="s">
        <x:v>30</x:v>
      </x:c>
      <x:c r="AJ37" s="8" t="s">
        <x:v>30</x:v>
      </x:c>
      <x:c r="AK37" s="8" t="s">
        <x:v>30</x:v>
      </x:c>
      <x:c r="AL37" s="8" t="s">
        <x:v>30</x:v>
      </x:c>
      <x:c r="AM37" s="8" t="s">
        <x:v>30</x:v>
      </x:c>
      <x:c r="AN37" s="8" t="s">
        <x:v>30</x:v>
      </x:c>
      <x:c r="AO37" s="8" t="s">
        <x:v>30</x:v>
      </x:c>
      <x:c r="AP37" s="8" t="s">
        <x:v>30</x:v>
      </x:c>
      <x:c r="AQ37" s="8" t="s">
        <x:v>30</x:v>
      </x:c>
      <x:c r="AR37" s="8" t="s">
        <x:v>30</x:v>
      </x:c>
      <x:c r="AS37" s="8" t="s">
        <x:v>30</x:v>
      </x:c>
      <x:c r="AT37" s="8" t="s">
        <x:v>30</x:v>
      </x:c>
      <x:c r="AU37" s="8" t="s">
        <x:v>30</x:v>
      </x:c>
    </x:row>
    <x:row r="38" ht="54.75" hidden="0" customHeight="1">
      <x:c r="A38" s="8" t="s">
        <x:v>5134</x:v>
      </x:c>
      <x:c r="B38" s="8" t="s">
        <x:v>6158</x:v>
      </x:c>
      <x:c r="C38" s="8" t="s">
        <x:v>30</x:v>
      </x:c>
      <x:c r="D38" s="8" t="s">
        <x:v>30</x:v>
      </x:c>
      <x:c r="E38" s="8" t="s">
        <x:v>30</x:v>
      </x:c>
      <x:c r="F38" s="8" t="s">
        <x:v>30</x:v>
      </x:c>
      <x:c r="G38" s="8" t="s">
        <x:v>30</x:v>
      </x:c>
      <x:c r="H38" s="8" t="s">
        <x:v>6159</x:v>
      </x:c>
      <x:c r="I38" s="8" t="s">
        <x:v>30</x:v>
      </x:c>
      <x:c r="J38" s="8" t="s">
        <x:v>30</x:v>
      </x:c>
      <x:c r="K38" s="8" t="s">
        <x:v>30</x:v>
      </x:c>
      <x:c r="L38" s="8" t="s">
        <x:v>30</x:v>
      </x:c>
      <x:c r="M38" s="8" t="s">
        <x:v>30</x:v>
      </x:c>
      <x:c r="N38" s="8" t="s">
        <x:v>30</x:v>
      </x:c>
      <x:c r="O38" s="8" t="s">
        <x:v>30</x:v>
      </x:c>
      <x:c r="P38" s="8" t="s">
        <x:v>30</x:v>
      </x:c>
      <x:c r="Q38" s="8" t="s">
        <x:v>30</x:v>
      </x:c>
      <x:c r="R38" s="8" t="s">
        <x:v>30</x:v>
      </x:c>
      <x:c r="S38" s="8" t="s">
        <x:v>30</x:v>
      </x:c>
      <x:c r="T38" s="8" t="s">
        <x:v>30</x:v>
      </x:c>
      <x:c r="U38" s="8" t="s">
        <x:v>30</x:v>
      </x:c>
      <x:c r="V38" s="8" t="s">
        <x:v>30</x:v>
      </x:c>
      <x:c r="W38" s="8" t="s">
        <x:v>30</x:v>
      </x:c>
      <x:c r="X38" s="8" t="s">
        <x:v>30</x:v>
      </x:c>
      <x:c r="Y38" s="8" t="s">
        <x:v>30</x:v>
      </x:c>
      <x:c r="Z38" s="8" t="s">
        <x:v>30</x:v>
      </x:c>
      <x:c r="AA38" s="8" t="s">
        <x:v>30</x:v>
      </x:c>
      <x:c r="AB38" s="8" t="s">
        <x:v>30</x:v>
      </x:c>
      <x:c r="AC38" s="8" t="s">
        <x:v>30</x:v>
      </x:c>
      <x:c r="AD38" s="8" t="s">
        <x:v>30</x:v>
      </x:c>
      <x:c r="AE38" s="8" t="s">
        <x:v>30</x:v>
      </x:c>
      <x:c r="AF38" s="8" t="s">
        <x:v>30</x:v>
      </x:c>
      <x:c r="AG38" s="8" t="s">
        <x:v>30</x:v>
      </x:c>
      <x:c r="AH38" s="8" t="s">
        <x:v>30</x:v>
      </x:c>
      <x:c r="AI38" s="8" t="s">
        <x:v>30</x:v>
      </x:c>
      <x:c r="AJ38" s="8" t="s">
        <x:v>30</x:v>
      </x:c>
      <x:c r="AK38" s="8" t="s">
        <x:v>30</x:v>
      </x:c>
      <x:c r="AL38" s="8" t="s">
        <x:v>30</x:v>
      </x:c>
      <x:c r="AM38" s="8" t="s">
        <x:v>30</x:v>
      </x:c>
      <x:c r="AN38" s="8" t="s">
        <x:v>30</x:v>
      </x:c>
      <x:c r="AO38" s="8" t="s">
        <x:v>6159</x:v>
      </x:c>
      <x:c r="AP38" s="8" t="s">
        <x:v>30</x:v>
      </x:c>
      <x:c r="AQ38" s="8" t="s">
        <x:v>30</x:v>
      </x:c>
      <x:c r="AR38" s="8" t="s">
        <x:v>30</x:v>
      </x:c>
      <x:c r="AS38" s="8" t="s">
        <x:v>30</x:v>
      </x:c>
      <x:c r="AT38" s="8" t="s">
        <x:v>30</x:v>
      </x:c>
      <x:c r="AU38" s="8" t="s">
        <x:v>30</x:v>
      </x:c>
    </x:row>
    <x:row r="39" ht="54.75" hidden="0" customHeight="1">
      <x:c r="A39" s="8" t="s">
        <x:v>5160</x:v>
      </x:c>
      <x:c r="B39" s="8" t="s">
        <x:v>6158</x:v>
      </x:c>
      <x:c r="C39" s="8" t="s">
        <x:v>6159</x:v>
      </x:c>
      <x:c r="D39" s="8" t="s">
        <x:v>30</x:v>
      </x:c>
      <x:c r="E39" s="8" t="s">
        <x:v>30</x:v>
      </x:c>
      <x:c r="F39" s="8" t="s">
        <x:v>30</x:v>
      </x:c>
      <x:c r="G39" s="8" t="s">
        <x:v>30</x:v>
      </x:c>
      <x:c r="H39" s="8" t="s">
        <x:v>6159</x:v>
      </x:c>
      <x:c r="I39" s="8" t="s">
        <x:v>30</x:v>
      </x:c>
      <x:c r="J39" s="8" t="s">
        <x:v>30</x:v>
      </x:c>
      <x:c r="K39" s="8" t="s">
        <x:v>30</x:v>
      </x:c>
      <x:c r="L39" s="8" t="s">
        <x:v>30</x:v>
      </x:c>
      <x:c r="M39" s="8" t="s">
        <x:v>30</x:v>
      </x:c>
      <x:c r="N39" s="8" t="s">
        <x:v>30</x:v>
      </x:c>
      <x:c r="O39" s="8" t="s">
        <x:v>30</x:v>
      </x:c>
      <x:c r="P39" s="8" t="s">
        <x:v>30</x:v>
      </x:c>
      <x:c r="Q39" s="8" t="s">
        <x:v>30</x:v>
      </x:c>
      <x:c r="R39" s="8" t="s">
        <x:v>30</x:v>
      </x:c>
      <x:c r="S39" s="8" t="s">
        <x:v>30</x:v>
      </x:c>
      <x:c r="T39" s="8" t="s">
        <x:v>30</x:v>
      </x:c>
      <x:c r="U39" s="8" t="s">
        <x:v>30</x:v>
      </x:c>
      <x:c r="V39" s="8" t="s">
        <x:v>30</x:v>
      </x:c>
      <x:c r="W39" s="8" t="s">
        <x:v>30</x:v>
      </x:c>
      <x:c r="X39" s="8" t="s">
        <x:v>30</x:v>
      </x:c>
      <x:c r="Y39" s="8" t="s">
        <x:v>30</x:v>
      </x:c>
      <x:c r="Z39" s="8" t="s">
        <x:v>30</x:v>
      </x:c>
      <x:c r="AA39" s="8" t="s">
        <x:v>30</x:v>
      </x:c>
      <x:c r="AB39" s="8" t="s">
        <x:v>30</x:v>
      </x:c>
      <x:c r="AC39" s="8" t="s">
        <x:v>30</x:v>
      </x:c>
      <x:c r="AD39" s="8" t="s">
        <x:v>30</x:v>
      </x:c>
      <x:c r="AE39" s="8" t="s">
        <x:v>30</x:v>
      </x:c>
      <x:c r="AF39" s="8" t="s">
        <x:v>30</x:v>
      </x:c>
      <x:c r="AG39" s="8" t="s">
        <x:v>30</x:v>
      </x:c>
      <x:c r="AH39" s="8" t="s">
        <x:v>30</x:v>
      </x:c>
      <x:c r="AI39" s="8" t="s">
        <x:v>30</x:v>
      </x:c>
      <x:c r="AJ39" s="8" t="s">
        <x:v>30</x:v>
      </x:c>
      <x:c r="AK39" s="8" t="s">
        <x:v>30</x:v>
      </x:c>
      <x:c r="AL39" s="8" t="s">
        <x:v>30</x:v>
      </x:c>
      <x:c r="AM39" s="8" t="s">
        <x:v>30</x:v>
      </x:c>
      <x:c r="AN39" s="8" t="s">
        <x:v>30</x:v>
      </x:c>
      <x:c r="AO39" s="8" t="s">
        <x:v>30</x:v>
      </x:c>
      <x:c r="AP39" s="8" t="s">
        <x:v>6159</x:v>
      </x:c>
      <x:c r="AQ39" s="8" t="s">
        <x:v>30</x:v>
      </x:c>
      <x:c r="AR39" s="8" t="s">
        <x:v>30</x:v>
      </x:c>
      <x:c r="AS39" s="8" t="s">
        <x:v>30</x:v>
      </x:c>
      <x:c r="AT39" s="8" t="s">
        <x:v>30</x:v>
      </x:c>
      <x:c r="AU39" s="8" t="s">
        <x:v>30</x:v>
      </x:c>
    </x:row>
    <x:row r="40" ht="54.75" hidden="0" customHeight="1">
      <x:c r="A40" s="8" t="s">
        <x:v>3191</x:v>
      </x:c>
      <x:c r="B40" s="8" t="s">
        <x:v>6157</x:v>
      </x:c>
      <x:c r="C40" s="8" t="s">
        <x:v>30</x:v>
      </x:c>
      <x:c r="D40" s="8" t="s">
        <x:v>6159</x:v>
      </x:c>
      <x:c r="E40" s="8" t="s">
        <x:v>30</x:v>
      </x:c>
      <x:c r="F40" s="8" t="s">
        <x:v>30</x:v>
      </x:c>
      <x:c r="G40" s="8" t="s">
        <x:v>6159</x:v>
      </x:c>
      <x:c r="H40" s="8" t="s">
        <x:v>30</x:v>
      </x:c>
      <x:c r="I40" s="8" t="s">
        <x:v>30</x:v>
      </x:c>
      <x:c r="J40" s="8" t="s">
        <x:v>30</x:v>
      </x:c>
      <x:c r="K40" s="8" t="s">
        <x:v>30</x:v>
      </x:c>
      <x:c r="L40" s="8" t="s">
        <x:v>30</x:v>
      </x:c>
      <x:c r="M40" s="8" t="s">
        <x:v>30</x:v>
      </x:c>
      <x:c r="N40" s="8" t="s">
        <x:v>30</x:v>
      </x:c>
      <x:c r="O40" s="8" t="s">
        <x:v>30</x:v>
      </x:c>
      <x:c r="P40" s="8" t="s">
        <x:v>30</x:v>
      </x:c>
      <x:c r="Q40" s="8" t="s">
        <x:v>30</x:v>
      </x:c>
      <x:c r="R40" s="8" t="s">
        <x:v>30</x:v>
      </x:c>
      <x:c r="S40" s="8" t="s">
        <x:v>30</x:v>
      </x:c>
      <x:c r="T40" s="8" t="s">
        <x:v>30</x:v>
      </x:c>
      <x:c r="U40" s="8" t="s">
        <x:v>30</x:v>
      </x:c>
      <x:c r="V40" s="8" t="s">
        <x:v>30</x:v>
      </x:c>
      <x:c r="W40" s="8" t="s">
        <x:v>30</x:v>
      </x:c>
      <x:c r="X40" s="8" t="s">
        <x:v>30</x:v>
      </x:c>
      <x:c r="Y40" s="8" t="s">
        <x:v>30</x:v>
      </x:c>
      <x:c r="Z40" s="8" t="s">
        <x:v>30</x:v>
      </x:c>
      <x:c r="AA40" s="8" t="s">
        <x:v>30</x:v>
      </x:c>
      <x:c r="AB40" s="8" t="s">
        <x:v>30</x:v>
      </x:c>
      <x:c r="AC40" s="8" t="s">
        <x:v>30</x:v>
      </x:c>
      <x:c r="AD40" s="8" t="s">
        <x:v>30</x:v>
      </x:c>
      <x:c r="AE40" s="8" t="s">
        <x:v>30</x:v>
      </x:c>
      <x:c r="AF40" s="8" t="s">
        <x:v>30</x:v>
      </x:c>
      <x:c r="AG40" s="8" t="s">
        <x:v>30</x:v>
      </x:c>
      <x:c r="AH40" s="8" t="s">
        <x:v>30</x:v>
      </x:c>
      <x:c r="AI40" s="8" t="s">
        <x:v>30</x:v>
      </x:c>
      <x:c r="AJ40" s="8" t="s">
        <x:v>30</x:v>
      </x:c>
      <x:c r="AK40" s="8" t="s">
        <x:v>30</x:v>
      </x:c>
      <x:c r="AL40" s="8" t="s">
        <x:v>30</x:v>
      </x:c>
      <x:c r="AM40" s="8" t="s">
        <x:v>30</x:v>
      </x:c>
      <x:c r="AN40" s="8" t="s">
        <x:v>30</x:v>
      </x:c>
      <x:c r="AO40" s="8" t="s">
        <x:v>30</x:v>
      </x:c>
      <x:c r="AP40" s="8" t="s">
        <x:v>30</x:v>
      </x:c>
      <x:c r="AQ40" s="8" t="s">
        <x:v>30</x:v>
      </x:c>
      <x:c r="AR40" s="8" t="s">
        <x:v>30</x:v>
      </x:c>
      <x:c r="AS40" s="8" t="s">
        <x:v>30</x:v>
      </x:c>
      <x:c r="AT40" s="8" t="s">
        <x:v>30</x:v>
      </x:c>
      <x:c r="AU40" s="8" t="s">
        <x:v>30</x:v>
      </x:c>
    </x:row>
    <x:row r="41" ht="54.75" hidden="0" customHeight="1">
      <x:c r="A41" s="8" t="s">
        <x:v>3207</x:v>
      </x:c>
      <x:c r="B41" s="8" t="s">
        <x:v>6157</x:v>
      </x:c>
      <x:c r="C41" s="8" t="s">
        <x:v>30</x:v>
      </x:c>
      <x:c r="D41" s="8" t="s">
        <x:v>6159</x:v>
      </x:c>
      <x:c r="E41" s="8" t="s">
        <x:v>30</x:v>
      </x:c>
      <x:c r="F41" s="8" t="s">
        <x:v>6159</x:v>
      </x:c>
      <x:c r="G41" s="8" t="s">
        <x:v>6159</x:v>
      </x:c>
      <x:c r="H41" s="8" t="s">
        <x:v>6159</x:v>
      </x:c>
      <x:c r="I41" s="8" t="s">
        <x:v>30</x:v>
      </x:c>
      <x:c r="J41" s="8" t="s">
        <x:v>30</x:v>
      </x:c>
      <x:c r="K41" s="8" t="s">
        <x:v>30</x:v>
      </x:c>
      <x:c r="L41" s="8" t="s">
        <x:v>30</x:v>
      </x:c>
      <x:c r="M41" s="8" t="s">
        <x:v>30</x:v>
      </x:c>
      <x:c r="N41" s="8" t="s">
        <x:v>30</x:v>
      </x:c>
      <x:c r="O41" s="8" t="s">
        <x:v>30</x:v>
      </x:c>
      <x:c r="P41" s="8" t="s">
        <x:v>30</x:v>
      </x:c>
      <x:c r="Q41" s="8" t="s">
        <x:v>30</x:v>
      </x:c>
      <x:c r="R41" s="8" t="s">
        <x:v>30</x:v>
      </x:c>
      <x:c r="S41" s="8" t="s">
        <x:v>30</x:v>
      </x:c>
      <x:c r="T41" s="8" t="s">
        <x:v>30</x:v>
      </x:c>
      <x:c r="U41" s="8" t="s">
        <x:v>30</x:v>
      </x:c>
      <x:c r="V41" s="8" t="s">
        <x:v>30</x:v>
      </x:c>
      <x:c r="W41" s="8" t="s">
        <x:v>30</x:v>
      </x:c>
      <x:c r="X41" s="8" t="s">
        <x:v>30</x:v>
      </x:c>
      <x:c r="Y41" s="8" t="s">
        <x:v>30</x:v>
      </x:c>
      <x:c r="Z41" s="8" t="s">
        <x:v>30</x:v>
      </x:c>
      <x:c r="AA41" s="8" t="s">
        <x:v>30</x:v>
      </x:c>
      <x:c r="AB41" s="8" t="s">
        <x:v>30</x:v>
      </x:c>
      <x:c r="AC41" s="8" t="s">
        <x:v>30</x:v>
      </x:c>
      <x:c r="AD41" s="8" t="s">
        <x:v>30</x:v>
      </x:c>
      <x:c r="AE41" s="8" t="s">
        <x:v>30</x:v>
      </x:c>
      <x:c r="AF41" s="8" t="s">
        <x:v>30</x:v>
      </x:c>
      <x:c r="AG41" s="8" t="s">
        <x:v>30</x:v>
      </x:c>
      <x:c r="AH41" s="8" t="s">
        <x:v>30</x:v>
      </x:c>
      <x:c r="AI41" s="8" t="s">
        <x:v>30</x:v>
      </x:c>
      <x:c r="AJ41" s="8" t="s">
        <x:v>30</x:v>
      </x:c>
      <x:c r="AK41" s="8" t="s">
        <x:v>30</x:v>
      </x:c>
      <x:c r="AL41" s="8" t="s">
        <x:v>6159</x:v>
      </x:c>
      <x:c r="AM41" s="8" t="s">
        <x:v>30</x:v>
      </x:c>
      <x:c r="AN41" s="8" t="s">
        <x:v>30</x:v>
      </x:c>
      <x:c r="AO41" s="8" t="s">
        <x:v>30</x:v>
      </x:c>
      <x:c r="AP41" s="8" t="s">
        <x:v>6159</x:v>
      </x:c>
      <x:c r="AQ41" s="8" t="s">
        <x:v>30</x:v>
      </x:c>
      <x:c r="AR41" s="8" t="s">
        <x:v>30</x:v>
      </x:c>
      <x:c r="AS41" s="8" t="s">
        <x:v>30</x:v>
      </x:c>
      <x:c r="AT41" s="8" t="s">
        <x:v>30</x:v>
      </x:c>
      <x:c r="AU41" s="8" t="s">
        <x:v>30</x:v>
      </x:c>
    </x:row>
    <x:row r="42" ht="54.75" hidden="0" customHeight="1">
      <x:c r="A42" s="8" t="s">
        <x:v>4585</x:v>
      </x:c>
      <x:c r="B42" s="8" t="s">
        <x:v>6158</x:v>
      </x:c>
      <x:c r="C42" s="8" t="s">
        <x:v>6159</x:v>
      </x:c>
      <x:c r="D42" s="8" t="s">
        <x:v>6159</x:v>
      </x:c>
      <x:c r="E42" s="8" t="s">
        <x:v>30</x:v>
      </x:c>
      <x:c r="F42" s="8" t="s">
        <x:v>30</x:v>
      </x:c>
      <x:c r="G42" s="8" t="s">
        <x:v>30</x:v>
      </x:c>
      <x:c r="H42" s="8" t="s">
        <x:v>6159</x:v>
      </x:c>
      <x:c r="I42" s="8" t="s">
        <x:v>30</x:v>
      </x:c>
      <x:c r="J42" s="8" t="s">
        <x:v>30</x:v>
      </x:c>
      <x:c r="K42" s="8" t="s">
        <x:v>30</x:v>
      </x:c>
      <x:c r="L42" s="8" t="s">
        <x:v>30</x:v>
      </x:c>
      <x:c r="M42" s="8" t="s">
        <x:v>30</x:v>
      </x:c>
      <x:c r="N42" s="8" t="s">
        <x:v>30</x:v>
      </x:c>
      <x:c r="O42" s="8" t="s">
        <x:v>30</x:v>
      </x:c>
      <x:c r="P42" s="8" t="s">
        <x:v>30</x:v>
      </x:c>
      <x:c r="Q42" s="8" t="s">
        <x:v>30</x:v>
      </x:c>
      <x:c r="R42" s="8" t="s">
        <x:v>30</x:v>
      </x:c>
      <x:c r="S42" s="8" t="s">
        <x:v>30</x:v>
      </x:c>
      <x:c r="T42" s="8" t="s">
        <x:v>30</x:v>
      </x:c>
      <x:c r="U42" s="8" t="s">
        <x:v>30</x:v>
      </x:c>
      <x:c r="V42" s="8" t="s">
        <x:v>30</x:v>
      </x:c>
      <x:c r="W42" s="8" t="s">
        <x:v>30</x:v>
      </x:c>
      <x:c r="X42" s="8" t="s">
        <x:v>30</x:v>
      </x:c>
      <x:c r="Y42" s="8" t="s">
        <x:v>30</x:v>
      </x:c>
      <x:c r="Z42" s="8" t="s">
        <x:v>30</x:v>
      </x:c>
      <x:c r="AA42" s="8" t="s">
        <x:v>30</x:v>
      </x:c>
      <x:c r="AB42" s="8" t="s">
        <x:v>30</x:v>
      </x:c>
      <x:c r="AC42" s="8" t="s">
        <x:v>30</x:v>
      </x:c>
      <x:c r="AD42" s="8" t="s">
        <x:v>30</x:v>
      </x:c>
      <x:c r="AE42" s="8" t="s">
        <x:v>30</x:v>
      </x:c>
      <x:c r="AF42" s="8" t="s">
        <x:v>30</x:v>
      </x:c>
      <x:c r="AG42" s="8" t="s">
        <x:v>30</x:v>
      </x:c>
      <x:c r="AH42" s="8" t="s">
        <x:v>30</x:v>
      </x:c>
      <x:c r="AI42" s="8" t="s">
        <x:v>30</x:v>
      </x:c>
      <x:c r="AJ42" s="8" t="s">
        <x:v>30</x:v>
      </x:c>
      <x:c r="AK42" s="8" t="s">
        <x:v>30</x:v>
      </x:c>
      <x:c r="AL42" s="8" t="s">
        <x:v>6159</x:v>
      </x:c>
      <x:c r="AM42" s="8" t="s">
        <x:v>30</x:v>
      </x:c>
      <x:c r="AN42" s="8" t="s">
        <x:v>30</x:v>
      </x:c>
      <x:c r="AO42" s="8" t="s">
        <x:v>6159</x:v>
      </x:c>
      <x:c r="AP42" s="8" t="s">
        <x:v>30</x:v>
      </x:c>
      <x:c r="AQ42" s="8" t="s">
        <x:v>30</x:v>
      </x:c>
      <x:c r="AR42" s="8" t="s">
        <x:v>30</x:v>
      </x:c>
      <x:c r="AS42" s="8" t="s">
        <x:v>6159</x:v>
      </x:c>
      <x:c r="AT42" s="8" t="s">
        <x:v>6159</x:v>
      </x:c>
      <x:c r="AU42" s="8" t="s">
        <x:v>30</x:v>
      </x:c>
    </x:row>
    <x:row r="43" ht="54.75" hidden="0" customHeight="1">
      <x:c r="A43" s="8" t="s">
        <x:v>1980</x:v>
      </x:c>
      <x:c r="B43" s="8" t="s">
        <x:v>6157</x:v>
      </x:c>
      <x:c r="C43" s="8" t="s">
        <x:v>30</x:v>
      </x:c>
      <x:c r="D43" s="8" t="s">
        <x:v>30</x:v>
      </x:c>
      <x:c r="E43" s="8" t="s">
        <x:v>30</x:v>
      </x:c>
      <x:c r="F43" s="8" t="s">
        <x:v>30</x:v>
      </x:c>
      <x:c r="G43" s="8" t="s">
        <x:v>30</x:v>
      </x:c>
      <x:c r="H43" s="8" t="s">
        <x:v>6159</x:v>
      </x:c>
      <x:c r="I43" s="8" t="s">
        <x:v>6159</x:v>
      </x:c>
      <x:c r="J43" s="8" t="s">
        <x:v>6159</x:v>
      </x:c>
      <x:c r="K43" s="8" t="s">
        <x:v>30</x:v>
      </x:c>
      <x:c r="L43" s="8" t="s">
        <x:v>30</x:v>
      </x:c>
      <x:c r="M43" s="8" t="s">
        <x:v>30</x:v>
      </x:c>
      <x:c r="N43" s="8" t="s">
        <x:v>30</x:v>
      </x:c>
      <x:c r="O43" s="8" t="s">
        <x:v>30</x:v>
      </x:c>
      <x:c r="P43" s="8" t="s">
        <x:v>30</x:v>
      </x:c>
      <x:c r="Q43" s="8" t="s">
        <x:v>6159</x:v>
      </x:c>
      <x:c r="R43" s="8" t="s">
        <x:v>6159</x:v>
      </x:c>
      <x:c r="S43" s="8" t="s">
        <x:v>6159</x:v>
      </x:c>
      <x:c r="T43" s="8" t="s">
        <x:v>6159</x:v>
      </x:c>
      <x:c r="U43" s="8" t="s">
        <x:v>6159</x:v>
      </x:c>
      <x:c r="V43" s="8" t="s">
        <x:v>6159</x:v>
      </x:c>
      <x:c r="W43" s="8" t="s">
        <x:v>6159</x:v>
      </x:c>
      <x:c r="X43" s="8" t="s">
        <x:v>6159</x:v>
      </x:c>
      <x:c r="Y43" s="8" t="s">
        <x:v>30</x:v>
      </x:c>
      <x:c r="Z43" s="8" t="s">
        <x:v>30</x:v>
      </x:c>
      <x:c r="AA43" s="8" t="s">
        <x:v>30</x:v>
      </x:c>
      <x:c r="AB43" s="8" t="s">
        <x:v>30</x:v>
      </x:c>
      <x:c r="AC43" s="8" t="s">
        <x:v>30</x:v>
      </x:c>
      <x:c r="AD43" s="8" t="s">
        <x:v>30</x:v>
      </x:c>
      <x:c r="AE43" s="8" t="s">
        <x:v>30</x:v>
      </x:c>
      <x:c r="AF43" s="8" t="s">
        <x:v>30</x:v>
      </x:c>
      <x:c r="AG43" s="8" t="s">
        <x:v>30</x:v>
      </x:c>
      <x:c r="AH43" s="8" t="s">
        <x:v>30</x:v>
      </x:c>
      <x:c r="AI43" s="8" t="s">
        <x:v>30</x:v>
      </x:c>
      <x:c r="AJ43" s="8" t="s">
        <x:v>30</x:v>
      </x:c>
      <x:c r="AK43" s="8" t="s">
        <x:v>30</x:v>
      </x:c>
      <x:c r="AL43" s="8" t="s">
        <x:v>6159</x:v>
      </x:c>
      <x:c r="AM43" s="8" t="s">
        <x:v>30</x:v>
      </x:c>
      <x:c r="AN43" s="8" t="s">
        <x:v>30</x:v>
      </x:c>
      <x:c r="AO43" s="8" t="s">
        <x:v>6159</x:v>
      </x:c>
      <x:c r="AP43" s="8" t="s">
        <x:v>30</x:v>
      </x:c>
      <x:c r="AQ43" s="8" t="s">
        <x:v>30</x:v>
      </x:c>
      <x:c r="AR43" s="8" t="s">
        <x:v>30</x:v>
      </x:c>
      <x:c r="AS43" s="8" t="s">
        <x:v>30</x:v>
      </x:c>
      <x:c r="AT43" s="8" t="s">
        <x:v>30</x:v>
      </x:c>
      <x:c r="AU43" s="8" t="s">
        <x:v>30</x:v>
      </x:c>
    </x:row>
    <x:row r="44" ht="54.75" hidden="0" customHeight="1">
      <x:c r="A44" s="8" t="s">
        <x:v>3535</x:v>
      </x:c>
      <x:c r="B44" s="8" t="s">
        <x:v>6157</x:v>
      </x:c>
      <x:c r="C44" s="8" t="s">
        <x:v>30</x:v>
      </x:c>
      <x:c r="D44" s="8" t="s">
        <x:v>6159</x:v>
      </x:c>
      <x:c r="E44" s="8" t="s">
        <x:v>6159</x:v>
      </x:c>
      <x:c r="F44" s="8" t="s">
        <x:v>6159</x:v>
      </x:c>
      <x:c r="G44" s="8" t="s">
        <x:v>6159</x:v>
      </x:c>
      <x:c r="H44" s="8" t="s">
        <x:v>6159</x:v>
      </x:c>
      <x:c r="I44" s="8" t="s">
        <x:v>30</x:v>
      </x:c>
      <x:c r="J44" s="8" t="s">
        <x:v>30</x:v>
      </x:c>
      <x:c r="K44" s="8" t="s">
        <x:v>30</x:v>
      </x:c>
      <x:c r="L44" s="8" t="s">
        <x:v>30</x:v>
      </x:c>
      <x:c r="M44" s="8" t="s">
        <x:v>30</x:v>
      </x:c>
      <x:c r="N44" s="8" t="s">
        <x:v>30</x:v>
      </x:c>
      <x:c r="O44" s="8" t="s">
        <x:v>30</x:v>
      </x:c>
      <x:c r="P44" s="8" t="s">
        <x:v>30</x:v>
      </x:c>
      <x:c r="Q44" s="8" t="s">
        <x:v>30</x:v>
      </x:c>
      <x:c r="R44" s="8" t="s">
        <x:v>30</x:v>
      </x:c>
      <x:c r="S44" s="8" t="s">
        <x:v>30</x:v>
      </x:c>
      <x:c r="T44" s="8" t="s">
        <x:v>30</x:v>
      </x:c>
      <x:c r="U44" s="8" t="s">
        <x:v>30</x:v>
      </x:c>
      <x:c r="V44" s="8" t="s">
        <x:v>6159</x:v>
      </x:c>
      <x:c r="W44" s="8" t="s">
        <x:v>30</x:v>
      </x:c>
      <x:c r="X44" s="8" t="s">
        <x:v>30</x:v>
      </x:c>
      <x:c r="Y44" s="8" t="s">
        <x:v>30</x:v>
      </x:c>
      <x:c r="Z44" s="8" t="s">
        <x:v>30</x:v>
      </x:c>
      <x:c r="AA44" s="8" t="s">
        <x:v>30</x:v>
      </x:c>
      <x:c r="AB44" s="8" t="s">
        <x:v>30</x:v>
      </x:c>
      <x:c r="AC44" s="8" t="s">
        <x:v>6159</x:v>
      </x:c>
      <x:c r="AD44" s="8" t="s">
        <x:v>30</x:v>
      </x:c>
      <x:c r="AE44" s="8" t="s">
        <x:v>30</x:v>
      </x:c>
      <x:c r="AF44" s="8" t="s">
        <x:v>30</x:v>
      </x:c>
      <x:c r="AG44" s="8" t="s">
        <x:v>6159</x:v>
      </x:c>
      <x:c r="AH44" s="8" t="s">
        <x:v>30</x:v>
      </x:c>
      <x:c r="AI44" s="8" t="s">
        <x:v>30</x:v>
      </x:c>
      <x:c r="AJ44" s="8" t="s">
        <x:v>30</x:v>
      </x:c>
      <x:c r="AK44" s="8" t="s">
        <x:v>30</x:v>
      </x:c>
      <x:c r="AL44" s="8" t="s">
        <x:v>6159</x:v>
      </x:c>
      <x:c r="AM44" s="8" t="s">
        <x:v>30</x:v>
      </x:c>
      <x:c r="AN44" s="8" t="s">
        <x:v>30</x:v>
      </x:c>
      <x:c r="AO44" s="8" t="s">
        <x:v>6159</x:v>
      </x:c>
      <x:c r="AP44" s="8" t="s">
        <x:v>6159</x:v>
      </x:c>
      <x:c r="AQ44" s="8" t="s">
        <x:v>30</x:v>
      </x:c>
      <x:c r="AR44" s="8" t="s">
        <x:v>6159</x:v>
      </x:c>
      <x:c r="AS44" s="8" t="s">
        <x:v>30</x:v>
      </x:c>
      <x:c r="AT44" s="8" t="s">
        <x:v>30</x:v>
      </x:c>
      <x:c r="AU44" s="8" t="s">
        <x:v>30</x:v>
      </x:c>
    </x:row>
    <x:row r="45" ht="54.75" hidden="0" customHeight="1">
      <x:c r="A45" s="8" t="s">
        <x:v>2227</x:v>
      </x:c>
      <x:c r="B45" s="8" t="s">
        <x:v>6157</x:v>
      </x:c>
      <x:c r="C45" s="8" t="s">
        <x:v>30</x:v>
      </x:c>
      <x:c r="D45" s="8" t="s">
        <x:v>6159</x:v>
      </x:c>
      <x:c r="E45" s="8" t="s">
        <x:v>30</x:v>
      </x:c>
      <x:c r="F45" s="8" t="s">
        <x:v>30</x:v>
      </x:c>
      <x:c r="G45" s="8" t="s">
        <x:v>30</x:v>
      </x:c>
      <x:c r="H45" s="8" t="s">
        <x:v>6159</x:v>
      </x:c>
      <x:c r="I45" s="8" t="s">
        <x:v>30</x:v>
      </x:c>
      <x:c r="J45" s="8" t="s">
        <x:v>30</x:v>
      </x:c>
      <x:c r="K45" s="8" t="s">
        <x:v>6159</x:v>
      </x:c>
      <x:c r="L45" s="8" t="s">
        <x:v>6159</x:v>
      </x:c>
      <x:c r="M45" s="8" t="s">
        <x:v>6159</x:v>
      </x:c>
      <x:c r="N45" s="8" t="s">
        <x:v>30</x:v>
      </x:c>
      <x:c r="O45" s="8" t="s">
        <x:v>6159</x:v>
      </x:c>
      <x:c r="P45" s="8" t="s">
        <x:v>30</x:v>
      </x:c>
      <x:c r="Q45" s="8" t="s">
        <x:v>30</x:v>
      </x:c>
      <x:c r="R45" s="8" t="s">
        <x:v>6159</x:v>
      </x:c>
      <x:c r="S45" s="8" t="s">
        <x:v>6159</x:v>
      </x:c>
      <x:c r="T45" s="8" t="s">
        <x:v>30</x:v>
      </x:c>
      <x:c r="U45" s="8" t="s">
        <x:v>6159</x:v>
      </x:c>
      <x:c r="V45" s="8" t="s">
        <x:v>6159</x:v>
      </x:c>
      <x:c r="W45" s="8" t="s">
        <x:v>30</x:v>
      </x:c>
      <x:c r="X45" s="8" t="s">
        <x:v>30</x:v>
      </x:c>
      <x:c r="Y45" s="8" t="s">
        <x:v>6159</x:v>
      </x:c>
      <x:c r="Z45" s="8" t="s">
        <x:v>30</x:v>
      </x:c>
      <x:c r="AA45" s="8" t="s">
        <x:v>30</x:v>
      </x:c>
      <x:c r="AB45" s="8" t="s">
        <x:v>6159</x:v>
      </x:c>
      <x:c r="AC45" s="8" t="s">
        <x:v>30</x:v>
      </x:c>
      <x:c r="AD45" s="8" t="s">
        <x:v>30</x:v>
      </x:c>
      <x:c r="AE45" s="8" t="s">
        <x:v>30</x:v>
      </x:c>
      <x:c r="AF45" s="8" t="s">
        <x:v>30</x:v>
      </x:c>
      <x:c r="AG45" s="8" t="s">
        <x:v>30</x:v>
      </x:c>
      <x:c r="AH45" s="8" t="s">
        <x:v>30</x:v>
      </x:c>
      <x:c r="AI45" s="8" t="s">
        <x:v>30</x:v>
      </x:c>
      <x:c r="AJ45" s="8" t="s">
        <x:v>30</x:v>
      </x:c>
      <x:c r="AK45" s="8" t="s">
        <x:v>30</x:v>
      </x:c>
      <x:c r="AL45" s="8" t="s">
        <x:v>30</x:v>
      </x:c>
      <x:c r="AM45" s="8" t="s">
        <x:v>6159</x:v>
      </x:c>
      <x:c r="AN45" s="8" t="s">
        <x:v>30</x:v>
      </x:c>
      <x:c r="AO45" s="8" t="s">
        <x:v>6159</x:v>
      </x:c>
      <x:c r="AP45" s="8" t="s">
        <x:v>30</x:v>
      </x:c>
      <x:c r="AQ45" s="8" t="s">
        <x:v>30</x:v>
      </x:c>
      <x:c r="AR45" s="8" t="s">
        <x:v>30</x:v>
      </x:c>
      <x:c r="AS45" s="8" t="s">
        <x:v>30</x:v>
      </x:c>
      <x:c r="AT45" s="8" t="s">
        <x:v>30</x:v>
      </x:c>
      <x:c r="AU45" s="8" t="s">
        <x:v>30</x:v>
      </x:c>
    </x:row>
    <x:row r="46" ht="54.75" hidden="0" customHeight="1">
      <x:c r="A46" s="8" t="s">
        <x:v>2268</x:v>
      </x:c>
      <x:c r="B46" s="8" t="s">
        <x:v>6157</x:v>
      </x:c>
      <x:c r="C46" s="8" t="s">
        <x:v>30</x:v>
      </x:c>
      <x:c r="D46" s="8" t="s">
        <x:v>6159</x:v>
      </x:c>
      <x:c r="E46" s="8" t="s">
        <x:v>6159</x:v>
      </x:c>
      <x:c r="F46" s="8" t="s">
        <x:v>6159</x:v>
      </x:c>
      <x:c r="G46" s="8" t="s">
        <x:v>6159</x:v>
      </x:c>
      <x:c r="H46" s="8" t="s">
        <x:v>6159</x:v>
      </x:c>
      <x:c r="I46" s="8" t="s">
        <x:v>30</x:v>
      </x:c>
      <x:c r="J46" s="8" t="s">
        <x:v>6159</x:v>
      </x:c>
      <x:c r="K46" s="8" t="s">
        <x:v>30</x:v>
      </x:c>
      <x:c r="L46" s="8" t="s">
        <x:v>30</x:v>
      </x:c>
      <x:c r="M46" s="8" t="s">
        <x:v>30</x:v>
      </x:c>
      <x:c r="N46" s="8" t="s">
        <x:v>30</x:v>
      </x:c>
      <x:c r="O46" s="8" t="s">
        <x:v>30</x:v>
      </x:c>
      <x:c r="P46" s="8" t="s">
        <x:v>30</x:v>
      </x:c>
      <x:c r="Q46" s="8" t="s">
        <x:v>30</x:v>
      </x:c>
      <x:c r="R46" s="8" t="s">
        <x:v>6159</x:v>
      </x:c>
      <x:c r="S46" s="8" t="s">
        <x:v>30</x:v>
      </x:c>
      <x:c r="T46" s="8" t="s">
        <x:v>6159</x:v>
      </x:c>
      <x:c r="U46" s="8" t="s">
        <x:v>30</x:v>
      </x:c>
      <x:c r="V46" s="8" t="s">
        <x:v>30</x:v>
      </x:c>
      <x:c r="W46" s="8" t="s">
        <x:v>30</x:v>
      </x:c>
      <x:c r="X46" s="8" t="s">
        <x:v>30</x:v>
      </x:c>
      <x:c r="Y46" s="8" t="s">
        <x:v>6159</x:v>
      </x:c>
      <x:c r="Z46" s="8" t="s">
        <x:v>30</x:v>
      </x:c>
      <x:c r="AA46" s="8" t="s">
        <x:v>30</x:v>
      </x:c>
      <x:c r="AB46" s="8" t="s">
        <x:v>30</x:v>
      </x:c>
      <x:c r="AC46" s="8" t="s">
        <x:v>30</x:v>
      </x:c>
      <x:c r="AD46" s="8" t="s">
        <x:v>30</x:v>
      </x:c>
      <x:c r="AE46" s="8" t="s">
        <x:v>30</x:v>
      </x:c>
      <x:c r="AF46" s="8" t="s">
        <x:v>30</x:v>
      </x:c>
      <x:c r="AG46" s="8" t="s">
        <x:v>30</x:v>
      </x:c>
      <x:c r="AH46" s="8" t="s">
        <x:v>30</x:v>
      </x:c>
      <x:c r="AI46" s="8" t="s">
        <x:v>30</x:v>
      </x:c>
      <x:c r="AJ46" s="8" t="s">
        <x:v>30</x:v>
      </x:c>
      <x:c r="AK46" s="8" t="s">
        <x:v>30</x:v>
      </x:c>
      <x:c r="AL46" s="8" t="s">
        <x:v>30</x:v>
      </x:c>
      <x:c r="AM46" s="8" t="s">
        <x:v>30</x:v>
      </x:c>
      <x:c r="AN46" s="8" t="s">
        <x:v>30</x:v>
      </x:c>
      <x:c r="AO46" s="8" t="s">
        <x:v>6159</x:v>
      </x:c>
      <x:c r="AP46" s="8" t="s">
        <x:v>30</x:v>
      </x:c>
      <x:c r="AQ46" s="8" t="s">
        <x:v>30</x:v>
      </x:c>
      <x:c r="AR46" s="8" t="s">
        <x:v>30</x:v>
      </x:c>
      <x:c r="AS46" s="8" t="s">
        <x:v>30</x:v>
      </x:c>
      <x:c r="AT46" s="8" t="s">
        <x:v>30</x:v>
      </x:c>
      <x:c r="AU46" s="8" t="s">
        <x:v>30</x:v>
      </x:c>
    </x:row>
    <x:row r="47" ht="54.75" hidden="0" customHeight="1">
      <x:c r="A47" s="8" t="s">
        <x:v>3142</x:v>
      </x:c>
      <x:c r="B47" s="8" t="s">
        <x:v>6157</x:v>
      </x:c>
      <x:c r="C47" s="8" t="s">
        <x:v>30</x:v>
      </x:c>
      <x:c r="D47" s="8" t="s">
        <x:v>6159</x:v>
      </x:c>
      <x:c r="E47" s="8" t="s">
        <x:v>6159</x:v>
      </x:c>
      <x:c r="F47" s="8" t="s">
        <x:v>30</x:v>
      </x:c>
      <x:c r="G47" s="8" t="s">
        <x:v>6159</x:v>
      </x:c>
      <x:c r="H47" s="8" t="s">
        <x:v>6159</x:v>
      </x:c>
      <x:c r="I47" s="8" t="s">
        <x:v>30</x:v>
      </x:c>
      <x:c r="J47" s="8" t="s">
        <x:v>30</x:v>
      </x:c>
      <x:c r="K47" s="8" t="s">
        <x:v>30</x:v>
      </x:c>
      <x:c r="L47" s="8" t="s">
        <x:v>30</x:v>
      </x:c>
      <x:c r="M47" s="8" t="s">
        <x:v>30</x:v>
      </x:c>
      <x:c r="N47" s="8" t="s">
        <x:v>30</x:v>
      </x:c>
      <x:c r="O47" s="8" t="s">
        <x:v>30</x:v>
      </x:c>
      <x:c r="P47" s="8" t="s">
        <x:v>30</x:v>
      </x:c>
      <x:c r="Q47" s="8" t="s">
        <x:v>30</x:v>
      </x:c>
      <x:c r="R47" s="8" t="s">
        <x:v>30</x:v>
      </x:c>
      <x:c r="S47" s="8" t="s">
        <x:v>30</x:v>
      </x:c>
      <x:c r="T47" s="8" t="s">
        <x:v>30</x:v>
      </x:c>
      <x:c r="U47" s="8" t="s">
        <x:v>30</x:v>
      </x:c>
      <x:c r="V47" s="8" t="s">
        <x:v>30</x:v>
      </x:c>
      <x:c r="W47" s="8" t="s">
        <x:v>30</x:v>
      </x:c>
      <x:c r="X47" s="8" t="s">
        <x:v>30</x:v>
      </x:c>
      <x:c r="Y47" s="8" t="s">
        <x:v>30</x:v>
      </x:c>
      <x:c r="Z47" s="8" t="s">
        <x:v>30</x:v>
      </x:c>
      <x:c r="AA47" s="8" t="s">
        <x:v>30</x:v>
      </x:c>
      <x:c r="AB47" s="8" t="s">
        <x:v>30</x:v>
      </x:c>
      <x:c r="AC47" s="8" t="s">
        <x:v>30</x:v>
      </x:c>
      <x:c r="AD47" s="8" t="s">
        <x:v>30</x:v>
      </x:c>
      <x:c r="AE47" s="8" t="s">
        <x:v>30</x:v>
      </x:c>
      <x:c r="AF47" s="8" t="s">
        <x:v>30</x:v>
      </x:c>
      <x:c r="AG47" s="8" t="s">
        <x:v>30</x:v>
      </x:c>
      <x:c r="AH47" s="8" t="s">
        <x:v>30</x:v>
      </x:c>
      <x:c r="AI47" s="8" t="s">
        <x:v>30</x:v>
      </x:c>
      <x:c r="AJ47" s="8" t="s">
        <x:v>30</x:v>
      </x:c>
      <x:c r="AK47" s="8" t="s">
        <x:v>30</x:v>
      </x:c>
      <x:c r="AL47" s="8" t="s">
        <x:v>30</x:v>
      </x:c>
      <x:c r="AM47" s="8" t="s">
        <x:v>30</x:v>
      </x:c>
      <x:c r="AN47" s="8" t="s">
        <x:v>30</x:v>
      </x:c>
      <x:c r="AO47" s="8" t="s">
        <x:v>30</x:v>
      </x:c>
      <x:c r="AP47" s="8" t="s">
        <x:v>30</x:v>
      </x:c>
      <x:c r="AQ47" s="8" t="s">
        <x:v>30</x:v>
      </x:c>
      <x:c r="AR47" s="8" t="s">
        <x:v>30</x:v>
      </x:c>
      <x:c r="AS47" s="8" t="s">
        <x:v>30</x:v>
      </x:c>
      <x:c r="AT47" s="8" t="s">
        <x:v>30</x:v>
      </x:c>
      <x:c r="AU47" s="8" t="s">
        <x:v>30</x:v>
      </x:c>
    </x:row>
    <x:row r="48" ht="54.75" hidden="0" customHeight="1">
      <x:c r="A48" s="8" t="s">
        <x:v>2025</x:v>
      </x:c>
      <x:c r="B48" s="8" t="s">
        <x:v>6157</x:v>
      </x:c>
      <x:c r="C48" s="8" t="s">
        <x:v>30</x:v>
      </x:c>
      <x:c r="D48" s="8" t="s">
        <x:v>30</x:v>
      </x:c>
      <x:c r="E48" s="8" t="s">
        <x:v>30</x:v>
      </x:c>
      <x:c r="F48" s="8" t="s">
        <x:v>30</x:v>
      </x:c>
      <x:c r="G48" s="8" t="s">
        <x:v>6159</x:v>
      </x:c>
      <x:c r="H48" s="8" t="s">
        <x:v>6159</x:v>
      </x:c>
      <x:c r="I48" s="8" t="s">
        <x:v>30</x:v>
      </x:c>
      <x:c r="J48" s="8" t="s">
        <x:v>6159</x:v>
      </x:c>
      <x:c r="K48" s="8" t="s">
        <x:v>30</x:v>
      </x:c>
      <x:c r="L48" s="8" t="s">
        <x:v>30</x:v>
      </x:c>
      <x:c r="M48" s="8" t="s">
        <x:v>30</x:v>
      </x:c>
      <x:c r="N48" s="8" t="s">
        <x:v>6159</x:v>
      </x:c>
      <x:c r="O48" s="8" t="s">
        <x:v>30</x:v>
      </x:c>
      <x:c r="P48" s="8" t="s">
        <x:v>30</x:v>
      </x:c>
      <x:c r="Q48" s="8" t="s">
        <x:v>30</x:v>
      </x:c>
      <x:c r="R48" s="8" t="s">
        <x:v>6159</x:v>
      </x:c>
      <x:c r="S48" s="8" t="s">
        <x:v>6159</x:v>
      </x:c>
      <x:c r="T48" s="8" t="s">
        <x:v>6159</x:v>
      </x:c>
      <x:c r="U48" s="8" t="s">
        <x:v>6159</x:v>
      </x:c>
      <x:c r="V48" s="8" t="s">
        <x:v>30</x:v>
      </x:c>
      <x:c r="W48" s="8" t="s">
        <x:v>6159</x:v>
      </x:c>
      <x:c r="X48" s="8" t="s">
        <x:v>6159</x:v>
      </x:c>
      <x:c r="Y48" s="8" t="s">
        <x:v>6159</x:v>
      </x:c>
      <x:c r="Z48" s="8" t="s">
        <x:v>30</x:v>
      </x:c>
      <x:c r="AA48" s="8" t="s">
        <x:v>6159</x:v>
      </x:c>
      <x:c r="AB48" s="8" t="s">
        <x:v>6159</x:v>
      </x:c>
      <x:c r="AC48" s="8" t="s">
        <x:v>30</x:v>
      </x:c>
      <x:c r="AD48" s="8" t="s">
        <x:v>30</x:v>
      </x:c>
      <x:c r="AE48" s="8" t="s">
        <x:v>30</x:v>
      </x:c>
      <x:c r="AF48" s="8" t="s">
        <x:v>30</x:v>
      </x:c>
      <x:c r="AG48" s="8" t="s">
        <x:v>30</x:v>
      </x:c>
      <x:c r="AH48" s="8" t="s">
        <x:v>30</x:v>
      </x:c>
      <x:c r="AI48" s="8" t="s">
        <x:v>30</x:v>
      </x:c>
      <x:c r="AJ48" s="8" t="s">
        <x:v>30</x:v>
      </x:c>
      <x:c r="AK48" s="8" t="s">
        <x:v>30</x:v>
      </x:c>
      <x:c r="AL48" s="8" t="s">
        <x:v>30</x:v>
      </x:c>
      <x:c r="AM48" s="8" t="s">
        <x:v>30</x:v>
      </x:c>
      <x:c r="AN48" s="8" t="s">
        <x:v>30</x:v>
      </x:c>
      <x:c r="AO48" s="8" t="s">
        <x:v>30</x:v>
      </x:c>
      <x:c r="AP48" s="8" t="s">
        <x:v>6159</x:v>
      </x:c>
      <x:c r="AQ48" s="8" t="s">
        <x:v>30</x:v>
      </x:c>
      <x:c r="AR48" s="8" t="s">
        <x:v>30</x:v>
      </x:c>
      <x:c r="AS48" s="8" t="s">
        <x:v>30</x:v>
      </x:c>
      <x:c r="AT48" s="8" t="s">
        <x:v>30</x:v>
      </x:c>
      <x:c r="AU48" s="8" t="s">
        <x:v>30</x:v>
      </x:c>
    </x:row>
    <x:row r="49" ht="54.75" hidden="0" customHeight="1">
      <x:c r="A49" s="8" t="s">
        <x:v>5580</x:v>
      </x:c>
      <x:c r="B49" s="8" t="s">
        <x:v>6157</x:v>
      </x:c>
      <x:c r="C49" s="8" t="s">
        <x:v>30</x:v>
      </x:c>
      <x:c r="D49" s="8" t="s">
        <x:v>30</x:v>
      </x:c>
      <x:c r="E49" s="8" t="s">
        <x:v>30</x:v>
      </x:c>
      <x:c r="F49" s="8" t="s">
        <x:v>30</x:v>
      </x:c>
      <x:c r="G49" s="8" t="s">
        <x:v>30</x:v>
      </x:c>
      <x:c r="H49" s="8" t="s">
        <x:v>30</x:v>
      </x:c>
      <x:c r="I49" s="8" t="s">
        <x:v>30</x:v>
      </x:c>
      <x:c r="J49" s="8" t="s">
        <x:v>30</x:v>
      </x:c>
      <x:c r="K49" s="8" t="s">
        <x:v>30</x:v>
      </x:c>
      <x:c r="L49" s="8" t="s">
        <x:v>30</x:v>
      </x:c>
      <x:c r="M49" s="8" t="s">
        <x:v>30</x:v>
      </x:c>
      <x:c r="N49" s="8" t="s">
        <x:v>30</x:v>
      </x:c>
      <x:c r="O49" s="8" t="s">
        <x:v>30</x:v>
      </x:c>
      <x:c r="P49" s="8" t="s">
        <x:v>30</x:v>
      </x:c>
      <x:c r="Q49" s="8" t="s">
        <x:v>30</x:v>
      </x:c>
      <x:c r="R49" s="8" t="s">
        <x:v>30</x:v>
      </x:c>
      <x:c r="S49" s="8" t="s">
        <x:v>30</x:v>
      </x:c>
      <x:c r="T49" s="8" t="s">
        <x:v>30</x:v>
      </x:c>
      <x:c r="U49" s="8" t="s">
        <x:v>30</x:v>
      </x:c>
      <x:c r="V49" s="8" t="s">
        <x:v>30</x:v>
      </x:c>
      <x:c r="W49" s="8" t="s">
        <x:v>30</x:v>
      </x:c>
      <x:c r="X49" s="8" t="s">
        <x:v>30</x:v>
      </x:c>
      <x:c r="Y49" s="8" t="s">
        <x:v>30</x:v>
      </x:c>
      <x:c r="Z49" s="8" t="s">
        <x:v>30</x:v>
      </x:c>
      <x:c r="AA49" s="8" t="s">
        <x:v>30</x:v>
      </x:c>
      <x:c r="AB49" s="8" t="s">
        <x:v>30</x:v>
      </x:c>
      <x:c r="AC49" s="8" t="s">
        <x:v>30</x:v>
      </x:c>
      <x:c r="AD49" s="8" t="s">
        <x:v>30</x:v>
      </x:c>
      <x:c r="AE49" s="8" t="s">
        <x:v>30</x:v>
      </x:c>
      <x:c r="AF49" s="8" t="s">
        <x:v>30</x:v>
      </x:c>
      <x:c r="AG49" s="8" t="s">
        <x:v>30</x:v>
      </x:c>
      <x:c r="AH49" s="8" t="s">
        <x:v>30</x:v>
      </x:c>
      <x:c r="AI49" s="8" t="s">
        <x:v>30</x:v>
      </x:c>
      <x:c r="AJ49" s="8" t="s">
        <x:v>30</x:v>
      </x:c>
      <x:c r="AK49" s="8" t="s">
        <x:v>30</x:v>
      </x:c>
      <x:c r="AL49" s="8" t="s">
        <x:v>30</x:v>
      </x:c>
      <x:c r="AM49" s="8" t="s">
        <x:v>30</x:v>
      </x:c>
      <x:c r="AN49" s="8" t="s">
        <x:v>30</x:v>
      </x:c>
      <x:c r="AO49" s="8" t="s">
        <x:v>30</x:v>
      </x:c>
      <x:c r="AP49" s="8" t="s">
        <x:v>30</x:v>
      </x:c>
      <x:c r="AQ49" s="8" t="s">
        <x:v>30</x:v>
      </x:c>
      <x:c r="AR49" s="8" t="s">
        <x:v>30</x:v>
      </x:c>
      <x:c r="AS49" s="8" t="s">
        <x:v>30</x:v>
      </x:c>
      <x:c r="AT49" s="8" t="s">
        <x:v>30</x:v>
      </x:c>
      <x:c r="AU49" s="8" t="s">
        <x:v>30</x:v>
      </x:c>
    </x:row>
    <x:row r="50" ht="54.75" hidden="0" customHeight="1">
      <x:c r="A50" s="8" t="s">
        <x:v>5583</x:v>
      </x:c>
      <x:c r="B50" s="8" t="s">
        <x:v>6157</x:v>
      </x:c>
      <x:c r="C50" s="8" t="s">
        <x:v>30</x:v>
      </x:c>
      <x:c r="D50" s="8" t="s">
        <x:v>30</x:v>
      </x:c>
      <x:c r="E50" s="8" t="s">
        <x:v>30</x:v>
      </x:c>
      <x:c r="F50" s="8" t="s">
        <x:v>30</x:v>
      </x:c>
      <x:c r="G50" s="8" t="s">
        <x:v>30</x:v>
      </x:c>
      <x:c r="H50" s="8" t="s">
        <x:v>30</x:v>
      </x:c>
      <x:c r="I50" s="8" t="s">
        <x:v>30</x:v>
      </x:c>
      <x:c r="J50" s="8" t="s">
        <x:v>30</x:v>
      </x:c>
      <x:c r="K50" s="8" t="s">
        <x:v>30</x:v>
      </x:c>
      <x:c r="L50" s="8" t="s">
        <x:v>30</x:v>
      </x:c>
      <x:c r="M50" s="8" t="s">
        <x:v>30</x:v>
      </x:c>
      <x:c r="N50" s="8" t="s">
        <x:v>30</x:v>
      </x:c>
      <x:c r="O50" s="8" t="s">
        <x:v>30</x:v>
      </x:c>
      <x:c r="P50" s="8" t="s">
        <x:v>30</x:v>
      </x:c>
      <x:c r="Q50" s="8" t="s">
        <x:v>30</x:v>
      </x:c>
      <x:c r="R50" s="8" t="s">
        <x:v>30</x:v>
      </x:c>
      <x:c r="S50" s="8" t="s">
        <x:v>30</x:v>
      </x:c>
      <x:c r="T50" s="8" t="s">
        <x:v>30</x:v>
      </x:c>
      <x:c r="U50" s="8" t="s">
        <x:v>30</x:v>
      </x:c>
      <x:c r="V50" s="8" t="s">
        <x:v>30</x:v>
      </x:c>
      <x:c r="W50" s="8" t="s">
        <x:v>30</x:v>
      </x:c>
      <x:c r="X50" s="8" t="s">
        <x:v>30</x:v>
      </x:c>
      <x:c r="Y50" s="8" t="s">
        <x:v>30</x:v>
      </x:c>
      <x:c r="Z50" s="8" t="s">
        <x:v>30</x:v>
      </x:c>
      <x:c r="AA50" s="8" t="s">
        <x:v>30</x:v>
      </x:c>
      <x:c r="AB50" s="8" t="s">
        <x:v>30</x:v>
      </x:c>
      <x:c r="AC50" s="8" t="s">
        <x:v>30</x:v>
      </x:c>
      <x:c r="AD50" s="8" t="s">
        <x:v>30</x:v>
      </x:c>
      <x:c r="AE50" s="8" t="s">
        <x:v>30</x:v>
      </x:c>
      <x:c r="AF50" s="8" t="s">
        <x:v>30</x:v>
      </x:c>
      <x:c r="AG50" s="8" t="s">
        <x:v>30</x:v>
      </x:c>
      <x:c r="AH50" s="8" t="s">
        <x:v>30</x:v>
      </x:c>
      <x:c r="AI50" s="8" t="s">
        <x:v>30</x:v>
      </x:c>
      <x:c r="AJ50" s="8" t="s">
        <x:v>30</x:v>
      </x:c>
      <x:c r="AK50" s="8" t="s">
        <x:v>30</x:v>
      </x:c>
      <x:c r="AL50" s="8" t="s">
        <x:v>30</x:v>
      </x:c>
      <x:c r="AM50" s="8" t="s">
        <x:v>30</x:v>
      </x:c>
      <x:c r="AN50" s="8" t="s">
        <x:v>30</x:v>
      </x:c>
      <x:c r="AO50" s="8" t="s">
        <x:v>30</x:v>
      </x:c>
      <x:c r="AP50" s="8" t="s">
        <x:v>30</x:v>
      </x:c>
      <x:c r="AQ50" s="8" t="s">
        <x:v>30</x:v>
      </x:c>
      <x:c r="AR50" s="8" t="s">
        <x:v>30</x:v>
      </x:c>
      <x:c r="AS50" s="8" t="s">
        <x:v>30</x:v>
      </x:c>
      <x:c r="AT50" s="8" t="s">
        <x:v>30</x:v>
      </x:c>
      <x:c r="AU50" s="8" t="s">
        <x:v>30</x:v>
      </x:c>
    </x:row>
    <x:row r="51" ht="54.75" hidden="0" customHeight="1">
      <x:c r="A51" s="8" t="s">
        <x:v>5585</x:v>
      </x:c>
      <x:c r="B51" s="8" t="s">
        <x:v>6157</x:v>
      </x:c>
      <x:c r="C51" s="8" t="s">
        <x:v>30</x:v>
      </x:c>
      <x:c r="D51" s="8" t="s">
        <x:v>30</x:v>
      </x:c>
      <x:c r="E51" s="8" t="s">
        <x:v>30</x:v>
      </x:c>
      <x:c r="F51" s="8" t="s">
        <x:v>30</x:v>
      </x:c>
      <x:c r="G51" s="8" t="s">
        <x:v>30</x:v>
      </x:c>
      <x:c r="H51" s="8" t="s">
        <x:v>30</x:v>
      </x:c>
      <x:c r="I51" s="8" t="s">
        <x:v>30</x:v>
      </x:c>
      <x:c r="J51" s="8" t="s">
        <x:v>30</x:v>
      </x:c>
      <x:c r="K51" s="8" t="s">
        <x:v>30</x:v>
      </x:c>
      <x:c r="L51" s="8" t="s">
        <x:v>30</x:v>
      </x:c>
      <x:c r="M51" s="8" t="s">
        <x:v>30</x:v>
      </x:c>
      <x:c r="N51" s="8" t="s">
        <x:v>30</x:v>
      </x:c>
      <x:c r="O51" s="8" t="s">
        <x:v>30</x:v>
      </x:c>
      <x:c r="P51" s="8" t="s">
        <x:v>30</x:v>
      </x:c>
      <x:c r="Q51" s="8" t="s">
        <x:v>30</x:v>
      </x:c>
      <x:c r="R51" s="8" t="s">
        <x:v>30</x:v>
      </x:c>
      <x:c r="S51" s="8" t="s">
        <x:v>30</x:v>
      </x:c>
      <x:c r="T51" s="8" t="s">
        <x:v>30</x:v>
      </x:c>
      <x:c r="U51" s="8" t="s">
        <x:v>30</x:v>
      </x:c>
      <x:c r="V51" s="8" t="s">
        <x:v>30</x:v>
      </x:c>
      <x:c r="W51" s="8" t="s">
        <x:v>30</x:v>
      </x:c>
      <x:c r="X51" s="8" t="s">
        <x:v>30</x:v>
      </x:c>
      <x:c r="Y51" s="8" t="s">
        <x:v>30</x:v>
      </x:c>
      <x:c r="Z51" s="8" t="s">
        <x:v>30</x:v>
      </x:c>
      <x:c r="AA51" s="8" t="s">
        <x:v>30</x:v>
      </x:c>
      <x:c r="AB51" s="8" t="s">
        <x:v>30</x:v>
      </x:c>
      <x:c r="AC51" s="8" t="s">
        <x:v>30</x:v>
      </x:c>
      <x:c r="AD51" s="8" t="s">
        <x:v>30</x:v>
      </x:c>
      <x:c r="AE51" s="8" t="s">
        <x:v>30</x:v>
      </x:c>
      <x:c r="AF51" s="8" t="s">
        <x:v>30</x:v>
      </x:c>
      <x:c r="AG51" s="8" t="s">
        <x:v>30</x:v>
      </x:c>
      <x:c r="AH51" s="8" t="s">
        <x:v>30</x:v>
      </x:c>
      <x:c r="AI51" s="8" t="s">
        <x:v>30</x:v>
      </x:c>
      <x:c r="AJ51" s="8" t="s">
        <x:v>30</x:v>
      </x:c>
      <x:c r="AK51" s="8" t="s">
        <x:v>30</x:v>
      </x:c>
      <x:c r="AL51" s="8" t="s">
        <x:v>30</x:v>
      </x:c>
      <x:c r="AM51" s="8" t="s">
        <x:v>30</x:v>
      </x:c>
      <x:c r="AN51" s="8" t="s">
        <x:v>30</x:v>
      </x:c>
      <x:c r="AO51" s="8" t="s">
        <x:v>30</x:v>
      </x:c>
      <x:c r="AP51" s="8" t="s">
        <x:v>30</x:v>
      </x:c>
      <x:c r="AQ51" s="8" t="s">
        <x:v>30</x:v>
      </x:c>
      <x:c r="AR51" s="8" t="s">
        <x:v>30</x:v>
      </x:c>
      <x:c r="AS51" s="8" t="s">
        <x:v>30</x:v>
      </x:c>
      <x:c r="AT51" s="8" t="s">
        <x:v>30</x:v>
      </x:c>
      <x:c r="AU51" s="8" t="s">
        <x:v>30</x:v>
      </x:c>
    </x:row>
    <x:row r="52" ht="54.75" hidden="0" customHeight="1">
      <x:c r="A52" s="8" t="s">
        <x:v>5587</x:v>
      </x:c>
      <x:c r="B52" s="8" t="s">
        <x:v>6157</x:v>
      </x:c>
      <x:c r="C52" s="8" t="s">
        <x:v>30</x:v>
      </x:c>
      <x:c r="D52" s="8" t="s">
        <x:v>30</x:v>
      </x:c>
      <x:c r="E52" s="8" t="s">
        <x:v>30</x:v>
      </x:c>
      <x:c r="F52" s="8" t="s">
        <x:v>30</x:v>
      </x:c>
      <x:c r="G52" s="8" t="s">
        <x:v>30</x:v>
      </x:c>
      <x:c r="H52" s="8" t="s">
        <x:v>30</x:v>
      </x:c>
      <x:c r="I52" s="8" t="s">
        <x:v>30</x:v>
      </x:c>
      <x:c r="J52" s="8" t="s">
        <x:v>30</x:v>
      </x:c>
      <x:c r="K52" s="8" t="s">
        <x:v>30</x:v>
      </x:c>
      <x:c r="L52" s="8" t="s">
        <x:v>30</x:v>
      </x:c>
      <x:c r="M52" s="8" t="s">
        <x:v>30</x:v>
      </x:c>
      <x:c r="N52" s="8" t="s">
        <x:v>30</x:v>
      </x:c>
      <x:c r="O52" s="8" t="s">
        <x:v>30</x:v>
      </x:c>
      <x:c r="P52" s="8" t="s">
        <x:v>30</x:v>
      </x:c>
      <x:c r="Q52" s="8" t="s">
        <x:v>30</x:v>
      </x:c>
      <x:c r="R52" s="8" t="s">
        <x:v>30</x:v>
      </x:c>
      <x:c r="S52" s="8" t="s">
        <x:v>30</x:v>
      </x:c>
      <x:c r="T52" s="8" t="s">
        <x:v>30</x:v>
      </x:c>
      <x:c r="U52" s="8" t="s">
        <x:v>30</x:v>
      </x:c>
      <x:c r="V52" s="8" t="s">
        <x:v>30</x:v>
      </x:c>
      <x:c r="W52" s="8" t="s">
        <x:v>30</x:v>
      </x:c>
      <x:c r="X52" s="8" t="s">
        <x:v>30</x:v>
      </x:c>
      <x:c r="Y52" s="8" t="s">
        <x:v>30</x:v>
      </x:c>
      <x:c r="Z52" s="8" t="s">
        <x:v>30</x:v>
      </x:c>
      <x:c r="AA52" s="8" t="s">
        <x:v>30</x:v>
      </x:c>
      <x:c r="AB52" s="8" t="s">
        <x:v>30</x:v>
      </x:c>
      <x:c r="AC52" s="8" t="s">
        <x:v>30</x:v>
      </x:c>
      <x:c r="AD52" s="8" t="s">
        <x:v>30</x:v>
      </x:c>
      <x:c r="AE52" s="8" t="s">
        <x:v>30</x:v>
      </x:c>
      <x:c r="AF52" s="8" t="s">
        <x:v>30</x:v>
      </x:c>
      <x:c r="AG52" s="8" t="s">
        <x:v>30</x:v>
      </x:c>
      <x:c r="AH52" s="8" t="s">
        <x:v>30</x:v>
      </x:c>
      <x:c r="AI52" s="8" t="s">
        <x:v>30</x:v>
      </x:c>
      <x:c r="AJ52" s="8" t="s">
        <x:v>30</x:v>
      </x:c>
      <x:c r="AK52" s="8" t="s">
        <x:v>30</x:v>
      </x:c>
      <x:c r="AL52" s="8" t="s">
        <x:v>30</x:v>
      </x:c>
      <x:c r="AM52" s="8" t="s">
        <x:v>30</x:v>
      </x:c>
      <x:c r="AN52" s="8" t="s">
        <x:v>30</x:v>
      </x:c>
      <x:c r="AO52" s="8" t="s">
        <x:v>30</x:v>
      </x:c>
      <x:c r="AP52" s="8" t="s">
        <x:v>30</x:v>
      </x:c>
      <x:c r="AQ52" s="8" t="s">
        <x:v>30</x:v>
      </x:c>
      <x:c r="AR52" s="8" t="s">
        <x:v>30</x:v>
      </x:c>
      <x:c r="AS52" s="8" t="s">
        <x:v>30</x:v>
      </x:c>
      <x:c r="AT52" s="8" t="s">
        <x:v>30</x:v>
      </x:c>
      <x:c r="AU52" s="8" t="s">
        <x:v>30</x:v>
      </x:c>
    </x:row>
    <x:row r="53" ht="54.75" hidden="0" customHeight="1">
      <x:c r="A53" s="8" t="s">
        <x:v>5589</x:v>
      </x:c>
      <x:c r="B53" s="8" t="s">
        <x:v>6157</x:v>
      </x:c>
      <x:c r="C53" s="8" t="s">
        <x:v>30</x:v>
      </x:c>
      <x:c r="D53" s="8" t="s">
        <x:v>30</x:v>
      </x:c>
      <x:c r="E53" s="8" t="s">
        <x:v>30</x:v>
      </x:c>
      <x:c r="F53" s="8" t="s">
        <x:v>30</x:v>
      </x:c>
      <x:c r="G53" s="8" t="s">
        <x:v>30</x:v>
      </x:c>
      <x:c r="H53" s="8" t="s">
        <x:v>30</x:v>
      </x:c>
      <x:c r="I53" s="8" t="s">
        <x:v>30</x:v>
      </x:c>
      <x:c r="J53" s="8" t="s">
        <x:v>30</x:v>
      </x:c>
      <x:c r="K53" s="8" t="s">
        <x:v>30</x:v>
      </x:c>
      <x:c r="L53" s="8" t="s">
        <x:v>30</x:v>
      </x:c>
      <x:c r="M53" s="8" t="s">
        <x:v>30</x:v>
      </x:c>
      <x:c r="N53" s="8" t="s">
        <x:v>30</x:v>
      </x:c>
      <x:c r="O53" s="8" t="s">
        <x:v>30</x:v>
      </x:c>
      <x:c r="P53" s="8" t="s">
        <x:v>30</x:v>
      </x:c>
      <x:c r="Q53" s="8" t="s">
        <x:v>30</x:v>
      </x:c>
      <x:c r="R53" s="8" t="s">
        <x:v>30</x:v>
      </x:c>
      <x:c r="S53" s="8" t="s">
        <x:v>30</x:v>
      </x:c>
      <x:c r="T53" s="8" t="s">
        <x:v>30</x:v>
      </x:c>
      <x:c r="U53" s="8" t="s">
        <x:v>30</x:v>
      </x:c>
      <x:c r="V53" s="8" t="s">
        <x:v>30</x:v>
      </x:c>
      <x:c r="W53" s="8" t="s">
        <x:v>30</x:v>
      </x:c>
      <x:c r="X53" s="8" t="s">
        <x:v>30</x:v>
      </x:c>
      <x:c r="Y53" s="8" t="s">
        <x:v>30</x:v>
      </x:c>
      <x:c r="Z53" s="8" t="s">
        <x:v>30</x:v>
      </x:c>
      <x:c r="AA53" s="8" t="s">
        <x:v>30</x:v>
      </x:c>
      <x:c r="AB53" s="8" t="s">
        <x:v>30</x:v>
      </x:c>
      <x:c r="AC53" s="8" t="s">
        <x:v>30</x:v>
      </x:c>
      <x:c r="AD53" s="8" t="s">
        <x:v>30</x:v>
      </x:c>
      <x:c r="AE53" s="8" t="s">
        <x:v>30</x:v>
      </x:c>
      <x:c r="AF53" s="8" t="s">
        <x:v>30</x:v>
      </x:c>
      <x:c r="AG53" s="8" t="s">
        <x:v>30</x:v>
      </x:c>
      <x:c r="AH53" s="8" t="s">
        <x:v>30</x:v>
      </x:c>
      <x:c r="AI53" s="8" t="s">
        <x:v>30</x:v>
      </x:c>
      <x:c r="AJ53" s="8" t="s">
        <x:v>30</x:v>
      </x:c>
      <x:c r="AK53" s="8" t="s">
        <x:v>30</x:v>
      </x:c>
      <x:c r="AL53" s="8" t="s">
        <x:v>30</x:v>
      </x:c>
      <x:c r="AM53" s="8" t="s">
        <x:v>30</x:v>
      </x:c>
      <x:c r="AN53" s="8" t="s">
        <x:v>30</x:v>
      </x:c>
      <x:c r="AO53" s="8" t="s">
        <x:v>30</x:v>
      </x:c>
      <x:c r="AP53" s="8" t="s">
        <x:v>30</x:v>
      </x:c>
      <x:c r="AQ53" s="8" t="s">
        <x:v>30</x:v>
      </x:c>
      <x:c r="AR53" s="8" t="s">
        <x:v>30</x:v>
      </x:c>
      <x:c r="AS53" s="8" t="s">
        <x:v>30</x:v>
      </x:c>
      <x:c r="AT53" s="8" t="s">
        <x:v>30</x:v>
      </x:c>
      <x:c r="AU53" s="8" t="s">
        <x:v>30</x:v>
      </x:c>
    </x:row>
    <x:row r="54" ht="54.75" hidden="0" customHeight="1">
      <x:c r="A54" s="8" t="s">
        <x:v>2830</x:v>
      </x:c>
      <x:c r="B54" s="8" t="s">
        <x:v>6157</x:v>
      </x:c>
      <x:c r="C54" s="8" t="s">
        <x:v>30</x:v>
      </x:c>
      <x:c r="D54" s="8" t="s">
        <x:v>6159</x:v>
      </x:c>
      <x:c r="E54" s="8" t="s">
        <x:v>6159</x:v>
      </x:c>
      <x:c r="F54" s="8" t="s">
        <x:v>6159</x:v>
      </x:c>
      <x:c r="G54" s="8" t="s">
        <x:v>6159</x:v>
      </x:c>
      <x:c r="H54" s="8" t="s">
        <x:v>6159</x:v>
      </x:c>
      <x:c r="I54" s="8" t="s">
        <x:v>30</x:v>
      </x:c>
      <x:c r="J54" s="8" t="s">
        <x:v>30</x:v>
      </x:c>
      <x:c r="K54" s="8" t="s">
        <x:v>30</x:v>
      </x:c>
      <x:c r="L54" s="8" t="s">
        <x:v>30</x:v>
      </x:c>
      <x:c r="M54" s="8" t="s">
        <x:v>30</x:v>
      </x:c>
      <x:c r="N54" s="8" t="s">
        <x:v>30</x:v>
      </x:c>
      <x:c r="O54" s="8" t="s">
        <x:v>30</x:v>
      </x:c>
      <x:c r="P54" s="8" t="s">
        <x:v>30</x:v>
      </x:c>
      <x:c r="Q54" s="8" t="s">
        <x:v>30</x:v>
      </x:c>
      <x:c r="R54" s="8" t="s">
        <x:v>6159</x:v>
      </x:c>
      <x:c r="S54" s="8" t="s">
        <x:v>6159</x:v>
      </x:c>
      <x:c r="T54" s="8" t="s">
        <x:v>6159</x:v>
      </x:c>
      <x:c r="U54" s="8" t="s">
        <x:v>6159</x:v>
      </x:c>
      <x:c r="V54" s="8" t="s">
        <x:v>6159</x:v>
      </x:c>
      <x:c r="W54" s="8" t="s">
        <x:v>30</x:v>
      </x:c>
      <x:c r="X54" s="8" t="s">
        <x:v>30</x:v>
      </x:c>
      <x:c r="Y54" s="8" t="s">
        <x:v>6159</x:v>
      </x:c>
      <x:c r="Z54" s="8" t="s">
        <x:v>30</x:v>
      </x:c>
      <x:c r="AA54" s="8" t="s">
        <x:v>30</x:v>
      </x:c>
      <x:c r="AB54" s="8" t="s">
        <x:v>30</x:v>
      </x:c>
      <x:c r="AC54" s="8" t="s">
        <x:v>30</x:v>
      </x:c>
      <x:c r="AD54" s="8" t="s">
        <x:v>30</x:v>
      </x:c>
      <x:c r="AE54" s="8" t="s">
        <x:v>30</x:v>
      </x:c>
      <x:c r="AF54" s="8" t="s">
        <x:v>30</x:v>
      </x:c>
      <x:c r="AG54" s="8" t="s">
        <x:v>30</x:v>
      </x:c>
      <x:c r="AH54" s="8" t="s">
        <x:v>30</x:v>
      </x:c>
      <x:c r="AI54" s="8" t="s">
        <x:v>30</x:v>
      </x:c>
      <x:c r="AJ54" s="8" t="s">
        <x:v>30</x:v>
      </x:c>
      <x:c r="AK54" s="8" t="s">
        <x:v>30</x:v>
      </x:c>
      <x:c r="AL54" s="8" t="s">
        <x:v>30</x:v>
      </x:c>
      <x:c r="AM54" s="8" t="s">
        <x:v>6159</x:v>
      </x:c>
      <x:c r="AN54" s="8" t="s">
        <x:v>30</x:v>
      </x:c>
      <x:c r="AO54" s="8" t="s">
        <x:v>30</x:v>
      </x:c>
      <x:c r="AP54" s="8" t="s">
        <x:v>30</x:v>
      </x:c>
      <x:c r="AQ54" s="8" t="s">
        <x:v>30</x:v>
      </x:c>
      <x:c r="AR54" s="8" t="s">
        <x:v>30</x:v>
      </x:c>
      <x:c r="AS54" s="8" t="s">
        <x:v>30</x:v>
      </x:c>
      <x:c r="AT54" s="8" t="s">
        <x:v>30</x:v>
      </x:c>
      <x:c r="AU54" s="8" t="s">
        <x:v>30</x:v>
      </x:c>
    </x:row>
    <x:row r="55" ht="54.75" hidden="0" customHeight="1">
      <x:c r="A55" s="8" t="s">
        <x:v>2306</x:v>
      </x:c>
      <x:c r="B55" s="8" t="s">
        <x:v>6157</x:v>
      </x:c>
      <x:c r="C55" s="8" t="s">
        <x:v>30</x:v>
      </x:c>
      <x:c r="D55" s="8" t="s">
        <x:v>6159</x:v>
      </x:c>
      <x:c r="E55" s="8" t="s">
        <x:v>6159</x:v>
      </x:c>
      <x:c r="F55" s="8" t="s">
        <x:v>6159</x:v>
      </x:c>
      <x:c r="G55" s="8" t="s">
        <x:v>6159</x:v>
      </x:c>
      <x:c r="H55" s="8" t="s">
        <x:v>6159</x:v>
      </x:c>
      <x:c r="I55" s="8" t="s">
        <x:v>30</x:v>
      </x:c>
      <x:c r="J55" s="8" t="s">
        <x:v>30</x:v>
      </x:c>
      <x:c r="K55" s="8" t="s">
        <x:v>6159</x:v>
      </x:c>
      <x:c r="L55" s="8" t="s">
        <x:v>6159</x:v>
      </x:c>
      <x:c r="M55" s="8" t="s">
        <x:v>6159</x:v>
      </x:c>
      <x:c r="N55" s="8" t="s">
        <x:v>30</x:v>
      </x:c>
      <x:c r="O55" s="8" t="s">
        <x:v>30</x:v>
      </x:c>
      <x:c r="P55" s="8" t="s">
        <x:v>30</x:v>
      </x:c>
      <x:c r="Q55" s="8" t="s">
        <x:v>30</x:v>
      </x:c>
      <x:c r="R55" s="8" t="s">
        <x:v>30</x:v>
      </x:c>
      <x:c r="S55" s="8" t="s">
        <x:v>6159</x:v>
      </x:c>
      <x:c r="T55" s="8" t="s">
        <x:v>30</x:v>
      </x:c>
      <x:c r="U55" s="8" t="s">
        <x:v>6159</x:v>
      </x:c>
      <x:c r="V55" s="8" t="s">
        <x:v>6159</x:v>
      </x:c>
      <x:c r="W55" s="8" t="s">
        <x:v>30</x:v>
      </x:c>
      <x:c r="X55" s="8" t="s">
        <x:v>30</x:v>
      </x:c>
      <x:c r="Y55" s="8" t="s">
        <x:v>30</x:v>
      </x:c>
      <x:c r="Z55" s="8" t="s">
        <x:v>30</x:v>
      </x:c>
      <x:c r="AA55" s="8" t="s">
        <x:v>30</x:v>
      </x:c>
      <x:c r="AB55" s="8" t="s">
        <x:v>6159</x:v>
      </x:c>
      <x:c r="AC55" s="8" t="s">
        <x:v>30</x:v>
      </x:c>
      <x:c r="AD55" s="8" t="s">
        <x:v>30</x:v>
      </x:c>
      <x:c r="AE55" s="8" t="s">
        <x:v>30</x:v>
      </x:c>
      <x:c r="AF55" s="8" t="s">
        <x:v>30</x:v>
      </x:c>
      <x:c r="AG55" s="8" t="s">
        <x:v>30</x:v>
      </x:c>
      <x:c r="AH55" s="8" t="s">
        <x:v>30</x:v>
      </x:c>
      <x:c r="AI55" s="8" t="s">
        <x:v>30</x:v>
      </x:c>
      <x:c r="AJ55" s="8" t="s">
        <x:v>30</x:v>
      </x:c>
      <x:c r="AK55" s="8" t="s">
        <x:v>30</x:v>
      </x:c>
      <x:c r="AL55" s="8" t="s">
        <x:v>6159</x:v>
      </x:c>
      <x:c r="AM55" s="8" t="s">
        <x:v>30</x:v>
      </x:c>
      <x:c r="AN55" s="8" t="s">
        <x:v>30</x:v>
      </x:c>
      <x:c r="AO55" s="8" t="s">
        <x:v>30</x:v>
      </x:c>
      <x:c r="AP55" s="8" t="s">
        <x:v>6159</x:v>
      </x:c>
      <x:c r="AQ55" s="8" t="s">
        <x:v>30</x:v>
      </x:c>
      <x:c r="AR55" s="8" t="s">
        <x:v>30</x:v>
      </x:c>
      <x:c r="AS55" s="8" t="s">
        <x:v>30</x:v>
      </x:c>
      <x:c r="AT55" s="8" t="s">
        <x:v>30</x:v>
      </x:c>
      <x:c r="AU55" s="8" t="s">
        <x:v>30</x:v>
      </x:c>
    </x:row>
    <x:row r="56" ht="54.75" hidden="0" customHeight="1">
      <x:c r="A56" s="8" t="s">
        <x:v>2554</x:v>
      </x:c>
      <x:c r="B56" s="8" t="s">
        <x:v>6157</x:v>
      </x:c>
      <x:c r="C56" s="8" t="s">
        <x:v>30</x:v>
      </x:c>
      <x:c r="D56" s="8" t="s">
        <x:v>6159</x:v>
      </x:c>
      <x:c r="E56" s="8" t="s">
        <x:v>30</x:v>
      </x:c>
      <x:c r="F56" s="8" t="s">
        <x:v>30</x:v>
      </x:c>
      <x:c r="G56" s="8" t="s">
        <x:v>30</x:v>
      </x:c>
      <x:c r="H56" s="8" t="s">
        <x:v>6159</x:v>
      </x:c>
      <x:c r="I56" s="8" t="s">
        <x:v>30</x:v>
      </x:c>
      <x:c r="J56" s="8" t="s">
        <x:v>30</x:v>
      </x:c>
      <x:c r="K56" s="8" t="s">
        <x:v>30</x:v>
      </x:c>
      <x:c r="L56" s="8" t="s">
        <x:v>30</x:v>
      </x:c>
      <x:c r="M56" s="8" t="s">
        <x:v>6159</x:v>
      </x:c>
      <x:c r="N56" s="8" t="s">
        <x:v>6159</x:v>
      </x:c>
      <x:c r="O56" s="8" t="s">
        <x:v>30</x:v>
      </x:c>
      <x:c r="P56" s="8" t="s">
        <x:v>30</x:v>
      </x:c>
      <x:c r="Q56" s="8" t="s">
        <x:v>30</x:v>
      </x:c>
      <x:c r="R56" s="8" t="s">
        <x:v>6159</x:v>
      </x:c>
      <x:c r="S56" s="8" t="s">
        <x:v>6159</x:v>
      </x:c>
      <x:c r="T56" s="8" t="s">
        <x:v>30</x:v>
      </x:c>
      <x:c r="U56" s="8" t="s">
        <x:v>30</x:v>
      </x:c>
      <x:c r="V56" s="8" t="s">
        <x:v>6159</x:v>
      </x:c>
      <x:c r="W56" s="8" t="s">
        <x:v>30</x:v>
      </x:c>
      <x:c r="X56" s="8" t="s">
        <x:v>30</x:v>
      </x:c>
      <x:c r="Y56" s="8" t="s">
        <x:v>30</x:v>
      </x:c>
      <x:c r="Z56" s="8" t="s">
        <x:v>30</x:v>
      </x:c>
      <x:c r="AA56" s="8" t="s">
        <x:v>30</x:v>
      </x:c>
      <x:c r="AB56" s="8" t="s">
        <x:v>6159</x:v>
      </x:c>
      <x:c r="AC56" s="8" t="s">
        <x:v>30</x:v>
      </x:c>
      <x:c r="AD56" s="8" t="s">
        <x:v>30</x:v>
      </x:c>
      <x:c r="AE56" s="8" t="s">
        <x:v>30</x:v>
      </x:c>
      <x:c r="AF56" s="8" t="s">
        <x:v>30</x:v>
      </x:c>
      <x:c r="AG56" s="8" t="s">
        <x:v>30</x:v>
      </x:c>
      <x:c r="AH56" s="8" t="s">
        <x:v>30</x:v>
      </x:c>
      <x:c r="AI56" s="8" t="s">
        <x:v>30</x:v>
      </x:c>
      <x:c r="AJ56" s="8" t="s">
        <x:v>30</x:v>
      </x:c>
      <x:c r="AK56" s="8" t="s">
        <x:v>30</x:v>
      </x:c>
      <x:c r="AL56" s="8" t="s">
        <x:v>30</x:v>
      </x:c>
      <x:c r="AM56" s="8" t="s">
        <x:v>30</x:v>
      </x:c>
      <x:c r="AN56" s="8" t="s">
        <x:v>30</x:v>
      </x:c>
      <x:c r="AO56" s="8" t="s">
        <x:v>30</x:v>
      </x:c>
      <x:c r="AP56" s="8" t="s">
        <x:v>30</x:v>
      </x:c>
      <x:c r="AQ56" s="8" t="s">
        <x:v>30</x:v>
      </x:c>
      <x:c r="AR56" s="8" t="s">
        <x:v>6159</x:v>
      </x:c>
      <x:c r="AS56" s="8" t="s">
        <x:v>6159</x:v>
      </x:c>
      <x:c r="AT56" s="8" t="s">
        <x:v>6159</x:v>
      </x:c>
      <x:c r="AU56" s="8" t="s">
        <x:v>30</x:v>
      </x:c>
    </x:row>
    <x:row r="57" ht="54.75" hidden="0" customHeight="1">
      <x:c r="A57" s="8" t="s">
        <x:v>4833</x:v>
      </x:c>
      <x:c r="B57" s="8" t="s">
        <x:v>6158</x:v>
      </x:c>
      <x:c r="C57" s="8" t="s">
        <x:v>6159</x:v>
      </x:c>
      <x:c r="D57" s="8" t="s">
        <x:v>6159</x:v>
      </x:c>
      <x:c r="E57" s="8" t="s">
        <x:v>6159</x:v>
      </x:c>
      <x:c r="F57" s="8" t="s">
        <x:v>30</x:v>
      </x:c>
      <x:c r="G57" s="8" t="s">
        <x:v>6159</x:v>
      </x:c>
      <x:c r="H57" s="8" t="s">
        <x:v>6159</x:v>
      </x:c>
      <x:c r="I57" s="8" t="s">
        <x:v>30</x:v>
      </x:c>
      <x:c r="J57" s="8" t="s">
        <x:v>30</x:v>
      </x:c>
      <x:c r="K57" s="8" t="s">
        <x:v>30</x:v>
      </x:c>
      <x:c r="L57" s="8" t="s">
        <x:v>30</x:v>
      </x:c>
      <x:c r="M57" s="8" t="s">
        <x:v>30</x:v>
      </x:c>
      <x:c r="N57" s="8" t="s">
        <x:v>30</x:v>
      </x:c>
      <x:c r="O57" s="8" t="s">
        <x:v>30</x:v>
      </x:c>
      <x:c r="P57" s="8" t="s">
        <x:v>30</x:v>
      </x:c>
      <x:c r="Q57" s="8" t="s">
        <x:v>30</x:v>
      </x:c>
      <x:c r="R57" s="8" t="s">
        <x:v>30</x:v>
      </x:c>
      <x:c r="S57" s="8" t="s">
        <x:v>30</x:v>
      </x:c>
      <x:c r="T57" s="8" t="s">
        <x:v>30</x:v>
      </x:c>
      <x:c r="U57" s="8" t="s">
        <x:v>30</x:v>
      </x:c>
      <x:c r="V57" s="8" t="s">
        <x:v>30</x:v>
      </x:c>
      <x:c r="W57" s="8" t="s">
        <x:v>6159</x:v>
      </x:c>
      <x:c r="X57" s="8" t="s">
        <x:v>30</x:v>
      </x:c>
      <x:c r="Y57" s="8" t="s">
        <x:v>6159</x:v>
      </x:c>
      <x:c r="Z57" s="8" t="s">
        <x:v>30</x:v>
      </x:c>
      <x:c r="AA57" s="8" t="s">
        <x:v>30</x:v>
      </x:c>
      <x:c r="AB57" s="8" t="s">
        <x:v>30</x:v>
      </x:c>
      <x:c r="AC57" s="8" t="s">
        <x:v>30</x:v>
      </x:c>
      <x:c r="AD57" s="8" t="s">
        <x:v>30</x:v>
      </x:c>
      <x:c r="AE57" s="8" t="s">
        <x:v>30</x:v>
      </x:c>
      <x:c r="AF57" s="8" t="s">
        <x:v>30</x:v>
      </x:c>
      <x:c r="AG57" s="8" t="s">
        <x:v>30</x:v>
      </x:c>
      <x:c r="AH57" s="8" t="s">
        <x:v>30</x:v>
      </x:c>
      <x:c r="AI57" s="8" t="s">
        <x:v>30</x:v>
      </x:c>
      <x:c r="AJ57" s="8" t="s">
        <x:v>30</x:v>
      </x:c>
      <x:c r="AK57" s="8" t="s">
        <x:v>30</x:v>
      </x:c>
      <x:c r="AL57" s="8" t="s">
        <x:v>30</x:v>
      </x:c>
      <x:c r="AM57" s="8" t="s">
        <x:v>30</x:v>
      </x:c>
      <x:c r="AN57" s="8" t="s">
        <x:v>30</x:v>
      </x:c>
      <x:c r="AO57" s="8" t="s">
        <x:v>6159</x:v>
      </x:c>
      <x:c r="AP57" s="8" t="s">
        <x:v>6159</x:v>
      </x:c>
      <x:c r="AQ57" s="8" t="s">
        <x:v>30</x:v>
      </x:c>
      <x:c r="AR57" s="8" t="s">
        <x:v>30</x:v>
      </x:c>
      <x:c r="AS57" s="8" t="s">
        <x:v>6159</x:v>
      </x:c>
      <x:c r="AT57" s="8" t="s">
        <x:v>6159</x:v>
      </x:c>
      <x:c r="AU57" s="8" t="s">
        <x:v>30</x:v>
      </x:c>
    </x:row>
    <x:row r="58" ht="54.75" hidden="0" customHeight="1">
      <x:c r="A58" s="8" t="s">
        <x:v>3247</x:v>
      </x:c>
      <x:c r="B58" s="8" t="s">
        <x:v>6157</x:v>
      </x:c>
      <x:c r="C58" s="8" t="s">
        <x:v>30</x:v>
      </x:c>
      <x:c r="D58" s="8" t="s">
        <x:v>6159</x:v>
      </x:c>
      <x:c r="E58" s="8" t="s">
        <x:v>6159</x:v>
      </x:c>
      <x:c r="F58" s="8" t="s">
        <x:v>6159</x:v>
      </x:c>
      <x:c r="G58" s="8" t="s">
        <x:v>30</x:v>
      </x:c>
      <x:c r="H58" s="8" t="s">
        <x:v>6159</x:v>
      </x:c>
      <x:c r="I58" s="8" t="s">
        <x:v>30</x:v>
      </x:c>
      <x:c r="J58" s="8" t="s">
        <x:v>30</x:v>
      </x:c>
      <x:c r="K58" s="8" t="s">
        <x:v>30</x:v>
      </x:c>
      <x:c r="L58" s="8" t="s">
        <x:v>30</x:v>
      </x:c>
      <x:c r="M58" s="8" t="s">
        <x:v>30</x:v>
      </x:c>
      <x:c r="N58" s="8" t="s">
        <x:v>30</x:v>
      </x:c>
      <x:c r="O58" s="8" t="s">
        <x:v>30</x:v>
      </x:c>
      <x:c r="P58" s="8" t="s">
        <x:v>30</x:v>
      </x:c>
      <x:c r="Q58" s="8" t="s">
        <x:v>30</x:v>
      </x:c>
      <x:c r="R58" s="8" t="s">
        <x:v>30</x:v>
      </x:c>
      <x:c r="S58" s="8" t="s">
        <x:v>30</x:v>
      </x:c>
      <x:c r="T58" s="8" t="s">
        <x:v>30</x:v>
      </x:c>
      <x:c r="U58" s="8" t="s">
        <x:v>30</x:v>
      </x:c>
      <x:c r="V58" s="8" t="s">
        <x:v>30</x:v>
      </x:c>
      <x:c r="W58" s="8" t="s">
        <x:v>30</x:v>
      </x:c>
      <x:c r="X58" s="8" t="s">
        <x:v>30</x:v>
      </x:c>
      <x:c r="Y58" s="8" t="s">
        <x:v>30</x:v>
      </x:c>
      <x:c r="Z58" s="8" t="s">
        <x:v>30</x:v>
      </x:c>
      <x:c r="AA58" s="8" t="s">
        <x:v>30</x:v>
      </x:c>
      <x:c r="AB58" s="8" t="s">
        <x:v>30</x:v>
      </x:c>
      <x:c r="AC58" s="8" t="s">
        <x:v>30</x:v>
      </x:c>
      <x:c r="AD58" s="8" t="s">
        <x:v>30</x:v>
      </x:c>
      <x:c r="AE58" s="8" t="s">
        <x:v>30</x:v>
      </x:c>
      <x:c r="AF58" s="8" t="s">
        <x:v>30</x:v>
      </x:c>
      <x:c r="AG58" s="8" t="s">
        <x:v>30</x:v>
      </x:c>
      <x:c r="AH58" s="8" t="s">
        <x:v>30</x:v>
      </x:c>
      <x:c r="AI58" s="8" t="s">
        <x:v>30</x:v>
      </x:c>
      <x:c r="AJ58" s="8" t="s">
        <x:v>30</x:v>
      </x:c>
      <x:c r="AK58" s="8" t="s">
        <x:v>30</x:v>
      </x:c>
      <x:c r="AL58" s="8" t="s">
        <x:v>6159</x:v>
      </x:c>
      <x:c r="AM58" s="8" t="s">
        <x:v>30</x:v>
      </x:c>
      <x:c r="AN58" s="8" t="s">
        <x:v>30</x:v>
      </x:c>
      <x:c r="AO58" s="8" t="s">
        <x:v>30</x:v>
      </x:c>
      <x:c r="AP58" s="8" t="s">
        <x:v>6159</x:v>
      </x:c>
      <x:c r="AQ58" s="8" t="s">
        <x:v>6159</x:v>
      </x:c>
      <x:c r="AR58" s="8" t="s">
        <x:v>30</x:v>
      </x:c>
      <x:c r="AS58" s="8" t="s">
        <x:v>30</x:v>
      </x:c>
      <x:c r="AT58" s="8" t="s">
        <x:v>30</x:v>
      </x:c>
      <x:c r="AU58" s="8" t="s">
        <x:v>30</x:v>
      </x:c>
    </x:row>
    <x:row r="59" ht="54.75" hidden="0" customHeight="1">
      <x:c r="A59" s="8" t="s">
        <x:v>3296</x:v>
      </x:c>
      <x:c r="B59" s="8" t="s">
        <x:v>6157</x:v>
      </x:c>
      <x:c r="C59" s="8" t="s">
        <x:v>30</x:v>
      </x:c>
      <x:c r="D59" s="8" t="s">
        <x:v>6159</x:v>
      </x:c>
      <x:c r="E59" s="8" t="s">
        <x:v>30</x:v>
      </x:c>
      <x:c r="F59" s="8" t="s">
        <x:v>6159</x:v>
      </x:c>
      <x:c r="G59" s="8" t="s">
        <x:v>6159</x:v>
      </x:c>
      <x:c r="H59" s="8" t="s">
        <x:v>6159</x:v>
      </x:c>
      <x:c r="I59" s="8" t="s">
        <x:v>30</x:v>
      </x:c>
      <x:c r="J59" s="8" t="s">
        <x:v>30</x:v>
      </x:c>
      <x:c r="K59" s="8" t="s">
        <x:v>30</x:v>
      </x:c>
      <x:c r="L59" s="8" t="s">
        <x:v>30</x:v>
      </x:c>
      <x:c r="M59" s="8" t="s">
        <x:v>30</x:v>
      </x:c>
      <x:c r="N59" s="8" t="s">
        <x:v>30</x:v>
      </x:c>
      <x:c r="O59" s="8" t="s">
        <x:v>30</x:v>
      </x:c>
      <x:c r="P59" s="8" t="s">
        <x:v>30</x:v>
      </x:c>
      <x:c r="Q59" s="8" t="s">
        <x:v>30</x:v>
      </x:c>
      <x:c r="R59" s="8" t="s">
        <x:v>30</x:v>
      </x:c>
      <x:c r="S59" s="8" t="s">
        <x:v>30</x:v>
      </x:c>
      <x:c r="T59" s="8" t="s">
        <x:v>30</x:v>
      </x:c>
      <x:c r="U59" s="8" t="s">
        <x:v>30</x:v>
      </x:c>
      <x:c r="V59" s="8" t="s">
        <x:v>30</x:v>
      </x:c>
      <x:c r="W59" s="8" t="s">
        <x:v>30</x:v>
      </x:c>
      <x:c r="X59" s="8" t="s">
        <x:v>30</x:v>
      </x:c>
      <x:c r="Y59" s="8" t="s">
        <x:v>30</x:v>
      </x:c>
      <x:c r="Z59" s="8" t="s">
        <x:v>30</x:v>
      </x:c>
      <x:c r="AA59" s="8" t="s">
        <x:v>30</x:v>
      </x:c>
      <x:c r="AB59" s="8" t="s">
        <x:v>30</x:v>
      </x:c>
      <x:c r="AC59" s="8" t="s">
        <x:v>30</x:v>
      </x:c>
      <x:c r="AD59" s="8" t="s">
        <x:v>30</x:v>
      </x:c>
      <x:c r="AE59" s="8" t="s">
        <x:v>30</x:v>
      </x:c>
      <x:c r="AF59" s="8" t="s">
        <x:v>30</x:v>
      </x:c>
      <x:c r="AG59" s="8" t="s">
        <x:v>30</x:v>
      </x:c>
      <x:c r="AH59" s="8" t="s">
        <x:v>30</x:v>
      </x:c>
      <x:c r="AI59" s="8" t="s">
        <x:v>30</x:v>
      </x:c>
      <x:c r="AJ59" s="8" t="s">
        <x:v>30</x:v>
      </x:c>
      <x:c r="AK59" s="8" t="s">
        <x:v>30</x:v>
      </x:c>
      <x:c r="AL59" s="8" t="s">
        <x:v>6159</x:v>
      </x:c>
      <x:c r="AM59" s="8" t="s">
        <x:v>30</x:v>
      </x:c>
      <x:c r="AN59" s="8" t="s">
        <x:v>30</x:v>
      </x:c>
      <x:c r="AO59" s="8" t="s">
        <x:v>30</x:v>
      </x:c>
      <x:c r="AP59" s="8" t="s">
        <x:v>6159</x:v>
      </x:c>
      <x:c r="AQ59" s="8" t="s">
        <x:v>6159</x:v>
      </x:c>
      <x:c r="AR59" s="8" t="s">
        <x:v>30</x:v>
      </x:c>
      <x:c r="AS59" s="8" t="s">
        <x:v>30</x:v>
      </x:c>
      <x:c r="AT59" s="8" t="s">
        <x:v>30</x:v>
      </x:c>
      <x:c r="AU59" s="8" t="s">
        <x:v>30</x:v>
      </x:c>
    </x:row>
    <x:row r="60" ht="54.75" hidden="0" customHeight="1">
      <x:c r="A60" s="8" t="s">
        <x:v>3029</x:v>
      </x:c>
      <x:c r="B60" s="8" t="s">
        <x:v>6157</x:v>
      </x:c>
      <x:c r="C60" s="8" t="s">
        <x:v>30</x:v>
      </x:c>
      <x:c r="D60" s="8" t="s">
        <x:v>6159</x:v>
      </x:c>
      <x:c r="E60" s="8" t="s">
        <x:v>6159</x:v>
      </x:c>
      <x:c r="F60" s="8" t="s">
        <x:v>6159</x:v>
      </x:c>
      <x:c r="G60" s="8" t="s">
        <x:v>6159</x:v>
      </x:c>
      <x:c r="H60" s="8" t="s">
        <x:v>6159</x:v>
      </x:c>
      <x:c r="I60" s="8" t="s">
        <x:v>30</x:v>
      </x:c>
      <x:c r="J60" s="8" t="s">
        <x:v>30</x:v>
      </x:c>
      <x:c r="K60" s="8" t="s">
        <x:v>30</x:v>
      </x:c>
      <x:c r="L60" s="8" t="s">
        <x:v>30</x:v>
      </x:c>
      <x:c r="M60" s="8" t="s">
        <x:v>30</x:v>
      </x:c>
      <x:c r="N60" s="8" t="s">
        <x:v>30</x:v>
      </x:c>
      <x:c r="O60" s="8" t="s">
        <x:v>30</x:v>
      </x:c>
      <x:c r="P60" s="8" t="s">
        <x:v>30</x:v>
      </x:c>
      <x:c r="Q60" s="8" t="s">
        <x:v>30</x:v>
      </x:c>
      <x:c r="R60" s="8" t="s">
        <x:v>30</x:v>
      </x:c>
      <x:c r="S60" s="8" t="s">
        <x:v>30</x:v>
      </x:c>
      <x:c r="T60" s="8" t="s">
        <x:v>30</x:v>
      </x:c>
      <x:c r="U60" s="8" t="s">
        <x:v>30</x:v>
      </x:c>
      <x:c r="V60" s="8" t="s">
        <x:v>30</x:v>
      </x:c>
      <x:c r="W60" s="8" t="s">
        <x:v>30</x:v>
      </x:c>
      <x:c r="X60" s="8" t="s">
        <x:v>30</x:v>
      </x:c>
      <x:c r="Y60" s="8" t="s">
        <x:v>30</x:v>
      </x:c>
      <x:c r="Z60" s="8" t="s">
        <x:v>30</x:v>
      </x:c>
      <x:c r="AA60" s="8" t="s">
        <x:v>30</x:v>
      </x:c>
      <x:c r="AB60" s="8" t="s">
        <x:v>30</x:v>
      </x:c>
      <x:c r="AC60" s="8" t="s">
        <x:v>30</x:v>
      </x:c>
      <x:c r="AD60" s="8" t="s">
        <x:v>30</x:v>
      </x:c>
      <x:c r="AE60" s="8" t="s">
        <x:v>30</x:v>
      </x:c>
      <x:c r="AF60" s="8" t="s">
        <x:v>30</x:v>
      </x:c>
      <x:c r="AG60" s="8" t="s">
        <x:v>30</x:v>
      </x:c>
      <x:c r="AH60" s="8" t="s">
        <x:v>30</x:v>
      </x:c>
      <x:c r="AI60" s="8" t="s">
        <x:v>30</x:v>
      </x:c>
      <x:c r="AJ60" s="8" t="s">
        <x:v>30</x:v>
      </x:c>
      <x:c r="AK60" s="8" t="s">
        <x:v>30</x:v>
      </x:c>
      <x:c r="AL60" s="8" t="s">
        <x:v>30</x:v>
      </x:c>
      <x:c r="AM60" s="8" t="s">
        <x:v>30</x:v>
      </x:c>
      <x:c r="AN60" s="8" t="s">
        <x:v>30</x:v>
      </x:c>
      <x:c r="AO60" s="8" t="s">
        <x:v>30</x:v>
      </x:c>
      <x:c r="AP60" s="8" t="s">
        <x:v>30</x:v>
      </x:c>
      <x:c r="AQ60" s="8" t="s">
        <x:v>30</x:v>
      </x:c>
      <x:c r="AR60" s="8" t="s">
        <x:v>30</x:v>
      </x:c>
      <x:c r="AS60" s="8" t="s">
        <x:v>30</x:v>
      </x:c>
      <x:c r="AT60" s="8" t="s">
        <x:v>30</x:v>
      </x:c>
      <x:c r="AU60" s="8" t="s">
        <x:v>30</x:v>
      </x:c>
    </x:row>
    <x:row r="61" ht="54.75" hidden="0" customHeight="1">
      <x:c r="A61" s="8" t="s">
        <x:v>3064</x:v>
      </x:c>
      <x:c r="B61" s="8" t="s">
        <x:v>6157</x:v>
      </x:c>
      <x:c r="C61" s="8" t="s">
        <x:v>30</x:v>
      </x:c>
      <x:c r="D61" s="8" t="s">
        <x:v>6159</x:v>
      </x:c>
      <x:c r="E61" s="8" t="s">
        <x:v>6159</x:v>
      </x:c>
      <x:c r="F61" s="8" t="s">
        <x:v>30</x:v>
      </x:c>
      <x:c r="G61" s="8" t="s">
        <x:v>6159</x:v>
      </x:c>
      <x:c r="H61" s="8" t="s">
        <x:v>6159</x:v>
      </x:c>
      <x:c r="I61" s="8" t="s">
        <x:v>30</x:v>
      </x:c>
      <x:c r="J61" s="8" t="s">
        <x:v>30</x:v>
      </x:c>
      <x:c r="K61" s="8" t="s">
        <x:v>30</x:v>
      </x:c>
      <x:c r="L61" s="8" t="s">
        <x:v>30</x:v>
      </x:c>
      <x:c r="M61" s="8" t="s">
        <x:v>30</x:v>
      </x:c>
      <x:c r="N61" s="8" t="s">
        <x:v>30</x:v>
      </x:c>
      <x:c r="O61" s="8" t="s">
        <x:v>30</x:v>
      </x:c>
      <x:c r="P61" s="8" t="s">
        <x:v>30</x:v>
      </x:c>
      <x:c r="Q61" s="8" t="s">
        <x:v>30</x:v>
      </x:c>
      <x:c r="R61" s="8" t="s">
        <x:v>30</x:v>
      </x:c>
      <x:c r="S61" s="8" t="s">
        <x:v>30</x:v>
      </x:c>
      <x:c r="T61" s="8" t="s">
        <x:v>30</x:v>
      </x:c>
      <x:c r="U61" s="8" t="s">
        <x:v>30</x:v>
      </x:c>
      <x:c r="V61" s="8" t="s">
        <x:v>30</x:v>
      </x:c>
      <x:c r="W61" s="8" t="s">
        <x:v>30</x:v>
      </x:c>
      <x:c r="X61" s="8" t="s">
        <x:v>30</x:v>
      </x:c>
      <x:c r="Y61" s="8" t="s">
        <x:v>30</x:v>
      </x:c>
      <x:c r="Z61" s="8" t="s">
        <x:v>30</x:v>
      </x:c>
      <x:c r="AA61" s="8" t="s">
        <x:v>30</x:v>
      </x:c>
      <x:c r="AB61" s="8" t="s">
        <x:v>30</x:v>
      </x:c>
      <x:c r="AC61" s="8" t="s">
        <x:v>30</x:v>
      </x:c>
      <x:c r="AD61" s="8" t="s">
        <x:v>30</x:v>
      </x:c>
      <x:c r="AE61" s="8" t="s">
        <x:v>30</x:v>
      </x:c>
      <x:c r="AF61" s="8" t="s">
        <x:v>30</x:v>
      </x:c>
      <x:c r="AG61" s="8" t="s">
        <x:v>30</x:v>
      </x:c>
      <x:c r="AH61" s="8" t="s">
        <x:v>30</x:v>
      </x:c>
      <x:c r="AI61" s="8" t="s">
        <x:v>30</x:v>
      </x:c>
      <x:c r="AJ61" s="8" t="s">
        <x:v>30</x:v>
      </x:c>
      <x:c r="AK61" s="8" t="s">
        <x:v>30</x:v>
      </x:c>
      <x:c r="AL61" s="8" t="s">
        <x:v>6159</x:v>
      </x:c>
      <x:c r="AM61" s="8" t="s">
        <x:v>30</x:v>
      </x:c>
      <x:c r="AN61" s="8" t="s">
        <x:v>30</x:v>
      </x:c>
      <x:c r="AO61" s="8" t="s">
        <x:v>30</x:v>
      </x:c>
      <x:c r="AP61" s="8" t="s">
        <x:v>30</x:v>
      </x:c>
      <x:c r="AQ61" s="8" t="s">
        <x:v>6159</x:v>
      </x:c>
      <x:c r="AR61" s="8" t="s">
        <x:v>30</x:v>
      </x:c>
      <x:c r="AS61" s="8" t="s">
        <x:v>30</x:v>
      </x:c>
      <x:c r="AT61" s="8" t="s">
        <x:v>30</x:v>
      </x:c>
      <x:c r="AU61" s="8" t="s">
        <x:v>30</x:v>
      </x:c>
    </x:row>
    <x:row r="62" ht="54.75" hidden="0" customHeight="1">
      <x:c r="A62" s="8" t="s">
        <x:v>2344</x:v>
      </x:c>
      <x:c r="B62" s="8" t="s">
        <x:v>6157</x:v>
      </x:c>
      <x:c r="C62" s="8" t="s">
        <x:v>30</x:v>
      </x:c>
      <x:c r="D62" s="8" t="s">
        <x:v>6159</x:v>
      </x:c>
      <x:c r="E62" s="8" t="s">
        <x:v>6159</x:v>
      </x:c>
      <x:c r="F62" s="8" t="s">
        <x:v>30</x:v>
      </x:c>
      <x:c r="G62" s="8" t="s">
        <x:v>6159</x:v>
      </x:c>
      <x:c r="H62" s="8" t="s">
        <x:v>30</x:v>
      </x:c>
      <x:c r="I62" s="8" t="s">
        <x:v>30</x:v>
      </x:c>
      <x:c r="J62" s="8" t="s">
        <x:v>30</x:v>
      </x:c>
      <x:c r="K62" s="8" t="s">
        <x:v>30</x:v>
      </x:c>
      <x:c r="L62" s="8" t="s">
        <x:v>30</x:v>
      </x:c>
      <x:c r="M62" s="8" t="s">
        <x:v>30</x:v>
      </x:c>
      <x:c r="N62" s="8" t="s">
        <x:v>30</x:v>
      </x:c>
      <x:c r="O62" s="8" t="s">
        <x:v>30</x:v>
      </x:c>
      <x:c r="P62" s="8" t="s">
        <x:v>30</x:v>
      </x:c>
      <x:c r="Q62" s="8" t="s">
        <x:v>30</x:v>
      </x:c>
      <x:c r="R62" s="8" t="s">
        <x:v>6159</x:v>
      </x:c>
      <x:c r="S62" s="8" t="s">
        <x:v>6159</x:v>
      </x:c>
      <x:c r="T62" s="8" t="s">
        <x:v>30</x:v>
      </x:c>
      <x:c r="U62" s="8" t="s">
        <x:v>6159</x:v>
      </x:c>
      <x:c r="V62" s="8" t="s">
        <x:v>6159</x:v>
      </x:c>
      <x:c r="W62" s="8" t="s">
        <x:v>6159</x:v>
      </x:c>
      <x:c r="X62" s="8" t="s">
        <x:v>6159</x:v>
      </x:c>
      <x:c r="Y62" s="8" t="s">
        <x:v>30</x:v>
      </x:c>
      <x:c r="Z62" s="8" t="s">
        <x:v>30</x:v>
      </x:c>
      <x:c r="AA62" s="8" t="s">
        <x:v>30</x:v>
      </x:c>
      <x:c r="AB62" s="8" t="s">
        <x:v>6159</x:v>
      </x:c>
      <x:c r="AC62" s="8" t="s">
        <x:v>30</x:v>
      </x:c>
      <x:c r="AD62" s="8" t="s">
        <x:v>30</x:v>
      </x:c>
      <x:c r="AE62" s="8" t="s">
        <x:v>30</x:v>
      </x:c>
      <x:c r="AF62" s="8" t="s">
        <x:v>30</x:v>
      </x:c>
      <x:c r="AG62" s="8" t="s">
        <x:v>30</x:v>
      </x:c>
      <x:c r="AH62" s="8" t="s">
        <x:v>30</x:v>
      </x:c>
      <x:c r="AI62" s="8" t="s">
        <x:v>30</x:v>
      </x:c>
      <x:c r="AJ62" s="8" t="s">
        <x:v>30</x:v>
      </x:c>
      <x:c r="AK62" s="8" t="s">
        <x:v>30</x:v>
      </x:c>
      <x:c r="AL62" s="8" t="s">
        <x:v>30</x:v>
      </x:c>
      <x:c r="AM62" s="8" t="s">
        <x:v>30</x:v>
      </x:c>
      <x:c r="AN62" s="8" t="s">
        <x:v>6159</x:v>
      </x:c>
      <x:c r="AO62" s="8" t="s">
        <x:v>6159</x:v>
      </x:c>
      <x:c r="AP62" s="8" t="s">
        <x:v>30</x:v>
      </x:c>
      <x:c r="AQ62" s="8" t="s">
        <x:v>30</x:v>
      </x:c>
      <x:c r="AR62" s="8" t="s">
        <x:v>30</x:v>
      </x:c>
      <x:c r="AS62" s="8" t="s">
        <x:v>30</x:v>
      </x:c>
      <x:c r="AT62" s="8" t="s">
        <x:v>30</x:v>
      </x:c>
      <x:c r="AU62" s="8" t="s">
        <x:v>30</x:v>
      </x:c>
    </x:row>
    <x:row r="63" ht="54.75" hidden="0" customHeight="1">
      <x:c r="A63" s="8" t="s">
        <x:v>3375</x:v>
      </x:c>
      <x:c r="B63" s="8" t="s">
        <x:v>6157</x:v>
      </x:c>
      <x:c r="C63" s="8" t="s">
        <x:v>30</x:v>
      </x:c>
      <x:c r="D63" s="8" t="s">
        <x:v>6159</x:v>
      </x:c>
      <x:c r="E63" s="8" t="s">
        <x:v>6159</x:v>
      </x:c>
      <x:c r="F63" s="8" t="s">
        <x:v>6159</x:v>
      </x:c>
      <x:c r="G63" s="8" t="s">
        <x:v>6159</x:v>
      </x:c>
      <x:c r="H63" s="8" t="s">
        <x:v>6159</x:v>
      </x:c>
      <x:c r="I63" s="8" t="s">
        <x:v>30</x:v>
      </x:c>
      <x:c r="J63" s="8" t="s">
        <x:v>30</x:v>
      </x:c>
      <x:c r="K63" s="8" t="s">
        <x:v>6159</x:v>
      </x:c>
      <x:c r="L63" s="8" t="s">
        <x:v>30</x:v>
      </x:c>
      <x:c r="M63" s="8" t="s">
        <x:v>6159</x:v>
      </x:c>
      <x:c r="N63" s="8" t="s">
        <x:v>30</x:v>
      </x:c>
      <x:c r="O63" s="8" t="s">
        <x:v>6159</x:v>
      </x:c>
      <x:c r="P63" s="8" t="s">
        <x:v>30</x:v>
      </x:c>
      <x:c r="Q63" s="8" t="s">
        <x:v>30</x:v>
      </x:c>
      <x:c r="R63" s="8" t="s">
        <x:v>30</x:v>
      </x:c>
      <x:c r="S63" s="8" t="s">
        <x:v>6159</x:v>
      </x:c>
      <x:c r="T63" s="8" t="s">
        <x:v>30</x:v>
      </x:c>
      <x:c r="U63" s="8" t="s">
        <x:v>30</x:v>
      </x:c>
      <x:c r="V63" s="8" t="s">
        <x:v>6159</x:v>
      </x:c>
      <x:c r="W63" s="8" t="s">
        <x:v>30</x:v>
      </x:c>
      <x:c r="X63" s="8" t="s">
        <x:v>30</x:v>
      </x:c>
      <x:c r="Y63" s="8" t="s">
        <x:v>30</x:v>
      </x:c>
      <x:c r="Z63" s="8" t="s">
        <x:v>30</x:v>
      </x:c>
      <x:c r="AA63" s="8" t="s">
        <x:v>30</x:v>
      </x:c>
      <x:c r="AB63" s="8" t="s">
        <x:v>6159</x:v>
      </x:c>
      <x:c r="AC63" s="8" t="s">
        <x:v>30</x:v>
      </x:c>
      <x:c r="AD63" s="8" t="s">
        <x:v>30</x:v>
      </x:c>
      <x:c r="AE63" s="8" t="s">
        <x:v>30</x:v>
      </x:c>
      <x:c r="AF63" s="8" t="s">
        <x:v>30</x:v>
      </x:c>
      <x:c r="AG63" s="8" t="s">
        <x:v>30</x:v>
      </x:c>
      <x:c r="AH63" s="8" t="s">
        <x:v>30</x:v>
      </x:c>
      <x:c r="AI63" s="8" t="s">
        <x:v>30</x:v>
      </x:c>
      <x:c r="AJ63" s="8" t="s">
        <x:v>30</x:v>
      </x:c>
      <x:c r="AK63" s="8" t="s">
        <x:v>30</x:v>
      </x:c>
      <x:c r="AL63" s="8" t="s">
        <x:v>30</x:v>
      </x:c>
      <x:c r="AM63" s="8" t="s">
        <x:v>30</x:v>
      </x:c>
      <x:c r="AN63" s="8" t="s">
        <x:v>30</x:v>
      </x:c>
      <x:c r="AO63" s="8" t="s">
        <x:v>30</x:v>
      </x:c>
      <x:c r="AP63" s="8" t="s">
        <x:v>30</x:v>
      </x:c>
      <x:c r="AQ63" s="8" t="s">
        <x:v>30</x:v>
      </x:c>
      <x:c r="AR63" s="8" t="s">
        <x:v>30</x:v>
      </x:c>
      <x:c r="AS63" s="8" t="s">
        <x:v>30</x:v>
      </x:c>
      <x:c r="AT63" s="8" t="s">
        <x:v>30</x:v>
      </x:c>
      <x:c r="AU63" s="8" t="s">
        <x:v>30</x:v>
      </x:c>
    </x:row>
    <x:row r="64" ht="54.75" hidden="0" customHeight="1">
      <x:c r="A64" s="8" t="s">
        <x:v>3106</x:v>
      </x:c>
      <x:c r="B64" s="8" t="s">
        <x:v>6157</x:v>
      </x:c>
      <x:c r="C64" s="8" t="s">
        <x:v>30</x:v>
      </x:c>
      <x:c r="D64" s="8" t="s">
        <x:v>6159</x:v>
      </x:c>
      <x:c r="E64" s="8" t="s">
        <x:v>30</x:v>
      </x:c>
      <x:c r="F64" s="8" t="s">
        <x:v>30</x:v>
      </x:c>
      <x:c r="G64" s="8" t="s">
        <x:v>6159</x:v>
      </x:c>
      <x:c r="H64" s="8" t="s">
        <x:v>30</x:v>
      </x:c>
      <x:c r="I64" s="8" t="s">
        <x:v>30</x:v>
      </x:c>
      <x:c r="J64" s="8" t="s">
        <x:v>30</x:v>
      </x:c>
      <x:c r="K64" s="8" t="s">
        <x:v>30</x:v>
      </x:c>
      <x:c r="L64" s="8" t="s">
        <x:v>30</x:v>
      </x:c>
      <x:c r="M64" s="8" t="s">
        <x:v>30</x:v>
      </x:c>
      <x:c r="N64" s="8" t="s">
        <x:v>30</x:v>
      </x:c>
      <x:c r="O64" s="8" t="s">
        <x:v>30</x:v>
      </x:c>
      <x:c r="P64" s="8" t="s">
        <x:v>30</x:v>
      </x:c>
      <x:c r="Q64" s="8" t="s">
        <x:v>30</x:v>
      </x:c>
      <x:c r="R64" s="8" t="s">
        <x:v>30</x:v>
      </x:c>
      <x:c r="S64" s="8" t="s">
        <x:v>30</x:v>
      </x:c>
      <x:c r="T64" s="8" t="s">
        <x:v>30</x:v>
      </x:c>
      <x:c r="U64" s="8" t="s">
        <x:v>30</x:v>
      </x:c>
      <x:c r="V64" s="8" t="s">
        <x:v>30</x:v>
      </x:c>
      <x:c r="W64" s="8" t="s">
        <x:v>6159</x:v>
      </x:c>
      <x:c r="X64" s="8" t="s">
        <x:v>30</x:v>
      </x:c>
      <x:c r="Y64" s="8" t="s">
        <x:v>30</x:v>
      </x:c>
      <x:c r="Z64" s="8" t="s">
        <x:v>30</x:v>
      </x:c>
      <x:c r="AA64" s="8" t="s">
        <x:v>30</x:v>
      </x:c>
      <x:c r="AB64" s="8" t="s">
        <x:v>30</x:v>
      </x:c>
      <x:c r="AC64" s="8" t="s">
        <x:v>30</x:v>
      </x:c>
      <x:c r="AD64" s="8" t="s">
        <x:v>30</x:v>
      </x:c>
      <x:c r="AE64" s="8" t="s">
        <x:v>30</x:v>
      </x:c>
      <x:c r="AF64" s="8" t="s">
        <x:v>30</x:v>
      </x:c>
      <x:c r="AG64" s="8" t="s">
        <x:v>30</x:v>
      </x:c>
      <x:c r="AH64" s="8" t="s">
        <x:v>30</x:v>
      </x:c>
      <x:c r="AI64" s="8" t="s">
        <x:v>30</x:v>
      </x:c>
      <x:c r="AJ64" s="8" t="s">
        <x:v>30</x:v>
      </x:c>
      <x:c r="AK64" s="8" t="s">
        <x:v>30</x:v>
      </x:c>
      <x:c r="AL64" s="8" t="s">
        <x:v>30</x:v>
      </x:c>
      <x:c r="AM64" s="8" t="s">
        <x:v>6159</x:v>
      </x:c>
      <x:c r="AN64" s="8" t="s">
        <x:v>6159</x:v>
      </x:c>
      <x:c r="AO64" s="8" t="s">
        <x:v>6159</x:v>
      </x:c>
      <x:c r="AP64" s="8" t="s">
        <x:v>6159</x:v>
      </x:c>
      <x:c r="AQ64" s="8" t="s">
        <x:v>6159</x:v>
      </x:c>
      <x:c r="AR64" s="8" t="s">
        <x:v>30</x:v>
      </x:c>
      <x:c r="AS64" s="8" t="s">
        <x:v>30</x:v>
      </x:c>
      <x:c r="AT64" s="8" t="s">
        <x:v>30</x:v>
      </x:c>
      <x:c r="AU64" s="8" t="s">
        <x:v>30</x:v>
      </x:c>
    </x:row>
    <x:row r="65" ht="54.75" hidden="0" customHeight="1">
      <x:c r="A65" s="8" t="s">
        <x:v>4068</x:v>
      </x:c>
      <x:c r="B65" s="8" t="s">
        <x:v>6157</x:v>
      </x:c>
      <x:c r="C65" s="8" t="s">
        <x:v>6159</x:v>
      </x:c>
      <x:c r="D65" s="8" t="s">
        <x:v>6159</x:v>
      </x:c>
      <x:c r="E65" s="8" t="s">
        <x:v>6159</x:v>
      </x:c>
      <x:c r="F65" s="8" t="s">
        <x:v>6159</x:v>
      </x:c>
      <x:c r="G65" s="8" t="s">
        <x:v>6159</x:v>
      </x:c>
      <x:c r="H65" s="8" t="s">
        <x:v>6159</x:v>
      </x:c>
      <x:c r="I65" s="8" t="s">
        <x:v>30</x:v>
      </x:c>
      <x:c r="J65" s="8" t="s">
        <x:v>30</x:v>
      </x:c>
      <x:c r="K65" s="8" t="s">
        <x:v>6159</x:v>
      </x:c>
      <x:c r="L65" s="8" t="s">
        <x:v>6159</x:v>
      </x:c>
      <x:c r="M65" s="8" t="s">
        <x:v>6159</x:v>
      </x:c>
      <x:c r="N65" s="8" t="s">
        <x:v>30</x:v>
      </x:c>
      <x:c r="O65" s="8" t="s">
        <x:v>6159</x:v>
      </x:c>
      <x:c r="P65" s="8" t="s">
        <x:v>30</x:v>
      </x:c>
      <x:c r="Q65" s="8" t="s">
        <x:v>30</x:v>
      </x:c>
      <x:c r="R65" s="8" t="s">
        <x:v>6159</x:v>
      </x:c>
      <x:c r="S65" s="8" t="s">
        <x:v>6159</x:v>
      </x:c>
      <x:c r="T65" s="8" t="s">
        <x:v>6159</x:v>
      </x:c>
      <x:c r="U65" s="8" t="s">
        <x:v>6159</x:v>
      </x:c>
      <x:c r="V65" s="8" t="s">
        <x:v>6159</x:v>
      </x:c>
      <x:c r="W65" s="8" t="s">
        <x:v>30</x:v>
      </x:c>
      <x:c r="X65" s="8" t="s">
        <x:v>30</x:v>
      </x:c>
      <x:c r="Y65" s="8" t="s">
        <x:v>6159</x:v>
      </x:c>
      <x:c r="Z65" s="8" t="s">
        <x:v>30</x:v>
      </x:c>
      <x:c r="AA65" s="8" t="s">
        <x:v>30</x:v>
      </x:c>
      <x:c r="AB65" s="8" t="s">
        <x:v>30</x:v>
      </x:c>
      <x:c r="AC65" s="8" t="s">
        <x:v>30</x:v>
      </x:c>
      <x:c r="AD65" s="8" t="s">
        <x:v>30</x:v>
      </x:c>
      <x:c r="AE65" s="8" t="s">
        <x:v>30</x:v>
      </x:c>
      <x:c r="AF65" s="8" t="s">
        <x:v>30</x:v>
      </x:c>
      <x:c r="AG65" s="8" t="s">
        <x:v>30</x:v>
      </x:c>
      <x:c r="AH65" s="8" t="s">
        <x:v>30</x:v>
      </x:c>
      <x:c r="AI65" s="8" t="s">
        <x:v>30</x:v>
      </x:c>
      <x:c r="AJ65" s="8" t="s">
        <x:v>30</x:v>
      </x:c>
      <x:c r="AK65" s="8" t="s">
        <x:v>30</x:v>
      </x:c>
      <x:c r="AL65" s="8" t="s">
        <x:v>30</x:v>
      </x:c>
      <x:c r="AM65" s="8" t="s">
        <x:v>30</x:v>
      </x:c>
      <x:c r="AN65" s="8" t="s">
        <x:v>30</x:v>
      </x:c>
      <x:c r="AO65" s="8" t="s">
        <x:v>30</x:v>
      </x:c>
      <x:c r="AP65" s="8" t="s">
        <x:v>6159</x:v>
      </x:c>
      <x:c r="AQ65" s="8" t="s">
        <x:v>6159</x:v>
      </x:c>
      <x:c r="AR65" s="8" t="s">
        <x:v>6159</x:v>
      </x:c>
      <x:c r="AS65" s="8" t="s">
        <x:v>6159</x:v>
      </x:c>
      <x:c r="AT65" s="8" t="s">
        <x:v>30</x:v>
      </x:c>
      <x:c r="AU65" s="8" t="s">
        <x:v>30</x:v>
      </x:c>
    </x:row>
    <x:row r="66" ht="54.75" hidden="0" customHeight="1">
      <x:c r="A66" s="8" t="s">
        <x:v>3600</x:v>
      </x:c>
      <x:c r="B66" s="8" t="s">
        <x:v>6157</x:v>
      </x:c>
      <x:c r="C66" s="8" t="s">
        <x:v>30</x:v>
      </x:c>
      <x:c r="D66" s="8" t="s">
        <x:v>6159</x:v>
      </x:c>
      <x:c r="E66" s="8" t="s">
        <x:v>30</x:v>
      </x:c>
      <x:c r="F66" s="8" t="s">
        <x:v>30</x:v>
      </x:c>
      <x:c r="G66" s="8" t="s">
        <x:v>30</x:v>
      </x:c>
      <x:c r="H66" s="8" t="s">
        <x:v>6159</x:v>
      </x:c>
      <x:c r="I66" s="8" t="s">
        <x:v>30</x:v>
      </x:c>
      <x:c r="J66" s="8" t="s">
        <x:v>30</x:v>
      </x:c>
      <x:c r="K66" s="8" t="s">
        <x:v>6159</x:v>
      </x:c>
      <x:c r="L66" s="8" t="s">
        <x:v>6159</x:v>
      </x:c>
      <x:c r="M66" s="8" t="s">
        <x:v>6159</x:v>
      </x:c>
      <x:c r="N66" s="8" t="s">
        <x:v>30</x:v>
      </x:c>
      <x:c r="O66" s="8" t="s">
        <x:v>6159</x:v>
      </x:c>
      <x:c r="P66" s="8" t="s">
        <x:v>30</x:v>
      </x:c>
      <x:c r="Q66" s="8" t="s">
        <x:v>30</x:v>
      </x:c>
      <x:c r="R66" s="8" t="s">
        <x:v>30</x:v>
      </x:c>
      <x:c r="S66" s="8" t="s">
        <x:v>30</x:v>
      </x:c>
      <x:c r="T66" s="8" t="s">
        <x:v>30</x:v>
      </x:c>
      <x:c r="U66" s="8" t="s">
        <x:v>6159</x:v>
      </x:c>
      <x:c r="V66" s="8" t="s">
        <x:v>6159</x:v>
      </x:c>
      <x:c r="W66" s="8" t="s">
        <x:v>30</x:v>
      </x:c>
      <x:c r="X66" s="8" t="s">
        <x:v>30</x:v>
      </x:c>
      <x:c r="Y66" s="8" t="s">
        <x:v>6159</x:v>
      </x:c>
      <x:c r="Z66" s="8" t="s">
        <x:v>30</x:v>
      </x:c>
      <x:c r="AA66" s="8" t="s">
        <x:v>30</x:v>
      </x:c>
      <x:c r="AB66" s="8" t="s">
        <x:v>30</x:v>
      </x:c>
      <x:c r="AC66" s="8" t="s">
        <x:v>6159</x:v>
      </x:c>
      <x:c r="AD66" s="8" t="s">
        <x:v>30</x:v>
      </x:c>
      <x:c r="AE66" s="8" t="s">
        <x:v>30</x:v>
      </x:c>
      <x:c r="AF66" s="8" t="s">
        <x:v>30</x:v>
      </x:c>
      <x:c r="AG66" s="8" t="s">
        <x:v>30</x:v>
      </x:c>
      <x:c r="AH66" s="8" t="s">
        <x:v>30</x:v>
      </x:c>
      <x:c r="AI66" s="8" t="s">
        <x:v>30</x:v>
      </x:c>
      <x:c r="AJ66" s="8" t="s">
        <x:v>30</x:v>
      </x:c>
      <x:c r="AK66" s="8" t="s">
        <x:v>30</x:v>
      </x:c>
      <x:c r="AL66" s="8" t="s">
        <x:v>30</x:v>
      </x:c>
      <x:c r="AM66" s="8" t="s">
        <x:v>30</x:v>
      </x:c>
      <x:c r="AN66" s="8" t="s">
        <x:v>6159</x:v>
      </x:c>
      <x:c r="AO66" s="8" t="s">
        <x:v>6159</x:v>
      </x:c>
      <x:c r="AP66" s="8" t="s">
        <x:v>6159</x:v>
      </x:c>
      <x:c r="AQ66" s="8" t="s">
        <x:v>30</x:v>
      </x:c>
      <x:c r="AR66" s="8" t="s">
        <x:v>30</x:v>
      </x:c>
      <x:c r="AS66" s="8" t="s">
        <x:v>30</x:v>
      </x:c>
      <x:c r="AT66" s="8" t="s">
        <x:v>30</x:v>
      </x:c>
      <x:c r="AU66" s="8" t="s">
        <x:v>30</x:v>
      </x:c>
    </x:row>
    <x:row r="67" ht="54.75" hidden="0" customHeight="1">
      <x:c r="A67" s="8" t="s">
        <x:v>2461</x:v>
      </x:c>
      <x:c r="B67" s="8" t="s">
        <x:v>6157</x:v>
      </x:c>
      <x:c r="C67" s="8" t="s">
        <x:v>30</x:v>
      </x:c>
      <x:c r="D67" s="8" t="s">
        <x:v>6159</x:v>
      </x:c>
      <x:c r="E67" s="8" t="s">
        <x:v>30</x:v>
      </x:c>
      <x:c r="F67" s="8" t="s">
        <x:v>30</x:v>
      </x:c>
      <x:c r="G67" s="8" t="s">
        <x:v>6159</x:v>
      </x:c>
      <x:c r="H67" s="8" t="s">
        <x:v>6159</x:v>
      </x:c>
      <x:c r="I67" s="8" t="s">
        <x:v>30</x:v>
      </x:c>
      <x:c r="J67" s="8" t="s">
        <x:v>30</x:v>
      </x:c>
      <x:c r="K67" s="8" t="s">
        <x:v>30</x:v>
      </x:c>
      <x:c r="L67" s="8" t="s">
        <x:v>30</x:v>
      </x:c>
      <x:c r="M67" s="8" t="s">
        <x:v>30</x:v>
      </x:c>
      <x:c r="N67" s="8" t="s">
        <x:v>30</x:v>
      </x:c>
      <x:c r="O67" s="8" t="s">
        <x:v>30</x:v>
      </x:c>
      <x:c r="P67" s="8" t="s">
        <x:v>30</x:v>
      </x:c>
      <x:c r="Q67" s="8" t="s">
        <x:v>30</x:v>
      </x:c>
      <x:c r="R67" s="8" t="s">
        <x:v>30</x:v>
      </x:c>
      <x:c r="S67" s="8" t="s">
        <x:v>30</x:v>
      </x:c>
      <x:c r="T67" s="8" t="s">
        <x:v>30</x:v>
      </x:c>
      <x:c r="U67" s="8" t="s">
        <x:v>30</x:v>
      </x:c>
      <x:c r="V67" s="8" t="s">
        <x:v>30</x:v>
      </x:c>
      <x:c r="W67" s="8" t="s">
        <x:v>30</x:v>
      </x:c>
      <x:c r="X67" s="8" t="s">
        <x:v>30</x:v>
      </x:c>
      <x:c r="Y67" s="8" t="s">
        <x:v>30</x:v>
      </x:c>
      <x:c r="Z67" s="8" t="s">
        <x:v>30</x:v>
      </x:c>
      <x:c r="AA67" s="8" t="s">
        <x:v>30</x:v>
      </x:c>
      <x:c r="AB67" s="8" t="s">
        <x:v>30</x:v>
      </x:c>
      <x:c r="AC67" s="8" t="s">
        <x:v>30</x:v>
      </x:c>
      <x:c r="AD67" s="8" t="s">
        <x:v>30</x:v>
      </x:c>
      <x:c r="AE67" s="8" t="s">
        <x:v>30</x:v>
      </x:c>
      <x:c r="AF67" s="8" t="s">
        <x:v>30</x:v>
      </x:c>
      <x:c r="AG67" s="8" t="s">
        <x:v>30</x:v>
      </x:c>
      <x:c r="AH67" s="8" t="s">
        <x:v>30</x:v>
      </x:c>
      <x:c r="AI67" s="8" t="s">
        <x:v>30</x:v>
      </x:c>
      <x:c r="AJ67" s="8" t="s">
        <x:v>30</x:v>
      </x:c>
      <x:c r="AK67" s="8" t="s">
        <x:v>30</x:v>
      </x:c>
      <x:c r="AL67" s="8" t="s">
        <x:v>30</x:v>
      </x:c>
      <x:c r="AM67" s="8" t="s">
        <x:v>30</x:v>
      </x:c>
      <x:c r="AN67" s="8" t="s">
        <x:v>30</x:v>
      </x:c>
      <x:c r="AO67" s="8" t="s">
        <x:v>30</x:v>
      </x:c>
      <x:c r="AP67" s="8" t="s">
        <x:v>6159</x:v>
      </x:c>
      <x:c r="AQ67" s="8" t="s">
        <x:v>30</x:v>
      </x:c>
      <x:c r="AR67" s="8" t="s">
        <x:v>6159</x:v>
      </x:c>
      <x:c r="AS67" s="8" t="s">
        <x:v>30</x:v>
      </x:c>
      <x:c r="AT67" s="8" t="s">
        <x:v>30</x:v>
      </x:c>
      <x:c r="AU67" s="8" t="s">
        <x:v>30</x:v>
      </x:c>
    </x:row>
    <x:row r="68" ht="54.75" hidden="0" customHeight="1">
      <x:c r="A68" s="8" t="s">
        <x:v>2492</x:v>
      </x:c>
      <x:c r="B68" s="8" t="s">
        <x:v>6157</x:v>
      </x:c>
      <x:c r="C68" s="8" t="s">
        <x:v>30</x:v>
      </x:c>
      <x:c r="D68" s="8" t="s">
        <x:v>6159</x:v>
      </x:c>
      <x:c r="E68" s="8" t="s">
        <x:v>30</x:v>
      </x:c>
      <x:c r="F68" s="8" t="s">
        <x:v>30</x:v>
      </x:c>
      <x:c r="G68" s="8" t="s">
        <x:v>30</x:v>
      </x:c>
      <x:c r="H68" s="8" t="s">
        <x:v>30</x:v>
      </x:c>
      <x:c r="I68" s="8" t="s">
        <x:v>30</x:v>
      </x:c>
      <x:c r="J68" s="8" t="s">
        <x:v>30</x:v>
      </x:c>
      <x:c r="K68" s="8" t="s">
        <x:v>30</x:v>
      </x:c>
      <x:c r="L68" s="8" t="s">
        <x:v>30</x:v>
      </x:c>
      <x:c r="M68" s="8" t="s">
        <x:v>30</x:v>
      </x:c>
      <x:c r="N68" s="8" t="s">
        <x:v>30</x:v>
      </x:c>
      <x:c r="O68" s="8" t="s">
        <x:v>30</x:v>
      </x:c>
      <x:c r="P68" s="8" t="s">
        <x:v>30</x:v>
      </x:c>
      <x:c r="Q68" s="8" t="s">
        <x:v>30</x:v>
      </x:c>
      <x:c r="R68" s="8" t="s">
        <x:v>30</x:v>
      </x:c>
      <x:c r="S68" s="8" t="s">
        <x:v>30</x:v>
      </x:c>
      <x:c r="T68" s="8" t="s">
        <x:v>30</x:v>
      </x:c>
      <x:c r="U68" s="8" t="s">
        <x:v>30</x:v>
      </x:c>
      <x:c r="V68" s="8" t="s">
        <x:v>30</x:v>
      </x:c>
      <x:c r="W68" s="8" t="s">
        <x:v>30</x:v>
      </x:c>
      <x:c r="X68" s="8" t="s">
        <x:v>30</x:v>
      </x:c>
      <x:c r="Y68" s="8" t="s">
        <x:v>30</x:v>
      </x:c>
      <x:c r="Z68" s="8" t="s">
        <x:v>30</x:v>
      </x:c>
      <x:c r="AA68" s="8" t="s">
        <x:v>30</x:v>
      </x:c>
      <x:c r="AB68" s="8" t="s">
        <x:v>30</x:v>
      </x:c>
      <x:c r="AC68" s="8" t="s">
        <x:v>30</x:v>
      </x:c>
      <x:c r="AD68" s="8" t="s">
        <x:v>30</x:v>
      </x:c>
      <x:c r="AE68" s="8" t="s">
        <x:v>30</x:v>
      </x:c>
      <x:c r="AF68" s="8" t="s">
        <x:v>30</x:v>
      </x:c>
      <x:c r="AG68" s="8" t="s">
        <x:v>30</x:v>
      </x:c>
      <x:c r="AH68" s="8" t="s">
        <x:v>30</x:v>
      </x:c>
      <x:c r="AI68" s="8" t="s">
        <x:v>30</x:v>
      </x:c>
      <x:c r="AJ68" s="8" t="s">
        <x:v>30</x:v>
      </x:c>
      <x:c r="AK68" s="8" t="s">
        <x:v>30</x:v>
      </x:c>
      <x:c r="AL68" s="8" t="s">
        <x:v>30</x:v>
      </x:c>
      <x:c r="AM68" s="8" t="s">
        <x:v>30</x:v>
      </x:c>
      <x:c r="AN68" s="8" t="s">
        <x:v>30</x:v>
      </x:c>
      <x:c r="AO68" s="8" t="s">
        <x:v>30</x:v>
      </x:c>
      <x:c r="AP68" s="8" t="s">
        <x:v>6159</x:v>
      </x:c>
      <x:c r="AQ68" s="8" t="s">
        <x:v>30</x:v>
      </x:c>
      <x:c r="AR68" s="8" t="s">
        <x:v>6159</x:v>
      </x:c>
      <x:c r="AS68" s="8" t="s">
        <x:v>30</x:v>
      </x:c>
      <x:c r="AT68" s="8" t="s">
        <x:v>6159</x:v>
      </x:c>
      <x:c r="AU68" s="8" t="s">
        <x:v>30</x:v>
      </x:c>
    </x:row>
    <x:row r="69" ht="54.75" hidden="0" customHeight="1">
      <x:c r="A69" s="8" t="s">
        <x:v>2517</x:v>
      </x:c>
      <x:c r="B69" s="8" t="s">
        <x:v>6158</x:v>
      </x:c>
      <x:c r="C69" s="8" t="s">
        <x:v>30</x:v>
      </x:c>
      <x:c r="D69" s="8" t="s">
        <x:v>6159</x:v>
      </x:c>
      <x:c r="E69" s="8" t="s">
        <x:v>30</x:v>
      </x:c>
      <x:c r="F69" s="8" t="s">
        <x:v>30</x:v>
      </x:c>
      <x:c r="G69" s="8" t="s">
        <x:v>6159</x:v>
      </x:c>
      <x:c r="H69" s="8" t="s">
        <x:v>6159</x:v>
      </x:c>
      <x:c r="I69" s="8" t="s">
        <x:v>30</x:v>
      </x:c>
      <x:c r="J69" s="8" t="s">
        <x:v>30</x:v>
      </x:c>
      <x:c r="K69" s="8" t="s">
        <x:v>30</x:v>
      </x:c>
      <x:c r="L69" s="8" t="s">
        <x:v>30</x:v>
      </x:c>
      <x:c r="M69" s="8" t="s">
        <x:v>30</x:v>
      </x:c>
      <x:c r="N69" s="8" t="s">
        <x:v>30</x:v>
      </x:c>
      <x:c r="O69" s="8" t="s">
        <x:v>30</x:v>
      </x:c>
      <x:c r="P69" s="8" t="s">
        <x:v>30</x:v>
      </x:c>
      <x:c r="Q69" s="8" t="s">
        <x:v>30</x:v>
      </x:c>
      <x:c r="R69" s="8" t="s">
        <x:v>30</x:v>
      </x:c>
      <x:c r="S69" s="8" t="s">
        <x:v>30</x:v>
      </x:c>
      <x:c r="T69" s="8" t="s">
        <x:v>30</x:v>
      </x:c>
      <x:c r="U69" s="8" t="s">
        <x:v>30</x:v>
      </x:c>
      <x:c r="V69" s="8" t="s">
        <x:v>30</x:v>
      </x:c>
      <x:c r="W69" s="8" t="s">
        <x:v>30</x:v>
      </x:c>
      <x:c r="X69" s="8" t="s">
        <x:v>30</x:v>
      </x:c>
      <x:c r="Y69" s="8" t="s">
        <x:v>30</x:v>
      </x:c>
      <x:c r="Z69" s="8" t="s">
        <x:v>30</x:v>
      </x:c>
      <x:c r="AA69" s="8" t="s">
        <x:v>30</x:v>
      </x:c>
      <x:c r="AB69" s="8" t="s">
        <x:v>30</x:v>
      </x:c>
      <x:c r="AC69" s="8" t="s">
        <x:v>30</x:v>
      </x:c>
      <x:c r="AD69" s="8" t="s">
        <x:v>30</x:v>
      </x:c>
      <x:c r="AE69" s="8" t="s">
        <x:v>30</x:v>
      </x:c>
      <x:c r="AF69" s="8" t="s">
        <x:v>30</x:v>
      </x:c>
      <x:c r="AG69" s="8" t="s">
        <x:v>30</x:v>
      </x:c>
      <x:c r="AH69" s="8" t="s">
        <x:v>30</x:v>
      </x:c>
      <x:c r="AI69" s="8" t="s">
        <x:v>30</x:v>
      </x:c>
      <x:c r="AJ69" s="8" t="s">
        <x:v>30</x:v>
      </x:c>
      <x:c r="AK69" s="8" t="s">
        <x:v>30</x:v>
      </x:c>
      <x:c r="AL69" s="8" t="s">
        <x:v>30</x:v>
      </x:c>
      <x:c r="AM69" s="8" t="s">
        <x:v>30</x:v>
      </x:c>
      <x:c r="AN69" s="8" t="s">
        <x:v>30</x:v>
      </x:c>
      <x:c r="AO69" s="8" t="s">
        <x:v>30</x:v>
      </x:c>
      <x:c r="AP69" s="8" t="s">
        <x:v>6159</x:v>
      </x:c>
      <x:c r="AQ69" s="8" t="s">
        <x:v>30</x:v>
      </x:c>
      <x:c r="AR69" s="8" t="s">
        <x:v>6159</x:v>
      </x:c>
      <x:c r="AS69" s="8" t="s">
        <x:v>30</x:v>
      </x:c>
      <x:c r="AT69" s="8" t="s">
        <x:v>30</x:v>
      </x:c>
      <x:c r="AU69" s="8" t="s">
        <x:v>30</x:v>
      </x:c>
    </x:row>
    <x:row r="70" ht="54.75" hidden="0" customHeight="1">
      <x:c r="A70" s="8" t="s">
        <x:v>2390</x:v>
      </x:c>
      <x:c r="B70" s="8" t="s">
        <x:v>6157</x:v>
      </x:c>
      <x:c r="C70" s="8" t="s">
        <x:v>30</x:v>
      </x:c>
      <x:c r="D70" s="8" t="s">
        <x:v>6159</x:v>
      </x:c>
      <x:c r="E70" s="8" t="s">
        <x:v>30</x:v>
      </x:c>
      <x:c r="F70" s="8" t="s">
        <x:v>30</x:v>
      </x:c>
      <x:c r="G70" s="8" t="s">
        <x:v>6159</x:v>
      </x:c>
      <x:c r="H70" s="8" t="s">
        <x:v>6159</x:v>
      </x:c>
      <x:c r="I70" s="8" t="s">
        <x:v>30</x:v>
      </x:c>
      <x:c r="J70" s="8" t="s">
        <x:v>30</x:v>
      </x:c>
      <x:c r="K70" s="8" t="s">
        <x:v>30</x:v>
      </x:c>
      <x:c r="L70" s="8" t="s">
        <x:v>30</x:v>
      </x:c>
      <x:c r="M70" s="8" t="s">
        <x:v>30</x:v>
      </x:c>
      <x:c r="N70" s="8" t="s">
        <x:v>30</x:v>
      </x:c>
      <x:c r="O70" s="8" t="s">
        <x:v>6159</x:v>
      </x:c>
      <x:c r="P70" s="8" t="s">
        <x:v>30</x:v>
      </x:c>
      <x:c r="Q70" s="8" t="s">
        <x:v>30</x:v>
      </x:c>
      <x:c r="R70" s="8" t="s">
        <x:v>6159</x:v>
      </x:c>
      <x:c r="S70" s="8" t="s">
        <x:v>6159</x:v>
      </x:c>
      <x:c r="T70" s="8" t="s">
        <x:v>30</x:v>
      </x:c>
      <x:c r="U70" s="8" t="s">
        <x:v>6159</x:v>
      </x:c>
      <x:c r="V70" s="8" t="s">
        <x:v>30</x:v>
      </x:c>
      <x:c r="W70" s="8" t="s">
        <x:v>30</x:v>
      </x:c>
      <x:c r="X70" s="8" t="s">
        <x:v>30</x:v>
      </x:c>
      <x:c r="Y70" s="8" t="s">
        <x:v>30</x:v>
      </x:c>
      <x:c r="Z70" s="8" t="s">
        <x:v>30</x:v>
      </x:c>
      <x:c r="AA70" s="8" t="s">
        <x:v>30</x:v>
      </x:c>
      <x:c r="AB70" s="8" t="s">
        <x:v>6159</x:v>
      </x:c>
      <x:c r="AC70" s="8" t="s">
        <x:v>30</x:v>
      </x:c>
      <x:c r="AD70" s="8" t="s">
        <x:v>30</x:v>
      </x:c>
      <x:c r="AE70" s="8" t="s">
        <x:v>30</x:v>
      </x:c>
      <x:c r="AF70" s="8" t="s">
        <x:v>30</x:v>
      </x:c>
      <x:c r="AG70" s="8" t="s">
        <x:v>30</x:v>
      </x:c>
      <x:c r="AH70" s="8" t="s">
        <x:v>30</x:v>
      </x:c>
      <x:c r="AI70" s="8" t="s">
        <x:v>30</x:v>
      </x:c>
      <x:c r="AJ70" s="8" t="s">
        <x:v>30</x:v>
      </x:c>
      <x:c r="AK70" s="8" t="s">
        <x:v>30</x:v>
      </x:c>
      <x:c r="AL70" s="8" t="s">
        <x:v>30</x:v>
      </x:c>
      <x:c r="AM70" s="8" t="s">
        <x:v>30</x:v>
      </x:c>
      <x:c r="AN70" s="8" t="s">
        <x:v>30</x:v>
      </x:c>
      <x:c r="AO70" s="8" t="s">
        <x:v>6159</x:v>
      </x:c>
      <x:c r="AP70" s="8" t="s">
        <x:v>6159</x:v>
      </x:c>
      <x:c r="AQ70" s="8" t="s">
        <x:v>6159</x:v>
      </x:c>
      <x:c r="AR70" s="8" t="s">
        <x:v>6159</x:v>
      </x:c>
      <x:c r="AS70" s="8" t="s">
        <x:v>30</x:v>
      </x:c>
      <x:c r="AT70" s="8" t="s">
        <x:v>30</x:v>
      </x:c>
      <x:c r="AU70" s="8" t="s">
        <x:v>6159</x:v>
      </x:c>
    </x:row>
    <x:row r="71" ht="54.75" hidden="0" customHeight="1">
      <x:c r="A71" s="8" t="s">
        <x:v>3163</x:v>
      </x:c>
      <x:c r="B71" s="8" t="s">
        <x:v>6157</x:v>
      </x:c>
      <x:c r="C71" s="8" t="s">
        <x:v>30</x:v>
      </x:c>
      <x:c r="D71" s="8" t="s">
        <x:v>6159</x:v>
      </x:c>
      <x:c r="E71" s="8" t="s">
        <x:v>6159</x:v>
      </x:c>
      <x:c r="F71" s="8" t="s">
        <x:v>30</x:v>
      </x:c>
      <x:c r="G71" s="8" t="s">
        <x:v>6159</x:v>
      </x:c>
      <x:c r="H71" s="8" t="s">
        <x:v>6159</x:v>
      </x:c>
      <x:c r="I71" s="8" t="s">
        <x:v>30</x:v>
      </x:c>
      <x:c r="J71" s="8" t="s">
        <x:v>30</x:v>
      </x:c>
      <x:c r="K71" s="8" t="s">
        <x:v>30</x:v>
      </x:c>
      <x:c r="L71" s="8" t="s">
        <x:v>30</x:v>
      </x:c>
      <x:c r="M71" s="8" t="s">
        <x:v>30</x:v>
      </x:c>
      <x:c r="N71" s="8" t="s">
        <x:v>30</x:v>
      </x:c>
      <x:c r="O71" s="8" t="s">
        <x:v>30</x:v>
      </x:c>
      <x:c r="P71" s="8" t="s">
        <x:v>30</x:v>
      </x:c>
      <x:c r="Q71" s="8" t="s">
        <x:v>30</x:v>
      </x:c>
      <x:c r="R71" s="8" t="s">
        <x:v>30</x:v>
      </x:c>
      <x:c r="S71" s="8" t="s">
        <x:v>30</x:v>
      </x:c>
      <x:c r="T71" s="8" t="s">
        <x:v>30</x:v>
      </x:c>
      <x:c r="U71" s="8" t="s">
        <x:v>30</x:v>
      </x:c>
      <x:c r="V71" s="8" t="s">
        <x:v>30</x:v>
      </x:c>
      <x:c r="W71" s="8" t="s">
        <x:v>30</x:v>
      </x:c>
      <x:c r="X71" s="8" t="s">
        <x:v>30</x:v>
      </x:c>
      <x:c r="Y71" s="8" t="s">
        <x:v>30</x:v>
      </x:c>
      <x:c r="Z71" s="8" t="s">
        <x:v>30</x:v>
      </x:c>
      <x:c r="AA71" s="8" t="s">
        <x:v>30</x:v>
      </x:c>
      <x:c r="AB71" s="8" t="s">
        <x:v>30</x:v>
      </x:c>
      <x:c r="AC71" s="8" t="s">
        <x:v>30</x:v>
      </x:c>
      <x:c r="AD71" s="8" t="s">
        <x:v>30</x:v>
      </x:c>
      <x:c r="AE71" s="8" t="s">
        <x:v>30</x:v>
      </x:c>
      <x:c r="AF71" s="8" t="s">
        <x:v>30</x:v>
      </x:c>
      <x:c r="AG71" s="8" t="s">
        <x:v>30</x:v>
      </x:c>
      <x:c r="AH71" s="8" t="s">
        <x:v>30</x:v>
      </x:c>
      <x:c r="AI71" s="8" t="s">
        <x:v>30</x:v>
      </x:c>
      <x:c r="AJ71" s="8" t="s">
        <x:v>30</x:v>
      </x:c>
      <x:c r="AK71" s="8" t="s">
        <x:v>30</x:v>
      </x:c>
      <x:c r="AL71" s="8" t="s">
        <x:v>30</x:v>
      </x:c>
      <x:c r="AM71" s="8" t="s">
        <x:v>6159</x:v>
      </x:c>
      <x:c r="AN71" s="8" t="s">
        <x:v>30</x:v>
      </x:c>
      <x:c r="AO71" s="8" t="s">
        <x:v>30</x:v>
      </x:c>
      <x:c r="AP71" s="8" t="s">
        <x:v>30</x:v>
      </x:c>
      <x:c r="AQ71" s="8" t="s">
        <x:v>30</x:v>
      </x:c>
      <x:c r="AR71" s="8" t="s">
        <x:v>30</x:v>
      </x:c>
      <x:c r="AS71" s="8" t="s">
        <x:v>30</x:v>
      </x:c>
      <x:c r="AT71" s="8" t="s">
        <x:v>30</x:v>
      </x:c>
      <x:c r="AU71" s="8" t="s">
        <x:v>30</x:v>
      </x:c>
    </x:row>
    <x:row r="72" ht="54.75" hidden="0" customHeight="1">
      <x:c r="A72" s="8" t="s">
        <x:v>4482</x:v>
      </x:c>
      <x:c r="B72" s="8" t="s">
        <x:v>6158</x:v>
      </x:c>
      <x:c r="C72" s="8" t="s">
        <x:v>6159</x:v>
      </x:c>
      <x:c r="D72" s="8" t="s">
        <x:v>6159</x:v>
      </x:c>
      <x:c r="E72" s="8" t="s">
        <x:v>30</x:v>
      </x:c>
      <x:c r="F72" s="8" t="s">
        <x:v>30</x:v>
      </x:c>
      <x:c r="G72" s="8" t="s">
        <x:v>6159</x:v>
      </x:c>
      <x:c r="H72" s="8" t="s">
        <x:v>6159</x:v>
      </x:c>
      <x:c r="I72" s="8" t="s">
        <x:v>30</x:v>
      </x:c>
      <x:c r="J72" s="8" t="s">
        <x:v>30</x:v>
      </x:c>
      <x:c r="K72" s="8" t="s">
        <x:v>30</x:v>
      </x:c>
      <x:c r="L72" s="8" t="s">
        <x:v>30</x:v>
      </x:c>
      <x:c r="M72" s="8" t="s">
        <x:v>30</x:v>
      </x:c>
      <x:c r="N72" s="8" t="s">
        <x:v>30</x:v>
      </x:c>
      <x:c r="O72" s="8" t="s">
        <x:v>30</x:v>
      </x:c>
      <x:c r="P72" s="8" t="s">
        <x:v>30</x:v>
      </x:c>
      <x:c r="Q72" s="8" t="s">
        <x:v>30</x:v>
      </x:c>
      <x:c r="R72" s="8" t="s">
        <x:v>32</x:v>
      </x:c>
      <x:c r="S72" s="8" t="s">
        <x:v>30</x:v>
      </x:c>
      <x:c r="T72" s="8" t="s">
        <x:v>30</x:v>
      </x:c>
      <x:c r="U72" s="8" t="s">
        <x:v>30</x:v>
      </x:c>
      <x:c r="V72" s="8" t="s">
        <x:v>30</x:v>
      </x:c>
      <x:c r="W72" s="8" t="s">
        <x:v>6159</x:v>
      </x:c>
      <x:c r="X72" s="8" t="s">
        <x:v>30</x:v>
      </x:c>
      <x:c r="Y72" s="8" t="s">
        <x:v>30</x:v>
      </x:c>
      <x:c r="Z72" s="8" t="s">
        <x:v>30</x:v>
      </x:c>
      <x:c r="AA72" s="8" t="s">
        <x:v>30</x:v>
      </x:c>
      <x:c r="AB72" s="8" t="s">
        <x:v>30</x:v>
      </x:c>
      <x:c r="AC72" s="8" t="s">
        <x:v>30</x:v>
      </x:c>
      <x:c r="AD72" s="8" t="s">
        <x:v>30</x:v>
      </x:c>
      <x:c r="AE72" s="8" t="s">
        <x:v>30</x:v>
      </x:c>
      <x:c r="AF72" s="8" t="s">
        <x:v>30</x:v>
      </x:c>
      <x:c r="AG72" s="8" t="s">
        <x:v>30</x:v>
      </x:c>
      <x:c r="AH72" s="8" t="s">
        <x:v>30</x:v>
      </x:c>
      <x:c r="AI72" s="8" t="s">
        <x:v>30</x:v>
      </x:c>
      <x:c r="AJ72" s="8" t="s">
        <x:v>30</x:v>
      </x:c>
      <x:c r="AK72" s="8" t="s">
        <x:v>30</x:v>
      </x:c>
      <x:c r="AL72" s="8" t="s">
        <x:v>6159</x:v>
      </x:c>
      <x:c r="AM72" s="8" t="s">
        <x:v>30</x:v>
      </x:c>
      <x:c r="AN72" s="8" t="s">
        <x:v>30</x:v>
      </x:c>
      <x:c r="AO72" s="8" t="s">
        <x:v>6159</x:v>
      </x:c>
      <x:c r="AP72" s="8" t="s">
        <x:v>6159</x:v>
      </x:c>
      <x:c r="AQ72" s="8" t="s">
        <x:v>30</x:v>
      </x:c>
      <x:c r="AR72" s="8" t="s">
        <x:v>30</x:v>
      </x:c>
      <x:c r="AS72" s="8" t="s">
        <x:v>32</x:v>
      </x:c>
      <x:c r="AT72" s="8" t="s">
        <x:v>6159</x:v>
      </x:c>
      <x:c r="AU72" s="8" t="s">
        <x:v>30</x:v>
      </x:c>
    </x:row>
    <x:row r="73" ht="54.75" hidden="0" customHeight="1">
      <x:c r="A73" s="8" t="s">
        <x:v>2084</x:v>
      </x:c>
      <x:c r="B73" s="8" t="s">
        <x:v>6157</x:v>
      </x:c>
      <x:c r="C73" s="8" t="s">
        <x:v>30</x:v>
      </x:c>
      <x:c r="D73" s="8" t="s">
        <x:v>6159</x:v>
      </x:c>
      <x:c r="E73" s="8" t="s">
        <x:v>30</x:v>
      </x:c>
      <x:c r="F73" s="8" t="s">
        <x:v>6159</x:v>
      </x:c>
      <x:c r="G73" s="8" t="s">
        <x:v>6159</x:v>
      </x:c>
      <x:c r="H73" s="8" t="s">
        <x:v>6159</x:v>
      </x:c>
      <x:c r="I73" s="8" t="s">
        <x:v>30</x:v>
      </x:c>
      <x:c r="J73" s="8" t="s">
        <x:v>30</x:v>
      </x:c>
      <x:c r="K73" s="8" t="s">
        <x:v>30</x:v>
      </x:c>
      <x:c r="L73" s="8" t="s">
        <x:v>30</x:v>
      </x:c>
      <x:c r="M73" s="8" t="s">
        <x:v>30</x:v>
      </x:c>
      <x:c r="N73" s="8" t="s">
        <x:v>30</x:v>
      </x:c>
      <x:c r="O73" s="8" t="s">
        <x:v>30</x:v>
      </x:c>
      <x:c r="P73" s="8" t="s">
        <x:v>30</x:v>
      </x:c>
      <x:c r="Q73" s="8" t="s">
        <x:v>30</x:v>
      </x:c>
      <x:c r="R73" s="8" t="s">
        <x:v>30</x:v>
      </x:c>
      <x:c r="S73" s="8" t="s">
        <x:v>30</x:v>
      </x:c>
      <x:c r="T73" s="8" t="s">
        <x:v>30</x:v>
      </x:c>
      <x:c r="U73" s="8" t="s">
        <x:v>30</x:v>
      </x:c>
      <x:c r="V73" s="8" t="s">
        <x:v>30</x:v>
      </x:c>
      <x:c r="W73" s="8" t="s">
        <x:v>30</x:v>
      </x:c>
      <x:c r="X73" s="8" t="s">
        <x:v>30</x:v>
      </x:c>
      <x:c r="Y73" s="8" t="s">
        <x:v>30</x:v>
      </x:c>
      <x:c r="Z73" s="8" t="s">
        <x:v>30</x:v>
      </x:c>
      <x:c r="AA73" s="8" t="s">
        <x:v>30</x:v>
      </x:c>
      <x:c r="AB73" s="8" t="s">
        <x:v>30</x:v>
      </x:c>
      <x:c r="AC73" s="8" t="s">
        <x:v>30</x:v>
      </x:c>
      <x:c r="AD73" s="8" t="s">
        <x:v>30</x:v>
      </x:c>
      <x:c r="AE73" s="8" t="s">
        <x:v>30</x:v>
      </x:c>
      <x:c r="AF73" s="8" t="s">
        <x:v>30</x:v>
      </x:c>
      <x:c r="AG73" s="8" t="s">
        <x:v>30</x:v>
      </x:c>
      <x:c r="AH73" s="8" t="s">
        <x:v>30</x:v>
      </x:c>
      <x:c r="AI73" s="8" t="s">
        <x:v>30</x:v>
      </x:c>
      <x:c r="AJ73" s="8" t="s">
        <x:v>30</x:v>
      </x:c>
      <x:c r="AK73" s="8" t="s">
        <x:v>30</x:v>
      </x:c>
      <x:c r="AL73" s="8" t="s">
        <x:v>6159</x:v>
      </x:c>
      <x:c r="AM73" s="8" t="s">
        <x:v>30</x:v>
      </x:c>
      <x:c r="AN73" s="8" t="s">
        <x:v>30</x:v>
      </x:c>
      <x:c r="AO73" s="8" t="s">
        <x:v>30</x:v>
      </x:c>
      <x:c r="AP73" s="8" t="s">
        <x:v>30</x:v>
      </x:c>
      <x:c r="AQ73" s="8" t="s">
        <x:v>30</x:v>
      </x:c>
      <x:c r="AR73" s="8" t="s">
        <x:v>6159</x:v>
      </x:c>
      <x:c r="AS73" s="8" t="s">
        <x:v>6159</x:v>
      </x:c>
      <x:c r="AT73" s="8" t="s">
        <x:v>30</x:v>
      </x:c>
      <x:c r="AU73" s="8" t="s">
        <x:v>30</x:v>
      </x:c>
    </x:row>
    <x:row r="74" ht="54.75" hidden="0" customHeight="1">
      <x:c r="A74" s="8" t="s">
        <x:v>4336</x:v>
      </x:c>
      <x:c r="B74" s="8" t="s">
        <x:v>6158</x:v>
      </x:c>
      <x:c r="C74" s="8" t="s">
        <x:v>6159</x:v>
      </x:c>
      <x:c r="D74" s="8" t="s">
        <x:v>6159</x:v>
      </x:c>
      <x:c r="E74" s="8" t="s">
        <x:v>6159</x:v>
      </x:c>
      <x:c r="F74" s="8" t="s">
        <x:v>6159</x:v>
      </x:c>
      <x:c r="G74" s="8" t="s">
        <x:v>6159</x:v>
      </x:c>
      <x:c r="H74" s="8" t="s">
        <x:v>6159</x:v>
      </x:c>
      <x:c r="I74" s="8" t="s">
        <x:v>6159</x:v>
      </x:c>
      <x:c r="J74" s="8" t="s">
        <x:v>6159</x:v>
      </x:c>
      <x:c r="K74" s="8" t="s">
        <x:v>6159</x:v>
      </x:c>
      <x:c r="L74" s="8" t="s">
        <x:v>6159</x:v>
      </x:c>
      <x:c r="M74" s="8" t="s">
        <x:v>6159</x:v>
      </x:c>
      <x:c r="N74" s="8" t="s">
        <x:v>30</x:v>
      </x:c>
      <x:c r="O74" s="8" t="s">
        <x:v>6159</x:v>
      </x:c>
      <x:c r="P74" s="8" t="s">
        <x:v>6159</x:v>
      </x:c>
      <x:c r="Q74" s="8" t="s">
        <x:v>6159</x:v>
      </x:c>
      <x:c r="R74" s="8" t="s">
        <x:v>6159</x:v>
      </x:c>
      <x:c r="S74" s="8" t="s">
        <x:v>6159</x:v>
      </x:c>
      <x:c r="T74" s="8" t="s">
        <x:v>30</x:v>
      </x:c>
      <x:c r="U74" s="8" t="s">
        <x:v>6159</x:v>
      </x:c>
      <x:c r="V74" s="8" t="s">
        <x:v>6159</x:v>
      </x:c>
      <x:c r="W74" s="8" t="s">
        <x:v>6159</x:v>
      </x:c>
      <x:c r="X74" s="8" t="s">
        <x:v>6159</x:v>
      </x:c>
      <x:c r="Y74" s="8" t="s">
        <x:v>6159</x:v>
      </x:c>
      <x:c r="Z74" s="8" t="s">
        <x:v>30</x:v>
      </x:c>
      <x:c r="AA74" s="8" t="s">
        <x:v>30</x:v>
      </x:c>
      <x:c r="AB74" s="8" t="s">
        <x:v>6159</x:v>
      </x:c>
      <x:c r="AC74" s="8" t="s">
        <x:v>30</x:v>
      </x:c>
      <x:c r="AD74" s="8" t="s">
        <x:v>30</x:v>
      </x:c>
      <x:c r="AE74" s="8" t="s">
        <x:v>30</x:v>
      </x:c>
      <x:c r="AF74" s="8" t="s">
        <x:v>30</x:v>
      </x:c>
      <x:c r="AG74" s="8" t="s">
        <x:v>30</x:v>
      </x:c>
      <x:c r="AH74" s="8" t="s">
        <x:v>30</x:v>
      </x:c>
      <x:c r="AI74" s="8" t="s">
        <x:v>30</x:v>
      </x:c>
      <x:c r="AJ74" s="8" t="s">
        <x:v>30</x:v>
      </x:c>
      <x:c r="AK74" s="8" t="s">
        <x:v>30</x:v>
      </x:c>
      <x:c r="AL74" s="8" t="s">
        <x:v>6159</x:v>
      </x:c>
      <x:c r="AM74" s="8" t="s">
        <x:v>6159</x:v>
      </x:c>
      <x:c r="AN74" s="8" t="s">
        <x:v>30</x:v>
      </x:c>
      <x:c r="AO74" s="8" t="s">
        <x:v>6159</x:v>
      </x:c>
      <x:c r="AP74" s="8" t="s">
        <x:v>6159</x:v>
      </x:c>
      <x:c r="AQ74" s="8" t="s">
        <x:v>6159</x:v>
      </x:c>
      <x:c r="AR74" s="8" t="s">
        <x:v>30</x:v>
      </x:c>
      <x:c r="AS74" s="8" t="s">
        <x:v>32</x:v>
      </x:c>
      <x:c r="AT74" s="8" t="s">
        <x:v>30</x:v>
      </x:c>
      <x:c r="AU74" s="8" t="s">
        <x:v>6159</x:v>
      </x:c>
    </x:row>
    <x:row r="75" ht="54.75" hidden="0" customHeight="1">
      <x:c r="A75" s="8" t="s">
        <x:v>4144</x:v>
      </x:c>
      <x:c r="B75" s="8" t="s">
        <x:v>6157</x:v>
      </x:c>
      <x:c r="C75" s="8" t="s">
        <x:v>6159</x:v>
      </x:c>
      <x:c r="D75" s="8" t="s">
        <x:v>6159</x:v>
      </x:c>
      <x:c r="E75" s="8" t="s">
        <x:v>6159</x:v>
      </x:c>
      <x:c r="F75" s="8" t="s">
        <x:v>6159</x:v>
      </x:c>
      <x:c r="G75" s="8" t="s">
        <x:v>6159</x:v>
      </x:c>
      <x:c r="H75" s="8" t="s">
        <x:v>6159</x:v>
      </x:c>
      <x:c r="I75" s="8" t="s">
        <x:v>30</x:v>
      </x:c>
      <x:c r="J75" s="8" t="s">
        <x:v>30</x:v>
      </x:c>
      <x:c r="K75" s="8" t="s">
        <x:v>6159</x:v>
      </x:c>
      <x:c r="L75" s="8" t="s">
        <x:v>6159</x:v>
      </x:c>
      <x:c r="M75" s="8" t="s">
        <x:v>6159</x:v>
      </x:c>
      <x:c r="N75" s="8" t="s">
        <x:v>30</x:v>
      </x:c>
      <x:c r="O75" s="8" t="s">
        <x:v>30</x:v>
      </x:c>
      <x:c r="P75" s="8" t="s">
        <x:v>30</x:v>
      </x:c>
      <x:c r="Q75" s="8" t="s">
        <x:v>30</x:v>
      </x:c>
      <x:c r="R75" s="8" t="s">
        <x:v>6159</x:v>
      </x:c>
      <x:c r="S75" s="8" t="s">
        <x:v>6159</x:v>
      </x:c>
      <x:c r="T75" s="8" t="s">
        <x:v>6159</x:v>
      </x:c>
      <x:c r="U75" s="8" t="s">
        <x:v>6159</x:v>
      </x:c>
      <x:c r="V75" s="8" t="s">
        <x:v>6159</x:v>
      </x:c>
      <x:c r="W75" s="8" t="s">
        <x:v>30</x:v>
      </x:c>
      <x:c r="X75" s="8" t="s">
        <x:v>30</x:v>
      </x:c>
      <x:c r="Y75" s="8" t="s">
        <x:v>6159</x:v>
      </x:c>
      <x:c r="Z75" s="8" t="s">
        <x:v>6159</x:v>
      </x:c>
      <x:c r="AA75" s="8" t="s">
        <x:v>6159</x:v>
      </x:c>
      <x:c r="AB75" s="8" t="s">
        <x:v>30</x:v>
      </x:c>
      <x:c r="AC75" s="8" t="s">
        <x:v>30</x:v>
      </x:c>
      <x:c r="AD75" s="8" t="s">
        <x:v>30</x:v>
      </x:c>
      <x:c r="AE75" s="8" t="s">
        <x:v>30</x:v>
      </x:c>
      <x:c r="AF75" s="8" t="s">
        <x:v>30</x:v>
      </x:c>
      <x:c r="AG75" s="8" t="s">
        <x:v>30</x:v>
      </x:c>
      <x:c r="AH75" s="8" t="s">
        <x:v>30</x:v>
      </x:c>
      <x:c r="AI75" s="8" t="s">
        <x:v>30</x:v>
      </x:c>
      <x:c r="AJ75" s="8" t="s">
        <x:v>30</x:v>
      </x:c>
      <x:c r="AK75" s="8" t="s">
        <x:v>30</x:v>
      </x:c>
      <x:c r="AL75" s="8" t="s">
        <x:v>30</x:v>
      </x:c>
      <x:c r="AM75" s="8" t="s">
        <x:v>30</x:v>
      </x:c>
      <x:c r="AN75" s="8" t="s">
        <x:v>30</x:v>
      </x:c>
      <x:c r="AO75" s="8" t="s">
        <x:v>30</x:v>
      </x:c>
      <x:c r="AP75" s="8" t="s">
        <x:v>30</x:v>
      </x:c>
      <x:c r="AQ75" s="8" t="s">
        <x:v>30</x:v>
      </x:c>
      <x:c r="AR75" s="8" t="s">
        <x:v>30</x:v>
      </x:c>
      <x:c r="AS75" s="8" t="s">
        <x:v>30</x:v>
      </x:c>
      <x:c r="AT75" s="8" t="s">
        <x:v>30</x:v>
      </x:c>
      <x:c r="AU75" s="8" t="s">
        <x:v>30</x:v>
      </x:c>
    </x:row>
    <x:row r="76" ht="54.75" hidden="0" customHeight="1">
      <x:c r="A76" s="8" t="s">
        <x:v>4188</x:v>
      </x:c>
      <x:c r="B76" s="8" t="s">
        <x:v>6157</x:v>
      </x:c>
      <x:c r="C76" s="8" t="s">
        <x:v>6159</x:v>
      </x:c>
      <x:c r="D76" s="8" t="s">
        <x:v>6159</x:v>
      </x:c>
      <x:c r="E76" s="8" t="s">
        <x:v>6159</x:v>
      </x:c>
      <x:c r="F76" s="8" t="s">
        <x:v>6159</x:v>
      </x:c>
      <x:c r="G76" s="8" t="s">
        <x:v>6159</x:v>
      </x:c>
      <x:c r="H76" s="8" t="s">
        <x:v>6159</x:v>
      </x:c>
      <x:c r="I76" s="8" t="s">
        <x:v>6159</x:v>
      </x:c>
      <x:c r="J76" s="8" t="s">
        <x:v>6159</x:v>
      </x:c>
      <x:c r="K76" s="8" t="s">
        <x:v>6159</x:v>
      </x:c>
      <x:c r="L76" s="8" t="s">
        <x:v>6159</x:v>
      </x:c>
      <x:c r="M76" s="8" t="s">
        <x:v>30</x:v>
      </x:c>
      <x:c r="N76" s="8" t="s">
        <x:v>6159</x:v>
      </x:c>
      <x:c r="O76" s="8" t="s">
        <x:v>6159</x:v>
      </x:c>
      <x:c r="P76" s="8" t="s">
        <x:v>30</x:v>
      </x:c>
      <x:c r="Q76" s="8" t="s">
        <x:v>6159</x:v>
      </x:c>
      <x:c r="R76" s="8" t="s">
        <x:v>6159</x:v>
      </x:c>
      <x:c r="S76" s="8" t="s">
        <x:v>6159</x:v>
      </x:c>
      <x:c r="T76" s="8" t="s">
        <x:v>6159</x:v>
      </x:c>
      <x:c r="U76" s="8" t="s">
        <x:v>6159</x:v>
      </x:c>
      <x:c r="V76" s="8" t="s">
        <x:v>6159</x:v>
      </x:c>
      <x:c r="W76" s="8" t="s">
        <x:v>30</x:v>
      </x:c>
      <x:c r="X76" s="8" t="s">
        <x:v>30</x:v>
      </x:c>
      <x:c r="Y76" s="8" t="s">
        <x:v>6159</x:v>
      </x:c>
      <x:c r="Z76" s="8" t="s">
        <x:v>6159</x:v>
      </x:c>
      <x:c r="AA76" s="8" t="s">
        <x:v>6159</x:v>
      </x:c>
      <x:c r="AB76" s="8" t="s">
        <x:v>30</x:v>
      </x:c>
      <x:c r="AC76" s="8" t="s">
        <x:v>30</x:v>
      </x:c>
      <x:c r="AD76" s="8" t="s">
        <x:v>30</x:v>
      </x:c>
      <x:c r="AE76" s="8" t="s">
        <x:v>30</x:v>
      </x:c>
      <x:c r="AF76" s="8" t="s">
        <x:v>30</x:v>
      </x:c>
      <x:c r="AG76" s="8" t="s">
        <x:v>30</x:v>
      </x:c>
      <x:c r="AH76" s="8" t="s">
        <x:v>30</x:v>
      </x:c>
      <x:c r="AI76" s="8" t="s">
        <x:v>30</x:v>
      </x:c>
      <x:c r="AJ76" s="8" t="s">
        <x:v>30</x:v>
      </x:c>
      <x:c r="AK76" s="8" t="s">
        <x:v>30</x:v>
      </x:c>
      <x:c r="AL76" s="8" t="s">
        <x:v>30</x:v>
      </x:c>
      <x:c r="AM76" s="8" t="s">
        <x:v>30</x:v>
      </x:c>
      <x:c r="AN76" s="8" t="s">
        <x:v>30</x:v>
      </x:c>
      <x:c r="AO76" s="8" t="s">
        <x:v>6159</x:v>
      </x:c>
      <x:c r="AP76" s="8" t="s">
        <x:v>6159</x:v>
      </x:c>
      <x:c r="AQ76" s="8" t="s">
        <x:v>6159</x:v>
      </x:c>
      <x:c r="AR76" s="8" t="s">
        <x:v>30</x:v>
      </x:c>
      <x:c r="AS76" s="8" t="s">
        <x:v>30</x:v>
      </x:c>
      <x:c r="AT76" s="8" t="s">
        <x:v>30</x:v>
      </x:c>
      <x:c r="AU76" s="8" t="s">
        <x:v>30</x:v>
      </x:c>
    </x:row>
    <x:row r="77" ht="54.75" hidden="0" customHeight="1">
      <x:c r="A77" s="8" t="s">
        <x:v>4278</x:v>
      </x:c>
      <x:c r="B77" s="8" t="s">
        <x:v>6157</x:v>
      </x:c>
      <x:c r="C77" s="8" t="s">
        <x:v>6159</x:v>
      </x:c>
      <x:c r="D77" s="8" t="s">
        <x:v>6159</x:v>
      </x:c>
      <x:c r="E77" s="8" t="s">
        <x:v>30</x:v>
      </x:c>
      <x:c r="F77" s="8" t="s">
        <x:v>6159</x:v>
      </x:c>
      <x:c r="G77" s="8" t="s">
        <x:v>6159</x:v>
      </x:c>
      <x:c r="H77" s="8" t="s">
        <x:v>6159</x:v>
      </x:c>
      <x:c r="I77" s="8" t="s">
        <x:v>30</x:v>
      </x:c>
      <x:c r="J77" s="8" t="s">
        <x:v>30</x:v>
      </x:c>
      <x:c r="K77" s="8" t="s">
        <x:v>30</x:v>
      </x:c>
      <x:c r="L77" s="8" t="s">
        <x:v>30</x:v>
      </x:c>
      <x:c r="M77" s="8" t="s">
        <x:v>30</x:v>
      </x:c>
      <x:c r="N77" s="8" t="s">
        <x:v>30</x:v>
      </x:c>
      <x:c r="O77" s="8" t="s">
        <x:v>30</x:v>
      </x:c>
      <x:c r="P77" s="8" t="s">
        <x:v>30</x:v>
      </x:c>
      <x:c r="Q77" s="8" t="s">
        <x:v>30</x:v>
      </x:c>
      <x:c r="R77" s="8" t="s">
        <x:v>6159</x:v>
      </x:c>
      <x:c r="S77" s="8" t="s">
        <x:v>6159</x:v>
      </x:c>
      <x:c r="T77" s="8" t="s">
        <x:v>30</x:v>
      </x:c>
      <x:c r="U77" s="8" t="s">
        <x:v>6159</x:v>
      </x:c>
      <x:c r="V77" s="8" t="s">
        <x:v>6159</x:v>
      </x:c>
      <x:c r="W77" s="8" t="s">
        <x:v>30</x:v>
      </x:c>
      <x:c r="X77" s="8" t="s">
        <x:v>30</x:v>
      </x:c>
      <x:c r="Y77" s="8" t="s">
        <x:v>6159</x:v>
      </x:c>
      <x:c r="Z77" s="8" t="s">
        <x:v>6159</x:v>
      </x:c>
      <x:c r="AA77" s="8" t="s">
        <x:v>30</x:v>
      </x:c>
      <x:c r="AB77" s="8" t="s">
        <x:v>6159</x:v>
      </x:c>
      <x:c r="AC77" s="8" t="s">
        <x:v>30</x:v>
      </x:c>
      <x:c r="AD77" s="8" t="s">
        <x:v>30</x:v>
      </x:c>
      <x:c r="AE77" s="8" t="s">
        <x:v>30</x:v>
      </x:c>
      <x:c r="AF77" s="8" t="s">
        <x:v>30</x:v>
      </x:c>
      <x:c r="AG77" s="8" t="s">
        <x:v>6159</x:v>
      </x:c>
      <x:c r="AH77" s="8" t="s">
        <x:v>30</x:v>
      </x:c>
      <x:c r="AI77" s="8" t="s">
        <x:v>30</x:v>
      </x:c>
      <x:c r="AJ77" s="8" t="s">
        <x:v>30</x:v>
      </x:c>
      <x:c r="AK77" s="8" t="s">
        <x:v>30</x:v>
      </x:c>
      <x:c r="AL77" s="8" t="s">
        <x:v>30</x:v>
      </x:c>
      <x:c r="AM77" s="8" t="s">
        <x:v>30</x:v>
      </x:c>
      <x:c r="AN77" s="8" t="s">
        <x:v>30</x:v>
      </x:c>
      <x:c r="AO77" s="8" t="s">
        <x:v>30</x:v>
      </x:c>
      <x:c r="AP77" s="8" t="s">
        <x:v>30</x:v>
      </x:c>
      <x:c r="AQ77" s="8" t="s">
        <x:v>30</x:v>
      </x:c>
      <x:c r="AR77" s="8" t="s">
        <x:v>6159</x:v>
      </x:c>
      <x:c r="AS77" s="8" t="s">
        <x:v>6159</x:v>
      </x:c>
      <x:c r="AT77" s="8" t="s">
        <x:v>30</x:v>
      </x:c>
      <x:c r="AU77" s="8" t="s">
        <x:v>30</x:v>
      </x:c>
    </x:row>
    <x:row r="78" ht="54.75" hidden="0" customHeight="1">
      <x:c r="A78" s="8" t="s">
        <x:v>4786</x:v>
      </x:c>
      <x:c r="B78" s="8" t="s">
        <x:v>6158</x:v>
      </x:c>
      <x:c r="C78" s="8" t="s">
        <x:v>6159</x:v>
      </x:c>
      <x:c r="D78" s="8" t="s">
        <x:v>30</x:v>
      </x:c>
      <x:c r="E78" s="8" t="s">
        <x:v>30</x:v>
      </x:c>
      <x:c r="F78" s="8" t="s">
        <x:v>30</x:v>
      </x:c>
      <x:c r="G78" s="8" t="s">
        <x:v>6159</x:v>
      </x:c>
      <x:c r="H78" s="8" t="s">
        <x:v>6159</x:v>
      </x:c>
      <x:c r="I78" s="8" t="s">
        <x:v>30</x:v>
      </x:c>
      <x:c r="J78" s="8" t="s">
        <x:v>30</x:v>
      </x:c>
      <x:c r="K78" s="8" t="s">
        <x:v>30</x:v>
      </x:c>
      <x:c r="L78" s="8" t="s">
        <x:v>30</x:v>
      </x:c>
      <x:c r="M78" s="8" t="s">
        <x:v>30</x:v>
      </x:c>
      <x:c r="N78" s="8" t="s">
        <x:v>30</x:v>
      </x:c>
      <x:c r="O78" s="8" t="s">
        <x:v>30</x:v>
      </x:c>
      <x:c r="P78" s="8" t="s">
        <x:v>30</x:v>
      </x:c>
      <x:c r="Q78" s="8" t="s">
        <x:v>6159</x:v>
      </x:c>
      <x:c r="R78" s="8" t="s">
        <x:v>30</x:v>
      </x:c>
      <x:c r="S78" s="8" t="s">
        <x:v>30</x:v>
      </x:c>
      <x:c r="T78" s="8" t="s">
        <x:v>30</x:v>
      </x:c>
      <x:c r="U78" s="8" t="s">
        <x:v>30</x:v>
      </x:c>
      <x:c r="V78" s="8" t="s">
        <x:v>30</x:v>
      </x:c>
      <x:c r="W78" s="8" t="s">
        <x:v>30</x:v>
      </x:c>
      <x:c r="X78" s="8" t="s">
        <x:v>30</x:v>
      </x:c>
      <x:c r="Y78" s="8" t="s">
        <x:v>6159</x:v>
      </x:c>
      <x:c r="Z78" s="8" t="s">
        <x:v>30</x:v>
      </x:c>
      <x:c r="AA78" s="8" t="s">
        <x:v>30</x:v>
      </x:c>
      <x:c r="AB78" s="8" t="s">
        <x:v>30</x:v>
      </x:c>
      <x:c r="AC78" s="8" t="s">
        <x:v>6159</x:v>
      </x:c>
      <x:c r="AD78" s="8" t="s">
        <x:v>30</x:v>
      </x:c>
      <x:c r="AE78" s="8" t="s">
        <x:v>30</x:v>
      </x:c>
      <x:c r="AF78" s="8" t="s">
        <x:v>30</x:v>
      </x:c>
      <x:c r="AG78" s="8" t="s">
        <x:v>6159</x:v>
      </x:c>
      <x:c r="AH78" s="8" t="s">
        <x:v>30</x:v>
      </x:c>
      <x:c r="AI78" s="8" t="s">
        <x:v>30</x:v>
      </x:c>
      <x:c r="AJ78" s="8" t="s">
        <x:v>30</x:v>
      </x:c>
      <x:c r="AK78" s="8" t="s">
        <x:v>30</x:v>
      </x:c>
      <x:c r="AL78" s="8" t="s">
        <x:v>30</x:v>
      </x:c>
      <x:c r="AM78" s="8" t="s">
        <x:v>30</x:v>
      </x:c>
      <x:c r="AN78" s="8" t="s">
        <x:v>30</x:v>
      </x:c>
      <x:c r="AO78" s="8" t="s">
        <x:v>6159</x:v>
      </x:c>
      <x:c r="AP78" s="8" t="s">
        <x:v>6159</x:v>
      </x:c>
      <x:c r="AQ78" s="8" t="s">
        <x:v>30</x:v>
      </x:c>
      <x:c r="AR78" s="8" t="s">
        <x:v>30</x:v>
      </x:c>
      <x:c r="AS78" s="8" t="s">
        <x:v>6159</x:v>
      </x:c>
      <x:c r="AT78" s="8" t="s">
        <x:v>30</x:v>
      </x:c>
      <x:c r="AU78" s="8" t="s">
        <x:v>6159</x:v>
      </x:c>
    </x:row>
    <x:row r="79" ht="54.75" hidden="0" customHeight="1">
      <x:c r="A79" s="8" t="s">
        <x:v>4707</x:v>
      </x:c>
      <x:c r="B79" s="8" t="s">
        <x:v>6158</x:v>
      </x:c>
      <x:c r="C79" s="8" t="s">
        <x:v>6159</x:v>
      </x:c>
      <x:c r="D79" s="8" t="s">
        <x:v>6159</x:v>
      </x:c>
      <x:c r="E79" s="8" t="s">
        <x:v>6159</x:v>
      </x:c>
      <x:c r="F79" s="8" t="s">
        <x:v>6159</x:v>
      </x:c>
      <x:c r="G79" s="8" t="s">
        <x:v>30</x:v>
      </x:c>
      <x:c r="H79" s="8" t="s">
        <x:v>6159</x:v>
      </x:c>
      <x:c r="I79" s="8" t="s">
        <x:v>30</x:v>
      </x:c>
      <x:c r="J79" s="8" t="s">
        <x:v>30</x:v>
      </x:c>
      <x:c r="K79" s="8" t="s">
        <x:v>30</x:v>
      </x:c>
      <x:c r="L79" s="8" t="s">
        <x:v>30</x:v>
      </x:c>
      <x:c r="M79" s="8" t="s">
        <x:v>30</x:v>
      </x:c>
      <x:c r="N79" s="8" t="s">
        <x:v>30</x:v>
      </x:c>
      <x:c r="O79" s="8" t="s">
        <x:v>30</x:v>
      </x:c>
      <x:c r="P79" s="8" t="s">
        <x:v>30</x:v>
      </x:c>
      <x:c r="Q79" s="8" t="s">
        <x:v>30</x:v>
      </x:c>
      <x:c r="R79" s="8" t="s">
        <x:v>6159</x:v>
      </x:c>
      <x:c r="S79" s="8" t="s">
        <x:v>6159</x:v>
      </x:c>
      <x:c r="T79" s="8" t="s">
        <x:v>30</x:v>
      </x:c>
      <x:c r="U79" s="8" t="s">
        <x:v>30</x:v>
      </x:c>
      <x:c r="V79" s="8" t="s">
        <x:v>30</x:v>
      </x:c>
      <x:c r="W79" s="8" t="s">
        <x:v>6159</x:v>
      </x:c>
      <x:c r="X79" s="8" t="s">
        <x:v>30</x:v>
      </x:c>
      <x:c r="Y79" s="8" t="s">
        <x:v>6159</x:v>
      </x:c>
      <x:c r="Z79" s="8" t="s">
        <x:v>30</x:v>
      </x:c>
      <x:c r="AA79" s="8" t="s">
        <x:v>30</x:v>
      </x:c>
      <x:c r="AB79" s="8" t="s">
        <x:v>6159</x:v>
      </x:c>
      <x:c r="AC79" s="8" t="s">
        <x:v>6159</x:v>
      </x:c>
      <x:c r="AD79" s="8" t="s">
        <x:v>30</x:v>
      </x:c>
      <x:c r="AE79" s="8" t="s">
        <x:v>30</x:v>
      </x:c>
      <x:c r="AF79" s="8" t="s">
        <x:v>6159</x:v>
      </x:c>
      <x:c r="AG79" s="8" t="s">
        <x:v>30</x:v>
      </x:c>
      <x:c r="AH79" s="8" t="s">
        <x:v>30</x:v>
      </x:c>
      <x:c r="AI79" s="8" t="s">
        <x:v>30</x:v>
      </x:c>
      <x:c r="AJ79" s="8" t="s">
        <x:v>30</x:v>
      </x:c>
      <x:c r="AK79" s="8" t="s">
        <x:v>30</x:v>
      </x:c>
      <x:c r="AL79" s="8" t="s">
        <x:v>30</x:v>
      </x:c>
      <x:c r="AM79" s="8" t="s">
        <x:v>6159</x:v>
      </x:c>
      <x:c r="AN79" s="8" t="s">
        <x:v>30</x:v>
      </x:c>
      <x:c r="AO79" s="8" t="s">
        <x:v>6159</x:v>
      </x:c>
      <x:c r="AP79" s="8" t="s">
        <x:v>6159</x:v>
      </x:c>
      <x:c r="AQ79" s="8" t="s">
        <x:v>30</x:v>
      </x:c>
      <x:c r="AR79" s="8" t="s">
        <x:v>30</x:v>
      </x:c>
      <x:c r="AS79" s="8" t="s">
        <x:v>6159</x:v>
      </x:c>
      <x:c r="AT79" s="8" t="s">
        <x:v>30</x:v>
      </x:c>
      <x:c r="AU79" s="8" t="s">
        <x:v>30</x:v>
      </x:c>
    </x:row>
    <x:row r="80" ht="54.75" hidden="0" customHeight="1">
      <x:c r="A80" s="8" t="s">
        <x:v>2598</x:v>
      </x:c>
      <x:c r="B80" s="8" t="s">
        <x:v>6157</x:v>
      </x:c>
      <x:c r="C80" s="8" t="s">
        <x:v>30</x:v>
      </x:c>
      <x:c r="D80" s="8" t="s">
        <x:v>6159</x:v>
      </x:c>
      <x:c r="E80" s="8" t="s">
        <x:v>30</x:v>
      </x:c>
      <x:c r="F80" s="8" t="s">
        <x:v>30</x:v>
      </x:c>
      <x:c r="G80" s="8" t="s">
        <x:v>6159</x:v>
      </x:c>
      <x:c r="H80" s="8" t="s">
        <x:v>6159</x:v>
      </x:c>
      <x:c r="I80" s="8" t="s">
        <x:v>30</x:v>
      </x:c>
      <x:c r="J80" s="8" t="s">
        <x:v>30</x:v>
      </x:c>
      <x:c r="K80" s="8" t="s">
        <x:v>6159</x:v>
      </x:c>
      <x:c r="L80" s="8" t="s">
        <x:v>6159</x:v>
      </x:c>
      <x:c r="M80" s="8" t="s">
        <x:v>6159</x:v>
      </x:c>
      <x:c r="N80" s="8" t="s">
        <x:v>30</x:v>
      </x:c>
      <x:c r="O80" s="8" t="s">
        <x:v>30</x:v>
      </x:c>
      <x:c r="P80" s="8" t="s">
        <x:v>30</x:v>
      </x:c>
      <x:c r="Q80" s="8" t="s">
        <x:v>30</x:v>
      </x:c>
      <x:c r="R80" s="8" t="s">
        <x:v>6159</x:v>
      </x:c>
      <x:c r="S80" s="8" t="s">
        <x:v>30</x:v>
      </x:c>
      <x:c r="T80" s="8" t="s">
        <x:v>30</x:v>
      </x:c>
      <x:c r="U80" s="8" t="s">
        <x:v>6159</x:v>
      </x:c>
      <x:c r="V80" s="8" t="s">
        <x:v>6159</x:v>
      </x:c>
      <x:c r="W80" s="8" t="s">
        <x:v>6159</x:v>
      </x:c>
      <x:c r="X80" s="8" t="s">
        <x:v>6159</x:v>
      </x:c>
      <x:c r="Y80" s="8" t="s">
        <x:v>30</x:v>
      </x:c>
      <x:c r="Z80" s="8" t="s">
        <x:v>30</x:v>
      </x:c>
      <x:c r="AA80" s="8" t="s">
        <x:v>30</x:v>
      </x:c>
      <x:c r="AB80" s="8" t="s">
        <x:v>6159</x:v>
      </x:c>
      <x:c r="AC80" s="8" t="s">
        <x:v>6159</x:v>
      </x:c>
      <x:c r="AD80" s="8" t="s">
        <x:v>30</x:v>
      </x:c>
      <x:c r="AE80" s="8" t="s">
        <x:v>30</x:v>
      </x:c>
      <x:c r="AF80" s="8" t="s">
        <x:v>30</x:v>
      </x:c>
      <x:c r="AG80" s="8" t="s">
        <x:v>30</x:v>
      </x:c>
      <x:c r="AH80" s="8" t="s">
        <x:v>30</x:v>
      </x:c>
      <x:c r="AI80" s="8" t="s">
        <x:v>30</x:v>
      </x:c>
      <x:c r="AJ80" s="8" t="s">
        <x:v>30</x:v>
      </x:c>
      <x:c r="AK80" s="8" t="s">
        <x:v>30</x:v>
      </x:c>
      <x:c r="AL80" s="8" t="s">
        <x:v>30</x:v>
      </x:c>
      <x:c r="AM80" s="8" t="s">
        <x:v>30</x:v>
      </x:c>
      <x:c r="AN80" s="8" t="s">
        <x:v>30</x:v>
      </x:c>
      <x:c r="AO80" s="8" t="s">
        <x:v>30</x:v>
      </x:c>
      <x:c r="AP80" s="8" t="s">
        <x:v>6159</x:v>
      </x:c>
      <x:c r="AQ80" s="8" t="s">
        <x:v>30</x:v>
      </x:c>
      <x:c r="AR80" s="8" t="s">
        <x:v>30</x:v>
      </x:c>
      <x:c r="AS80" s="8" t="s">
        <x:v>30</x:v>
      </x:c>
      <x:c r="AT80" s="8" t="s">
        <x:v>30</x:v>
      </x:c>
      <x:c r="AU80" s="8" t="s">
        <x:v>6159</x:v>
      </x:c>
    </x:row>
    <x:row r="81" ht="54.75" hidden="0" customHeight="1">
      <x:c r="A81" s="8" t="s">
        <x:v>3860</x:v>
      </x:c>
      <x:c r="B81" s="8" t="s">
        <x:v>6157</x:v>
      </x:c>
      <x:c r="C81" s="8" t="s">
        <x:v>30</x:v>
      </x:c>
      <x:c r="D81" s="8" t="s">
        <x:v>6159</x:v>
      </x:c>
      <x:c r="E81" s="8" t="s">
        <x:v>6159</x:v>
      </x:c>
      <x:c r="F81" s="8" t="s">
        <x:v>6159</x:v>
      </x:c>
      <x:c r="G81" s="8" t="s">
        <x:v>6159</x:v>
      </x:c>
      <x:c r="H81" s="8" t="s">
        <x:v>6159</x:v>
      </x:c>
      <x:c r="I81" s="8" t="s">
        <x:v>6159</x:v>
      </x:c>
      <x:c r="J81" s="8" t="s">
        <x:v>30</x:v>
      </x:c>
      <x:c r="K81" s="8" t="s">
        <x:v>6159</x:v>
      </x:c>
      <x:c r="L81" s="8" t="s">
        <x:v>6159</x:v>
      </x:c>
      <x:c r="M81" s="8" t="s">
        <x:v>30</x:v>
      </x:c>
      <x:c r="N81" s="8" t="s">
        <x:v>6159</x:v>
      </x:c>
      <x:c r="O81" s="8" t="s">
        <x:v>6159</x:v>
      </x:c>
      <x:c r="P81" s="8" t="s">
        <x:v>30</x:v>
      </x:c>
      <x:c r="Q81" s="8" t="s">
        <x:v>6159</x:v>
      </x:c>
      <x:c r="R81" s="8" t="s">
        <x:v>30</x:v>
      </x:c>
      <x:c r="S81" s="8" t="s">
        <x:v>6159</x:v>
      </x:c>
      <x:c r="T81" s="8" t="s">
        <x:v>6159</x:v>
      </x:c>
      <x:c r="U81" s="8" t="s">
        <x:v>6159</x:v>
      </x:c>
      <x:c r="V81" s="8" t="s">
        <x:v>6159</x:v>
      </x:c>
      <x:c r="W81" s="8" t="s">
        <x:v>6159</x:v>
      </x:c>
      <x:c r="X81" s="8" t="s">
        <x:v>6159</x:v>
      </x:c>
      <x:c r="Y81" s="8" t="s">
        <x:v>6159</x:v>
      </x:c>
      <x:c r="Z81" s="8" t="s">
        <x:v>6159</x:v>
      </x:c>
      <x:c r="AA81" s="8" t="s">
        <x:v>6159</x:v>
      </x:c>
      <x:c r="AB81" s="8" t="s">
        <x:v>6159</x:v>
      </x:c>
      <x:c r="AC81" s="8" t="s">
        <x:v>6159</x:v>
      </x:c>
      <x:c r="AD81" s="8" t="s">
        <x:v>30</x:v>
      </x:c>
      <x:c r="AE81" s="8" t="s">
        <x:v>30</x:v>
      </x:c>
      <x:c r="AF81" s="8" t="s">
        <x:v>30</x:v>
      </x:c>
      <x:c r="AG81" s="8" t="s">
        <x:v>30</x:v>
      </x:c>
      <x:c r="AH81" s="8" t="s">
        <x:v>30</x:v>
      </x:c>
      <x:c r="AI81" s="8" t="s">
        <x:v>30</x:v>
      </x:c>
      <x:c r="AJ81" s="8" t="s">
        <x:v>30</x:v>
      </x:c>
      <x:c r="AK81" s="8" t="s">
        <x:v>30</x:v>
      </x:c>
      <x:c r="AL81" s="8" t="s">
        <x:v>6159</x:v>
      </x:c>
      <x:c r="AM81" s="8" t="s">
        <x:v>30</x:v>
      </x:c>
      <x:c r="AN81" s="8" t="s">
        <x:v>6159</x:v>
      </x:c>
      <x:c r="AO81" s="8" t="s">
        <x:v>6159</x:v>
      </x:c>
      <x:c r="AP81" s="8" t="s">
        <x:v>30</x:v>
      </x:c>
      <x:c r="AQ81" s="8" t="s">
        <x:v>30</x:v>
      </x:c>
      <x:c r="AR81" s="8" t="s">
        <x:v>30</x:v>
      </x:c>
      <x:c r="AS81" s="8" t="s">
        <x:v>30</x:v>
      </x:c>
      <x:c r="AT81" s="8" t="s">
        <x:v>30</x:v>
      </x:c>
      <x:c r="AU81" s="8" t="s">
        <x:v>30</x:v>
      </x:c>
    </x:row>
    <x:row r="82" ht="54.75" hidden="0" customHeight="1">
      <x:c r="A82" s="8" t="s">
        <x:v>2681</x:v>
      </x:c>
      <x:c r="B82" s="8" t="s">
        <x:v>6157</x:v>
      </x:c>
      <x:c r="C82" s="8" t="s">
        <x:v>30</x:v>
      </x:c>
      <x:c r="D82" s="8" t="s">
        <x:v>6159</x:v>
      </x:c>
      <x:c r="E82" s="8" t="s">
        <x:v>30</x:v>
      </x:c>
      <x:c r="F82" s="8" t="s">
        <x:v>30</x:v>
      </x:c>
      <x:c r="G82" s="8" t="s">
        <x:v>6159</x:v>
      </x:c>
      <x:c r="H82" s="8" t="s">
        <x:v>6159</x:v>
      </x:c>
      <x:c r="I82" s="8" t="s">
        <x:v>30</x:v>
      </x:c>
      <x:c r="J82" s="8" t="s">
        <x:v>30</x:v>
      </x:c>
      <x:c r="K82" s="8" t="s">
        <x:v>6159</x:v>
      </x:c>
      <x:c r="L82" s="8" t="s">
        <x:v>6159</x:v>
      </x:c>
      <x:c r="M82" s="8" t="s">
        <x:v>30</x:v>
      </x:c>
      <x:c r="N82" s="8" t="s">
        <x:v>30</x:v>
      </x:c>
      <x:c r="O82" s="8" t="s">
        <x:v>30</x:v>
      </x:c>
      <x:c r="P82" s="8" t="s">
        <x:v>6159</x:v>
      </x:c>
      <x:c r="Q82" s="8" t="s">
        <x:v>30</x:v>
      </x:c>
      <x:c r="R82" s="8" t="s">
        <x:v>6159</x:v>
      </x:c>
      <x:c r="S82" s="8" t="s">
        <x:v>6159</x:v>
      </x:c>
      <x:c r="T82" s="8" t="s">
        <x:v>6159</x:v>
      </x:c>
      <x:c r="U82" s="8" t="s">
        <x:v>6159</x:v>
      </x:c>
      <x:c r="V82" s="8" t="s">
        <x:v>6159</x:v>
      </x:c>
      <x:c r="W82" s="8" t="s">
        <x:v>6159</x:v>
      </x:c>
      <x:c r="X82" s="8" t="s">
        <x:v>30</x:v>
      </x:c>
      <x:c r="Y82" s="8" t="s">
        <x:v>6159</x:v>
      </x:c>
      <x:c r="Z82" s="8" t="s">
        <x:v>6159</x:v>
      </x:c>
      <x:c r="AA82" s="8" t="s">
        <x:v>6159</x:v>
      </x:c>
      <x:c r="AB82" s="8" t="s">
        <x:v>6159</x:v>
      </x:c>
      <x:c r="AC82" s="8" t="s">
        <x:v>6159</x:v>
      </x:c>
      <x:c r="AD82" s="8" t="s">
        <x:v>30</x:v>
      </x:c>
      <x:c r="AE82" s="8" t="s">
        <x:v>30</x:v>
      </x:c>
      <x:c r="AF82" s="8" t="s">
        <x:v>30</x:v>
      </x:c>
      <x:c r="AG82" s="8" t="s">
        <x:v>30</x:v>
      </x:c>
      <x:c r="AH82" s="8" t="s">
        <x:v>30</x:v>
      </x:c>
      <x:c r="AI82" s="8" t="s">
        <x:v>30</x:v>
      </x:c>
      <x:c r="AJ82" s="8" t="s">
        <x:v>30</x:v>
      </x:c>
      <x:c r="AK82" s="8" t="s">
        <x:v>30</x:v>
      </x:c>
      <x:c r="AL82" s="8" t="s">
        <x:v>30</x:v>
      </x:c>
      <x:c r="AM82" s="8" t="s">
        <x:v>30</x:v>
      </x:c>
      <x:c r="AN82" s="8" t="s">
        <x:v>30</x:v>
      </x:c>
      <x:c r="AO82" s="8" t="s">
        <x:v>6159</x:v>
      </x:c>
      <x:c r="AP82" s="8" t="s">
        <x:v>30</x:v>
      </x:c>
      <x:c r="AQ82" s="8" t="s">
        <x:v>30</x:v>
      </x:c>
      <x:c r="AR82" s="8" t="s">
        <x:v>30</x:v>
      </x:c>
      <x:c r="AS82" s="8" t="s">
        <x:v>30</x:v>
      </x:c>
      <x:c r="AT82" s="8" t="s">
        <x:v>30</x:v>
      </x:c>
      <x:c r="AU82" s="8" t="s">
        <x:v>30</x:v>
      </x:c>
    </x:row>
    <x:row r="83" ht="54.75" hidden="0" customHeight="1">
      <x:c r="A83" s="8" t="s">
        <x:v>5634</x:v>
      </x:c>
      <x:c r="B83" s="8" t="s">
        <x:v>6157</x:v>
      </x:c>
      <x:c r="C83" s="8" t="s">
        <x:v>30</x:v>
      </x:c>
      <x:c r="D83" s="8" t="s">
        <x:v>30</x:v>
      </x:c>
      <x:c r="E83" s="8" t="s">
        <x:v>30</x:v>
      </x:c>
      <x:c r="F83" s="8" t="s">
        <x:v>30</x:v>
      </x:c>
      <x:c r="G83" s="8" t="s">
        <x:v>30</x:v>
      </x:c>
      <x:c r="H83" s="8" t="s">
        <x:v>30</x:v>
      </x:c>
      <x:c r="I83" s="8" t="s">
        <x:v>30</x:v>
      </x:c>
      <x:c r="J83" s="8" t="s">
        <x:v>30</x:v>
      </x:c>
      <x:c r="K83" s="8" t="s">
        <x:v>30</x:v>
      </x:c>
      <x:c r="L83" s="8" t="s">
        <x:v>30</x:v>
      </x:c>
      <x:c r="M83" s="8" t="s">
        <x:v>30</x:v>
      </x:c>
      <x:c r="N83" s="8" t="s">
        <x:v>30</x:v>
      </x:c>
      <x:c r="O83" s="8" t="s">
        <x:v>30</x:v>
      </x:c>
      <x:c r="P83" s="8" t="s">
        <x:v>30</x:v>
      </x:c>
      <x:c r="Q83" s="8" t="s">
        <x:v>30</x:v>
      </x:c>
      <x:c r="R83" s="8" t="s">
        <x:v>30</x:v>
      </x:c>
      <x:c r="S83" s="8" t="s">
        <x:v>30</x:v>
      </x:c>
      <x:c r="T83" s="8" t="s">
        <x:v>30</x:v>
      </x:c>
      <x:c r="U83" s="8" t="s">
        <x:v>30</x:v>
      </x:c>
      <x:c r="V83" s="8" t="s">
        <x:v>30</x:v>
      </x:c>
      <x:c r="W83" s="8" t="s">
        <x:v>30</x:v>
      </x:c>
      <x:c r="X83" s="8" t="s">
        <x:v>30</x:v>
      </x:c>
      <x:c r="Y83" s="8" t="s">
        <x:v>30</x:v>
      </x:c>
      <x:c r="Z83" s="8" t="s">
        <x:v>30</x:v>
      </x:c>
      <x:c r="AA83" s="8" t="s">
        <x:v>30</x:v>
      </x:c>
      <x:c r="AB83" s="8" t="s">
        <x:v>30</x:v>
      </x:c>
      <x:c r="AC83" s="8" t="s">
        <x:v>30</x:v>
      </x:c>
      <x:c r="AD83" s="8" t="s">
        <x:v>30</x:v>
      </x:c>
      <x:c r="AE83" s="8" t="s">
        <x:v>30</x:v>
      </x:c>
      <x:c r="AF83" s="8" t="s">
        <x:v>30</x:v>
      </x:c>
      <x:c r="AG83" s="8" t="s">
        <x:v>30</x:v>
      </x:c>
      <x:c r="AH83" s="8" t="s">
        <x:v>30</x:v>
      </x:c>
      <x:c r="AI83" s="8" t="s">
        <x:v>30</x:v>
      </x:c>
      <x:c r="AJ83" s="8" t="s">
        <x:v>30</x:v>
      </x:c>
      <x:c r="AK83" s="8" t="s">
        <x:v>30</x:v>
      </x:c>
      <x:c r="AL83" s="8" t="s">
        <x:v>30</x:v>
      </x:c>
      <x:c r="AM83" s="8" t="s">
        <x:v>30</x:v>
      </x:c>
      <x:c r="AN83" s="8" t="s">
        <x:v>30</x:v>
      </x:c>
      <x:c r="AO83" s="8" t="s">
        <x:v>30</x:v>
      </x:c>
      <x:c r="AP83" s="8" t="s">
        <x:v>30</x:v>
      </x:c>
      <x:c r="AQ83" s="8" t="s">
        <x:v>30</x:v>
      </x:c>
      <x:c r="AR83" s="8" t="s">
        <x:v>30</x:v>
      </x:c>
      <x:c r="AS83" s="8" t="s">
        <x:v>30</x:v>
      </x:c>
      <x:c r="AT83" s="8" t="s">
        <x:v>30</x:v>
      </x:c>
      <x:c r="AU83" s="8" t="s">
        <x:v>30</x:v>
      </x:c>
    </x:row>
    <x:row r="84" ht="54.75" hidden="0" customHeight="1">
      <x:c r="A84" s="8" t="s">
        <x:v>5636</x:v>
      </x:c>
      <x:c r="B84" s="8" t="s">
        <x:v>6157</x:v>
      </x:c>
      <x:c r="C84" s="8" t="s">
        <x:v>30</x:v>
      </x:c>
      <x:c r="D84" s="8" t="s">
        <x:v>30</x:v>
      </x:c>
      <x:c r="E84" s="8" t="s">
        <x:v>30</x:v>
      </x:c>
      <x:c r="F84" s="8" t="s">
        <x:v>30</x:v>
      </x:c>
      <x:c r="G84" s="8" t="s">
        <x:v>30</x:v>
      </x:c>
      <x:c r="H84" s="8" t="s">
        <x:v>30</x:v>
      </x:c>
      <x:c r="I84" s="8" t="s">
        <x:v>30</x:v>
      </x:c>
      <x:c r="J84" s="8" t="s">
        <x:v>30</x:v>
      </x:c>
      <x:c r="K84" s="8" t="s">
        <x:v>30</x:v>
      </x:c>
      <x:c r="L84" s="8" t="s">
        <x:v>30</x:v>
      </x:c>
      <x:c r="M84" s="8" t="s">
        <x:v>30</x:v>
      </x:c>
      <x:c r="N84" s="8" t="s">
        <x:v>30</x:v>
      </x:c>
      <x:c r="O84" s="8" t="s">
        <x:v>30</x:v>
      </x:c>
      <x:c r="P84" s="8" t="s">
        <x:v>30</x:v>
      </x:c>
      <x:c r="Q84" s="8" t="s">
        <x:v>30</x:v>
      </x:c>
      <x:c r="R84" s="8" t="s">
        <x:v>30</x:v>
      </x:c>
      <x:c r="S84" s="8" t="s">
        <x:v>30</x:v>
      </x:c>
      <x:c r="T84" s="8" t="s">
        <x:v>30</x:v>
      </x:c>
      <x:c r="U84" s="8" t="s">
        <x:v>30</x:v>
      </x:c>
      <x:c r="V84" s="8" t="s">
        <x:v>30</x:v>
      </x:c>
      <x:c r="W84" s="8" t="s">
        <x:v>30</x:v>
      </x:c>
      <x:c r="X84" s="8" t="s">
        <x:v>30</x:v>
      </x:c>
      <x:c r="Y84" s="8" t="s">
        <x:v>30</x:v>
      </x:c>
      <x:c r="Z84" s="8" t="s">
        <x:v>30</x:v>
      </x:c>
      <x:c r="AA84" s="8" t="s">
        <x:v>30</x:v>
      </x:c>
      <x:c r="AB84" s="8" t="s">
        <x:v>30</x:v>
      </x:c>
      <x:c r="AC84" s="8" t="s">
        <x:v>30</x:v>
      </x:c>
      <x:c r="AD84" s="8" t="s">
        <x:v>30</x:v>
      </x:c>
      <x:c r="AE84" s="8" t="s">
        <x:v>30</x:v>
      </x:c>
      <x:c r="AF84" s="8" t="s">
        <x:v>30</x:v>
      </x:c>
      <x:c r="AG84" s="8" t="s">
        <x:v>30</x:v>
      </x:c>
      <x:c r="AH84" s="8" t="s">
        <x:v>30</x:v>
      </x:c>
      <x:c r="AI84" s="8" t="s">
        <x:v>30</x:v>
      </x:c>
      <x:c r="AJ84" s="8" t="s">
        <x:v>30</x:v>
      </x:c>
      <x:c r="AK84" s="8" t="s">
        <x:v>30</x:v>
      </x:c>
      <x:c r="AL84" s="8" t="s">
        <x:v>30</x:v>
      </x:c>
      <x:c r="AM84" s="8" t="s">
        <x:v>30</x:v>
      </x:c>
      <x:c r="AN84" s="8" t="s">
        <x:v>30</x:v>
      </x:c>
      <x:c r="AO84" s="8" t="s">
        <x:v>30</x:v>
      </x:c>
      <x:c r="AP84" s="8" t="s">
        <x:v>30</x:v>
      </x:c>
      <x:c r="AQ84" s="8" t="s">
        <x:v>30</x:v>
      </x:c>
      <x:c r="AR84" s="8" t="s">
        <x:v>30</x:v>
      </x:c>
      <x:c r="AS84" s="8" t="s">
        <x:v>30</x:v>
      </x:c>
      <x:c r="AT84" s="8" t="s">
        <x:v>30</x:v>
      </x:c>
      <x:c r="AU84" s="8" t="s">
        <x:v>30</x:v>
      </x:c>
    </x:row>
    <x:row r="85" ht="54.75" hidden="0" customHeight="1">
      <x:c r="A85" s="8" t="s">
        <x:v>2645</x:v>
      </x:c>
      <x:c r="B85" s="8" t="s">
        <x:v>6157</x:v>
      </x:c>
      <x:c r="C85" s="8" t="s">
        <x:v>30</x:v>
      </x:c>
      <x:c r="D85" s="8" t="s">
        <x:v>6159</x:v>
      </x:c>
      <x:c r="E85" s="8" t="s">
        <x:v>6159</x:v>
      </x:c>
      <x:c r="F85" s="8" t="s">
        <x:v>30</x:v>
      </x:c>
      <x:c r="G85" s="8" t="s">
        <x:v>6159</x:v>
      </x:c>
      <x:c r="H85" s="8" t="s">
        <x:v>6159</x:v>
      </x:c>
      <x:c r="I85" s="8" t="s">
        <x:v>30</x:v>
      </x:c>
      <x:c r="J85" s="8" t="s">
        <x:v>6159</x:v>
      </x:c>
      <x:c r="K85" s="8" t="s">
        <x:v>6159</x:v>
      </x:c>
      <x:c r="L85" s="8" t="s">
        <x:v>6159</x:v>
      </x:c>
      <x:c r="M85" s="8" t="s">
        <x:v>6159</x:v>
      </x:c>
      <x:c r="N85" s="8" t="s">
        <x:v>30</x:v>
      </x:c>
      <x:c r="O85" s="8" t="s">
        <x:v>30</x:v>
      </x:c>
      <x:c r="P85" s="8" t="s">
        <x:v>30</x:v>
      </x:c>
      <x:c r="Q85" s="8" t="s">
        <x:v>30</x:v>
      </x:c>
      <x:c r="R85" s="8" t="s">
        <x:v>30</x:v>
      </x:c>
      <x:c r="S85" s="8" t="s">
        <x:v>30</x:v>
      </x:c>
      <x:c r="T85" s="8" t="s">
        <x:v>30</x:v>
      </x:c>
      <x:c r="U85" s="8" t="s">
        <x:v>6159</x:v>
      </x:c>
      <x:c r="V85" s="8" t="s">
        <x:v>6159</x:v>
      </x:c>
      <x:c r="W85" s="8" t="s">
        <x:v>6159</x:v>
      </x:c>
      <x:c r="X85" s="8" t="s">
        <x:v>6159</x:v>
      </x:c>
      <x:c r="Y85" s="8" t="s">
        <x:v>30</x:v>
      </x:c>
      <x:c r="Z85" s="8" t="s">
        <x:v>30</x:v>
      </x:c>
      <x:c r="AA85" s="8" t="s">
        <x:v>30</x:v>
      </x:c>
      <x:c r="AB85" s="8" t="s">
        <x:v>6159</x:v>
      </x:c>
      <x:c r="AC85" s="8" t="s">
        <x:v>30</x:v>
      </x:c>
      <x:c r="AD85" s="8" t="s">
        <x:v>30</x:v>
      </x:c>
      <x:c r="AE85" s="8" t="s">
        <x:v>30</x:v>
      </x:c>
      <x:c r="AF85" s="8" t="s">
        <x:v>30</x:v>
      </x:c>
      <x:c r="AG85" s="8" t="s">
        <x:v>30</x:v>
      </x:c>
      <x:c r="AH85" s="8" t="s">
        <x:v>30</x:v>
      </x:c>
      <x:c r="AI85" s="8" t="s">
        <x:v>30</x:v>
      </x:c>
      <x:c r="AJ85" s="8" t="s">
        <x:v>30</x:v>
      </x:c>
      <x:c r="AK85" s="8" t="s">
        <x:v>30</x:v>
      </x:c>
      <x:c r="AL85" s="8" t="s">
        <x:v>30</x:v>
      </x:c>
      <x:c r="AM85" s="8" t="s">
        <x:v>6159</x:v>
      </x:c>
      <x:c r="AN85" s="8" t="s">
        <x:v>30</x:v>
      </x:c>
      <x:c r="AO85" s="8" t="s">
        <x:v>30</x:v>
      </x:c>
      <x:c r="AP85" s="8" t="s">
        <x:v>30</x:v>
      </x:c>
      <x:c r="AQ85" s="8" t="s">
        <x:v>30</x:v>
      </x:c>
      <x:c r="AR85" s="8" t="s">
        <x:v>30</x:v>
      </x:c>
      <x:c r="AS85" s="8" t="s">
        <x:v>30</x:v>
      </x:c>
      <x:c r="AT85" s="8" t="s">
        <x:v>30</x:v>
      </x:c>
      <x:c r="AU85" s="8" t="s">
        <x:v>30</x:v>
      </x:c>
    </x:row>
    <x:row r="86" ht="54.75" hidden="0" customHeight="1">
      <x:c r="A86" s="8" t="s">
        <x:v>2918</x:v>
      </x:c>
      <x:c r="B86" s="8" t="s">
        <x:v>6157</x:v>
      </x:c>
      <x:c r="C86" s="8" t="s">
        <x:v>6159</x:v>
      </x:c>
      <x:c r="D86" s="8" t="s">
        <x:v>6159</x:v>
      </x:c>
      <x:c r="E86" s="8" t="s">
        <x:v>6159</x:v>
      </x:c>
      <x:c r="F86" s="8" t="s">
        <x:v>30</x:v>
      </x:c>
      <x:c r="G86" s="8" t="s">
        <x:v>30</x:v>
      </x:c>
      <x:c r="H86" s="8" t="s">
        <x:v>6159</x:v>
      </x:c>
      <x:c r="I86" s="8" t="s">
        <x:v>30</x:v>
      </x:c>
      <x:c r="J86" s="8" t="s">
        <x:v>6159</x:v>
      </x:c>
      <x:c r="K86" s="8" t="s">
        <x:v>6159</x:v>
      </x:c>
      <x:c r="L86" s="8" t="s">
        <x:v>30</x:v>
      </x:c>
      <x:c r="M86" s="8" t="s">
        <x:v>6159</x:v>
      </x:c>
      <x:c r="N86" s="8" t="s">
        <x:v>30</x:v>
      </x:c>
      <x:c r="O86" s="8" t="s">
        <x:v>30</x:v>
      </x:c>
      <x:c r="P86" s="8" t="s">
        <x:v>30</x:v>
      </x:c>
      <x:c r="Q86" s="8" t="s">
        <x:v>30</x:v>
      </x:c>
      <x:c r="R86" s="8" t="s">
        <x:v>30</x:v>
      </x:c>
      <x:c r="S86" s="8" t="s">
        <x:v>6159</x:v>
      </x:c>
      <x:c r="T86" s="8" t="s">
        <x:v>30</x:v>
      </x:c>
      <x:c r="U86" s="8" t="s">
        <x:v>30</x:v>
      </x:c>
      <x:c r="V86" s="8" t="s">
        <x:v>30</x:v>
      </x:c>
      <x:c r="W86" s="8" t="s">
        <x:v>30</x:v>
      </x:c>
      <x:c r="X86" s="8" t="s">
        <x:v>30</x:v>
      </x:c>
      <x:c r="Y86" s="8" t="s">
        <x:v>30</x:v>
      </x:c>
      <x:c r="Z86" s="8" t="s">
        <x:v>30</x:v>
      </x:c>
      <x:c r="AA86" s="8" t="s">
        <x:v>30</x:v>
      </x:c>
      <x:c r="AB86" s="8" t="s">
        <x:v>6159</x:v>
      </x:c>
      <x:c r="AC86" s="8" t="s">
        <x:v>30</x:v>
      </x:c>
      <x:c r="AD86" s="8" t="s">
        <x:v>30</x:v>
      </x:c>
      <x:c r="AE86" s="8" t="s">
        <x:v>30</x:v>
      </x:c>
      <x:c r="AF86" s="8" t="s">
        <x:v>30</x:v>
      </x:c>
      <x:c r="AG86" s="8" t="s">
        <x:v>30</x:v>
      </x:c>
      <x:c r="AH86" s="8" t="s">
        <x:v>30</x:v>
      </x:c>
      <x:c r="AI86" s="8" t="s">
        <x:v>30</x:v>
      </x:c>
      <x:c r="AJ86" s="8" t="s">
        <x:v>30</x:v>
      </x:c>
      <x:c r="AK86" s="8" t="s">
        <x:v>30</x:v>
      </x:c>
      <x:c r="AL86" s="8" t="s">
        <x:v>30</x:v>
      </x:c>
      <x:c r="AM86" s="8" t="s">
        <x:v>6159</x:v>
      </x:c>
      <x:c r="AN86" s="8" t="s">
        <x:v>30</x:v>
      </x:c>
      <x:c r="AO86" s="8" t="s">
        <x:v>30</x:v>
      </x:c>
      <x:c r="AP86" s="8" t="s">
        <x:v>6159</x:v>
      </x:c>
      <x:c r="AQ86" s="8" t="s">
        <x:v>30</x:v>
      </x:c>
      <x:c r="AR86" s="8" t="s">
        <x:v>30</x:v>
      </x:c>
      <x:c r="AS86" s="8" t="s">
        <x:v>30</x:v>
      </x:c>
      <x:c r="AT86" s="8" t="s">
        <x:v>30</x:v>
      </x:c>
      <x:c r="AU86" s="8" t="s">
        <x:v>30</x:v>
      </x:c>
    </x:row>
    <x:row r="87" ht="54.75" hidden="0" customHeight="1">
      <x:c r="A87" s="8" t="s">
        <x:v>2957</x:v>
      </x:c>
      <x:c r="B87" s="8" t="s">
        <x:v>6157</x:v>
      </x:c>
      <x:c r="C87" s="8" t="s">
        <x:v>30</x:v>
      </x:c>
      <x:c r="D87" s="8" t="s">
        <x:v>6159</x:v>
      </x:c>
      <x:c r="E87" s="8" t="s">
        <x:v>30</x:v>
      </x:c>
      <x:c r="F87" s="8" t="s">
        <x:v>30</x:v>
      </x:c>
      <x:c r="G87" s="8" t="s">
        <x:v>6159</x:v>
      </x:c>
      <x:c r="H87" s="8" t="s">
        <x:v>6159</x:v>
      </x:c>
      <x:c r="I87" s="8" t="s">
        <x:v>30</x:v>
      </x:c>
      <x:c r="J87" s="8" t="s">
        <x:v>30</x:v>
      </x:c>
      <x:c r="K87" s="8" t="s">
        <x:v>30</x:v>
      </x:c>
      <x:c r="L87" s="8" t="s">
        <x:v>30</x:v>
      </x:c>
      <x:c r="M87" s="8" t="s">
        <x:v>30</x:v>
      </x:c>
      <x:c r="N87" s="8" t="s">
        <x:v>6159</x:v>
      </x:c>
      <x:c r="O87" s="8" t="s">
        <x:v>30</x:v>
      </x:c>
      <x:c r="P87" s="8" t="s">
        <x:v>30</x:v>
      </x:c>
      <x:c r="Q87" s="8" t="s">
        <x:v>30</x:v>
      </x:c>
      <x:c r="R87" s="8" t="s">
        <x:v>6159</x:v>
      </x:c>
      <x:c r="S87" s="8" t="s">
        <x:v>6159</x:v>
      </x:c>
      <x:c r="T87" s="8" t="s">
        <x:v>6159</x:v>
      </x:c>
      <x:c r="U87" s="8" t="s">
        <x:v>6159</x:v>
      </x:c>
      <x:c r="V87" s="8" t="s">
        <x:v>6159</x:v>
      </x:c>
      <x:c r="W87" s="8" t="s">
        <x:v>6159</x:v>
      </x:c>
      <x:c r="X87" s="8" t="s">
        <x:v>30</x:v>
      </x:c>
      <x:c r="Y87" s="8" t="s">
        <x:v>6159</x:v>
      </x:c>
      <x:c r="Z87" s="8" t="s">
        <x:v>30</x:v>
      </x:c>
      <x:c r="AA87" s="8" t="s">
        <x:v>30</x:v>
      </x:c>
      <x:c r="AB87" s="8" t="s">
        <x:v>6159</x:v>
      </x:c>
      <x:c r="AC87" s="8" t="s">
        <x:v>30</x:v>
      </x:c>
      <x:c r="AD87" s="8" t="s">
        <x:v>30</x:v>
      </x:c>
      <x:c r="AE87" s="8" t="s">
        <x:v>30</x:v>
      </x:c>
      <x:c r="AF87" s="8" t="s">
        <x:v>30</x:v>
      </x:c>
      <x:c r="AG87" s="8" t="s">
        <x:v>30</x:v>
      </x:c>
      <x:c r="AH87" s="8" t="s">
        <x:v>30</x:v>
      </x:c>
      <x:c r="AI87" s="8" t="s">
        <x:v>30</x:v>
      </x:c>
      <x:c r="AJ87" s="8" t="s">
        <x:v>30</x:v>
      </x:c>
      <x:c r="AK87" s="8" t="s">
        <x:v>30</x:v>
      </x:c>
      <x:c r="AL87" s="8" t="s">
        <x:v>30</x:v>
      </x:c>
      <x:c r="AM87" s="8" t="s">
        <x:v>30</x:v>
      </x:c>
      <x:c r="AN87" s="8" t="s">
        <x:v>30</x:v>
      </x:c>
      <x:c r="AO87" s="8" t="s">
        <x:v>30</x:v>
      </x:c>
      <x:c r="AP87" s="8" t="s">
        <x:v>30</x:v>
      </x:c>
      <x:c r="AQ87" s="8" t="s">
        <x:v>30</x:v>
      </x:c>
      <x:c r="AR87" s="8" t="s">
        <x:v>30</x:v>
      </x:c>
      <x:c r="AS87" s="8" t="s">
        <x:v>30</x:v>
      </x:c>
      <x:c r="AT87" s="8" t="s">
        <x:v>30</x:v>
      </x:c>
      <x:c r="AU87" s="8" t="s">
        <x:v>30</x:v>
      </x:c>
    </x:row>
    <x:row r="88" ht="54.75" hidden="0" customHeight="1">
      <x:c r="A88" s="8" t="s">
        <x:v>5142</x:v>
      </x:c>
      <x:c r="B88" s="8" t="s">
        <x:v>6158</x:v>
      </x:c>
      <x:c r="C88" s="8" t="s">
        <x:v>30</x:v>
      </x:c>
      <x:c r="D88" s="8" t="s">
        <x:v>30</x:v>
      </x:c>
      <x:c r="E88" s="8" t="s">
        <x:v>6159</x:v>
      </x:c>
      <x:c r="F88" s="8" t="s">
        <x:v>30</x:v>
      </x:c>
      <x:c r="G88" s="8" t="s">
        <x:v>30</x:v>
      </x:c>
      <x:c r="H88" s="8" t="s">
        <x:v>30</x:v>
      </x:c>
      <x:c r="I88" s="8" t="s">
        <x:v>30</x:v>
      </x:c>
      <x:c r="J88" s="8" t="s">
        <x:v>30</x:v>
      </x:c>
      <x:c r="K88" s="8" t="s">
        <x:v>30</x:v>
      </x:c>
      <x:c r="L88" s="8" t="s">
        <x:v>30</x:v>
      </x:c>
      <x:c r="M88" s="8" t="s">
        <x:v>30</x:v>
      </x:c>
      <x:c r="N88" s="8" t="s">
        <x:v>30</x:v>
      </x:c>
      <x:c r="O88" s="8" t="s">
        <x:v>30</x:v>
      </x:c>
      <x:c r="P88" s="8" t="s">
        <x:v>30</x:v>
      </x:c>
      <x:c r="Q88" s="8" t="s">
        <x:v>30</x:v>
      </x:c>
      <x:c r="R88" s="8" t="s">
        <x:v>30</x:v>
      </x:c>
      <x:c r="S88" s="8" t="s">
        <x:v>30</x:v>
      </x:c>
      <x:c r="T88" s="8" t="s">
        <x:v>30</x:v>
      </x:c>
      <x:c r="U88" s="8" t="s">
        <x:v>30</x:v>
      </x:c>
      <x:c r="V88" s="8" t="s">
        <x:v>30</x:v>
      </x:c>
      <x:c r="W88" s="8" t="s">
        <x:v>30</x:v>
      </x:c>
      <x:c r="X88" s="8" t="s">
        <x:v>30</x:v>
      </x:c>
      <x:c r="Y88" s="8" t="s">
        <x:v>30</x:v>
      </x:c>
      <x:c r="Z88" s="8" t="s">
        <x:v>30</x:v>
      </x:c>
      <x:c r="AA88" s="8" t="s">
        <x:v>30</x:v>
      </x:c>
      <x:c r="AB88" s="8" t="s">
        <x:v>30</x:v>
      </x:c>
      <x:c r="AC88" s="8" t="s">
        <x:v>30</x:v>
      </x:c>
      <x:c r="AD88" s="8" t="s">
        <x:v>30</x:v>
      </x:c>
      <x:c r="AE88" s="8" t="s">
        <x:v>30</x:v>
      </x:c>
      <x:c r="AF88" s="8" t="s">
        <x:v>30</x:v>
      </x:c>
      <x:c r="AG88" s="8" t="s">
        <x:v>30</x:v>
      </x:c>
      <x:c r="AH88" s="8" t="s">
        <x:v>30</x:v>
      </x:c>
      <x:c r="AI88" s="8" t="s">
        <x:v>30</x:v>
      </x:c>
      <x:c r="AJ88" s="8" t="s">
        <x:v>30</x:v>
      </x:c>
      <x:c r="AK88" s="8" t="s">
        <x:v>30</x:v>
      </x:c>
      <x:c r="AL88" s="8" t="s">
        <x:v>30</x:v>
      </x:c>
      <x:c r="AM88" s="8" t="s">
        <x:v>30</x:v>
      </x:c>
      <x:c r="AN88" s="8" t="s">
        <x:v>30</x:v>
      </x:c>
      <x:c r="AO88" s="8" t="s">
        <x:v>6159</x:v>
      </x:c>
      <x:c r="AP88" s="8" t="s">
        <x:v>30</x:v>
      </x:c>
      <x:c r="AQ88" s="8" t="s">
        <x:v>30</x:v>
      </x:c>
      <x:c r="AR88" s="8" t="s">
        <x:v>30</x:v>
      </x:c>
      <x:c r="AS88" s="8" t="s">
        <x:v>30</x:v>
      </x:c>
      <x:c r="AT88" s="8" t="s">
        <x:v>30</x:v>
      </x:c>
      <x:c r="AU88" s="8" t="s">
        <x:v>30</x:v>
      </x:c>
    </x:row>
    <x:row r="89" ht="54.75" hidden="0" customHeight="1">
      <x:c r="A89" s="8" t="s">
        <x:v>4614</x:v>
      </x:c>
      <x:c r="B89" s="8" t="s">
        <x:v>6158</x:v>
      </x:c>
      <x:c r="C89" s="8" t="s">
        <x:v>6159</x:v>
      </x:c>
      <x:c r="D89" s="8" t="s">
        <x:v>30</x:v>
      </x:c>
      <x:c r="E89" s="8" t="s">
        <x:v>30</x:v>
      </x:c>
      <x:c r="F89" s="8" t="s">
        <x:v>30</x:v>
      </x:c>
      <x:c r="G89" s="8" t="s">
        <x:v>30</x:v>
      </x:c>
      <x:c r="H89" s="8" t="s">
        <x:v>30</x:v>
      </x:c>
      <x:c r="I89" s="8" t="s">
        <x:v>30</x:v>
      </x:c>
      <x:c r="J89" s="8" t="s">
        <x:v>30</x:v>
      </x:c>
      <x:c r="K89" s="8" t="s">
        <x:v>30</x:v>
      </x:c>
      <x:c r="L89" s="8" t="s">
        <x:v>30</x:v>
      </x:c>
      <x:c r="M89" s="8" t="s">
        <x:v>30</x:v>
      </x:c>
      <x:c r="N89" s="8" t="s">
        <x:v>30</x:v>
      </x:c>
      <x:c r="O89" s="8" t="s">
        <x:v>30</x:v>
      </x:c>
      <x:c r="P89" s="8" t="s">
        <x:v>30</x:v>
      </x:c>
      <x:c r="Q89" s="8" t="s">
        <x:v>30</x:v>
      </x:c>
      <x:c r="R89" s="8" t="s">
        <x:v>30</x:v>
      </x:c>
      <x:c r="S89" s="8" t="s">
        <x:v>30</x:v>
      </x:c>
      <x:c r="T89" s="8" t="s">
        <x:v>30</x:v>
      </x:c>
      <x:c r="U89" s="8" t="s">
        <x:v>30</x:v>
      </x:c>
      <x:c r="V89" s="8" t="s">
        <x:v>30</x:v>
      </x:c>
      <x:c r="W89" s="8" t="s">
        <x:v>30</x:v>
      </x:c>
      <x:c r="X89" s="8" t="s">
        <x:v>30</x:v>
      </x:c>
      <x:c r="Y89" s="8" t="s">
        <x:v>30</x:v>
      </x:c>
      <x:c r="Z89" s="8" t="s">
        <x:v>30</x:v>
      </x:c>
      <x:c r="AA89" s="8" t="s">
        <x:v>30</x:v>
      </x:c>
      <x:c r="AB89" s="8" t="s">
        <x:v>30</x:v>
      </x:c>
      <x:c r="AC89" s="8" t="s">
        <x:v>30</x:v>
      </x:c>
      <x:c r="AD89" s="8" t="s">
        <x:v>30</x:v>
      </x:c>
      <x:c r="AE89" s="8" t="s">
        <x:v>30</x:v>
      </x:c>
      <x:c r="AF89" s="8" t="s">
        <x:v>30</x:v>
      </x:c>
      <x:c r="AG89" s="8" t="s">
        <x:v>30</x:v>
      </x:c>
      <x:c r="AH89" s="8" t="s">
        <x:v>30</x:v>
      </x:c>
      <x:c r="AI89" s="8" t="s">
        <x:v>30</x:v>
      </x:c>
      <x:c r="AJ89" s="8" t="s">
        <x:v>30</x:v>
      </x:c>
      <x:c r="AK89" s="8" t="s">
        <x:v>30</x:v>
      </x:c>
      <x:c r="AL89" s="8" t="s">
        <x:v>30</x:v>
      </x:c>
      <x:c r="AM89" s="8" t="s">
        <x:v>30</x:v>
      </x:c>
      <x:c r="AN89" s="8" t="s">
        <x:v>30</x:v>
      </x:c>
      <x:c r="AO89" s="8" t="s">
        <x:v>30</x:v>
      </x:c>
      <x:c r="AP89" s="8" t="s">
        <x:v>30</x:v>
      </x:c>
      <x:c r="AQ89" s="8" t="s">
        <x:v>30</x:v>
      </x:c>
      <x:c r="AR89" s="8" t="s">
        <x:v>30</x:v>
      </x:c>
      <x:c r="AS89" s="8" t="s">
        <x:v>30</x:v>
      </x:c>
      <x:c r="AT89" s="8" t="s">
        <x:v>30</x:v>
      </x:c>
      <x:c r="AU89" s="8" t="s">
        <x:v>30</x:v>
      </x:c>
    </x:row>
    <x:row r="90" ht="54.75" hidden="0" customHeight="1">
      <x:c r="A90" s="8" t="s">
        <x:v>5171</x:v>
      </x:c>
      <x:c r="B90" s="8" t="s">
        <x:v>6158</x:v>
      </x:c>
      <x:c r="C90" s="8" t="s">
        <x:v>6159</x:v>
      </x:c>
      <x:c r="D90" s="8" t="s">
        <x:v>6159</x:v>
      </x:c>
      <x:c r="E90" s="8" t="s">
        <x:v>30</x:v>
      </x:c>
      <x:c r="F90" s="8" t="s">
        <x:v>30</x:v>
      </x:c>
      <x:c r="G90" s="8" t="s">
        <x:v>30</x:v>
      </x:c>
      <x:c r="H90" s="8" t="s">
        <x:v>6159</x:v>
      </x:c>
      <x:c r="I90" s="8" t="s">
        <x:v>30</x:v>
      </x:c>
      <x:c r="J90" s="8" t="s">
        <x:v>30</x:v>
      </x:c>
      <x:c r="K90" s="8" t="s">
        <x:v>30</x:v>
      </x:c>
      <x:c r="L90" s="8" t="s">
        <x:v>30</x:v>
      </x:c>
      <x:c r="M90" s="8" t="s">
        <x:v>30</x:v>
      </x:c>
      <x:c r="N90" s="8" t="s">
        <x:v>30</x:v>
      </x:c>
      <x:c r="O90" s="8" t="s">
        <x:v>30</x:v>
      </x:c>
      <x:c r="P90" s="8" t="s">
        <x:v>30</x:v>
      </x:c>
      <x:c r="Q90" s="8" t="s">
        <x:v>30</x:v>
      </x:c>
      <x:c r="R90" s="8" t="s">
        <x:v>30</x:v>
      </x:c>
      <x:c r="S90" s="8" t="s">
        <x:v>30</x:v>
      </x:c>
      <x:c r="T90" s="8" t="s">
        <x:v>30</x:v>
      </x:c>
      <x:c r="U90" s="8" t="s">
        <x:v>30</x:v>
      </x:c>
      <x:c r="V90" s="8" t="s">
        <x:v>30</x:v>
      </x:c>
      <x:c r="W90" s="8" t="s">
        <x:v>30</x:v>
      </x:c>
      <x:c r="X90" s="8" t="s">
        <x:v>30</x:v>
      </x:c>
      <x:c r="Y90" s="8" t="s">
        <x:v>6159</x:v>
      </x:c>
      <x:c r="Z90" s="8" t="s">
        <x:v>30</x:v>
      </x:c>
      <x:c r="AA90" s="8" t="s">
        <x:v>30</x:v>
      </x:c>
      <x:c r="AB90" s="8" t="s">
        <x:v>30</x:v>
      </x:c>
      <x:c r="AC90" s="8" t="s">
        <x:v>30</x:v>
      </x:c>
      <x:c r="AD90" s="8" t="s">
        <x:v>30</x:v>
      </x:c>
      <x:c r="AE90" s="8" t="s">
        <x:v>30</x:v>
      </x:c>
      <x:c r="AF90" s="8" t="s">
        <x:v>30</x:v>
      </x:c>
      <x:c r="AG90" s="8" t="s">
        <x:v>30</x:v>
      </x:c>
      <x:c r="AH90" s="8" t="s">
        <x:v>30</x:v>
      </x:c>
      <x:c r="AI90" s="8" t="s">
        <x:v>30</x:v>
      </x:c>
      <x:c r="AJ90" s="8" t="s">
        <x:v>30</x:v>
      </x:c>
      <x:c r="AK90" s="8" t="s">
        <x:v>30</x:v>
      </x:c>
      <x:c r="AL90" s="8" t="s">
        <x:v>30</x:v>
      </x:c>
      <x:c r="AM90" s="8" t="s">
        <x:v>30</x:v>
      </x:c>
      <x:c r="AN90" s="8" t="s">
        <x:v>30</x:v>
      </x:c>
      <x:c r="AO90" s="8" t="s">
        <x:v>6159</x:v>
      </x:c>
      <x:c r="AP90" s="8" t="s">
        <x:v>30</x:v>
      </x:c>
      <x:c r="AQ90" s="8" t="s">
        <x:v>30</x:v>
      </x:c>
      <x:c r="AR90" s="8" t="s">
        <x:v>30</x:v>
      </x:c>
      <x:c r="AS90" s="8" t="s">
        <x:v>6159</x:v>
      </x:c>
      <x:c r="AT90" s="8" t="s">
        <x:v>30</x:v>
      </x:c>
      <x:c r="AU90" s="8" t="s">
        <x:v>30</x:v>
      </x:c>
    </x:row>
    <x:row r="91" ht="54.75" hidden="0" customHeight="1">
      <x:c r="A91" s="8" t="s">
        <x:v>3339</x:v>
      </x:c>
      <x:c r="B91" s="8" t="s">
        <x:v>6157</x:v>
      </x:c>
      <x:c r="C91" s="8" t="s">
        <x:v>30</x:v>
      </x:c>
      <x:c r="D91" s="8" t="s">
        <x:v>6159</x:v>
      </x:c>
      <x:c r="E91" s="8" t="s">
        <x:v>6159</x:v>
      </x:c>
      <x:c r="F91" s="8" t="s">
        <x:v>6159</x:v>
      </x:c>
      <x:c r="G91" s="8" t="s">
        <x:v>6159</x:v>
      </x:c>
      <x:c r="H91" s="8" t="s">
        <x:v>6159</x:v>
      </x:c>
      <x:c r="I91" s="8" t="s">
        <x:v>6159</x:v>
      </x:c>
      <x:c r="J91" s="8" t="s">
        <x:v>30</x:v>
      </x:c>
      <x:c r="K91" s="8" t="s">
        <x:v>30</x:v>
      </x:c>
      <x:c r="L91" s="8" t="s">
        <x:v>30</x:v>
      </x:c>
      <x:c r="M91" s="8" t="s">
        <x:v>30</x:v>
      </x:c>
      <x:c r="N91" s="8" t="s">
        <x:v>30</x:v>
      </x:c>
      <x:c r="O91" s="8" t="s">
        <x:v>30</x:v>
      </x:c>
      <x:c r="P91" s="8" t="s">
        <x:v>30</x:v>
      </x:c>
      <x:c r="Q91" s="8" t="s">
        <x:v>30</x:v>
      </x:c>
      <x:c r="R91" s="8" t="s">
        <x:v>30</x:v>
      </x:c>
      <x:c r="S91" s="8" t="s">
        <x:v>30</x:v>
      </x:c>
      <x:c r="T91" s="8" t="s">
        <x:v>30</x:v>
      </x:c>
      <x:c r="U91" s="8" t="s">
        <x:v>30</x:v>
      </x:c>
      <x:c r="V91" s="8" t="s">
        <x:v>30</x:v>
      </x:c>
      <x:c r="W91" s="8" t="s">
        <x:v>30</x:v>
      </x:c>
      <x:c r="X91" s="8" t="s">
        <x:v>30</x:v>
      </x:c>
      <x:c r="Y91" s="8" t="s">
        <x:v>30</x:v>
      </x:c>
      <x:c r="Z91" s="8" t="s">
        <x:v>30</x:v>
      </x:c>
      <x:c r="AA91" s="8" t="s">
        <x:v>30</x:v>
      </x:c>
      <x:c r="AB91" s="8" t="s">
        <x:v>30</x:v>
      </x:c>
      <x:c r="AC91" s="8" t="s">
        <x:v>30</x:v>
      </x:c>
      <x:c r="AD91" s="8" t="s">
        <x:v>30</x:v>
      </x:c>
      <x:c r="AE91" s="8" t="s">
        <x:v>30</x:v>
      </x:c>
      <x:c r="AF91" s="8" t="s">
        <x:v>30</x:v>
      </x:c>
      <x:c r="AG91" s="8" t="s">
        <x:v>30</x:v>
      </x:c>
      <x:c r="AH91" s="8" t="s">
        <x:v>30</x:v>
      </x:c>
      <x:c r="AI91" s="8" t="s">
        <x:v>30</x:v>
      </x:c>
      <x:c r="AJ91" s="8" t="s">
        <x:v>30</x:v>
      </x:c>
      <x:c r="AK91" s="8" t="s">
        <x:v>30</x:v>
      </x:c>
      <x:c r="AL91" s="8" t="s">
        <x:v>6159</x:v>
      </x:c>
      <x:c r="AM91" s="8" t="s">
        <x:v>30</x:v>
      </x:c>
      <x:c r="AN91" s="8" t="s">
        <x:v>30</x:v>
      </x:c>
      <x:c r="AO91" s="8" t="s">
        <x:v>30</x:v>
      </x:c>
      <x:c r="AP91" s="8" t="s">
        <x:v>6159</x:v>
      </x:c>
      <x:c r="AQ91" s="8" t="s">
        <x:v>30</x:v>
      </x:c>
      <x:c r="AR91" s="8" t="s">
        <x:v>30</x:v>
      </x:c>
      <x:c r="AS91" s="8" t="s">
        <x:v>30</x:v>
      </x:c>
      <x:c r="AT91" s="8" t="s">
        <x:v>30</x:v>
      </x:c>
      <x:c r="AU91" s="8" t="s">
        <x:v>30</x:v>
      </x:c>
    </x:row>
  </x:sheetData>
  <x:conditionalFormatting sqref="C2:AU91">
    <x:cfRule type="containsText" dxfId="0" priority="2" aboveAverage="0" percent="0" bottom="0" operator="containsText" text="NOT_EXTRACTED" rank="0" equalAverage="0">
      <x:formula>NOT(ISERROR(SEARCH("NOT_EXTRACTED",C2)))</x:formula>
    </x:cfRule>
    <x:cfRule type="containsText" dxfId="2" priority="3" aboveAverage="0" percent="0" bottom="0" operator="containsText" text="EXTRACTED_PARTIAL" rank="0" equalAverage="0">
      <x:formula>NOT(ISERROR(SEARCH("EXTRACTED_PARTIAL",C2)))</x:formula>
    </x:cfRule>
    <x:cfRule type="containsText" dxfId="0" priority="4" aboveAverage="0" percent="0" bottom="0" operator="containsText" text="NOT_EXTRACTED" rank="0" equalAverage="0">
      <x:formula>NOT(ISERROR(SEARCH("NOT_EXTRACTED",C2)))</x:formula>
    </x:cfRule>
    <x:cfRule type="containsText" dxfId="2" priority="5" aboveAverage="0" percent="0" bottom="0" operator="containsText" text="EXTRACTED_PARTIAL" rank="0" equalAverage="0">
      <x:formula>NOT(ISERROR(SEARCH("EXTRACTED_PARTIAL",C2)))</x:formula>
    </x:cfRule>
    <x:cfRule type="containsText" dxfId="0" priority="6" aboveAverage="0" percent="0" bottom="0" operator="containsText" text="NOT_EXTRACTED" rank="0" equalAverage="0">
      <x:formula>NOT(ISERROR(SEARCH("NOT_EXTRACTED",C2)))</x:formula>
    </x:cfRule>
    <x:cfRule type="containsText" dxfId="2" priority="7" aboveAverage="0" percent="0" bottom="0" operator="containsText" text="EXTRACTED_PARTIAL" rank="0" equalAverage="0">
      <x:formula>NOT(ISERROR(SEARCH("EXTRACTED_PARTIAL",C2)))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5" hidden="0" customHeight="1">
      <x:c r="A1" s="1" t="s">
        <x:v>102</x:v>
      </x:c>
      <x:c r="B1" s="1" t="s">
        <x:v>6160</x:v>
      </x:c>
      <x:c r="C1" s="1" t="s">
        <x:v>82</x:v>
      </x:c>
      <x:c r="D1" s="1" t="s">
        <x:v>6161</x:v>
      </x:c>
      <x:c r="E1" s="1" t="s">
        <x:v>6162</x:v>
      </x:c>
      <x:c r="F1" s="1" t="s">
        <x:v>6163</x:v>
      </x:c>
      <x:c r="G1" s="1" t="s">
        <x:v>6164</x:v>
      </x:c>
    </x:row>
    <x:row r="2" ht="15" hidden="0" customHeight="1">
      <x:c r="A2" s="1" t="s">
        <x:v>4342</x:v>
      </x:c>
      <x:c r="B2" s="1" t="s">
        <x:v>35</x:v>
      </x:c>
      <x:c r="C2" s="1" t="s">
        <x:v>4553</x:v>
      </x:c>
      <x:c r="D2" s="1" t="s">
        <x:v>6121</x:v>
      </x:c>
      <x:c r="E2" s="1" t="s">
        <x:v>30</x:v>
      </x:c>
      <x:c r="F2" s="1" t="s">
        <x:v>6159</x:v>
      </x:c>
      <x:c r="G2" s="1" t="s">
        <x:v>6165</x:v>
      </x:c>
    </x:row>
    <x:row r="3" ht="15" hidden="0" customHeight="1">
      <x:c r="A3" s="1" t="s">
        <x:v>4342</x:v>
      </x:c>
      <x:c r="B3" s="1" t="s">
        <x:v>35</x:v>
      </x:c>
      <x:c r="C3" s="1" t="s">
        <x:v>4553</x:v>
      </x:c>
      <x:c r="D3" s="1" t="s">
        <x:v>6120</x:v>
      </x:c>
      <x:c r="E3" s="1" t="s">
        <x:v>6157</x:v>
      </x:c>
      <x:c r="F3" s="1" t="s">
        <x:v>6158</x:v>
      </x:c>
      <x:c r="G3" s="1" t="s">
        <x:v>6166</x:v>
      </x:c>
    </x:row>
    <x:row r="4" ht="15" hidden="0" customHeight="1">
      <x:c r="A4" s="1" t="s">
        <x:v>4342</x:v>
      </x:c>
      <x:c r="B4" s="1" t="s">
        <x:v>35</x:v>
      </x:c>
      <x:c r="C4" s="1" t="s">
        <x:v>4570</x:v>
      </x:c>
      <x:c r="D4" s="1" t="s">
        <x:v>6121</x:v>
      </x:c>
      <x:c r="E4" s="1" t="s">
        <x:v>30</x:v>
      </x:c>
      <x:c r="F4" s="1" t="s">
        <x:v>6159</x:v>
      </x:c>
      <x:c r="G4" s="1" t="s">
        <x:v>6165</x:v>
      </x:c>
    </x:row>
    <x:row r="5" ht="15" hidden="0" customHeight="1">
      <x:c r="A5" s="1" t="s">
        <x:v>4342</x:v>
      </x:c>
      <x:c r="B5" s="1" t="s">
        <x:v>35</x:v>
      </x:c>
      <x:c r="C5" s="1" t="s">
        <x:v>4570</x:v>
      </x:c>
      <x:c r="D5" s="1" t="s">
        <x:v>4471</x:v>
      </x:c>
      <x:c r="E5" s="1" t="s">
        <x:v>30</x:v>
      </x:c>
      <x:c r="F5" s="1" t="s">
        <x:v>6159</x:v>
      </x:c>
      <x:c r="G5" s="1" t="s">
        <x:v>6165</x:v>
      </x:c>
    </x:row>
    <x:row r="6" ht="15" hidden="0" customHeight="1">
      <x:c r="A6" s="1" t="s">
        <x:v>4342</x:v>
      </x:c>
      <x:c r="B6" s="1" t="s">
        <x:v>35</x:v>
      </x:c>
      <x:c r="C6" s="1" t="s">
        <x:v>4570</x:v>
      </x:c>
      <x:c r="D6" s="1" t="s">
        <x:v>6120</x:v>
      </x:c>
      <x:c r="E6" s="1" t="s">
        <x:v>6157</x:v>
      </x:c>
      <x:c r="F6" s="1" t="s">
        <x:v>6158</x:v>
      </x:c>
      <x:c r="G6" s="1" t="s">
        <x:v>6166</x:v>
      </x:c>
    </x:row>
    <x:row r="7" ht="15" hidden="0" customHeight="1">
      <x:c r="A7" s="1" t="s">
        <x:v>4342</x:v>
      </x:c>
      <x:c r="B7" s="1" t="s">
        <x:v>35</x:v>
      </x:c>
      <x:c r="C7" s="1" t="s">
        <x:v>4585</x:v>
      </x:c>
      <x:c r="D7" s="1" t="s">
        <x:v>6121</x:v>
      </x:c>
      <x:c r="E7" s="1" t="s">
        <x:v>30</x:v>
      </x:c>
      <x:c r="F7" s="1" t="s">
        <x:v>6159</x:v>
      </x:c>
      <x:c r="G7" s="1" t="s">
        <x:v>6165</x:v>
      </x:c>
    </x:row>
    <x:row r="8" ht="15" hidden="0" customHeight="1">
      <x:c r="A8" s="1" t="s">
        <x:v>4342</x:v>
      </x:c>
      <x:c r="B8" s="1" t="s">
        <x:v>35</x:v>
      </x:c>
      <x:c r="C8" s="1" t="s">
        <x:v>4585</x:v>
      </x:c>
      <x:c r="D8" s="1" t="s">
        <x:v>6124</x:v>
      </x:c>
      <x:c r="E8" s="1" t="s">
        <x:v>30</x:v>
      </x:c>
      <x:c r="F8" s="1" t="s">
        <x:v>6159</x:v>
      </x:c>
      <x:c r="G8" s="1" t="s">
        <x:v>6165</x:v>
      </x:c>
    </x:row>
    <x:row r="9" ht="15" hidden="0" customHeight="1">
      <x:c r="A9" s="1" t="s">
        <x:v>4342</x:v>
      </x:c>
      <x:c r="B9" s="1" t="s">
        <x:v>35</x:v>
      </x:c>
      <x:c r="C9" s="1" t="s">
        <x:v>4585</x:v>
      </x:c>
      <x:c r="D9" s="1" t="s">
        <x:v>6122</x:v>
      </x:c>
      <x:c r="E9" s="1" t="s">
        <x:v>30</x:v>
      </x:c>
      <x:c r="F9" s="1" t="s">
        <x:v>6159</x:v>
      </x:c>
      <x:c r="G9" s="1" t="s">
        <x:v>6165</x:v>
      </x:c>
    </x:row>
    <x:row r="10" ht="15" hidden="0" customHeight="1">
      <x:c r="A10" s="1" t="s">
        <x:v>4342</x:v>
      </x:c>
      <x:c r="B10" s="1" t="s">
        <x:v>35</x:v>
      </x:c>
      <x:c r="C10" s="1" t="s">
        <x:v>4585</x:v>
      </x:c>
      <x:c r="D10" s="1" t="s">
        <x:v>6149</x:v>
      </x:c>
      <x:c r="E10" s="1" t="s">
        <x:v>30</x:v>
      </x:c>
      <x:c r="F10" s="1" t="s">
        <x:v>6159</x:v>
      </x:c>
      <x:c r="G10" s="1" t="s">
        <x:v>6165</x:v>
      </x:c>
    </x:row>
    <x:row r="11" ht="15" hidden="0" customHeight="1">
      <x:c r="A11" s="1" t="s">
        <x:v>4342</x:v>
      </x:c>
      <x:c r="B11" s="1" t="s">
        <x:v>35</x:v>
      </x:c>
      <x:c r="C11" s="1" t="s">
        <x:v>4585</x:v>
      </x:c>
      <x:c r="D11" s="1" t="s">
        <x:v>6151</x:v>
      </x:c>
      <x:c r="E11" s="1" t="s">
        <x:v>30</x:v>
      </x:c>
      <x:c r="F11" s="1" t="s">
        <x:v>6159</x:v>
      </x:c>
      <x:c r="G11" s="1" t="s">
        <x:v>6165</x:v>
      </x:c>
    </x:row>
    <x:row r="12" ht="15" hidden="0" customHeight="1">
      <x:c r="A12" s="1" t="s">
        <x:v>4342</x:v>
      </x:c>
      <x:c r="B12" s="1" t="s">
        <x:v>35</x:v>
      </x:c>
      <x:c r="C12" s="1" t="s">
        <x:v>4585</x:v>
      </x:c>
      <x:c r="D12" s="1" t="s">
        <x:v>6154</x:v>
      </x:c>
      <x:c r="E12" s="1" t="s">
        <x:v>30</x:v>
      </x:c>
      <x:c r="F12" s="1" t="s">
        <x:v>6159</x:v>
      </x:c>
      <x:c r="G12" s="1" t="s">
        <x:v>6165</x:v>
      </x:c>
    </x:row>
    <x:row r="13" ht="15" hidden="0" customHeight="1">
      <x:c r="A13" s="1" t="s">
        <x:v>4342</x:v>
      </x:c>
      <x:c r="B13" s="1" t="s">
        <x:v>35</x:v>
      </x:c>
      <x:c r="C13" s="1" t="s">
        <x:v>4585</x:v>
      </x:c>
      <x:c r="D13" s="1" t="s">
        <x:v>6155</x:v>
      </x:c>
      <x:c r="E13" s="1" t="s">
        <x:v>30</x:v>
      </x:c>
      <x:c r="F13" s="1" t="s">
        <x:v>6159</x:v>
      </x:c>
      <x:c r="G13" s="1" t="s">
        <x:v>6165</x:v>
      </x:c>
    </x:row>
    <x:row r="14" ht="15" hidden="0" customHeight="1">
      <x:c r="A14" s="1" t="s">
        <x:v>4342</x:v>
      </x:c>
      <x:c r="B14" s="1" t="s">
        <x:v>35</x:v>
      </x:c>
      <x:c r="C14" s="1" t="s">
        <x:v>4585</x:v>
      </x:c>
      <x:c r="D14" s="1" t="s">
        <x:v>6120</x:v>
      </x:c>
      <x:c r="E14" s="1" t="s">
        <x:v>6157</x:v>
      </x:c>
      <x:c r="F14" s="1" t="s">
        <x:v>6158</x:v>
      </x:c>
      <x:c r="G14" s="1" t="s">
        <x:v>6166</x:v>
      </x:c>
    </x:row>
    <x:row r="15" ht="15" hidden="0" customHeight="1">
      <x:c r="A15" s="1" t="s">
        <x:v>4342</x:v>
      </x:c>
      <x:c r="B15" s="1" t="s">
        <x:v>35</x:v>
      </x:c>
      <x:c r="C15" s="1" t="s">
        <x:v>4482</x:v>
      </x:c>
      <x:c r="D15" s="1" t="s">
        <x:v>6121</x:v>
      </x:c>
      <x:c r="E15" s="1" t="s">
        <x:v>30</x:v>
      </x:c>
      <x:c r="F15" s="1" t="s">
        <x:v>6159</x:v>
      </x:c>
      <x:c r="G15" s="1" t="s">
        <x:v>6165</x:v>
      </x:c>
    </x:row>
    <x:row r="16" ht="15" hidden="0" customHeight="1">
      <x:c r="A16" s="1" t="s">
        <x:v>4342</x:v>
      </x:c>
      <x:c r="B16" s="1" t="s">
        <x:v>35</x:v>
      </x:c>
      <x:c r="C16" s="1" t="s">
        <x:v>4482</x:v>
      </x:c>
      <x:c r="D16" s="1" t="s">
        <x:v>6122</x:v>
      </x:c>
      <x:c r="E16" s="1" t="s">
        <x:v>30</x:v>
      </x:c>
      <x:c r="F16" s="1" t="s">
        <x:v>6159</x:v>
      </x:c>
      <x:c r="G16" s="1" t="s">
        <x:v>6165</x:v>
      </x:c>
    </x:row>
    <x:row r="17" ht="15" hidden="0" customHeight="1">
      <x:c r="A17" s="1" t="s">
        <x:v>4342</x:v>
      </x:c>
      <x:c r="B17" s="1" t="s">
        <x:v>35</x:v>
      </x:c>
      <x:c r="C17" s="1" t="s">
        <x:v>4482</x:v>
      </x:c>
      <x:c r="D17" s="1" t="s">
        <x:v>6123</x:v>
      </x:c>
      <x:c r="E17" s="1" t="s">
        <x:v>30</x:v>
      </x:c>
      <x:c r="F17" s="1" t="s">
        <x:v>6159</x:v>
      </x:c>
      <x:c r="G17" s="1" t="s">
        <x:v>6165</x:v>
      </x:c>
    </x:row>
    <x:row r="18" ht="15" hidden="0" customHeight="1">
      <x:c r="A18" s="1" t="s">
        <x:v>4342</x:v>
      </x:c>
      <x:c r="B18" s="1" t="s">
        <x:v>35</x:v>
      </x:c>
      <x:c r="C18" s="1" t="s">
        <x:v>4482</x:v>
      </x:c>
      <x:c r="D18" s="1" t="s">
        <x:v>6124</x:v>
      </x:c>
      <x:c r="E18" s="1" t="s">
        <x:v>30</x:v>
      </x:c>
      <x:c r="F18" s="1" t="s">
        <x:v>6159</x:v>
      </x:c>
      <x:c r="G18" s="1" t="s">
        <x:v>6165</x:v>
      </x:c>
    </x:row>
    <x:row r="19" ht="15" hidden="0" customHeight="1">
      <x:c r="A19" s="1" t="s">
        <x:v>4342</x:v>
      </x:c>
      <x:c r="B19" s="1" t="s">
        <x:v>35</x:v>
      </x:c>
      <x:c r="C19" s="1" t="s">
        <x:v>4482</x:v>
      </x:c>
      <x:c r="D19" s="1" t="s">
        <x:v>6136</x:v>
      </x:c>
      <x:c r="E19" s="1" t="s">
        <x:v>30</x:v>
      </x:c>
      <x:c r="F19" s="1" t="s">
        <x:v>6159</x:v>
      </x:c>
      <x:c r="G19" s="1" t="s">
        <x:v>6165</x:v>
      </x:c>
    </x:row>
    <x:row r="20" ht="15" hidden="0" customHeight="1">
      <x:c r="A20" s="1" t="s">
        <x:v>4342</x:v>
      </x:c>
      <x:c r="B20" s="1" t="s">
        <x:v>35</x:v>
      </x:c>
      <x:c r="C20" s="1" t="s">
        <x:v>4482</x:v>
      </x:c>
      <x:c r="D20" s="1" t="s">
        <x:v>6132</x:v>
      </x:c>
      <x:c r="E20" s="1" t="s">
        <x:v>30</x:v>
      </x:c>
      <x:c r="F20" s="1" t="s">
        <x:v>32</x:v>
      </x:c>
      <x:c r="G20" s="1" t="s">
        <x:v>6165</x:v>
      </x:c>
    </x:row>
    <x:row r="21" ht="15" hidden="0" customHeight="1">
      <x:c r="A21" s="1" t="s">
        <x:v>4342</x:v>
      </x:c>
      <x:c r="B21" s="1" t="s">
        <x:v>35</x:v>
      </x:c>
      <x:c r="C21" s="1" t="s">
        <x:v>4482</x:v>
      </x:c>
      <x:c r="D21" s="1" t="s">
        <x:v>6149</x:v>
      </x:c>
      <x:c r="E21" s="1" t="s">
        <x:v>30</x:v>
      </x:c>
      <x:c r="F21" s="1" t="s">
        <x:v>6159</x:v>
      </x:c>
      <x:c r="G21" s="1" t="s">
        <x:v>6165</x:v>
      </x:c>
    </x:row>
    <x:row r="22" ht="15" hidden="0" customHeight="1">
      <x:c r="A22" s="1" t="s">
        <x:v>4342</x:v>
      </x:c>
      <x:c r="B22" s="1" t="s">
        <x:v>35</x:v>
      </x:c>
      <x:c r="C22" s="1" t="s">
        <x:v>4482</x:v>
      </x:c>
      <x:c r="D22" s="1" t="s">
        <x:v>6151</x:v>
      </x:c>
      <x:c r="E22" s="1" t="s">
        <x:v>30</x:v>
      </x:c>
      <x:c r="F22" s="1" t="s">
        <x:v>6159</x:v>
      </x:c>
      <x:c r="G22" s="1" t="s">
        <x:v>6165</x:v>
      </x:c>
    </x:row>
    <x:row r="23" ht="15" hidden="0" customHeight="1">
      <x:c r="A23" s="1" t="s">
        <x:v>4342</x:v>
      </x:c>
      <x:c r="B23" s="1" t="s">
        <x:v>35</x:v>
      </x:c>
      <x:c r="C23" s="1" t="s">
        <x:v>4482</x:v>
      </x:c>
      <x:c r="D23" s="1" t="s">
        <x:v>6152</x:v>
      </x:c>
      <x:c r="E23" s="1" t="s">
        <x:v>30</x:v>
      </x:c>
      <x:c r="F23" s="1" t="s">
        <x:v>6159</x:v>
      </x:c>
      <x:c r="G23" s="1" t="s">
        <x:v>6165</x:v>
      </x:c>
    </x:row>
    <x:row r="24" ht="15" hidden="0" customHeight="1">
      <x:c r="A24" s="1" t="s">
        <x:v>4342</x:v>
      </x:c>
      <x:c r="B24" s="1" t="s">
        <x:v>35</x:v>
      </x:c>
      <x:c r="C24" s="1" t="s">
        <x:v>4482</x:v>
      </x:c>
      <x:c r="D24" s="1" t="s">
        <x:v>6155</x:v>
      </x:c>
      <x:c r="E24" s="1" t="s">
        <x:v>30</x:v>
      </x:c>
      <x:c r="F24" s="1" t="s">
        <x:v>6159</x:v>
      </x:c>
      <x:c r="G24" s="1" t="s">
        <x:v>6165</x:v>
      </x:c>
    </x:row>
    <x:row r="25" ht="15" hidden="0" customHeight="1">
      <x:c r="A25" s="1" t="s">
        <x:v>4342</x:v>
      </x:c>
      <x:c r="B25" s="1" t="s">
        <x:v>35</x:v>
      </x:c>
      <x:c r="C25" s="1" t="s">
        <x:v>4482</x:v>
      </x:c>
      <x:c r="D25" s="1" t="s">
        <x:v>6154</x:v>
      </x:c>
      <x:c r="E25" s="1" t="s">
        <x:v>30</x:v>
      </x:c>
      <x:c r="F25" s="1" t="s">
        <x:v>32</x:v>
      </x:c>
      <x:c r="G25" s="1" t="s">
        <x:v>6165</x:v>
      </x:c>
    </x:row>
    <x:row r="26" ht="15" hidden="0" customHeight="1">
      <x:c r="A26" s="1" t="s">
        <x:v>4342</x:v>
      </x:c>
      <x:c r="B26" s="1" t="s">
        <x:v>35</x:v>
      </x:c>
      <x:c r="C26" s="1" t="s">
        <x:v>4482</x:v>
      </x:c>
      <x:c r="D26" s="1" t="s">
        <x:v>6120</x:v>
      </x:c>
      <x:c r="E26" s="1" t="s">
        <x:v>6157</x:v>
      </x:c>
      <x:c r="F26" s="1" t="s">
        <x:v>6158</x:v>
      </x:c>
      <x:c r="G26" s="1" t="s">
        <x:v>6166</x:v>
      </x:c>
    </x:row>
    <x:row r="27" ht="15" hidden="0" customHeight="1">
      <x:c r="A27" s="1" t="s">
        <x:v>4342</x:v>
      </x:c>
      <x:c r="B27" s="1" t="s">
        <x:v>35</x:v>
      </x:c>
      <x:c r="C27" s="1" t="s">
        <x:v>4336</x:v>
      </x:c>
      <x:c r="D27" s="1" t="s">
        <x:v>6121</x:v>
      </x:c>
      <x:c r="E27" s="1" t="s">
        <x:v>30</x:v>
      </x:c>
      <x:c r="F27" s="1" t="s">
        <x:v>6159</x:v>
      </x:c>
      <x:c r="G27" s="1" t="s">
        <x:v>6165</x:v>
      </x:c>
    </x:row>
    <x:row r="28" ht="15" hidden="0" customHeight="1">
      <x:c r="A28" s="1" t="s">
        <x:v>4342</x:v>
      </x:c>
      <x:c r="B28" s="1" t="s">
        <x:v>35</x:v>
      </x:c>
      <x:c r="C28" s="1" t="s">
        <x:v>4336</x:v>
      </x:c>
      <x:c r="D28" s="1" t="s">
        <x:v>6122</x:v>
      </x:c>
      <x:c r="E28" s="1" t="s">
        <x:v>30</x:v>
      </x:c>
      <x:c r="F28" s="1" t="s">
        <x:v>6159</x:v>
      </x:c>
      <x:c r="G28" s="1" t="s">
        <x:v>6165</x:v>
      </x:c>
    </x:row>
    <x:row r="29" ht="15" hidden="0" customHeight="1">
      <x:c r="A29" s="1" t="s">
        <x:v>4342</x:v>
      </x:c>
      <x:c r="B29" s="1" t="s">
        <x:v>35</x:v>
      </x:c>
      <x:c r="C29" s="1" t="s">
        <x:v>4336</x:v>
      </x:c>
      <x:c r="D29" s="1" t="s">
        <x:v>4721</x:v>
      </x:c>
      <x:c r="E29" s="1" t="s">
        <x:v>30</x:v>
      </x:c>
      <x:c r="F29" s="1" t="s">
        <x:v>6159</x:v>
      </x:c>
      <x:c r="G29" s="1" t="s">
        <x:v>6165</x:v>
      </x:c>
    </x:row>
    <x:row r="30" ht="15" hidden="0" customHeight="1">
      <x:c r="A30" s="1" t="s">
        <x:v>4342</x:v>
      </x:c>
      <x:c r="B30" s="1" t="s">
        <x:v>35</x:v>
      </x:c>
      <x:c r="C30" s="1" t="s">
        <x:v>4336</x:v>
      </x:c>
      <x:c r="D30" s="1" t="s">
        <x:v>4725</x:v>
      </x:c>
      <x:c r="E30" s="1" t="s">
        <x:v>30</x:v>
      </x:c>
      <x:c r="F30" s="1" t="s">
        <x:v>6159</x:v>
      </x:c>
      <x:c r="G30" s="1" t="s">
        <x:v>6165</x:v>
      </x:c>
    </x:row>
    <x:row r="31" ht="15" hidden="0" customHeight="1">
      <x:c r="A31" s="1" t="s">
        <x:v>4342</x:v>
      </x:c>
      <x:c r="B31" s="1" t="s">
        <x:v>35</x:v>
      </x:c>
      <x:c r="C31" s="1" t="s">
        <x:v>4336</x:v>
      </x:c>
      <x:c r="D31" s="1" t="s">
        <x:v>6123</x:v>
      </x:c>
      <x:c r="E31" s="1" t="s">
        <x:v>30</x:v>
      </x:c>
      <x:c r="F31" s="1" t="s">
        <x:v>6159</x:v>
      </x:c>
      <x:c r="G31" s="1" t="s">
        <x:v>6165</x:v>
      </x:c>
    </x:row>
    <x:row r="32" ht="15" hidden="0" customHeight="1">
      <x:c r="A32" s="1" t="s">
        <x:v>4342</x:v>
      </x:c>
      <x:c r="B32" s="1" t="s">
        <x:v>35</x:v>
      </x:c>
      <x:c r="C32" s="1" t="s">
        <x:v>4336</x:v>
      </x:c>
      <x:c r="D32" s="1" t="s">
        <x:v>6124</x:v>
      </x:c>
      <x:c r="E32" s="1" t="s">
        <x:v>30</x:v>
      </x:c>
      <x:c r="F32" s="1" t="s">
        <x:v>6159</x:v>
      </x:c>
      <x:c r="G32" s="1" t="s">
        <x:v>6165</x:v>
      </x:c>
    </x:row>
    <x:row r="33" ht="15" hidden="0" customHeight="1">
      <x:c r="A33" s="1" t="s">
        <x:v>4342</x:v>
      </x:c>
      <x:c r="B33" s="1" t="s">
        <x:v>35</x:v>
      </x:c>
      <x:c r="C33" s="1" t="s">
        <x:v>4336</x:v>
      </x:c>
      <x:c r="D33" s="1" t="s">
        <x:v>6127</x:v>
      </x:c>
      <x:c r="E33" s="1" t="s">
        <x:v>30</x:v>
      </x:c>
      <x:c r="F33" s="1" t="s">
        <x:v>6159</x:v>
      </x:c>
      <x:c r="G33" s="1" t="s">
        <x:v>6165</x:v>
      </x:c>
    </x:row>
    <x:row r="34" ht="15" hidden="0" customHeight="1">
      <x:c r="A34" s="1" t="s">
        <x:v>4342</x:v>
      </x:c>
      <x:c r="B34" s="1" t="s">
        <x:v>35</x:v>
      </x:c>
      <x:c r="C34" s="1" t="s">
        <x:v>4336</x:v>
      </x:c>
      <x:c r="D34" s="1" t="s">
        <x:v>6131</x:v>
      </x:c>
      <x:c r="E34" s="1" t="s">
        <x:v>30</x:v>
      </x:c>
      <x:c r="F34" s="1" t="s">
        <x:v>6159</x:v>
      </x:c>
      <x:c r="G34" s="1" t="s">
        <x:v>6165</x:v>
      </x:c>
    </x:row>
    <x:row r="35" ht="15" hidden="0" customHeight="1">
      <x:c r="A35" s="1" t="s">
        <x:v>4342</x:v>
      </x:c>
      <x:c r="B35" s="1" t="s">
        <x:v>35</x:v>
      </x:c>
      <x:c r="C35" s="1" t="s">
        <x:v>4336</x:v>
      </x:c>
      <x:c r="D35" s="1" t="s">
        <x:v>6125</x:v>
      </x:c>
      <x:c r="E35" s="1" t="s">
        <x:v>30</x:v>
      </x:c>
      <x:c r="F35" s="1" t="s">
        <x:v>6159</x:v>
      </x:c>
      <x:c r="G35" s="1" t="s">
        <x:v>6165</x:v>
      </x:c>
    </x:row>
    <x:row r="36" ht="15" hidden="0" customHeight="1">
      <x:c r="A36" s="1" t="s">
        <x:v>4342</x:v>
      </x:c>
      <x:c r="B36" s="1" t="s">
        <x:v>35</x:v>
      </x:c>
      <x:c r="C36" s="1" t="s">
        <x:v>4336</x:v>
      </x:c>
      <x:c r="D36" s="1" t="s">
        <x:v>6126</x:v>
      </x:c>
      <x:c r="E36" s="1" t="s">
        <x:v>30</x:v>
      </x:c>
      <x:c r="F36" s="1" t="s">
        <x:v>6159</x:v>
      </x:c>
      <x:c r="G36" s="1" t="s">
        <x:v>6165</x:v>
      </x:c>
    </x:row>
    <x:row r="37" ht="15" hidden="0" customHeight="1">
      <x:c r="A37" s="1" t="s">
        <x:v>4342</x:v>
      </x:c>
      <x:c r="B37" s="1" t="s">
        <x:v>35</x:v>
      </x:c>
      <x:c r="C37" s="1" t="s">
        <x:v>4336</x:v>
      </x:c>
      <x:c r="D37" s="1" t="s">
        <x:v>6130</x:v>
      </x:c>
      <x:c r="E37" s="1" t="s">
        <x:v>30</x:v>
      </x:c>
      <x:c r="F37" s="1" t="s">
        <x:v>6159</x:v>
      </x:c>
      <x:c r="G37" s="1" t="s">
        <x:v>6165</x:v>
      </x:c>
    </x:row>
    <x:row r="38" ht="15" hidden="0" customHeight="1">
      <x:c r="A38" s="1" t="s">
        <x:v>4342</x:v>
      </x:c>
      <x:c r="B38" s="1" t="s">
        <x:v>35</x:v>
      </x:c>
      <x:c r="C38" s="1" t="s">
        <x:v>4336</x:v>
      </x:c>
      <x:c r="D38" s="1" t="s">
        <x:v>6128</x:v>
      </x:c>
      <x:c r="E38" s="1" t="s">
        <x:v>30</x:v>
      </x:c>
      <x:c r="F38" s="1" t="s">
        <x:v>6159</x:v>
      </x:c>
      <x:c r="G38" s="1" t="s">
        <x:v>6165</x:v>
      </x:c>
    </x:row>
    <x:row r="39" ht="15" hidden="0" customHeight="1">
      <x:c r="A39" s="1" t="s">
        <x:v>4342</x:v>
      </x:c>
      <x:c r="B39" s="1" t="s">
        <x:v>35</x:v>
      </x:c>
      <x:c r="C39" s="1" t="s">
        <x:v>4336</x:v>
      </x:c>
      <x:c r="D39" s="1" t="s">
        <x:v>1343</x:v>
      </x:c>
      <x:c r="E39" s="1" t="s">
        <x:v>30</x:v>
      </x:c>
      <x:c r="F39" s="1" t="s">
        <x:v>6159</x:v>
      </x:c>
      <x:c r="G39" s="1" t="s">
        <x:v>6165</x:v>
      </x:c>
    </x:row>
    <x:row r="40" ht="15" hidden="0" customHeight="1">
      <x:c r="A40" s="1" t="s">
        <x:v>4342</x:v>
      </x:c>
      <x:c r="B40" s="1" t="s">
        <x:v>35</x:v>
      </x:c>
      <x:c r="C40" s="1" t="s">
        <x:v>4336</x:v>
      </x:c>
      <x:c r="D40" s="1" t="s">
        <x:v>4749</x:v>
      </x:c>
      <x:c r="E40" s="1" t="s">
        <x:v>30</x:v>
      </x:c>
      <x:c r="F40" s="1" t="s">
        <x:v>6159</x:v>
      </x:c>
      <x:c r="G40" s="1" t="s">
        <x:v>6165</x:v>
      </x:c>
    </x:row>
    <x:row r="41" ht="15" hidden="0" customHeight="1">
      <x:c r="A41" s="1" t="s">
        <x:v>4342</x:v>
      </x:c>
      <x:c r="B41" s="1" t="s">
        <x:v>35</x:v>
      </x:c>
      <x:c r="C41" s="1" t="s">
        <x:v>4336</x:v>
      </x:c>
      <x:c r="D41" s="1" t="s">
        <x:v>1640</x:v>
      </x:c>
      <x:c r="E41" s="1" t="s">
        <x:v>30</x:v>
      </x:c>
      <x:c r="F41" s="1" t="s">
        <x:v>6159</x:v>
      </x:c>
      <x:c r="G41" s="1" t="s">
        <x:v>6165</x:v>
      </x:c>
    </x:row>
    <x:row r="42" ht="15" hidden="0" customHeight="1">
      <x:c r="A42" s="1" t="s">
        <x:v>4342</x:v>
      </x:c>
      <x:c r="B42" s="1" t="s">
        <x:v>35</x:v>
      </x:c>
      <x:c r="C42" s="1" t="s">
        <x:v>4336</x:v>
      </x:c>
      <x:c r="D42" s="1" t="s">
        <x:v>6132</x:v>
      </x:c>
      <x:c r="E42" s="1" t="s">
        <x:v>30</x:v>
      </x:c>
      <x:c r="F42" s="1" t="s">
        <x:v>6159</x:v>
      </x:c>
      <x:c r="G42" s="1" t="s">
        <x:v>6165</x:v>
      </x:c>
    </x:row>
    <x:row r="43" ht="15" hidden="0" customHeight="1">
      <x:c r="A43" s="1" t="s">
        <x:v>4342</x:v>
      </x:c>
      <x:c r="B43" s="1" t="s">
        <x:v>35</x:v>
      </x:c>
      <x:c r="C43" s="1" t="s">
        <x:v>4336</x:v>
      </x:c>
      <x:c r="D43" s="1" t="s">
        <x:v>6133</x:v>
      </x:c>
      <x:c r="E43" s="1" t="s">
        <x:v>30</x:v>
      </x:c>
      <x:c r="F43" s="1" t="s">
        <x:v>6159</x:v>
      </x:c>
      <x:c r="G43" s="1" t="s">
        <x:v>6165</x:v>
      </x:c>
    </x:row>
    <x:row r="44" ht="15" hidden="0" customHeight="1">
      <x:c r="A44" s="1" t="s">
        <x:v>4342</x:v>
      </x:c>
      <x:c r="B44" s="1" t="s">
        <x:v>35</x:v>
      </x:c>
      <x:c r="C44" s="1" t="s">
        <x:v>4336</x:v>
      </x:c>
      <x:c r="D44" s="1" t="s">
        <x:v>6135</x:v>
      </x:c>
      <x:c r="E44" s="1" t="s">
        <x:v>30</x:v>
      </x:c>
      <x:c r="F44" s="1" t="s">
        <x:v>6159</x:v>
      </x:c>
      <x:c r="G44" s="1" t="s">
        <x:v>6165</x:v>
      </x:c>
    </x:row>
    <x:row r="45" ht="15" hidden="0" customHeight="1">
      <x:c r="A45" s="1" t="s">
        <x:v>4342</x:v>
      </x:c>
      <x:c r="B45" s="1" t="s">
        <x:v>35</x:v>
      </x:c>
      <x:c r="C45" s="1" t="s">
        <x:v>4336</x:v>
      </x:c>
      <x:c r="D45" s="1" t="s">
        <x:v>990</x:v>
      </x:c>
      <x:c r="E45" s="1" t="s">
        <x:v>30</x:v>
      </x:c>
      <x:c r="F45" s="1" t="s">
        <x:v>6159</x:v>
      </x:c>
      <x:c r="G45" s="1" t="s">
        <x:v>6165</x:v>
      </x:c>
    </x:row>
    <x:row r="46" ht="15" hidden="0" customHeight="1">
      <x:c r="A46" s="1" t="s">
        <x:v>4342</x:v>
      </x:c>
      <x:c r="B46" s="1" t="s">
        <x:v>35</x:v>
      </x:c>
      <x:c r="C46" s="1" t="s">
        <x:v>4336</x:v>
      </x:c>
      <x:c r="D46" s="1" t="s">
        <x:v>6138</x:v>
      </x:c>
      <x:c r="E46" s="1" t="s">
        <x:v>30</x:v>
      </x:c>
      <x:c r="F46" s="1" t="s">
        <x:v>6159</x:v>
      </x:c>
      <x:c r="G46" s="1" t="s">
        <x:v>6165</x:v>
      </x:c>
    </x:row>
    <x:row r="47" ht="15" hidden="0" customHeight="1">
      <x:c r="A47" s="1" t="s">
        <x:v>4342</x:v>
      </x:c>
      <x:c r="B47" s="1" t="s">
        <x:v>35</x:v>
      </x:c>
      <x:c r="C47" s="1" t="s">
        <x:v>4336</x:v>
      </x:c>
      <x:c r="D47" s="1" t="s">
        <x:v>6136</x:v>
      </x:c>
      <x:c r="E47" s="1" t="s">
        <x:v>30</x:v>
      </x:c>
      <x:c r="F47" s="1" t="s">
        <x:v>6159</x:v>
      </x:c>
      <x:c r="G47" s="1" t="s">
        <x:v>6165</x:v>
      </x:c>
    </x:row>
    <x:row r="48" ht="15" hidden="0" customHeight="1">
      <x:c r="A48" s="1" t="s">
        <x:v>4342</x:v>
      </x:c>
      <x:c r="B48" s="1" t="s">
        <x:v>35</x:v>
      </x:c>
      <x:c r="C48" s="1" t="s">
        <x:v>4336</x:v>
      </x:c>
      <x:c r="D48" s="1" t="s">
        <x:v>6137</x:v>
      </x:c>
      <x:c r="E48" s="1" t="s">
        <x:v>30</x:v>
      </x:c>
      <x:c r="F48" s="1" t="s">
        <x:v>6159</x:v>
      </x:c>
      <x:c r="G48" s="1" t="s">
        <x:v>6165</x:v>
      </x:c>
    </x:row>
    <x:row r="49" ht="15" hidden="0" customHeight="1">
      <x:c r="A49" s="1" t="s">
        <x:v>4342</x:v>
      </x:c>
      <x:c r="B49" s="1" t="s">
        <x:v>35</x:v>
      </x:c>
      <x:c r="C49" s="1" t="s">
        <x:v>4336</x:v>
      </x:c>
      <x:c r="D49" s="1" t="s">
        <x:v>6149</x:v>
      </x:c>
      <x:c r="E49" s="1" t="s">
        <x:v>30</x:v>
      </x:c>
      <x:c r="F49" s="1" t="s">
        <x:v>6159</x:v>
      </x:c>
      <x:c r="G49" s="1" t="s">
        <x:v>6165</x:v>
      </x:c>
    </x:row>
    <x:row r="50" ht="15" hidden="0" customHeight="1">
      <x:c r="A50" s="1" t="s">
        <x:v>4342</x:v>
      </x:c>
      <x:c r="B50" s="1" t="s">
        <x:v>35</x:v>
      </x:c>
      <x:c r="C50" s="1" t="s">
        <x:v>4336</x:v>
      </x:c>
      <x:c r="D50" s="1" t="s">
        <x:v>4449</x:v>
      </x:c>
      <x:c r="E50" s="1" t="s">
        <x:v>30</x:v>
      </x:c>
      <x:c r="F50" s="1" t="s">
        <x:v>6159</x:v>
      </x:c>
      <x:c r="G50" s="1" t="s">
        <x:v>6165</x:v>
      </x:c>
    </x:row>
    <x:row r="51" ht="15" hidden="0" customHeight="1">
      <x:c r="A51" s="1" t="s">
        <x:v>4342</x:v>
      </x:c>
      <x:c r="B51" s="1" t="s">
        <x:v>35</x:v>
      </x:c>
      <x:c r="C51" s="1" t="s">
        <x:v>4336</x:v>
      </x:c>
      <x:c r="D51" s="1" t="s">
        <x:v>6151</x:v>
      </x:c>
      <x:c r="E51" s="1" t="s">
        <x:v>30</x:v>
      </x:c>
      <x:c r="F51" s="1" t="s">
        <x:v>6159</x:v>
      </x:c>
      <x:c r="G51" s="1" t="s">
        <x:v>6165</x:v>
      </x:c>
    </x:row>
    <x:row r="52" ht="15" hidden="0" customHeight="1">
      <x:c r="A52" s="1" t="s">
        <x:v>4342</x:v>
      </x:c>
      <x:c r="B52" s="1" t="s">
        <x:v>35</x:v>
      </x:c>
      <x:c r="C52" s="1" t="s">
        <x:v>4336</x:v>
      </x:c>
      <x:c r="D52" s="1" t="s">
        <x:v>6152</x:v>
      </x:c>
      <x:c r="E52" s="1" t="s">
        <x:v>30</x:v>
      </x:c>
      <x:c r="F52" s="1" t="s">
        <x:v>6159</x:v>
      </x:c>
      <x:c r="G52" s="1" t="s">
        <x:v>6165</x:v>
      </x:c>
    </x:row>
    <x:row r="53" ht="15" hidden="0" customHeight="1">
      <x:c r="A53" s="1" t="s">
        <x:v>4342</x:v>
      </x:c>
      <x:c r="B53" s="1" t="s">
        <x:v>35</x:v>
      </x:c>
      <x:c r="C53" s="1" t="s">
        <x:v>4336</x:v>
      </x:c>
      <x:c r="D53" s="1" t="s">
        <x:v>4471</x:v>
      </x:c>
      <x:c r="E53" s="1" t="s">
        <x:v>30</x:v>
      </x:c>
      <x:c r="F53" s="1" t="s">
        <x:v>6159</x:v>
      </x:c>
      <x:c r="G53" s="1" t="s">
        <x:v>6165</x:v>
      </x:c>
    </x:row>
    <x:row r="54" ht="15" hidden="0" customHeight="1">
      <x:c r="A54" s="1" t="s">
        <x:v>4342</x:v>
      </x:c>
      <x:c r="B54" s="1" t="s">
        <x:v>35</x:v>
      </x:c>
      <x:c r="C54" s="1" t="s">
        <x:v>4336</x:v>
      </x:c>
      <x:c r="D54" s="1" t="s">
        <x:v>6154</x:v>
      </x:c>
      <x:c r="E54" s="1" t="s">
        <x:v>30</x:v>
      </x:c>
      <x:c r="F54" s="1" t="s">
        <x:v>32</x:v>
      </x:c>
      <x:c r="G54" s="1" t="s">
        <x:v>6165</x:v>
      </x:c>
    </x:row>
    <x:row r="55" ht="15" hidden="0" customHeight="1">
      <x:c r="A55" s="1" t="s">
        <x:v>4342</x:v>
      </x:c>
      <x:c r="B55" s="1" t="s">
        <x:v>35</x:v>
      </x:c>
      <x:c r="C55" s="1" t="s">
        <x:v>4336</x:v>
      </x:c>
      <x:c r="D55" s="1" t="s">
        <x:v>6156</x:v>
      </x:c>
      <x:c r="E55" s="1" t="s">
        <x:v>30</x:v>
      </x:c>
      <x:c r="F55" s="1" t="s">
        <x:v>6159</x:v>
      </x:c>
      <x:c r="G55" s="1" t="s">
        <x:v>6165</x:v>
      </x:c>
    </x:row>
    <x:row r="56" ht="15" hidden="0" customHeight="1">
      <x:c r="A56" s="1" t="s">
        <x:v>4342</x:v>
      </x:c>
      <x:c r="B56" s="1" t="s">
        <x:v>35</x:v>
      </x:c>
      <x:c r="C56" s="1" t="s">
        <x:v>4336</x:v>
      </x:c>
      <x:c r="D56" s="1" t="s">
        <x:v>6120</x:v>
      </x:c>
      <x:c r="E56" s="1" t="s">
        <x:v>6157</x:v>
      </x:c>
      <x:c r="F56" s="1" t="s">
        <x:v>6158</x:v>
      </x:c>
      <x:c r="G56" s="1" t="s">
        <x:v>6166</x:v>
      </x:c>
    </x:row>
    <x:row r="57" ht="15" hidden="0" customHeight="1">
      <x:c r="A57" s="1" t="s">
        <x:v>4342</x:v>
      </x:c>
      <x:c r="B57" s="1" t="s">
        <x:v>35</x:v>
      </x:c>
      <x:c r="C57" s="1" t="s">
        <x:v>4614</x:v>
      </x:c>
      <x:c r="D57" s="1" t="s">
        <x:v>6121</x:v>
      </x:c>
      <x:c r="E57" s="1" t="s">
        <x:v>30</x:v>
      </x:c>
      <x:c r="F57" s="1" t="s">
        <x:v>6159</x:v>
      </x:c>
      <x:c r="G57" s="1" t="s">
        <x:v>6165</x:v>
      </x:c>
    </x:row>
    <x:row r="58" ht="15" hidden="0" customHeight="1">
      <x:c r="A58" s="1" t="s">
        <x:v>4342</x:v>
      </x:c>
      <x:c r="B58" s="1" t="s">
        <x:v>35</x:v>
      </x:c>
      <x:c r="C58" s="1" t="s">
        <x:v>4614</x:v>
      </x:c>
      <x:c r="D58" s="1" t="s">
        <x:v>6120</x:v>
      </x:c>
      <x:c r="E58" s="1" t="s">
        <x:v>6157</x:v>
      </x:c>
      <x:c r="F58" s="1" t="s">
        <x:v>6158</x:v>
      </x:c>
      <x:c r="G58" s="1" t="s">
        <x:v>6166</x:v>
      </x:c>
    </x:row>
    <x:row r="59" ht="15" hidden="0" customHeight="1">
      <x:c r="A59" s="1" t="s">
        <x:v>4342</x:v>
      </x:c>
      <x:c r="B59" s="1" t="s">
        <x:v>6167</x:v>
      </x:c>
      <x:c r="C59" s="1" t="s">
        <x:v>4553</x:v>
      </x:c>
      <x:c r="D59" s="1" t="s">
        <x:v>5462</x:v>
      </x:c>
      <x:c r="E59" s="1" t="n">
        <x:v>0</x:v>
      </x:c>
      <x:c r="F59" s="1" t="n">
        <x:v>3</x:v>
      </x:c>
      <x:c r="G59" s="1" t="s">
        <x:v>6168</x:v>
      </x:c>
    </x:row>
    <x:row r="60" ht="15" hidden="0" customHeight="1">
      <x:c r="A60" s="1" t="s">
        <x:v>4342</x:v>
      </x:c>
      <x:c r="B60" s="1" t="s">
        <x:v>6167</x:v>
      </x:c>
      <x:c r="C60" s="1" t="s">
        <x:v>4553</x:v>
      </x:c>
      <x:c r="D60" s="1" t="s">
        <x:v>5463</x:v>
      </x:c>
      <x:c r="E60" s="1" t="s">
        <x:v>56</x:v>
      </x:c>
      <x:c r="F60" s="1" t="s">
        <x:v>50</x:v>
      </x:c>
      <x:c r="G60" s="1" t="s">
        <x:v>6169</x:v>
      </x:c>
    </x:row>
    <x:row r="61" ht="15" hidden="0" customHeight="1">
      <x:c r="A61" s="1" t="s">
        <x:v>4342</x:v>
      </x:c>
      <x:c r="B61" s="1" t="s">
        <x:v>6167</x:v>
      </x:c>
      <x:c r="C61" s="1" t="s">
        <x:v>4553</x:v>
      </x:c>
      <x:c r="D61" s="1" t="s">
        <x:v>5464</x:v>
      </x:c>
      <x:c r="E61" s="1" t="s">
        <x:v>30</x:v>
      </x:c>
      <x:c r="F61" s="1" t="s">
        <x:v>45</x:v>
      </x:c>
      <x:c r="G61" s="1" t="s">
        <x:v>4342</x:v>
      </x:c>
    </x:row>
    <x:row r="62" ht="15" hidden="0" customHeight="1">
      <x:c r="A62" s="1" t="s">
        <x:v>4342</x:v>
      </x:c>
      <x:c r="B62" s="1" t="s">
        <x:v>6167</x:v>
      </x:c>
      <x:c r="C62" s="1" t="s">
        <x:v>4553</x:v>
      </x:c>
      <x:c r="D62" s="1" t="s">
        <x:v>5466</x:v>
      </x:c>
      <x:c r="F62" s="1" t="s">
        <x:v>4342</x:v>
      </x:c>
      <x:c r="G62" s="1" t="s">
        <x:v>4342</x:v>
      </x:c>
    </x:row>
    <x:row r="63" ht="15" hidden="0" customHeight="1">
      <x:c r="A63" s="1" t="s">
        <x:v>4342</x:v>
      </x:c>
      <x:c r="B63" s="1" t="s">
        <x:v>6167</x:v>
      </x:c>
      <x:c r="C63" s="1" t="s">
        <x:v>4553</x:v>
      </x:c>
      <x:c r="D63" s="1" t="s">
        <x:v>5467</x:v>
      </x:c>
      <x:c r="F63" s="1" t="s">
        <x:v>5520</x:v>
      </x:c>
      <x:c r="G63" s="1" t="s">
        <x:v>4342</x:v>
      </x:c>
    </x:row>
    <x:row r="64" ht="15" hidden="0" customHeight="1">
      <x:c r="A64" s="1" t="s">
        <x:v>4342</x:v>
      </x:c>
      <x:c r="B64" s="1" t="s">
        <x:v>6167</x:v>
      </x:c>
      <x:c r="C64" s="1" t="s">
        <x:v>4570</x:v>
      </x:c>
      <x:c r="D64" s="1" t="s">
        <x:v>5462</x:v>
      </x:c>
      <x:c r="E64" s="1" t="n">
        <x:v>0</x:v>
      </x:c>
      <x:c r="F64" s="1" t="n">
        <x:v>4</x:v>
      </x:c>
      <x:c r="G64" s="1" t="s">
        <x:v>6168</x:v>
      </x:c>
    </x:row>
    <x:row r="65" ht="15" hidden="0" customHeight="1">
      <x:c r="A65" s="1" t="s">
        <x:v>4342</x:v>
      </x:c>
      <x:c r="B65" s="1" t="s">
        <x:v>6167</x:v>
      </x:c>
      <x:c r="C65" s="1" t="s">
        <x:v>4570</x:v>
      </x:c>
      <x:c r="D65" s="1" t="s">
        <x:v>5463</x:v>
      </x:c>
      <x:c r="E65" s="1" t="s">
        <x:v>56</x:v>
      </x:c>
      <x:c r="F65" s="1" t="s">
        <x:v>50</x:v>
      </x:c>
      <x:c r="G65" s="1" t="s">
        <x:v>6169</x:v>
      </x:c>
    </x:row>
    <x:row r="66" ht="15" hidden="0" customHeight="1">
      <x:c r="A66" s="1" t="s">
        <x:v>4342</x:v>
      </x:c>
      <x:c r="B66" s="1" t="s">
        <x:v>6167</x:v>
      </x:c>
      <x:c r="C66" s="1" t="s">
        <x:v>4570</x:v>
      </x:c>
      <x:c r="D66" s="1" t="s">
        <x:v>5464</x:v>
      </x:c>
      <x:c r="E66" s="1" t="s">
        <x:v>30</x:v>
      </x:c>
      <x:c r="F66" s="1" t="s">
        <x:v>45</x:v>
      </x:c>
      <x:c r="G66" s="1" t="s">
        <x:v>4342</x:v>
      </x:c>
    </x:row>
    <x:row r="67" ht="15" hidden="0" customHeight="1">
      <x:c r="A67" s="1" t="s">
        <x:v>4342</x:v>
      </x:c>
      <x:c r="B67" s="1" t="s">
        <x:v>6167</x:v>
      </x:c>
      <x:c r="C67" s="1" t="s">
        <x:v>4570</x:v>
      </x:c>
      <x:c r="D67" s="1" t="s">
        <x:v>5466</x:v>
      </x:c>
      <x:c r="F67" s="1" t="s">
        <x:v>4342</x:v>
      </x:c>
      <x:c r="G67" s="1" t="s">
        <x:v>4342</x:v>
      </x:c>
    </x:row>
    <x:row r="68" ht="15" hidden="0" customHeight="1">
      <x:c r="A68" s="1" t="s">
        <x:v>4342</x:v>
      </x:c>
      <x:c r="B68" s="1" t="s">
        <x:v>6167</x:v>
      </x:c>
      <x:c r="C68" s="1" t="s">
        <x:v>4585</x:v>
      </x:c>
      <x:c r="D68" s="1" t="s">
        <x:v>5462</x:v>
      </x:c>
      <x:c r="E68" s="1" t="n">
        <x:v>0</x:v>
      </x:c>
      <x:c r="F68" s="1" t="n">
        <x:v>8</x:v>
      </x:c>
      <x:c r="G68" s="1" t="s">
        <x:v>6168</x:v>
      </x:c>
    </x:row>
    <x:row r="69" ht="15" hidden="0" customHeight="1">
      <x:c r="A69" s="1" t="s">
        <x:v>4342</x:v>
      </x:c>
      <x:c r="B69" s="1" t="s">
        <x:v>6167</x:v>
      </x:c>
      <x:c r="C69" s="1" t="s">
        <x:v>4585</x:v>
      </x:c>
      <x:c r="D69" s="1" t="s">
        <x:v>5463</x:v>
      </x:c>
      <x:c r="E69" s="1" t="s">
        <x:v>56</x:v>
      </x:c>
      <x:c r="F69" s="1" t="s">
        <x:v>50</x:v>
      </x:c>
      <x:c r="G69" s="1" t="s">
        <x:v>6169</x:v>
      </x:c>
    </x:row>
    <x:row r="70" ht="15" hidden="0" customHeight="1">
      <x:c r="A70" s="1" t="s">
        <x:v>4342</x:v>
      </x:c>
      <x:c r="B70" s="1" t="s">
        <x:v>6167</x:v>
      </x:c>
      <x:c r="C70" s="1" t="s">
        <x:v>4585</x:v>
      </x:c>
      <x:c r="D70" s="1" t="s">
        <x:v>5464</x:v>
      </x:c>
      <x:c r="E70" s="1" t="s">
        <x:v>30</x:v>
      </x:c>
      <x:c r="F70" s="1" t="s">
        <x:v>45</x:v>
      </x:c>
      <x:c r="G70" s="1" t="s">
        <x:v>4342</x:v>
      </x:c>
    </x:row>
    <x:row r="71" ht="15" hidden="0" customHeight="1">
      <x:c r="A71" s="1" t="s">
        <x:v>4342</x:v>
      </x:c>
      <x:c r="B71" s="1" t="s">
        <x:v>6167</x:v>
      </x:c>
      <x:c r="C71" s="1" t="s">
        <x:v>4585</x:v>
      </x:c>
      <x:c r="D71" s="1" t="s">
        <x:v>5466</x:v>
      </x:c>
      <x:c r="F71" s="1" t="s">
        <x:v>4342</x:v>
      </x:c>
      <x:c r="G71" s="1" t="s">
        <x:v>4342</x:v>
      </x:c>
    </x:row>
    <x:row r="72" ht="15" hidden="0" customHeight="1">
      <x:c r="A72" s="1" t="s">
        <x:v>4342</x:v>
      </x:c>
      <x:c r="B72" s="1" t="s">
        <x:v>6167</x:v>
      </x:c>
      <x:c r="C72" s="1" t="s">
        <x:v>4585</x:v>
      </x:c>
      <x:c r="D72" s="1" t="s">
        <x:v>5467</x:v>
      </x:c>
      <x:c r="F72" s="1" t="s">
        <x:v>6170</x:v>
      </x:c>
      <x:c r="G72" s="1" t="s">
        <x:v>4342</x:v>
      </x:c>
    </x:row>
    <x:row r="73" ht="15" hidden="0" customHeight="1">
      <x:c r="A73" s="1" t="s">
        <x:v>4342</x:v>
      </x:c>
      <x:c r="B73" s="1" t="s">
        <x:v>6167</x:v>
      </x:c>
      <x:c r="C73" s="1" t="s">
        <x:v>4482</x:v>
      </x:c>
      <x:c r="D73" s="1" t="s">
        <x:v>5462</x:v>
      </x:c>
      <x:c r="E73" s="1" t="n">
        <x:v>0</x:v>
      </x:c>
      <x:c r="F73" s="1" t="n">
        <x:v>19</x:v>
      </x:c>
      <x:c r="G73" s="1" t="s">
        <x:v>6168</x:v>
      </x:c>
    </x:row>
    <x:row r="74" ht="15" hidden="0" customHeight="1">
      <x:c r="A74" s="1" t="s">
        <x:v>4342</x:v>
      </x:c>
      <x:c r="B74" s="1" t="s">
        <x:v>6167</x:v>
      </x:c>
      <x:c r="C74" s="1" t="s">
        <x:v>4482</x:v>
      </x:c>
      <x:c r="D74" s="1" t="s">
        <x:v>5463</x:v>
      </x:c>
      <x:c r="E74" s="1" t="s">
        <x:v>56</x:v>
      </x:c>
      <x:c r="F74" s="1" t="s">
        <x:v>50</x:v>
      </x:c>
      <x:c r="G74" s="1" t="s">
        <x:v>6169</x:v>
      </x:c>
    </x:row>
    <x:row r="75" ht="15" hidden="0" customHeight="1">
      <x:c r="A75" s="1" t="s">
        <x:v>4342</x:v>
      </x:c>
      <x:c r="B75" s="1" t="s">
        <x:v>6167</x:v>
      </x:c>
      <x:c r="C75" s="1" t="s">
        <x:v>4482</x:v>
      </x:c>
      <x:c r="D75" s="1" t="s">
        <x:v>5464</x:v>
      </x:c>
      <x:c r="E75" s="1" t="s">
        <x:v>30</x:v>
      </x:c>
      <x:c r="F75" s="1" t="s">
        <x:v>45</x:v>
      </x:c>
      <x:c r="G75" s="1" t="s">
        <x:v>4342</x:v>
      </x:c>
    </x:row>
    <x:row r="76" ht="15" hidden="0" customHeight="1">
      <x:c r="A76" s="1" t="s">
        <x:v>4342</x:v>
      </x:c>
      <x:c r="B76" s="1" t="s">
        <x:v>6167</x:v>
      </x:c>
      <x:c r="C76" s="1" t="s">
        <x:v>4482</x:v>
      </x:c>
      <x:c r="D76" s="1" t="s">
        <x:v>5466</x:v>
      </x:c>
      <x:c r="F76" s="1" t="s">
        <x:v>4342</x:v>
      </x:c>
      <x:c r="G76" s="1" t="s">
        <x:v>4342</x:v>
      </x:c>
    </x:row>
    <x:row r="77" ht="15" hidden="0" customHeight="1">
      <x:c r="A77" s="1" t="s">
        <x:v>4342</x:v>
      </x:c>
      <x:c r="B77" s="1" t="s">
        <x:v>6167</x:v>
      </x:c>
      <x:c r="C77" s="1" t="s">
        <x:v>4482</x:v>
      </x:c>
      <x:c r="D77" s="1" t="s">
        <x:v>5467</x:v>
      </x:c>
      <x:c r="F77" s="1" t="s">
        <x:v>6171</x:v>
      </x:c>
      <x:c r="G77" s="1" t="s">
        <x:v>4342</x:v>
      </x:c>
    </x:row>
    <x:row r="78" ht="15" hidden="0" customHeight="1">
      <x:c r="A78" s="1" t="s">
        <x:v>4342</x:v>
      </x:c>
      <x:c r="B78" s="1" t="s">
        <x:v>6167</x:v>
      </x:c>
      <x:c r="C78" s="1" t="s">
        <x:v>4336</x:v>
      </x:c>
      <x:c r="D78" s="1" t="s">
        <x:v>5462</x:v>
      </x:c>
      <x:c r="E78" s="1" t="n">
        <x:v>0</x:v>
      </x:c>
      <x:c r="F78" s="1" t="n">
        <x:v>45</x:v>
      </x:c>
      <x:c r="G78" s="1" t="s">
        <x:v>6168</x:v>
      </x:c>
    </x:row>
    <x:row r="79" ht="15" hidden="0" customHeight="1">
      <x:c r="A79" s="1" t="s">
        <x:v>4342</x:v>
      </x:c>
      <x:c r="B79" s="1" t="s">
        <x:v>6167</x:v>
      </x:c>
      <x:c r="C79" s="1" t="s">
        <x:v>4336</x:v>
      </x:c>
      <x:c r="D79" s="1" t="s">
        <x:v>5463</x:v>
      </x:c>
      <x:c r="E79" s="1" t="s">
        <x:v>56</x:v>
      </x:c>
      <x:c r="F79" s="1" t="s">
        <x:v>50</x:v>
      </x:c>
      <x:c r="G79" s="1" t="s">
        <x:v>6169</x:v>
      </x:c>
    </x:row>
    <x:row r="80" ht="15" hidden="0" customHeight="1">
      <x:c r="A80" s="1" t="s">
        <x:v>4342</x:v>
      </x:c>
      <x:c r="B80" s="1" t="s">
        <x:v>6167</x:v>
      </x:c>
      <x:c r="C80" s="1" t="s">
        <x:v>4336</x:v>
      </x:c>
      <x:c r="D80" s="1" t="s">
        <x:v>5464</x:v>
      </x:c>
      <x:c r="E80" s="1" t="s">
        <x:v>30</x:v>
      </x:c>
      <x:c r="F80" s="1" t="s">
        <x:v>45</x:v>
      </x:c>
      <x:c r="G80" s="1" t="s">
        <x:v>4342</x:v>
      </x:c>
    </x:row>
    <x:row r="81" ht="15" hidden="0" customHeight="1">
      <x:c r="A81" s="1" t="s">
        <x:v>4342</x:v>
      </x:c>
      <x:c r="B81" s="1" t="s">
        <x:v>6167</x:v>
      </x:c>
      <x:c r="C81" s="1" t="s">
        <x:v>4336</x:v>
      </x:c>
      <x:c r="D81" s="1" t="s">
        <x:v>5466</x:v>
      </x:c>
      <x:c r="F81" s="1" t="s">
        <x:v>4342</x:v>
      </x:c>
      <x:c r="G81" s="1" t="s">
        <x:v>4342</x:v>
      </x:c>
    </x:row>
    <x:row r="82" ht="15" hidden="0" customHeight="1">
      <x:c r="A82" s="1" t="s">
        <x:v>4342</x:v>
      </x:c>
      <x:c r="B82" s="1" t="s">
        <x:v>6167</x:v>
      </x:c>
      <x:c r="C82" s="1" t="s">
        <x:v>4336</x:v>
      </x:c>
      <x:c r="D82" s="1" t="s">
        <x:v>5467</x:v>
      </x:c>
      <x:c r="F82" s="1" t="s">
        <x:v>6172</x:v>
      </x:c>
      <x:c r="G82" s="1" t="s">
        <x:v>4342</x:v>
      </x:c>
    </x:row>
    <x:row r="83" ht="15" hidden="0" customHeight="1">
      <x:c r="A83" s="1" t="s">
        <x:v>4342</x:v>
      </x:c>
      <x:c r="B83" s="1" t="s">
        <x:v>6167</x:v>
      </x:c>
      <x:c r="C83" s="1" t="s">
        <x:v>4614</x:v>
      </x:c>
      <x:c r="D83" s="1" t="s">
        <x:v>5462</x:v>
      </x:c>
      <x:c r="E83" s="1" t="n">
        <x:v>0</x:v>
      </x:c>
      <x:c r="F83" s="1" t="n">
        <x:v>3</x:v>
      </x:c>
      <x:c r="G83" s="1" t="s">
        <x:v>6168</x:v>
      </x:c>
    </x:row>
    <x:row r="84" ht="15" hidden="0" customHeight="1">
      <x:c r="A84" s="1" t="s">
        <x:v>4342</x:v>
      </x:c>
      <x:c r="B84" s="1" t="s">
        <x:v>6167</x:v>
      </x:c>
      <x:c r="C84" s="1" t="s">
        <x:v>4614</x:v>
      </x:c>
      <x:c r="D84" s="1" t="s">
        <x:v>5463</x:v>
      </x:c>
      <x:c r="E84" s="1" t="s">
        <x:v>56</x:v>
      </x:c>
      <x:c r="F84" s="1" t="s">
        <x:v>50</x:v>
      </x:c>
      <x:c r="G84" s="1" t="s">
        <x:v>6169</x:v>
      </x:c>
    </x:row>
    <x:row r="85" ht="15" hidden="0" customHeight="1">
      <x:c r="A85" s="1" t="s">
        <x:v>4342</x:v>
      </x:c>
      <x:c r="B85" s="1" t="s">
        <x:v>6167</x:v>
      </x:c>
      <x:c r="C85" s="1" t="s">
        <x:v>4614</x:v>
      </x:c>
      <x:c r="D85" s="1" t="s">
        <x:v>5464</x:v>
      </x:c>
      <x:c r="E85" s="1" t="s">
        <x:v>30</x:v>
      </x:c>
      <x:c r="F85" s="1" t="s">
        <x:v>45</x:v>
      </x:c>
      <x:c r="G85" s="1" t="s">
        <x:v>4342</x:v>
      </x:c>
    </x:row>
    <x:row r="86" ht="15" hidden="0" customHeight="1">
      <x:c r="A86" s="1" t="s">
        <x:v>4342</x:v>
      </x:c>
      <x:c r="B86" s="1" t="s">
        <x:v>6167</x:v>
      </x:c>
      <x:c r="C86" s="1" t="s">
        <x:v>4614</x:v>
      </x:c>
      <x:c r="D86" s="1" t="s">
        <x:v>5466</x:v>
      </x:c>
      <x:c r="F86" s="1" t="s">
        <x:v>4342</x:v>
      </x:c>
      <x:c r="G86" s="1" t="s">
        <x:v>4342</x:v>
      </x:c>
    </x:row>
    <x:row r="87" ht="15" hidden="0" customHeight="1">
      <x:c r="A87" s="1" t="s">
        <x:v>4342</x:v>
      </x:c>
      <x:c r="B87" s="1" t="s">
        <x:v>6167</x:v>
      </x:c>
      <x:c r="C87" s="1" t="s">
        <x:v>4614</x:v>
      </x:c>
      <x:c r="D87" s="1" t="s">
        <x:v>5467</x:v>
      </x:c>
      <x:c r="F87" s="1" t="s">
        <x:v>6173</x:v>
      </x:c>
      <x:c r="G87" s="1" t="s">
        <x:v>4342</x:v>
      </x:c>
    </x:row>
    <x:row r="88" ht="15" hidden="0" customHeight="1">
      <x:c r="A88" s="1" t="s">
        <x:v>4342</x:v>
      </x:c>
      <x:c r="B88" s="1" t="s">
        <x:v>6174</x:v>
      </x:c>
      <x:c r="C88" s="1" t="s">
        <x:v>4553</x:v>
      </x:c>
      <x:c r="D88" s="1" t="s">
        <x:v>5661</x:v>
      </x:c>
      <x:c r="E88" s="1" t="s">
        <x:v>30</x:v>
      </x:c>
      <x:c r="F88" s="1" t="s">
        <x:v>5688</x:v>
      </x:c>
      <x:c r="G88" s="1" t="s">
        <x:v>4342</x:v>
      </x:c>
    </x:row>
    <x:row r="89" ht="15" hidden="0" customHeight="1">
      <x:c r="A89" s="1" t="s">
        <x:v>4342</x:v>
      </x:c>
      <x:c r="B89" s="1" t="s">
        <x:v>6174</x:v>
      </x:c>
      <x:c r="C89" s="1" t="s">
        <x:v>4553</x:v>
      </x:c>
      <x:c r="D89" s="1" t="s">
        <x:v>98</x:v>
      </x:c>
      <x:c r="E89" s="1" t="s">
        <x:v>5680</x:v>
      </x:c>
      <x:c r="F89" s="1" t="s">
        <x:v>5749</x:v>
      </x:c>
      <x:c r="G89" s="1" t="s">
        <x:v>6175</x:v>
      </x:c>
    </x:row>
    <x:row r="90" ht="15" hidden="0" customHeight="1">
      <x:c r="A90" s="1" t="s">
        <x:v>4342</x:v>
      </x:c>
      <x:c r="B90" s="1" t="s">
        <x:v>6174</x:v>
      </x:c>
      <x:c r="C90" s="1" t="s">
        <x:v>4570</x:v>
      </x:c>
      <x:c r="D90" s="1" t="s">
        <x:v>5661</x:v>
      </x:c>
      <x:c r="E90" s="1" t="s">
        <x:v>30</x:v>
      </x:c>
      <x:c r="F90" s="1" t="s">
        <x:v>5688</x:v>
      </x:c>
      <x:c r="G90" s="1" t="s">
        <x:v>4342</x:v>
      </x:c>
    </x:row>
    <x:row r="91" ht="15" hidden="0" customHeight="1">
      <x:c r="A91" s="1" t="s">
        <x:v>4342</x:v>
      </x:c>
      <x:c r="B91" s="1" t="s">
        <x:v>6174</x:v>
      </x:c>
      <x:c r="C91" s="1" t="s">
        <x:v>4570</x:v>
      </x:c>
      <x:c r="D91" s="1" t="s">
        <x:v>98</x:v>
      </x:c>
      <x:c r="E91" s="1" t="s">
        <x:v>5680</x:v>
      </x:c>
      <x:c r="F91" s="1" t="s">
        <x:v>5752</x:v>
      </x:c>
      <x:c r="G91" s="1" t="s">
        <x:v>6175</x:v>
      </x:c>
    </x:row>
    <x:row r="92" ht="15" hidden="0" customHeight="1">
      <x:c r="A92" s="1" t="s">
        <x:v>4342</x:v>
      </x:c>
      <x:c r="B92" s="1" t="s">
        <x:v>6174</x:v>
      </x:c>
      <x:c r="C92" s="1" t="s">
        <x:v>4585</x:v>
      </x:c>
      <x:c r="D92" s="1" t="s">
        <x:v>5661</x:v>
      </x:c>
      <x:c r="E92" s="1" t="s">
        <x:v>30</x:v>
      </x:c>
      <x:c r="F92" s="1" t="s">
        <x:v>5688</x:v>
      </x:c>
      <x:c r="G92" s="1" t="s">
        <x:v>4342</x:v>
      </x:c>
    </x:row>
    <x:row r="93" ht="15" hidden="0" customHeight="1">
      <x:c r="A93" s="1" t="s">
        <x:v>4342</x:v>
      </x:c>
      <x:c r="B93" s="1" t="s">
        <x:v>6174</x:v>
      </x:c>
      <x:c r="C93" s="1" t="s">
        <x:v>4585</x:v>
      </x:c>
      <x:c r="D93" s="1" t="s">
        <x:v>98</x:v>
      </x:c>
      <x:c r="E93" s="1" t="s">
        <x:v>5680</x:v>
      </x:c>
      <x:c r="F93" s="1" t="s">
        <x:v>5842</x:v>
      </x:c>
      <x:c r="G93" s="1" t="s">
        <x:v>6175</x:v>
      </x:c>
    </x:row>
    <x:row r="94" ht="15" hidden="0" customHeight="1">
      <x:c r="A94" s="1" t="s">
        <x:v>4342</x:v>
      </x:c>
      <x:c r="B94" s="1" t="s">
        <x:v>6174</x:v>
      </x:c>
      <x:c r="C94" s="1" t="s">
        <x:v>4482</x:v>
      </x:c>
      <x:c r="D94" s="1" t="s">
        <x:v>5661</x:v>
      </x:c>
      <x:c r="E94" s="1" t="s">
        <x:v>30</x:v>
      </x:c>
      <x:c r="F94" s="1" t="s">
        <x:v>5688</x:v>
      </x:c>
      <x:c r="G94" s="1" t="s">
        <x:v>4342</x:v>
      </x:c>
    </x:row>
    <x:row r="95" ht="15" hidden="0" customHeight="1">
      <x:c r="A95" s="1" t="s">
        <x:v>4342</x:v>
      </x:c>
      <x:c r="B95" s="1" t="s">
        <x:v>6174</x:v>
      </x:c>
      <x:c r="C95" s="1" t="s">
        <x:v>4482</x:v>
      </x:c>
      <x:c r="D95" s="1" t="s">
        <x:v>98</x:v>
      </x:c>
      <x:c r="E95" s="1" t="s">
        <x:v>5680</x:v>
      </x:c>
      <x:c r="F95" s="1" t="s">
        <x:v>6176</x:v>
      </x:c>
      <x:c r="G95" s="1" t="s">
        <x:v>6175</x:v>
      </x:c>
    </x:row>
    <x:row r="96" ht="15" hidden="0" customHeight="1">
      <x:c r="A96" s="1" t="s">
        <x:v>4342</x:v>
      </x:c>
      <x:c r="B96" s="1" t="s">
        <x:v>6174</x:v>
      </x:c>
      <x:c r="C96" s="1" t="s">
        <x:v>4336</x:v>
      </x:c>
      <x:c r="D96" s="1" t="s">
        <x:v>5661</x:v>
      </x:c>
      <x:c r="E96" s="1" t="s">
        <x:v>30</x:v>
      </x:c>
      <x:c r="F96" s="1" t="s">
        <x:v>5688</x:v>
      </x:c>
      <x:c r="G96" s="1" t="s">
        <x:v>4342</x:v>
      </x:c>
    </x:row>
    <x:row r="97" ht="15" hidden="0" customHeight="1">
      <x:c r="A97" s="1" t="s">
        <x:v>4342</x:v>
      </x:c>
      <x:c r="B97" s="1" t="s">
        <x:v>6174</x:v>
      </x:c>
      <x:c r="C97" s="1" t="s">
        <x:v>4336</x:v>
      </x:c>
      <x:c r="D97" s="1" t="s">
        <x:v>98</x:v>
      </x:c>
      <x:c r="E97" s="1" t="s">
        <x:v>5680</x:v>
      </x:c>
      <x:c r="F97" s="1" t="s">
        <x:v>6177</x:v>
      </x:c>
      <x:c r="G97" s="1" t="s">
        <x:v>6175</x:v>
      </x:c>
    </x:row>
    <x:row r="98" ht="15" hidden="0" customHeight="1">
      <x:c r="A98" s="1" t="s">
        <x:v>4342</x:v>
      </x:c>
      <x:c r="B98" s="1" t="s">
        <x:v>6174</x:v>
      </x:c>
      <x:c r="C98" s="1" t="s">
        <x:v>4614</x:v>
      </x:c>
      <x:c r="D98" s="1" t="s">
        <x:v>5661</x:v>
      </x:c>
      <x:c r="E98" s="1" t="s">
        <x:v>30</x:v>
      </x:c>
      <x:c r="F98" s="1" t="s">
        <x:v>52</x:v>
      </x:c>
      <x:c r="G98" s="1" t="s">
        <x:v>4342</x:v>
      </x:c>
    </x:row>
    <x:row r="99" ht="15" hidden="0" customHeight="1">
      <x:c r="A99" s="1" t="s">
        <x:v>4342</x:v>
      </x:c>
      <x:c r="B99" s="1" t="s">
        <x:v>6174</x:v>
      </x:c>
      <x:c r="C99" s="1" t="s">
        <x:v>4614</x:v>
      </x:c>
      <x:c r="D99" s="1" t="s">
        <x:v>98</x:v>
      </x:c>
      <x:c r="E99" s="1" t="s">
        <x:v>5680</x:v>
      </x:c>
      <x:c r="F99" s="1" t="s">
        <x:v>5994</x:v>
      </x:c>
      <x:c r="G99" s="1" t="s">
        <x:v>6175</x:v>
      </x:c>
    </x:row>
    <x:row r="100" ht="15" hidden="0" customHeight="1">
      <x:c r="A100" s="1" t="s">
        <x:v>4342</x:v>
      </x:c>
      <x:c r="B100" s="1" t="s">
        <x:v>6178</x:v>
      </x:c>
      <x:c r="C100" s="1" t="s">
        <x:v>4553</x:v>
      </x:c>
      <x:c r="D100" s="1" t="s">
        <x:v>6067</x:v>
      </x:c>
      <x:c r="E100" s="1" t="s">
        <x:v>6075</x:v>
      </x:c>
      <x:c r="F100" s="1" t="s">
        <x:v>6079</x:v>
      </x:c>
      <x:c r="G100" s="1" t="s">
        <x:v>6179</x:v>
      </x:c>
    </x:row>
    <x:row r="101" ht="15" hidden="0" customHeight="1">
      <x:c r="A101" s="1" t="s">
        <x:v>4342</x:v>
      </x:c>
      <x:c r="B101" s="1" t="s">
        <x:v>6178</x:v>
      </x:c>
      <x:c r="C101" s="1" t="s">
        <x:v>4553</x:v>
      </x:c>
      <x:c r="D101" s="1" t="s">
        <x:v>6071</x:v>
      </x:c>
      <x:c r="E101" s="1" t="s">
        <x:v>30</x:v>
      </x:c>
      <x:c r="F101" s="1" t="s">
        <x:v>112</x:v>
      </x:c>
      <x:c r="G101" s="1" t="s">
        <x:v>4342</x:v>
      </x:c>
    </x:row>
    <x:row r="102" ht="15" hidden="0" customHeight="1">
      <x:c r="A102" s="1" t="s">
        <x:v>4342</x:v>
      </x:c>
      <x:c r="B102" s="1" t="s">
        <x:v>6178</x:v>
      </x:c>
      <x:c r="C102" s="1" t="s">
        <x:v>4553</x:v>
      </x:c>
      <x:c r="D102" s="1" t="s">
        <x:v>6072</x:v>
      </x:c>
      <x:c r="E102" s="1" t="s">
        <x:v>883</x:v>
      </x:c>
      <x:c r="F102" s="1" t="s">
        <x:v>3474</x:v>
      </x:c>
      <x:c r="G102" s="1" t="s">
        <x:v>4342</x:v>
      </x:c>
    </x:row>
    <x:row r="103" ht="15" hidden="0" customHeight="1">
      <x:c r="A103" s="1" t="s">
        <x:v>4342</x:v>
      </x:c>
      <x:c r="B103" s="1" t="s">
        <x:v>6178</x:v>
      </x:c>
      <x:c r="C103" s="1" t="s">
        <x:v>4553</x:v>
      </x:c>
      <x:c r="D103" s="1" t="s">
        <x:v>6073</x:v>
      </x:c>
      <x:c r="E103" s="1" t="s">
        <x:v>6078</x:v>
      </x:c>
      <x:c r="F103" s="1" t="s">
        <x:v>6096</x:v>
      </x:c>
      <x:c r="G103" s="1" t="s">
        <x:v>4342</x:v>
      </x:c>
    </x:row>
    <x:row r="104" ht="15" hidden="0" customHeight="1">
      <x:c r="A104" s="1" t="s">
        <x:v>4342</x:v>
      </x:c>
      <x:c r="B104" s="1" t="s">
        <x:v>6178</x:v>
      </x:c>
      <x:c r="C104" s="1" t="s">
        <x:v>4570</x:v>
      </x:c>
      <x:c r="D104" s="1" t="s">
        <x:v>6067</x:v>
      </x:c>
      <x:c r="E104" s="1" t="s">
        <x:v>6075</x:v>
      </x:c>
      <x:c r="F104" s="1" t="s">
        <x:v>6079</x:v>
      </x:c>
      <x:c r="G104" s="1" t="s">
        <x:v>6179</x:v>
      </x:c>
    </x:row>
    <x:row r="105" ht="15" hidden="0" customHeight="1">
      <x:c r="A105" s="1" t="s">
        <x:v>4342</x:v>
      </x:c>
      <x:c r="B105" s="1" t="s">
        <x:v>6178</x:v>
      </x:c>
      <x:c r="C105" s="1" t="s">
        <x:v>4570</x:v>
      </x:c>
      <x:c r="D105" s="1" t="s">
        <x:v>6071</x:v>
      </x:c>
      <x:c r="E105" s="1" t="s">
        <x:v>30</x:v>
      </x:c>
      <x:c r="F105" s="1" t="s">
        <x:v>112</x:v>
      </x:c>
      <x:c r="G105" s="1" t="s">
        <x:v>4342</x:v>
      </x:c>
    </x:row>
    <x:row r="106" ht="15" hidden="0" customHeight="1">
      <x:c r="A106" s="1" t="s">
        <x:v>4342</x:v>
      </x:c>
      <x:c r="B106" s="1" t="s">
        <x:v>6178</x:v>
      </x:c>
      <x:c r="C106" s="1" t="s">
        <x:v>4570</x:v>
      </x:c>
      <x:c r="D106" s="1" t="s">
        <x:v>6072</x:v>
      </x:c>
      <x:c r="E106" s="1" t="s">
        <x:v>883</x:v>
      </x:c>
      <x:c r="F106" s="1" t="s">
        <x:v>3474</x:v>
      </x:c>
      <x:c r="G106" s="1" t="s">
        <x:v>4342</x:v>
      </x:c>
    </x:row>
    <x:row r="107" ht="15" hidden="0" customHeight="1">
      <x:c r="A107" s="1" t="s">
        <x:v>4342</x:v>
      </x:c>
      <x:c r="B107" s="1" t="s">
        <x:v>6178</x:v>
      </x:c>
      <x:c r="C107" s="1" t="s">
        <x:v>4570</x:v>
      </x:c>
      <x:c r="D107" s="1" t="s">
        <x:v>6073</x:v>
      </x:c>
      <x:c r="E107" s="1" t="s">
        <x:v>6078</x:v>
      </x:c>
      <x:c r="F107" s="1" t="s">
        <x:v>6098</x:v>
      </x:c>
      <x:c r="G107" s="1" t="s">
        <x:v>4342</x:v>
      </x:c>
    </x:row>
    <x:row r="108" ht="15" hidden="0" customHeight="1">
      <x:c r="A108" s="1" t="s">
        <x:v>4342</x:v>
      </x:c>
      <x:c r="B108" s="1" t="s">
        <x:v>6178</x:v>
      </x:c>
      <x:c r="C108" s="1" t="s">
        <x:v>4585</x:v>
      </x:c>
      <x:c r="D108" s="1" t="s">
        <x:v>6067</x:v>
      </x:c>
      <x:c r="E108" s="1" t="s">
        <x:v>6075</x:v>
      </x:c>
      <x:c r="F108" s="1" t="s">
        <x:v>6110</x:v>
      </x:c>
      <x:c r="G108" s="1" t="s">
        <x:v>6179</x:v>
      </x:c>
    </x:row>
    <x:row r="109" ht="15" hidden="0" customHeight="1">
      <x:c r="A109" s="1" t="s">
        <x:v>4342</x:v>
      </x:c>
      <x:c r="B109" s="1" t="s">
        <x:v>6178</x:v>
      </x:c>
      <x:c r="C109" s="1" t="s">
        <x:v>4585</x:v>
      </x:c>
      <x:c r="D109" s="1" t="s">
        <x:v>6071</x:v>
      </x:c>
      <x:c r="E109" s="1" t="s">
        <x:v>30</x:v>
      </x:c>
      <x:c r="F109" s="1" t="s">
        <x:v>4590</x:v>
      </x:c>
      <x:c r="G109" s="1" t="s">
        <x:v>4342</x:v>
      </x:c>
    </x:row>
    <x:row r="110" ht="15" hidden="0" customHeight="1">
      <x:c r="A110" s="1" t="s">
        <x:v>4342</x:v>
      </x:c>
      <x:c r="B110" s="1" t="s">
        <x:v>6178</x:v>
      </x:c>
      <x:c r="C110" s="1" t="s">
        <x:v>4585</x:v>
      </x:c>
      <x:c r="D110" s="1" t="s">
        <x:v>6072</x:v>
      </x:c>
      <x:c r="E110" s="1" t="s">
        <x:v>883</x:v>
      </x:c>
      <x:c r="F110" s="1" t="s">
        <x:v>3474</x:v>
      </x:c>
      <x:c r="G110" s="1" t="s">
        <x:v>4342</x:v>
      </x:c>
    </x:row>
    <x:row r="111" ht="15" hidden="0" customHeight="1">
      <x:c r="A111" s="1" t="s">
        <x:v>4342</x:v>
      </x:c>
      <x:c r="B111" s="1" t="s">
        <x:v>6178</x:v>
      </x:c>
      <x:c r="C111" s="1" t="s">
        <x:v>4585</x:v>
      </x:c>
      <x:c r="D111" s="1" t="s">
        <x:v>6073</x:v>
      </x:c>
      <x:c r="E111" s="1" t="s">
        <x:v>6078</x:v>
      </x:c>
      <x:c r="F111" s="1" t="s">
        <x:v>6111</x:v>
      </x:c>
      <x:c r="G111" s="1" t="s">
        <x:v>4342</x:v>
      </x:c>
    </x:row>
    <x:row r="112" ht="15" hidden="0" customHeight="1">
      <x:c r="A112" s="1" t="s">
        <x:v>4342</x:v>
      </x:c>
      <x:c r="B112" s="1" t="s">
        <x:v>6178</x:v>
      </x:c>
      <x:c r="C112" s="1" t="s">
        <x:v>4482</x:v>
      </x:c>
      <x:c r="D112" s="1" t="s">
        <x:v>6067</x:v>
      </x:c>
      <x:c r="E112" s="1" t="s">
        <x:v>6075</x:v>
      </x:c>
      <x:c r="F112" s="1" t="s">
        <x:v>6079</x:v>
      </x:c>
      <x:c r="G112" s="1" t="s">
        <x:v>6179</x:v>
      </x:c>
    </x:row>
    <x:row r="113" ht="15" hidden="0" customHeight="1">
      <x:c r="A113" s="1" t="s">
        <x:v>4342</x:v>
      </x:c>
      <x:c r="B113" s="1" t="s">
        <x:v>6178</x:v>
      </x:c>
      <x:c r="C113" s="1" t="s">
        <x:v>4482</x:v>
      </x:c>
      <x:c r="D113" s="1" t="s">
        <x:v>6071</x:v>
      </x:c>
      <x:c r="E113" s="1" t="s">
        <x:v>30</x:v>
      </x:c>
      <x:c r="F113" s="1" t="s">
        <x:v>112</x:v>
      </x:c>
      <x:c r="G113" s="1" t="s">
        <x:v>4342</x:v>
      </x:c>
    </x:row>
    <x:row r="114" ht="15" hidden="0" customHeight="1">
      <x:c r="A114" s="1" t="s">
        <x:v>4342</x:v>
      </x:c>
      <x:c r="B114" s="1" t="s">
        <x:v>6178</x:v>
      </x:c>
      <x:c r="C114" s="1" t="s">
        <x:v>4482</x:v>
      </x:c>
      <x:c r="D114" s="1" t="s">
        <x:v>6072</x:v>
      </x:c>
      <x:c r="E114" s="1" t="s">
        <x:v>883</x:v>
      </x:c>
      <x:c r="F114" s="1" t="s">
        <x:v>3474</x:v>
      </x:c>
      <x:c r="G114" s="1" t="s">
        <x:v>4342</x:v>
      </x:c>
    </x:row>
    <x:row r="115" ht="15" hidden="0" customHeight="1">
      <x:c r="A115" s="1" t="s">
        <x:v>4342</x:v>
      </x:c>
      <x:c r="B115" s="1" t="s">
        <x:v>6178</x:v>
      </x:c>
      <x:c r="C115" s="1" t="s">
        <x:v>4482</x:v>
      </x:c>
      <x:c r="D115" s="1" t="s">
        <x:v>6073</x:v>
      </x:c>
      <x:c r="E115" s="1" t="s">
        <x:v>6078</x:v>
      </x:c>
      <x:c r="F115" s="1" t="s">
        <x:v>6114</x:v>
      </x:c>
      <x:c r="G115" s="1" t="s">
        <x:v>4342</x:v>
      </x:c>
    </x:row>
    <x:row r="116" ht="15" hidden="0" customHeight="1">
      <x:c r="A116" s="1" t="s">
        <x:v>4342</x:v>
      </x:c>
      <x:c r="B116" s="1" t="s">
        <x:v>6178</x:v>
      </x:c>
      <x:c r="C116" s="1" t="s">
        <x:v>4336</x:v>
      </x:c>
      <x:c r="D116" s="1" t="s">
        <x:v>6067</x:v>
      </x:c>
      <x:c r="E116" s="1" t="s">
        <x:v>6075</x:v>
      </x:c>
      <x:c r="F116" s="1" t="s">
        <x:v>6079</x:v>
      </x:c>
      <x:c r="G116" s="1" t="s">
        <x:v>6179</x:v>
      </x:c>
    </x:row>
    <x:row r="117" ht="15" hidden="0" customHeight="1">
      <x:c r="A117" s="1" t="s">
        <x:v>4342</x:v>
      </x:c>
      <x:c r="B117" s="1" t="s">
        <x:v>6178</x:v>
      </x:c>
      <x:c r="C117" s="1" t="s">
        <x:v>4336</x:v>
      </x:c>
      <x:c r="D117" s="1" t="s">
        <x:v>6071</x:v>
      </x:c>
      <x:c r="E117" s="1" t="s">
        <x:v>30</x:v>
      </x:c>
      <x:c r="F117" s="1" t="s">
        <x:v>5292</x:v>
      </x:c>
      <x:c r="G117" s="1" t="s">
        <x:v>4342</x:v>
      </x:c>
    </x:row>
    <x:row r="118" ht="15" hidden="0" customHeight="1">
      <x:c r="A118" s="1" t="s">
        <x:v>4342</x:v>
      </x:c>
      <x:c r="B118" s="1" t="s">
        <x:v>6178</x:v>
      </x:c>
      <x:c r="C118" s="1" t="s">
        <x:v>4336</x:v>
      </x:c>
      <x:c r="D118" s="1" t="s">
        <x:v>6072</x:v>
      </x:c>
      <x:c r="E118" s="1" t="s">
        <x:v>883</x:v>
      </x:c>
      <x:c r="F118" s="1" t="s">
        <x:v>3474</x:v>
      </x:c>
      <x:c r="G118" s="1" t="s">
        <x:v>4342</x:v>
      </x:c>
    </x:row>
    <x:row r="119" ht="15" hidden="0" customHeight="1">
      <x:c r="A119" s="1" t="s">
        <x:v>4342</x:v>
      </x:c>
      <x:c r="B119" s="1" t="s">
        <x:v>6178</x:v>
      </x:c>
      <x:c r="C119" s="1" t="s">
        <x:v>4336</x:v>
      </x:c>
      <x:c r="D119" s="1" t="s">
        <x:v>6073</x:v>
      </x:c>
      <x:c r="E119" s="1" t="s">
        <x:v>6078</x:v>
      </x:c>
      <x:c r="F119" s="1" t="s">
        <x:v>6115</x:v>
      </x:c>
      <x:c r="G119" s="1" t="s">
        <x:v>4342</x:v>
      </x:c>
    </x:row>
    <x:row r="120" ht="15" hidden="0" customHeight="1">
      <x:c r="A120" s="1" t="s">
        <x:v>4342</x:v>
      </x:c>
      <x:c r="B120" s="1" t="s">
        <x:v>6178</x:v>
      </x:c>
      <x:c r="C120" s="1" t="s">
        <x:v>4614</x:v>
      </x:c>
      <x:c r="D120" s="1" t="s">
        <x:v>6067</x:v>
      </x:c>
      <x:c r="E120" s="1" t="s">
        <x:v>6075</x:v>
      </x:c>
      <x:c r="F120" s="1" t="s">
        <x:v>6079</x:v>
      </x:c>
      <x:c r="G120" s="1" t="s">
        <x:v>6179</x:v>
      </x:c>
    </x:row>
    <x:row r="121" ht="15" hidden="0" customHeight="1">
      <x:c r="A121" s="1" t="s">
        <x:v>4342</x:v>
      </x:c>
      <x:c r="B121" s="1" t="s">
        <x:v>6178</x:v>
      </x:c>
      <x:c r="C121" s="1" t="s">
        <x:v>4614</x:v>
      </x:c>
      <x:c r="D121" s="1" t="s">
        <x:v>6071</x:v>
      </x:c>
      <x:c r="E121" s="1" t="s">
        <x:v>30</x:v>
      </x:c>
      <x:c r="F121" s="1" t="s">
        <x:v>4620</x:v>
      </x:c>
      <x:c r="G121" s="1" t="s">
        <x:v>4342</x:v>
      </x:c>
    </x:row>
    <x:row r="122" ht="15" hidden="0" customHeight="1">
      <x:c r="A122" s="1" t="s">
        <x:v>4342</x:v>
      </x:c>
      <x:c r="B122" s="1" t="s">
        <x:v>6178</x:v>
      </x:c>
      <x:c r="C122" s="1" t="s">
        <x:v>4614</x:v>
      </x:c>
      <x:c r="D122" s="1" t="s">
        <x:v>6072</x:v>
      </x:c>
      <x:c r="E122" s="1" t="s">
        <x:v>883</x:v>
      </x:c>
      <x:c r="F122" s="1" t="s">
        <x:v>3474</x:v>
      </x:c>
      <x:c r="G122" s="1" t="s">
        <x:v>4342</x:v>
      </x:c>
    </x:row>
    <x:row r="123" ht="15" hidden="0" customHeight="1">
      <x:c r="A123" s="1" t="s">
        <x:v>4342</x:v>
      </x:c>
      <x:c r="B123" s="1" t="s">
        <x:v>6178</x:v>
      </x:c>
      <x:c r="C123" s="1" t="s">
        <x:v>4614</x:v>
      </x:c>
      <x:c r="D123" s="1" t="s">
        <x:v>6073</x:v>
      </x:c>
      <x:c r="E123" s="1" t="s">
        <x:v>6078</x:v>
      </x:c>
      <x:c r="F123" s="1" t="s">
        <x:v>6119</x:v>
      </x:c>
      <x:c r="G123" s="1" t="s">
        <x:v>4342</x:v>
      </x:c>
    </x:row>
    <x:row r="124" ht="15" hidden="0" customHeight="1">
      <x:c r="A124" s="1" t="s">
        <x:v>4342</x:v>
      </x:c>
      <x:c r="B124" s="1" t="s">
        <x:v>6180</x:v>
      </x:c>
      <x:c r="D124" s="1" t="s">
        <x:v>6181</x:v>
      </x:c>
      <x:c r="E124" s="1" t="n">
        <x:v>82</x:v>
      </x:c>
      <x:c r="F124" s="1" t="s">
        <x:v>6182</x:v>
      </x:c>
      <x:c r="G124" s="1" t="s">
        <x:v>6183</x:v>
      </x:c>
    </x:row>
    <x:row r="125" ht="15" hidden="0" customHeight="1">
      <x:c r="A125" s="1" t="s">
        <x:v>4342</x:v>
      </x:c>
      <x:c r="B125" s="1" t="s">
        <x:v>6180</x:v>
      </x:c>
      <x:c r="D125" s="1" t="s">
        <x:v>6184</x:v>
      </x:c>
      <x:c r="E125" s="1" t="n">
        <x:v>5</x:v>
      </x:c>
      <x:c r="F125" s="1" t="n">
        <x:v>6</x:v>
      </x:c>
      <x:c r="G125" s="1" t="s">
        <x:v>6185</x:v>
      </x:c>
    </x:row>
    <x:row r="126" ht="15" hidden="0" customHeight="1">
      <x:c r="A126" s="1" t="s">
        <x:v>4342</x:v>
      </x:c>
      <x:c r="B126" s="1" t="s">
        <x:v>6180</x:v>
      </x:c>
      <x:c r="D126" s="1" t="s">
        <x:v>6186</x:v>
      </x:c>
      <x:c r="E126" s="1" t="n">
        <x:v>1360</x:v>
      </x:c>
      <x:c r="F126" s="1" t="n">
        <x:v>1497</x:v>
      </x:c>
      <x:c r="G126" s="1" t="s">
        <x:v>6187</x:v>
      </x:c>
    </x:row>
    <x:row r="127" ht="15" hidden="0" customHeight="1">
      <x:c r="A127" s="1" t="s">
        <x:v>4342</x:v>
      </x:c>
      <x:c r="B127" s="1" t="s">
        <x:v>6180</x:v>
      </x:c>
      <x:c r="D127" s="1" t="s">
        <x:v>6188</x:v>
      </x:c>
      <x:c r="E127" s="1" t="n">
        <x:v>137</x:v>
      </x:c>
      <x:c r="F127" s="1" t="n">
        <x:v>82</x:v>
      </x:c>
      <x:c r="G127" s="1" t="s">
        <x:v>6189</x:v>
      </x:c>
    </x:row>
    <x:row r="128" ht="15" hidden="0" customHeight="1">
      <x:c r="A128" s="1" t="s">
        <x:v>4342</x:v>
      </x:c>
      <x:c r="B128" s="1" t="s">
        <x:v>6180</x:v>
      </x:c>
      <x:c r="D128" s="1" t="s">
        <x:v>6190</x:v>
      </x:c>
      <x:c r="E128" s="1" t="s">
        <x:v>6191</x:v>
      </x:c>
      <x:c r="F128" s="1" t="s">
        <x:v>6192</x:v>
      </x:c>
      <x:c r="G128" s="1" t="s">
        <x:v>4342</x:v>
      </x:c>
    </x:row>
    <x:row r="129" ht="15" hidden="0" customHeight="1">
      <x:c r="A129" s="1" t="s">
        <x:v>4342</x:v>
      </x:c>
      <x:c r="B129" s="1" t="s">
        <x:v>6180</x:v>
      </x:c>
      <x:c r="D129" s="1" t="s">
        <x:v>6193</x:v>
      </x:c>
      <x:c r="E129" s="1" t="s">
        <x:v>6194</x:v>
      </x:c>
      <x:c r="F129" s="1" t="s">
        <x:v>6195</x:v>
      </x:c>
      <x:c r="G129" s="1" t="s">
        <x:v>4342</x:v>
      </x:c>
    </x:row>
    <x:row r="130" ht="15" hidden="0" customHeight="1">
      <x:c r="A130" s="1" t="s">
        <x:v>4342</x:v>
      </x:c>
      <x:c r="B130" s="1" t="s">
        <x:v>6180</x:v>
      </x:c>
      <x:c r="D130" s="1" t="s">
        <x:v>6196</x:v>
      </x:c>
      <x:c r="E130" s="1" t="s">
        <x:v>33</x:v>
      </x:c>
      <x:c r="F130" s="1" t="s">
        <x:v>6197</x:v>
      </x:c>
      <x:c r="G130" s="1" t="s">
        <x:v>4342</x:v>
      </x:c>
    </x:row>
    <x:row r="131" ht="15" hidden="0" customHeight="1">
      <x:c r="A131" s="1" t="s">
        <x:v>4342</x:v>
      </x:c>
      <x:c r="B131" s="1" t="s">
        <x:v>6180</x:v>
      </x:c>
      <x:c r="D131" s="1" t="s">
        <x:v>6198</x:v>
      </x:c>
      <x:c r="E131" s="1" t="s">
        <x:v>6199</x:v>
      </x:c>
      <x:c r="F131" s="1" t="s">
        <x:v>6200</x:v>
      </x:c>
      <x:c r="G131" s="1" t="s">
        <x:v>4342</x:v>
      </x:c>
    </x:row>
    <x:row r="132" ht="15" hidden="0" customHeight="1">
      <x:c r="A132" s="1" t="s">
        <x:v>4637</x:v>
      </x:c>
      <x:c r="B132" s="1" t="s">
        <x:v>35</x:v>
      </x:c>
      <x:c r="C132" s="1" t="s">
        <x:v>4629</x:v>
      </x:c>
      <x:c r="D132" s="1" t="s">
        <x:v>6121</x:v>
      </x:c>
      <x:c r="E132" s="1" t="s">
        <x:v>30</x:v>
      </x:c>
      <x:c r="F132" s="1" t="s">
        <x:v>6159</x:v>
      </x:c>
      <x:c r="G132" s="1" t="s">
        <x:v>6201</x:v>
      </x:c>
    </x:row>
    <x:row r="133" ht="15" hidden="0" customHeight="1">
      <x:c r="A133" s="1" t="s">
        <x:v>4637</x:v>
      </x:c>
      <x:c r="B133" s="1" t="s">
        <x:v>35</x:v>
      </x:c>
      <x:c r="C133" s="1" t="s">
        <x:v>4629</x:v>
      </x:c>
      <x:c r="D133" s="1" t="s">
        <x:v>6122</x:v>
      </x:c>
      <x:c r="E133" s="1" t="s">
        <x:v>30</x:v>
      </x:c>
      <x:c r="F133" s="1" t="s">
        <x:v>6159</x:v>
      </x:c>
      <x:c r="G133" s="1" t="s">
        <x:v>6201</x:v>
      </x:c>
    </x:row>
    <x:row r="134" ht="15" hidden="0" customHeight="1">
      <x:c r="A134" s="1" t="s">
        <x:v>4637</x:v>
      </x:c>
      <x:c r="B134" s="1" t="s">
        <x:v>35</x:v>
      </x:c>
      <x:c r="C134" s="1" t="s">
        <x:v>4629</x:v>
      </x:c>
      <x:c r="D134" s="1" t="s">
        <x:v>6123</x:v>
      </x:c>
      <x:c r="E134" s="1" t="s">
        <x:v>30</x:v>
      </x:c>
      <x:c r="F134" s="1" t="s">
        <x:v>6159</x:v>
      </x:c>
      <x:c r="G134" s="1" t="s">
        <x:v>6201</x:v>
      </x:c>
    </x:row>
    <x:row r="135" ht="15" hidden="0" customHeight="1">
      <x:c r="A135" s="1" t="s">
        <x:v>4637</x:v>
      </x:c>
      <x:c r="B135" s="1" t="s">
        <x:v>35</x:v>
      </x:c>
      <x:c r="C135" s="1" t="s">
        <x:v>4629</x:v>
      </x:c>
      <x:c r="D135" s="1" t="s">
        <x:v>4721</x:v>
      </x:c>
      <x:c r="E135" s="1" t="s">
        <x:v>30</x:v>
      </x:c>
      <x:c r="F135" s="1" t="s">
        <x:v>6159</x:v>
      </x:c>
      <x:c r="G135" s="1" t="s">
        <x:v>6201</x:v>
      </x:c>
    </x:row>
    <x:row r="136" ht="15" hidden="0" customHeight="1">
      <x:c r="A136" s="1" t="s">
        <x:v>4637</x:v>
      </x:c>
      <x:c r="B136" s="1" t="s">
        <x:v>35</x:v>
      </x:c>
      <x:c r="C136" s="1" t="s">
        <x:v>4629</x:v>
      </x:c>
      <x:c r="D136" s="1" t="s">
        <x:v>4725</x:v>
      </x:c>
      <x:c r="E136" s="1" t="s">
        <x:v>30</x:v>
      </x:c>
      <x:c r="F136" s="1" t="s">
        <x:v>6159</x:v>
      </x:c>
      <x:c r="G136" s="1" t="s">
        <x:v>6201</x:v>
      </x:c>
    </x:row>
    <x:row r="137" ht="15" hidden="0" customHeight="1">
      <x:c r="A137" s="1" t="s">
        <x:v>4637</x:v>
      </x:c>
      <x:c r="B137" s="1" t="s">
        <x:v>35</x:v>
      </x:c>
      <x:c r="C137" s="1" t="s">
        <x:v>4629</x:v>
      </x:c>
      <x:c r="D137" s="1" t="s">
        <x:v>6124</x:v>
      </x:c>
      <x:c r="E137" s="1" t="s">
        <x:v>30</x:v>
      </x:c>
      <x:c r="F137" s="1" t="s">
        <x:v>6159</x:v>
      </x:c>
      <x:c r="G137" s="1" t="s">
        <x:v>6201</x:v>
      </x:c>
    </x:row>
    <x:row r="138" ht="15" hidden="0" customHeight="1">
      <x:c r="A138" s="1" t="s">
        <x:v>4637</x:v>
      </x:c>
      <x:c r="B138" s="1" t="s">
        <x:v>35</x:v>
      </x:c>
      <x:c r="C138" s="1" t="s">
        <x:v>4629</x:v>
      </x:c>
      <x:c r="D138" s="1" t="s">
        <x:v>6132</x:v>
      </x:c>
      <x:c r="E138" s="1" t="s">
        <x:v>30</x:v>
      </x:c>
      <x:c r="F138" s="1" t="s">
        <x:v>32</x:v>
      </x:c>
      <x:c r="G138" s="1" t="s">
        <x:v>6201</x:v>
      </x:c>
    </x:row>
    <x:row r="139" ht="15" hidden="0" customHeight="1">
      <x:c r="A139" s="1" t="s">
        <x:v>4637</x:v>
      </x:c>
      <x:c r="B139" s="1" t="s">
        <x:v>35</x:v>
      </x:c>
      <x:c r="C139" s="1" t="s">
        <x:v>4629</x:v>
      </x:c>
      <x:c r="D139" s="1" t="s">
        <x:v>6149</x:v>
      </x:c>
      <x:c r="E139" s="1" t="s">
        <x:v>30</x:v>
      </x:c>
      <x:c r="F139" s="1" t="s">
        <x:v>6159</x:v>
      </x:c>
      <x:c r="G139" s="1" t="s">
        <x:v>6201</x:v>
      </x:c>
    </x:row>
    <x:row r="140" ht="15" hidden="0" customHeight="1">
      <x:c r="A140" s="1" t="s">
        <x:v>4637</x:v>
      </x:c>
      <x:c r="B140" s="1" t="s">
        <x:v>35</x:v>
      </x:c>
      <x:c r="C140" s="1" t="s">
        <x:v>4629</x:v>
      </x:c>
      <x:c r="D140" s="1" t="s">
        <x:v>4449</x:v>
      </x:c>
      <x:c r="E140" s="1" t="s">
        <x:v>30</x:v>
      </x:c>
      <x:c r="F140" s="1" t="s">
        <x:v>6159</x:v>
      </x:c>
      <x:c r="G140" s="1" t="s">
        <x:v>6201</x:v>
      </x:c>
    </x:row>
    <x:row r="141" ht="15" hidden="0" customHeight="1">
      <x:c r="A141" s="1" t="s">
        <x:v>4637</x:v>
      </x:c>
      <x:c r="B141" s="1" t="s">
        <x:v>35</x:v>
      </x:c>
      <x:c r="C141" s="1" t="s">
        <x:v>4629</x:v>
      </x:c>
      <x:c r="D141" s="1" t="s">
        <x:v>6151</x:v>
      </x:c>
      <x:c r="E141" s="1" t="s">
        <x:v>30</x:v>
      </x:c>
      <x:c r="F141" s="1" t="s">
        <x:v>6159</x:v>
      </x:c>
      <x:c r="G141" s="1" t="s">
        <x:v>6201</x:v>
      </x:c>
    </x:row>
    <x:row r="142" ht="15" hidden="0" customHeight="1">
      <x:c r="A142" s="1" t="s">
        <x:v>4637</x:v>
      </x:c>
      <x:c r="B142" s="1" t="s">
        <x:v>35</x:v>
      </x:c>
      <x:c r="C142" s="1" t="s">
        <x:v>4629</x:v>
      </x:c>
      <x:c r="D142" s="1" t="s">
        <x:v>6152</x:v>
      </x:c>
      <x:c r="E142" s="1" t="s">
        <x:v>30</x:v>
      </x:c>
      <x:c r="F142" s="1" t="s">
        <x:v>6159</x:v>
      </x:c>
      <x:c r="G142" s="1" t="s">
        <x:v>6201</x:v>
      </x:c>
    </x:row>
    <x:row r="143" ht="15" hidden="0" customHeight="1">
      <x:c r="A143" s="1" t="s">
        <x:v>4637</x:v>
      </x:c>
      <x:c r="B143" s="1" t="s">
        <x:v>35</x:v>
      </x:c>
      <x:c r="C143" s="1" t="s">
        <x:v>4629</x:v>
      </x:c>
      <x:c r="D143" s="1" t="s">
        <x:v>6154</x:v>
      </x:c>
      <x:c r="E143" s="1" t="s">
        <x:v>30</x:v>
      </x:c>
      <x:c r="F143" s="1" t="s">
        <x:v>32</x:v>
      </x:c>
      <x:c r="G143" s="1" t="s">
        <x:v>6201</x:v>
      </x:c>
    </x:row>
    <x:row r="144" ht="15" hidden="0" customHeight="1">
      <x:c r="A144" s="1" t="s">
        <x:v>4637</x:v>
      </x:c>
      <x:c r="B144" s="1" t="s">
        <x:v>35</x:v>
      </x:c>
      <x:c r="C144" s="1" t="s">
        <x:v>4629</x:v>
      </x:c>
      <x:c r="D144" s="1" t="s">
        <x:v>6120</x:v>
      </x:c>
      <x:c r="E144" s="1" t="s">
        <x:v>6157</x:v>
      </x:c>
      <x:c r="F144" s="1" t="s">
        <x:v>6158</x:v>
      </x:c>
      <x:c r="G144" s="1" t="s">
        <x:v>6202</x:v>
      </x:c>
    </x:row>
    <x:row r="145" ht="15" hidden="0" customHeight="1">
      <x:c r="A145" s="1" t="s">
        <x:v>4637</x:v>
      </x:c>
      <x:c r="B145" s="1" t="s">
        <x:v>35</x:v>
      </x:c>
      <x:c r="C145" s="1" t="s">
        <x:v>4833</x:v>
      </x:c>
      <x:c r="D145" s="1" t="s">
        <x:v>6121</x:v>
      </x:c>
      <x:c r="E145" s="1" t="s">
        <x:v>30</x:v>
      </x:c>
      <x:c r="F145" s="1" t="s">
        <x:v>6159</x:v>
      </x:c>
      <x:c r="G145" s="1" t="s">
        <x:v>6201</x:v>
      </x:c>
    </x:row>
    <x:row r="146" ht="15" hidden="0" customHeight="1">
      <x:c r="A146" s="1" t="s">
        <x:v>4637</x:v>
      </x:c>
      <x:c r="B146" s="1" t="s">
        <x:v>35</x:v>
      </x:c>
      <x:c r="C146" s="1" t="s">
        <x:v>4833</x:v>
      </x:c>
      <x:c r="D146" s="1" t="s">
        <x:v>6122</x:v>
      </x:c>
      <x:c r="E146" s="1" t="s">
        <x:v>30</x:v>
      </x:c>
      <x:c r="F146" s="1" t="s">
        <x:v>6159</x:v>
      </x:c>
      <x:c r="G146" s="1" t="s">
        <x:v>6201</x:v>
      </x:c>
    </x:row>
    <x:row r="147" ht="15" hidden="0" customHeight="1">
      <x:c r="A147" s="1" t="s">
        <x:v>4637</x:v>
      </x:c>
      <x:c r="B147" s="1" t="s">
        <x:v>35</x:v>
      </x:c>
      <x:c r="C147" s="1" t="s">
        <x:v>4833</x:v>
      </x:c>
      <x:c r="D147" s="1" t="s">
        <x:v>6123</x:v>
      </x:c>
      <x:c r="E147" s="1" t="s">
        <x:v>30</x:v>
      </x:c>
      <x:c r="F147" s="1" t="s">
        <x:v>6159</x:v>
      </x:c>
      <x:c r="G147" s="1" t="s">
        <x:v>6201</x:v>
      </x:c>
    </x:row>
    <x:row r="148" ht="15" hidden="0" customHeight="1">
      <x:c r="A148" s="1" t="s">
        <x:v>4637</x:v>
      </x:c>
      <x:c r="B148" s="1" t="s">
        <x:v>35</x:v>
      </x:c>
      <x:c r="C148" s="1" t="s">
        <x:v>4833</x:v>
      </x:c>
      <x:c r="D148" s="1" t="s">
        <x:v>4721</x:v>
      </x:c>
      <x:c r="E148" s="1" t="s">
        <x:v>30</x:v>
      </x:c>
      <x:c r="F148" s="1" t="s">
        <x:v>6159</x:v>
      </x:c>
      <x:c r="G148" s="1" t="s">
        <x:v>6201</x:v>
      </x:c>
    </x:row>
    <x:row r="149" ht="15" hidden="0" customHeight="1">
      <x:c r="A149" s="1" t="s">
        <x:v>4637</x:v>
      </x:c>
      <x:c r="B149" s="1" t="s">
        <x:v>35</x:v>
      </x:c>
      <x:c r="C149" s="1" t="s">
        <x:v>4833</x:v>
      </x:c>
      <x:c r="D149" s="1" t="s">
        <x:v>6124</x:v>
      </x:c>
      <x:c r="E149" s="1" t="s">
        <x:v>30</x:v>
      </x:c>
      <x:c r="F149" s="1" t="s">
        <x:v>6159</x:v>
      </x:c>
      <x:c r="G149" s="1" t="s">
        <x:v>6201</x:v>
      </x:c>
    </x:row>
    <x:row r="150" ht="15" hidden="0" customHeight="1">
      <x:c r="A150" s="1" t="s">
        <x:v>4637</x:v>
      </x:c>
      <x:c r="B150" s="1" t="s">
        <x:v>35</x:v>
      </x:c>
      <x:c r="C150" s="1" t="s">
        <x:v>4833</x:v>
      </x:c>
      <x:c r="D150" s="1" t="s">
        <x:v>6138</x:v>
      </x:c>
      <x:c r="E150" s="1" t="s">
        <x:v>30</x:v>
      </x:c>
      <x:c r="F150" s="1" t="s">
        <x:v>6159</x:v>
      </x:c>
      <x:c r="G150" s="1" t="s">
        <x:v>6201</x:v>
      </x:c>
    </x:row>
    <x:row r="151" ht="15" hidden="0" customHeight="1">
      <x:c r="A151" s="1" t="s">
        <x:v>4637</x:v>
      </x:c>
      <x:c r="B151" s="1" t="s">
        <x:v>35</x:v>
      </x:c>
      <x:c r="C151" s="1" t="s">
        <x:v>4833</x:v>
      </x:c>
      <x:c r="D151" s="1" t="s">
        <x:v>6136</x:v>
      </x:c>
      <x:c r="E151" s="1" t="s">
        <x:v>30</x:v>
      </x:c>
      <x:c r="F151" s="1" t="s">
        <x:v>6159</x:v>
      </x:c>
      <x:c r="G151" s="1" t="s">
        <x:v>6201</x:v>
      </x:c>
    </x:row>
    <x:row r="152" ht="15" hidden="0" customHeight="1">
      <x:c r="A152" s="1" t="s">
        <x:v>4637</x:v>
      </x:c>
      <x:c r="B152" s="1" t="s">
        <x:v>35</x:v>
      </x:c>
      <x:c r="C152" s="1" t="s">
        <x:v>4833</x:v>
      </x:c>
      <x:c r="D152" s="1" t="s">
        <x:v>6151</x:v>
      </x:c>
      <x:c r="E152" s="1" t="s">
        <x:v>30</x:v>
      </x:c>
      <x:c r="F152" s="1" t="s">
        <x:v>6159</x:v>
      </x:c>
      <x:c r="G152" s="1" t="s">
        <x:v>6201</x:v>
      </x:c>
    </x:row>
    <x:row r="153" ht="15" hidden="0" customHeight="1">
      <x:c r="A153" s="1" t="s">
        <x:v>4637</x:v>
      </x:c>
      <x:c r="B153" s="1" t="s">
        <x:v>35</x:v>
      </x:c>
      <x:c r="C153" s="1" t="s">
        <x:v>4833</x:v>
      </x:c>
      <x:c r="D153" s="1" t="s">
        <x:v>6152</x:v>
      </x:c>
      <x:c r="E153" s="1" t="s">
        <x:v>30</x:v>
      </x:c>
      <x:c r="F153" s="1" t="s">
        <x:v>6159</x:v>
      </x:c>
      <x:c r="G153" s="1" t="s">
        <x:v>6201</x:v>
      </x:c>
    </x:row>
    <x:row r="154" ht="15" hidden="0" customHeight="1">
      <x:c r="A154" s="1" t="s">
        <x:v>4637</x:v>
      </x:c>
      <x:c r="B154" s="1" t="s">
        <x:v>35</x:v>
      </x:c>
      <x:c r="C154" s="1" t="s">
        <x:v>4833</x:v>
      </x:c>
      <x:c r="D154" s="1" t="s">
        <x:v>6154</x:v>
      </x:c>
      <x:c r="E154" s="1" t="s">
        <x:v>30</x:v>
      </x:c>
      <x:c r="F154" s="1" t="s">
        <x:v>6159</x:v>
      </x:c>
      <x:c r="G154" s="1" t="s">
        <x:v>6201</x:v>
      </x:c>
    </x:row>
    <x:row r="155" ht="15" hidden="0" customHeight="1">
      <x:c r="A155" s="1" t="s">
        <x:v>4637</x:v>
      </x:c>
      <x:c r="B155" s="1" t="s">
        <x:v>35</x:v>
      </x:c>
      <x:c r="C155" s="1" t="s">
        <x:v>4833</x:v>
      </x:c>
      <x:c r="D155" s="1" t="s">
        <x:v>6155</x:v>
      </x:c>
      <x:c r="E155" s="1" t="s">
        <x:v>30</x:v>
      </x:c>
      <x:c r="F155" s="1" t="s">
        <x:v>6159</x:v>
      </x:c>
      <x:c r="G155" s="1" t="s">
        <x:v>6201</x:v>
      </x:c>
    </x:row>
    <x:row r="156" ht="15" hidden="0" customHeight="1">
      <x:c r="A156" s="1" t="s">
        <x:v>4637</x:v>
      </x:c>
      <x:c r="B156" s="1" t="s">
        <x:v>35</x:v>
      </x:c>
      <x:c r="C156" s="1" t="s">
        <x:v>4833</x:v>
      </x:c>
      <x:c r="D156" s="1" t="s">
        <x:v>6120</x:v>
      </x:c>
      <x:c r="E156" s="1" t="s">
        <x:v>6157</x:v>
      </x:c>
      <x:c r="F156" s="1" t="s">
        <x:v>6158</x:v>
      </x:c>
      <x:c r="G156" s="1" t="s">
        <x:v>6202</x:v>
      </x:c>
    </x:row>
    <x:row r="157" ht="15" hidden="0" customHeight="1">
      <x:c r="A157" s="1" t="s">
        <x:v>4637</x:v>
      </x:c>
      <x:c r="B157" s="1" t="s">
        <x:v>35</x:v>
      </x:c>
      <x:c r="C157" s="1" t="s">
        <x:v>4786</x:v>
      </x:c>
      <x:c r="D157" s="1" t="s">
        <x:v>6121</x:v>
      </x:c>
      <x:c r="E157" s="1" t="s">
        <x:v>30</x:v>
      </x:c>
      <x:c r="F157" s="1" t="s">
        <x:v>6159</x:v>
      </x:c>
      <x:c r="G157" s="1" t="s">
        <x:v>6201</x:v>
      </x:c>
    </x:row>
    <x:row r="158" ht="15" hidden="0" customHeight="1">
      <x:c r="A158" s="1" t="s">
        <x:v>4637</x:v>
      </x:c>
      <x:c r="B158" s="1" t="s">
        <x:v>35</x:v>
      </x:c>
      <x:c r="C158" s="1" t="s">
        <x:v>4786</x:v>
      </x:c>
      <x:c r="D158" s="1" t="s">
        <x:v>6141</x:v>
      </x:c>
      <x:c r="E158" s="1" t="s">
        <x:v>30</x:v>
      </x:c>
      <x:c r="F158" s="1" t="s">
        <x:v>6159</x:v>
      </x:c>
      <x:c r="G158" s="1" t="s">
        <x:v>6201</x:v>
      </x:c>
    </x:row>
    <x:row r="159" ht="15" hidden="0" customHeight="1">
      <x:c r="A159" s="1" t="s">
        <x:v>4637</x:v>
      </x:c>
      <x:c r="B159" s="1" t="s">
        <x:v>35</x:v>
      </x:c>
      <x:c r="C159" s="1" t="s">
        <x:v>4786</x:v>
      </x:c>
      <x:c r="D159" s="1" t="s">
        <x:v>6124</x:v>
      </x:c>
      <x:c r="E159" s="1" t="s">
        <x:v>30</x:v>
      </x:c>
      <x:c r="F159" s="1" t="s">
        <x:v>6159</x:v>
      </x:c>
      <x:c r="G159" s="1" t="s">
        <x:v>6201</x:v>
      </x:c>
    </x:row>
    <x:row r="160" ht="15" hidden="0" customHeight="1">
      <x:c r="A160" s="1" t="s">
        <x:v>4637</x:v>
      </x:c>
      <x:c r="B160" s="1" t="s">
        <x:v>35</x:v>
      </x:c>
      <x:c r="C160" s="1" t="s">
        <x:v>4786</x:v>
      </x:c>
      <x:c r="D160" s="1" t="s">
        <x:v>6144</x:v>
      </x:c>
      <x:c r="E160" s="1" t="s">
        <x:v>30</x:v>
      </x:c>
      <x:c r="F160" s="1" t="s">
        <x:v>6159</x:v>
      </x:c>
      <x:c r="G160" s="1" t="s">
        <x:v>6201</x:v>
      </x:c>
    </x:row>
    <x:row r="161" ht="15" hidden="0" customHeight="1">
      <x:c r="A161" s="1" t="s">
        <x:v>4637</x:v>
      </x:c>
      <x:c r="B161" s="1" t="s">
        <x:v>35</x:v>
      </x:c>
      <x:c r="C161" s="1" t="s">
        <x:v>4786</x:v>
      </x:c>
      <x:c r="D161" s="1" t="s">
        <x:v>6138</x:v>
      </x:c>
      <x:c r="E161" s="1" t="s">
        <x:v>30</x:v>
      </x:c>
      <x:c r="F161" s="1" t="s">
        <x:v>6159</x:v>
      </x:c>
      <x:c r="G161" s="1" t="s">
        <x:v>6201</x:v>
      </x:c>
    </x:row>
    <x:row r="162" ht="15" hidden="0" customHeight="1">
      <x:c r="A162" s="1" t="s">
        <x:v>4637</x:v>
      </x:c>
      <x:c r="B162" s="1" t="s">
        <x:v>35</x:v>
      </x:c>
      <x:c r="C162" s="1" t="s">
        <x:v>4786</x:v>
      </x:c>
      <x:c r="D162" s="1" t="s">
        <x:v>1640</x:v>
      </x:c>
      <x:c r="E162" s="1" t="s">
        <x:v>30</x:v>
      </x:c>
      <x:c r="F162" s="1" t="s">
        <x:v>6159</x:v>
      </x:c>
      <x:c r="G162" s="1" t="s">
        <x:v>6201</x:v>
      </x:c>
    </x:row>
    <x:row r="163" ht="15" hidden="0" customHeight="1">
      <x:c r="A163" s="1" t="s">
        <x:v>4637</x:v>
      </x:c>
      <x:c r="B163" s="1" t="s">
        <x:v>35</x:v>
      </x:c>
      <x:c r="C163" s="1" t="s">
        <x:v>4786</x:v>
      </x:c>
      <x:c r="D163" s="1" t="s">
        <x:v>6151</x:v>
      </x:c>
      <x:c r="E163" s="1" t="s">
        <x:v>30</x:v>
      </x:c>
      <x:c r="F163" s="1" t="s">
        <x:v>6159</x:v>
      </x:c>
      <x:c r="G163" s="1" t="s">
        <x:v>6201</x:v>
      </x:c>
    </x:row>
    <x:row r="164" ht="15" hidden="0" customHeight="1">
      <x:c r="A164" s="1" t="s">
        <x:v>4637</x:v>
      </x:c>
      <x:c r="B164" s="1" t="s">
        <x:v>35</x:v>
      </x:c>
      <x:c r="C164" s="1" t="s">
        <x:v>4786</x:v>
      </x:c>
      <x:c r="D164" s="1" t="s">
        <x:v>6152</x:v>
      </x:c>
      <x:c r="E164" s="1" t="s">
        <x:v>30</x:v>
      </x:c>
      <x:c r="F164" s="1" t="s">
        <x:v>6159</x:v>
      </x:c>
      <x:c r="G164" s="1" t="s">
        <x:v>6201</x:v>
      </x:c>
    </x:row>
    <x:row r="165" ht="15" hidden="0" customHeight="1">
      <x:c r="A165" s="1" t="s">
        <x:v>4637</x:v>
      </x:c>
      <x:c r="B165" s="1" t="s">
        <x:v>35</x:v>
      </x:c>
      <x:c r="C165" s="1" t="s">
        <x:v>4786</x:v>
      </x:c>
      <x:c r="D165" s="1" t="s">
        <x:v>6154</x:v>
      </x:c>
      <x:c r="E165" s="1" t="s">
        <x:v>30</x:v>
      </x:c>
      <x:c r="F165" s="1" t="s">
        <x:v>6159</x:v>
      </x:c>
      <x:c r="G165" s="1" t="s">
        <x:v>6201</x:v>
      </x:c>
    </x:row>
    <x:row r="166" ht="15" hidden="0" customHeight="1">
      <x:c r="A166" s="1" t="s">
        <x:v>4637</x:v>
      </x:c>
      <x:c r="B166" s="1" t="s">
        <x:v>35</x:v>
      </x:c>
      <x:c r="C166" s="1" t="s">
        <x:v>4786</x:v>
      </x:c>
      <x:c r="D166" s="1" t="s">
        <x:v>6156</x:v>
      </x:c>
      <x:c r="E166" s="1" t="s">
        <x:v>30</x:v>
      </x:c>
      <x:c r="F166" s="1" t="s">
        <x:v>6159</x:v>
      </x:c>
      <x:c r="G166" s="1" t="s">
        <x:v>6201</x:v>
      </x:c>
    </x:row>
    <x:row r="167" ht="15" hidden="0" customHeight="1">
      <x:c r="A167" s="1" t="s">
        <x:v>4637</x:v>
      </x:c>
      <x:c r="B167" s="1" t="s">
        <x:v>35</x:v>
      </x:c>
      <x:c r="C167" s="1" t="s">
        <x:v>4786</x:v>
      </x:c>
      <x:c r="D167" s="1" t="s">
        <x:v>6120</x:v>
      </x:c>
      <x:c r="E167" s="1" t="s">
        <x:v>6157</x:v>
      </x:c>
      <x:c r="F167" s="1" t="s">
        <x:v>6158</x:v>
      </x:c>
      <x:c r="G167" s="1" t="s">
        <x:v>6202</x:v>
      </x:c>
    </x:row>
    <x:row r="168" ht="15" hidden="0" customHeight="1">
      <x:c r="A168" s="1" t="s">
        <x:v>4637</x:v>
      </x:c>
      <x:c r="B168" s="1" t="s">
        <x:v>35</x:v>
      </x:c>
      <x:c r="C168" s="1" t="s">
        <x:v>4707</x:v>
      </x:c>
      <x:c r="D168" s="1" t="s">
        <x:v>6121</x:v>
      </x:c>
      <x:c r="E168" s="1" t="s">
        <x:v>30</x:v>
      </x:c>
      <x:c r="F168" s="1" t="s">
        <x:v>6159</x:v>
      </x:c>
      <x:c r="G168" s="1" t="s">
        <x:v>6201</x:v>
      </x:c>
    </x:row>
    <x:row r="169" ht="15" hidden="0" customHeight="1">
      <x:c r="A169" s="1" t="s">
        <x:v>4637</x:v>
      </x:c>
      <x:c r="B169" s="1" t="s">
        <x:v>35</x:v>
      </x:c>
      <x:c r="C169" s="1" t="s">
        <x:v>4707</x:v>
      </x:c>
      <x:c r="D169" s="1" t="s">
        <x:v>6122</x:v>
      </x:c>
      <x:c r="E169" s="1" t="s">
        <x:v>30</x:v>
      </x:c>
      <x:c r="F169" s="1" t="s">
        <x:v>6159</x:v>
      </x:c>
      <x:c r="G169" s="1" t="s">
        <x:v>6201</x:v>
      </x:c>
    </x:row>
    <x:row r="170" ht="15" hidden="0" customHeight="1">
      <x:c r="A170" s="1" t="s">
        <x:v>4637</x:v>
      </x:c>
      <x:c r="B170" s="1" t="s">
        <x:v>35</x:v>
      </x:c>
      <x:c r="C170" s="1" t="s">
        <x:v>4707</x:v>
      </x:c>
      <x:c r="D170" s="1" t="s">
        <x:v>4721</x:v>
      </x:c>
      <x:c r="E170" s="1" t="s">
        <x:v>30</x:v>
      </x:c>
      <x:c r="F170" s="1" t="s">
        <x:v>6159</x:v>
      </x:c>
      <x:c r="G170" s="1" t="s">
        <x:v>6201</x:v>
      </x:c>
    </x:row>
    <x:row r="171" ht="15" hidden="0" customHeight="1">
      <x:c r="A171" s="1" t="s">
        <x:v>4637</x:v>
      </x:c>
      <x:c r="B171" s="1" t="s">
        <x:v>35</x:v>
      </x:c>
      <x:c r="C171" s="1" t="s">
        <x:v>4707</x:v>
      </x:c>
      <x:c r="D171" s="1" t="s">
        <x:v>4725</x:v>
      </x:c>
      <x:c r="E171" s="1" t="s">
        <x:v>30</x:v>
      </x:c>
      <x:c r="F171" s="1" t="s">
        <x:v>6159</x:v>
      </x:c>
      <x:c r="G171" s="1" t="s">
        <x:v>6201</x:v>
      </x:c>
    </x:row>
    <x:row r="172" ht="15" hidden="0" customHeight="1">
      <x:c r="A172" s="1" t="s">
        <x:v>4637</x:v>
      </x:c>
      <x:c r="B172" s="1" t="s">
        <x:v>35</x:v>
      </x:c>
      <x:c r="C172" s="1" t="s">
        <x:v>4707</x:v>
      </x:c>
      <x:c r="D172" s="1" t="s">
        <x:v>6141</x:v>
      </x:c>
      <x:c r="E172" s="1" t="s">
        <x:v>30</x:v>
      </x:c>
      <x:c r="F172" s="1" t="s">
        <x:v>6159</x:v>
      </x:c>
      <x:c r="G172" s="1" t="s">
        <x:v>6201</x:v>
      </x:c>
    </x:row>
    <x:row r="173" ht="15" hidden="0" customHeight="1">
      <x:c r="A173" s="1" t="s">
        <x:v>4637</x:v>
      </x:c>
      <x:c r="B173" s="1" t="s">
        <x:v>35</x:v>
      </x:c>
      <x:c r="C173" s="1" t="s">
        <x:v>4707</x:v>
      </x:c>
      <x:c r="D173" s="1" t="s">
        <x:v>6124</x:v>
      </x:c>
      <x:c r="E173" s="1" t="s">
        <x:v>30</x:v>
      </x:c>
      <x:c r="F173" s="1" t="s">
        <x:v>6159</x:v>
      </x:c>
      <x:c r="G173" s="1" t="s">
        <x:v>6201</x:v>
      </x:c>
    </x:row>
    <x:row r="174" ht="15" hidden="0" customHeight="1">
      <x:c r="A174" s="1" t="s">
        <x:v>4637</x:v>
      </x:c>
      <x:c r="B174" s="1" t="s">
        <x:v>35</x:v>
      </x:c>
      <x:c r="C174" s="1" t="s">
        <x:v>4707</x:v>
      </x:c>
      <x:c r="D174" s="1" t="s">
        <x:v>6138</x:v>
      </x:c>
      <x:c r="E174" s="1" t="s">
        <x:v>30</x:v>
      </x:c>
      <x:c r="F174" s="1" t="s">
        <x:v>6159</x:v>
      </x:c>
      <x:c r="G174" s="1" t="s">
        <x:v>6201</x:v>
      </x:c>
    </x:row>
    <x:row r="175" ht="15" hidden="0" customHeight="1">
      <x:c r="A175" s="1" t="s">
        <x:v>4637</x:v>
      </x:c>
      <x:c r="B175" s="1" t="s">
        <x:v>35</x:v>
      </x:c>
      <x:c r="C175" s="1" t="s">
        <x:v>4707</x:v>
      </x:c>
      <x:c r="D175" s="1" t="s">
        <x:v>4742</x:v>
      </x:c>
      <x:c r="E175" s="1" t="s">
        <x:v>30</x:v>
      </x:c>
      <x:c r="F175" s="1" t="s">
        <x:v>6159</x:v>
      </x:c>
      <x:c r="G175" s="1" t="s">
        <x:v>6201</x:v>
      </x:c>
    </x:row>
    <x:row r="176" ht="15" hidden="0" customHeight="1">
      <x:c r="A176" s="1" t="s">
        <x:v>4637</x:v>
      </x:c>
      <x:c r="B176" s="1" t="s">
        <x:v>35</x:v>
      </x:c>
      <x:c r="C176" s="1" t="s">
        <x:v>4707</x:v>
      </x:c>
      <x:c r="D176" s="1" t="s">
        <x:v>4749</x:v>
      </x:c>
      <x:c r="E176" s="1" t="s">
        <x:v>30</x:v>
      </x:c>
      <x:c r="F176" s="1" t="s">
        <x:v>6159</x:v>
      </x:c>
      <x:c r="G176" s="1" t="s">
        <x:v>6201</x:v>
      </x:c>
    </x:row>
    <x:row r="177" ht="15" hidden="0" customHeight="1">
      <x:c r="A177" s="1" t="s">
        <x:v>4637</x:v>
      </x:c>
      <x:c r="B177" s="1" t="s">
        <x:v>35</x:v>
      </x:c>
      <x:c r="C177" s="1" t="s">
        <x:v>4707</x:v>
      </x:c>
      <x:c r="D177" s="1" t="s">
        <x:v>6132</x:v>
      </x:c>
      <x:c r="E177" s="1" t="s">
        <x:v>30</x:v>
      </x:c>
      <x:c r="F177" s="1" t="s">
        <x:v>32</x:v>
      </x:c>
      <x:c r="G177" s="1" t="s">
        <x:v>6201</x:v>
      </x:c>
    </x:row>
    <x:row r="178" ht="15" hidden="0" customHeight="1">
      <x:c r="A178" s="1" t="s">
        <x:v>4637</x:v>
      </x:c>
      <x:c r="B178" s="1" t="s">
        <x:v>35</x:v>
      </x:c>
      <x:c r="C178" s="1" t="s">
        <x:v>4707</x:v>
      </x:c>
      <x:c r="D178" s="1" t="s">
        <x:v>4449</x:v>
      </x:c>
      <x:c r="E178" s="1" t="s">
        <x:v>30</x:v>
      </x:c>
      <x:c r="F178" s="1" t="s">
        <x:v>6159</x:v>
      </x:c>
      <x:c r="G178" s="1" t="s">
        <x:v>6201</x:v>
      </x:c>
    </x:row>
    <x:row r="179" ht="15" hidden="0" customHeight="1">
      <x:c r="A179" s="1" t="s">
        <x:v>4637</x:v>
      </x:c>
      <x:c r="B179" s="1" t="s">
        <x:v>35</x:v>
      </x:c>
      <x:c r="C179" s="1" t="s">
        <x:v>4707</x:v>
      </x:c>
      <x:c r="D179" s="1" t="s">
        <x:v>6151</x:v>
      </x:c>
      <x:c r="E179" s="1" t="s">
        <x:v>30</x:v>
      </x:c>
      <x:c r="F179" s="1" t="s">
        <x:v>6159</x:v>
      </x:c>
      <x:c r="G179" s="1" t="s">
        <x:v>6201</x:v>
      </x:c>
    </x:row>
    <x:row r="180" ht="15" hidden="0" customHeight="1">
      <x:c r="A180" s="1" t="s">
        <x:v>4637</x:v>
      </x:c>
      <x:c r="B180" s="1" t="s">
        <x:v>35</x:v>
      </x:c>
      <x:c r="C180" s="1" t="s">
        <x:v>4707</x:v>
      </x:c>
      <x:c r="D180" s="1" t="s">
        <x:v>6152</x:v>
      </x:c>
      <x:c r="E180" s="1" t="s">
        <x:v>30</x:v>
      </x:c>
      <x:c r="F180" s="1" t="s">
        <x:v>6159</x:v>
      </x:c>
      <x:c r="G180" s="1" t="s">
        <x:v>6201</x:v>
      </x:c>
    </x:row>
    <x:row r="181" ht="15" hidden="0" customHeight="1">
      <x:c r="A181" s="1" t="s">
        <x:v>4637</x:v>
      </x:c>
      <x:c r="B181" s="1" t="s">
        <x:v>35</x:v>
      </x:c>
      <x:c r="C181" s="1" t="s">
        <x:v>4707</x:v>
      </x:c>
      <x:c r="D181" s="1" t="s">
        <x:v>6154</x:v>
      </x:c>
      <x:c r="E181" s="1" t="s">
        <x:v>30</x:v>
      </x:c>
      <x:c r="F181" s="1" t="s">
        <x:v>6159</x:v>
      </x:c>
      <x:c r="G181" s="1" t="s">
        <x:v>6201</x:v>
      </x:c>
    </x:row>
    <x:row r="182" ht="15" hidden="0" customHeight="1">
      <x:c r="A182" s="1" t="s">
        <x:v>4637</x:v>
      </x:c>
      <x:c r="B182" s="1" t="s">
        <x:v>35</x:v>
      </x:c>
      <x:c r="C182" s="1" t="s">
        <x:v>4707</x:v>
      </x:c>
      <x:c r="D182" s="1" t="s">
        <x:v>6120</x:v>
      </x:c>
      <x:c r="E182" s="1" t="s">
        <x:v>6157</x:v>
      </x:c>
      <x:c r="F182" s="1" t="s">
        <x:v>6158</x:v>
      </x:c>
      <x:c r="G182" s="1" t="s">
        <x:v>6202</x:v>
      </x:c>
    </x:row>
    <x:row r="183" ht="15" hidden="0" customHeight="1">
      <x:c r="A183" s="1" t="s">
        <x:v>4637</x:v>
      </x:c>
      <x:c r="B183" s="1" t="s">
        <x:v>6167</x:v>
      </x:c>
      <x:c r="C183" s="1" t="s">
        <x:v>4629</x:v>
      </x:c>
      <x:c r="D183" s="1" t="s">
        <x:v>5462</x:v>
      </x:c>
      <x:c r="E183" s="1" t="n">
        <x:v>0</x:v>
      </x:c>
      <x:c r="F183" s="1" t="n">
        <x:v>23</x:v>
      </x:c>
      <x:c r="G183" s="1" t="s">
        <x:v>6203</x:v>
      </x:c>
    </x:row>
    <x:row r="184" ht="15" hidden="0" customHeight="1">
      <x:c r="A184" s="1" t="s">
        <x:v>4637</x:v>
      </x:c>
      <x:c r="B184" s="1" t="s">
        <x:v>6167</x:v>
      </x:c>
      <x:c r="C184" s="1" t="s">
        <x:v>4629</x:v>
      </x:c>
      <x:c r="D184" s="1" t="s">
        <x:v>5463</x:v>
      </x:c>
      <x:c r="E184" s="1" t="s">
        <x:v>56</x:v>
      </x:c>
      <x:c r="F184" s="1" t="s">
        <x:v>50</x:v>
      </x:c>
      <x:c r="G184" s="1" t="s">
        <x:v>6204</x:v>
      </x:c>
    </x:row>
    <x:row r="185" ht="15" hidden="0" customHeight="1">
      <x:c r="A185" s="1" t="s">
        <x:v>4637</x:v>
      </x:c>
      <x:c r="B185" s="1" t="s">
        <x:v>6167</x:v>
      </x:c>
      <x:c r="C185" s="1" t="s">
        <x:v>4629</x:v>
      </x:c>
      <x:c r="D185" s="1" t="s">
        <x:v>5464</x:v>
      </x:c>
      <x:c r="E185" s="1" t="s">
        <x:v>30</x:v>
      </x:c>
      <x:c r="F185" s="1" t="s">
        <x:v>45</x:v>
      </x:c>
      <x:c r="G185" s="1" t="s">
        <x:v>4637</x:v>
      </x:c>
    </x:row>
    <x:row r="186" ht="15" hidden="0" customHeight="1">
      <x:c r="A186" s="1" t="s">
        <x:v>4637</x:v>
      </x:c>
      <x:c r="B186" s="1" t="s">
        <x:v>6167</x:v>
      </x:c>
      <x:c r="C186" s="1" t="s">
        <x:v>4629</x:v>
      </x:c>
      <x:c r="D186" s="1" t="s">
        <x:v>5466</x:v>
      </x:c>
      <x:c r="F186" s="1" t="s">
        <x:v>4637</x:v>
      </x:c>
      <x:c r="G186" s="1" t="s">
        <x:v>4637</x:v>
      </x:c>
    </x:row>
    <x:row r="187" ht="15" hidden="0" customHeight="1">
      <x:c r="A187" s="1" t="s">
        <x:v>4637</x:v>
      </x:c>
      <x:c r="B187" s="1" t="s">
        <x:v>6167</x:v>
      </x:c>
      <x:c r="C187" s="1" t="s">
        <x:v>4629</x:v>
      </x:c>
      <x:c r="D187" s="1" t="s">
        <x:v>5467</x:v>
      </x:c>
      <x:c r="F187" s="1" t="s">
        <x:v>5506</x:v>
      </x:c>
      <x:c r="G187" s="1" t="s">
        <x:v>4637</x:v>
      </x:c>
    </x:row>
    <x:row r="188" ht="15" hidden="0" customHeight="1">
      <x:c r="A188" s="1" t="s">
        <x:v>4637</x:v>
      </x:c>
      <x:c r="B188" s="1" t="s">
        <x:v>6167</x:v>
      </x:c>
      <x:c r="C188" s="1" t="s">
        <x:v>4833</x:v>
      </x:c>
      <x:c r="D188" s="1" t="s">
        <x:v>5462</x:v>
      </x:c>
      <x:c r="E188" s="1" t="n">
        <x:v>0</x:v>
      </x:c>
      <x:c r="F188" s="1" t="n">
        <x:v>20</x:v>
      </x:c>
      <x:c r="G188" s="1" t="s">
        <x:v>6203</x:v>
      </x:c>
    </x:row>
    <x:row r="189" ht="15" hidden="0" customHeight="1">
      <x:c r="A189" s="1" t="s">
        <x:v>4637</x:v>
      </x:c>
      <x:c r="B189" s="1" t="s">
        <x:v>6167</x:v>
      </x:c>
      <x:c r="C189" s="1" t="s">
        <x:v>4833</x:v>
      </x:c>
      <x:c r="D189" s="1" t="s">
        <x:v>5463</x:v>
      </x:c>
      <x:c r="E189" s="1" t="s">
        <x:v>56</x:v>
      </x:c>
      <x:c r="F189" s="1" t="s">
        <x:v>50</x:v>
      </x:c>
      <x:c r="G189" s="1" t="s">
        <x:v>6204</x:v>
      </x:c>
    </x:row>
    <x:row r="190" ht="15" hidden="0" customHeight="1">
      <x:c r="A190" s="1" t="s">
        <x:v>4637</x:v>
      </x:c>
      <x:c r="B190" s="1" t="s">
        <x:v>6167</x:v>
      </x:c>
      <x:c r="C190" s="1" t="s">
        <x:v>4833</x:v>
      </x:c>
      <x:c r="D190" s="1" t="s">
        <x:v>5464</x:v>
      </x:c>
      <x:c r="E190" s="1" t="s">
        <x:v>30</x:v>
      </x:c>
      <x:c r="F190" s="1" t="s">
        <x:v>45</x:v>
      </x:c>
      <x:c r="G190" s="1" t="s">
        <x:v>4637</x:v>
      </x:c>
    </x:row>
    <x:row r="191" ht="15" hidden="0" customHeight="1">
      <x:c r="A191" s="1" t="s">
        <x:v>4637</x:v>
      </x:c>
      <x:c r="B191" s="1" t="s">
        <x:v>6167</x:v>
      </x:c>
      <x:c r="C191" s="1" t="s">
        <x:v>4833</x:v>
      </x:c>
      <x:c r="D191" s="1" t="s">
        <x:v>5466</x:v>
      </x:c>
      <x:c r="F191" s="1" t="s">
        <x:v>4637</x:v>
      </x:c>
      <x:c r="G191" s="1" t="s">
        <x:v>4637</x:v>
      </x:c>
    </x:row>
    <x:row r="192" ht="15" hidden="0" customHeight="1">
      <x:c r="A192" s="1" t="s">
        <x:v>4637</x:v>
      </x:c>
      <x:c r="B192" s="1" t="s">
        <x:v>6167</x:v>
      </x:c>
      <x:c r="C192" s="1" t="s">
        <x:v>4833</x:v>
      </x:c>
      <x:c r="D192" s="1" t="s">
        <x:v>5467</x:v>
      </x:c>
      <x:c r="F192" s="1" t="s">
        <x:v>6205</x:v>
      </x:c>
      <x:c r="G192" s="1" t="s">
        <x:v>4637</x:v>
      </x:c>
    </x:row>
    <x:row r="193" ht="15" hidden="0" customHeight="1">
      <x:c r="A193" s="1" t="s">
        <x:v>4637</x:v>
      </x:c>
      <x:c r="B193" s="1" t="s">
        <x:v>6167</x:v>
      </x:c>
      <x:c r="C193" s="1" t="s">
        <x:v>4786</x:v>
      </x:c>
      <x:c r="D193" s="1" t="s">
        <x:v>5462</x:v>
      </x:c>
      <x:c r="E193" s="1" t="n">
        <x:v>0</x:v>
      </x:c>
      <x:c r="F193" s="1" t="n">
        <x:v>16</x:v>
      </x:c>
      <x:c r="G193" s="1" t="s">
        <x:v>6203</x:v>
      </x:c>
    </x:row>
    <x:row r="194" ht="15" hidden="0" customHeight="1">
      <x:c r="A194" s="1" t="s">
        <x:v>4637</x:v>
      </x:c>
      <x:c r="B194" s="1" t="s">
        <x:v>6167</x:v>
      </x:c>
      <x:c r="C194" s="1" t="s">
        <x:v>4786</x:v>
      </x:c>
      <x:c r="D194" s="1" t="s">
        <x:v>5463</x:v>
      </x:c>
      <x:c r="E194" s="1" t="s">
        <x:v>56</x:v>
      </x:c>
      <x:c r="F194" s="1" t="s">
        <x:v>50</x:v>
      </x:c>
      <x:c r="G194" s="1" t="s">
        <x:v>6204</x:v>
      </x:c>
    </x:row>
    <x:row r="195" ht="15" hidden="0" customHeight="1">
      <x:c r="A195" s="1" t="s">
        <x:v>4637</x:v>
      </x:c>
      <x:c r="B195" s="1" t="s">
        <x:v>6167</x:v>
      </x:c>
      <x:c r="C195" s="1" t="s">
        <x:v>4786</x:v>
      </x:c>
      <x:c r="D195" s="1" t="s">
        <x:v>5464</x:v>
      </x:c>
      <x:c r="E195" s="1" t="s">
        <x:v>30</x:v>
      </x:c>
      <x:c r="F195" s="1" t="s">
        <x:v>45</x:v>
      </x:c>
      <x:c r="G195" s="1" t="s">
        <x:v>4637</x:v>
      </x:c>
    </x:row>
    <x:row r="196" ht="15" hidden="0" customHeight="1">
      <x:c r="A196" s="1" t="s">
        <x:v>4637</x:v>
      </x:c>
      <x:c r="B196" s="1" t="s">
        <x:v>6167</x:v>
      </x:c>
      <x:c r="C196" s="1" t="s">
        <x:v>4786</x:v>
      </x:c>
      <x:c r="D196" s="1" t="s">
        <x:v>5466</x:v>
      </x:c>
      <x:c r="F196" s="1" t="s">
        <x:v>4637</x:v>
      </x:c>
      <x:c r="G196" s="1" t="s">
        <x:v>4637</x:v>
      </x:c>
    </x:row>
    <x:row r="197" ht="15" hidden="0" customHeight="1">
      <x:c r="A197" s="1" t="s">
        <x:v>4637</x:v>
      </x:c>
      <x:c r="B197" s="1" t="s">
        <x:v>6167</x:v>
      </x:c>
      <x:c r="C197" s="1" t="s">
        <x:v>4786</x:v>
      </x:c>
      <x:c r="D197" s="1" t="s">
        <x:v>5467</x:v>
      </x:c>
      <x:c r="F197" s="1" t="s">
        <x:v>5626</x:v>
      </x:c>
      <x:c r="G197" s="1" t="s">
        <x:v>4637</x:v>
      </x:c>
    </x:row>
    <x:row r="198" ht="15" hidden="0" customHeight="1">
      <x:c r="A198" s="1" t="s">
        <x:v>4637</x:v>
      </x:c>
      <x:c r="B198" s="1" t="s">
        <x:v>6167</x:v>
      </x:c>
      <x:c r="C198" s="1" t="s">
        <x:v>4707</x:v>
      </x:c>
      <x:c r="D198" s="1" t="s">
        <x:v>5462</x:v>
      </x:c>
      <x:c r="E198" s="1" t="n">
        <x:v>0</x:v>
      </x:c>
      <x:c r="F198" s="1" t="n">
        <x:v>22</x:v>
      </x:c>
      <x:c r="G198" s="1" t="s">
        <x:v>6203</x:v>
      </x:c>
    </x:row>
    <x:row r="199" ht="15" hidden="0" customHeight="1">
      <x:c r="A199" s="1" t="s">
        <x:v>4637</x:v>
      </x:c>
      <x:c r="B199" s="1" t="s">
        <x:v>6167</x:v>
      </x:c>
      <x:c r="C199" s="1" t="s">
        <x:v>4707</x:v>
      </x:c>
      <x:c r="D199" s="1" t="s">
        <x:v>5463</x:v>
      </x:c>
      <x:c r="E199" s="1" t="s">
        <x:v>56</x:v>
      </x:c>
      <x:c r="F199" s="1" t="s">
        <x:v>50</x:v>
      </x:c>
      <x:c r="G199" s="1" t="s">
        <x:v>6204</x:v>
      </x:c>
    </x:row>
    <x:row r="200" ht="15" hidden="0" customHeight="1">
      <x:c r="A200" s="1" t="s">
        <x:v>4637</x:v>
      </x:c>
      <x:c r="B200" s="1" t="s">
        <x:v>6167</x:v>
      </x:c>
      <x:c r="C200" s="1" t="s">
        <x:v>4707</x:v>
      </x:c>
      <x:c r="D200" s="1" t="s">
        <x:v>5464</x:v>
      </x:c>
      <x:c r="E200" s="1" t="s">
        <x:v>30</x:v>
      </x:c>
      <x:c r="F200" s="1" t="s">
        <x:v>45</x:v>
      </x:c>
      <x:c r="G200" s="1" t="s">
        <x:v>4637</x:v>
      </x:c>
    </x:row>
    <x:row r="201" ht="15" hidden="0" customHeight="1">
      <x:c r="A201" s="1" t="s">
        <x:v>4637</x:v>
      </x:c>
      <x:c r="B201" s="1" t="s">
        <x:v>6167</x:v>
      </x:c>
      <x:c r="C201" s="1" t="s">
        <x:v>4707</x:v>
      </x:c>
      <x:c r="D201" s="1" t="s">
        <x:v>5466</x:v>
      </x:c>
      <x:c r="F201" s="1" t="s">
        <x:v>4637</x:v>
      </x:c>
      <x:c r="G201" s="1" t="s">
        <x:v>4637</x:v>
      </x:c>
    </x:row>
    <x:row r="202" ht="15" hidden="0" customHeight="1">
      <x:c r="A202" s="1" t="s">
        <x:v>4637</x:v>
      </x:c>
      <x:c r="B202" s="1" t="s">
        <x:v>6167</x:v>
      </x:c>
      <x:c r="C202" s="1" t="s">
        <x:v>4707</x:v>
      </x:c>
      <x:c r="D202" s="1" t="s">
        <x:v>5467</x:v>
      </x:c>
      <x:c r="F202" s="1" t="s">
        <x:v>6206</x:v>
      </x:c>
      <x:c r="G202" s="1" t="s">
        <x:v>4637</x:v>
      </x:c>
    </x:row>
    <x:row r="203" ht="15" hidden="0" customHeight="1">
      <x:c r="A203" s="1" t="s">
        <x:v>4637</x:v>
      </x:c>
      <x:c r="B203" s="1" t="s">
        <x:v>6174</x:v>
      </x:c>
      <x:c r="C203" s="1" t="s">
        <x:v>4629</x:v>
      </x:c>
      <x:c r="D203" s="1" t="s">
        <x:v>5661</x:v>
      </x:c>
      <x:c r="E203" s="1" t="s">
        <x:v>30</x:v>
      </x:c>
      <x:c r="F203" s="1" t="s">
        <x:v>5688</x:v>
      </x:c>
      <x:c r="G203" s="1" t="s">
        <x:v>4637</x:v>
      </x:c>
    </x:row>
    <x:row r="204" ht="15" hidden="0" customHeight="1">
      <x:c r="A204" s="1" t="s">
        <x:v>4637</x:v>
      </x:c>
      <x:c r="B204" s="1" t="s">
        <x:v>6174</x:v>
      </x:c>
      <x:c r="C204" s="1" t="s">
        <x:v>4629</x:v>
      </x:c>
      <x:c r="D204" s="1" t="s">
        <x:v>98</x:v>
      </x:c>
      <x:c r="E204" s="1" t="s">
        <x:v>5680</x:v>
      </x:c>
      <x:c r="F204" s="1" t="s">
        <x:v>6207</x:v>
      </x:c>
      <x:c r="G204" s="1" t="s">
        <x:v>6208</x:v>
      </x:c>
    </x:row>
    <x:row r="205" ht="15" hidden="0" customHeight="1">
      <x:c r="A205" s="1" t="s">
        <x:v>4637</x:v>
      </x:c>
      <x:c r="B205" s="1" t="s">
        <x:v>6174</x:v>
      </x:c>
      <x:c r="C205" s="1" t="s">
        <x:v>4833</x:v>
      </x:c>
      <x:c r="D205" s="1" t="s">
        <x:v>5661</x:v>
      </x:c>
      <x:c r="E205" s="1" t="s">
        <x:v>30</x:v>
      </x:c>
      <x:c r="F205" s="1" t="s">
        <x:v>5688</x:v>
      </x:c>
      <x:c r="G205" s="1" t="s">
        <x:v>4637</x:v>
      </x:c>
    </x:row>
    <x:row r="206" ht="15" hidden="0" customHeight="1">
      <x:c r="A206" s="1" t="s">
        <x:v>4637</x:v>
      </x:c>
      <x:c r="B206" s="1" t="s">
        <x:v>6174</x:v>
      </x:c>
      <x:c r="C206" s="1" t="s">
        <x:v>4833</x:v>
      </x:c>
      <x:c r="D206" s="1" t="s">
        <x:v>98</x:v>
      </x:c>
      <x:c r="E206" s="1" t="s">
        <x:v>5680</x:v>
      </x:c>
      <x:c r="F206" s="1" t="s">
        <x:v>6209</x:v>
      </x:c>
      <x:c r="G206" s="1" t="s">
        <x:v>6208</x:v>
      </x:c>
    </x:row>
    <x:row r="207" ht="15" hidden="0" customHeight="1">
      <x:c r="A207" s="1" t="s">
        <x:v>4637</x:v>
      </x:c>
      <x:c r="B207" s="1" t="s">
        <x:v>6174</x:v>
      </x:c>
      <x:c r="C207" s="1" t="s">
        <x:v>4786</x:v>
      </x:c>
      <x:c r="D207" s="1" t="s">
        <x:v>5661</x:v>
      </x:c>
      <x:c r="E207" s="1" t="s">
        <x:v>30</x:v>
      </x:c>
      <x:c r="F207" s="1" t="s">
        <x:v>5688</x:v>
      </x:c>
      <x:c r="G207" s="1" t="s">
        <x:v>4637</x:v>
      </x:c>
    </x:row>
    <x:row r="208" ht="15" hidden="0" customHeight="1">
      <x:c r="A208" s="1" t="s">
        <x:v>4637</x:v>
      </x:c>
      <x:c r="B208" s="1" t="s">
        <x:v>6174</x:v>
      </x:c>
      <x:c r="C208" s="1" t="s">
        <x:v>4786</x:v>
      </x:c>
      <x:c r="D208" s="1" t="s">
        <x:v>98</x:v>
      </x:c>
      <x:c r="E208" s="1" t="s">
        <x:v>5680</x:v>
      </x:c>
      <x:c r="F208" s="1" t="s">
        <x:v>6210</x:v>
      </x:c>
      <x:c r="G208" s="1" t="s">
        <x:v>6208</x:v>
      </x:c>
    </x:row>
    <x:row r="209" ht="15" hidden="0" customHeight="1">
      <x:c r="A209" s="1" t="s">
        <x:v>4637</x:v>
      </x:c>
      <x:c r="B209" s="1" t="s">
        <x:v>6174</x:v>
      </x:c>
      <x:c r="C209" s="1" t="s">
        <x:v>4707</x:v>
      </x:c>
      <x:c r="D209" s="1" t="s">
        <x:v>5661</x:v>
      </x:c>
      <x:c r="E209" s="1" t="s">
        <x:v>30</x:v>
      </x:c>
      <x:c r="F209" s="1" t="s">
        <x:v>5688</x:v>
      </x:c>
      <x:c r="G209" s="1" t="s">
        <x:v>4637</x:v>
      </x:c>
    </x:row>
    <x:row r="210" ht="15" hidden="0" customHeight="1">
      <x:c r="A210" s="1" t="s">
        <x:v>4637</x:v>
      </x:c>
      <x:c r="B210" s="1" t="s">
        <x:v>6174</x:v>
      </x:c>
      <x:c r="C210" s="1" t="s">
        <x:v>4707</x:v>
      </x:c>
      <x:c r="D210" s="1" t="s">
        <x:v>98</x:v>
      </x:c>
      <x:c r="E210" s="1" t="s">
        <x:v>5680</x:v>
      </x:c>
      <x:c r="F210" s="1" t="s">
        <x:v>6211</x:v>
      </x:c>
      <x:c r="G210" s="1" t="s">
        <x:v>6208</x:v>
      </x:c>
    </x:row>
    <x:row r="211" ht="15" hidden="0" customHeight="1">
      <x:c r="A211" s="1" t="s">
        <x:v>4637</x:v>
      </x:c>
      <x:c r="B211" s="1" t="s">
        <x:v>6178</x:v>
      </x:c>
      <x:c r="C211" s="1" t="s">
        <x:v>4629</x:v>
      </x:c>
      <x:c r="D211" s="1" t="s">
        <x:v>6067</x:v>
      </x:c>
      <x:c r="E211" s="1" t="s">
        <x:v>6212</x:v>
      </x:c>
      <x:c r="F211" s="1" t="s">
        <x:v>6079</x:v>
      </x:c>
      <x:c r="G211" s="1" t="s">
        <x:v>6213</x:v>
      </x:c>
    </x:row>
    <x:row r="212" ht="15" hidden="0" customHeight="1">
      <x:c r="A212" s="1" t="s">
        <x:v>4637</x:v>
      </x:c>
      <x:c r="B212" s="1" t="s">
        <x:v>6178</x:v>
      </x:c>
      <x:c r="C212" s="1" t="s">
        <x:v>4629</x:v>
      </x:c>
      <x:c r="D212" s="1" t="s">
        <x:v>6071</x:v>
      </x:c>
      <x:c r="E212" s="1" t="s">
        <x:v>30</x:v>
      </x:c>
      <x:c r="F212" s="1" t="s">
        <x:v>6081</x:v>
      </x:c>
      <x:c r="G212" s="1" t="s">
        <x:v>4637</x:v>
      </x:c>
    </x:row>
    <x:row r="213" ht="15" hidden="0" customHeight="1">
      <x:c r="A213" s="1" t="s">
        <x:v>4637</x:v>
      </x:c>
      <x:c r="B213" s="1" t="s">
        <x:v>6178</x:v>
      </x:c>
      <x:c r="C213" s="1" t="s">
        <x:v>4629</x:v>
      </x:c>
      <x:c r="D213" s="1" t="s">
        <x:v>6072</x:v>
      </x:c>
      <x:c r="E213" s="1" t="s">
        <x:v>883</x:v>
      </x:c>
      <x:c r="F213" s="1" t="s">
        <x:v>3474</x:v>
      </x:c>
      <x:c r="G213" s="1" t="s">
        <x:v>4637</x:v>
      </x:c>
    </x:row>
    <x:row r="214" ht="15" hidden="0" customHeight="1">
      <x:c r="A214" s="1" t="s">
        <x:v>4637</x:v>
      </x:c>
      <x:c r="B214" s="1" t="s">
        <x:v>6178</x:v>
      </x:c>
      <x:c r="C214" s="1" t="s">
        <x:v>4629</x:v>
      </x:c>
      <x:c r="D214" s="1" t="s">
        <x:v>6073</x:v>
      </x:c>
      <x:c r="E214" s="1" t="s">
        <x:v>6214</x:v>
      </x:c>
      <x:c r="F214" s="1" t="s">
        <x:v>6082</x:v>
      </x:c>
      <x:c r="G214" s="1" t="s">
        <x:v>4637</x:v>
      </x:c>
    </x:row>
    <x:row r="215" ht="15" hidden="0" customHeight="1">
      <x:c r="A215" s="1" t="s">
        <x:v>4637</x:v>
      </x:c>
      <x:c r="B215" s="1" t="s">
        <x:v>6178</x:v>
      </x:c>
      <x:c r="C215" s="1" t="s">
        <x:v>4833</x:v>
      </x:c>
      <x:c r="D215" s="1" t="s">
        <x:v>6067</x:v>
      </x:c>
      <x:c r="E215" s="1" t="s">
        <x:v>6075</x:v>
      </x:c>
      <x:c r="F215" s="1" t="s">
        <x:v>6079</x:v>
      </x:c>
      <x:c r="G215" s="1" t="s">
        <x:v>6213</x:v>
      </x:c>
    </x:row>
    <x:row r="216" ht="15" hidden="0" customHeight="1">
      <x:c r="A216" s="1" t="s">
        <x:v>4637</x:v>
      </x:c>
      <x:c r="B216" s="1" t="s">
        <x:v>6178</x:v>
      </x:c>
      <x:c r="C216" s="1" t="s">
        <x:v>4833</x:v>
      </x:c>
      <x:c r="D216" s="1" t="s">
        <x:v>6071</x:v>
      </x:c>
      <x:c r="E216" s="1" t="s">
        <x:v>30</x:v>
      </x:c>
      <x:c r="F216" s="1" t="s">
        <x:v>6112</x:v>
      </x:c>
      <x:c r="G216" s="1" t="s">
        <x:v>4637</x:v>
      </x:c>
    </x:row>
    <x:row r="217" ht="15" hidden="0" customHeight="1">
      <x:c r="A217" s="1" t="s">
        <x:v>4637</x:v>
      </x:c>
      <x:c r="B217" s="1" t="s">
        <x:v>6178</x:v>
      </x:c>
      <x:c r="C217" s="1" t="s">
        <x:v>4833</x:v>
      </x:c>
      <x:c r="D217" s="1" t="s">
        <x:v>6072</x:v>
      </x:c>
      <x:c r="E217" s="1" t="s">
        <x:v>883</x:v>
      </x:c>
      <x:c r="F217" s="1" t="s">
        <x:v>3474</x:v>
      </x:c>
      <x:c r="G217" s="1" t="s">
        <x:v>4637</x:v>
      </x:c>
    </x:row>
    <x:row r="218" ht="15" hidden="0" customHeight="1">
      <x:c r="A218" s="1" t="s">
        <x:v>4637</x:v>
      </x:c>
      <x:c r="B218" s="1" t="s">
        <x:v>6178</x:v>
      </x:c>
      <x:c r="C218" s="1" t="s">
        <x:v>4833</x:v>
      </x:c>
      <x:c r="D218" s="1" t="s">
        <x:v>6073</x:v>
      </x:c>
      <x:c r="E218" s="1" t="s">
        <x:v>6078</x:v>
      </x:c>
      <x:c r="F218" s="1" t="s">
        <x:v>6113</x:v>
      </x:c>
      <x:c r="G218" s="1" t="s">
        <x:v>4637</x:v>
      </x:c>
    </x:row>
    <x:row r="219" ht="15" hidden="0" customHeight="1">
      <x:c r="A219" s="1" t="s">
        <x:v>4637</x:v>
      </x:c>
      <x:c r="B219" s="1" t="s">
        <x:v>6178</x:v>
      </x:c>
      <x:c r="C219" s="1" t="s">
        <x:v>4786</x:v>
      </x:c>
      <x:c r="D219" s="1" t="s">
        <x:v>6067</x:v>
      </x:c>
      <x:c r="E219" s="1" t="s">
        <x:v>6075</x:v>
      </x:c>
      <x:c r="F219" s="1" t="s">
        <x:v>6079</x:v>
      </x:c>
      <x:c r="G219" s="1" t="s">
        <x:v>6213</x:v>
      </x:c>
    </x:row>
    <x:row r="220" ht="15" hidden="0" customHeight="1">
      <x:c r="A220" s="1" t="s">
        <x:v>4637</x:v>
      </x:c>
      <x:c r="B220" s="1" t="s">
        <x:v>6178</x:v>
      </x:c>
      <x:c r="C220" s="1" t="s">
        <x:v>4786</x:v>
      </x:c>
      <x:c r="D220" s="1" t="s">
        <x:v>6071</x:v>
      </x:c>
      <x:c r="E220" s="1" t="s">
        <x:v>30</x:v>
      </x:c>
      <x:c r="F220" s="1" t="s">
        <x:v>6116</x:v>
      </x:c>
      <x:c r="G220" s="1" t="s">
        <x:v>4637</x:v>
      </x:c>
    </x:row>
    <x:row r="221" ht="15" hidden="0" customHeight="1">
      <x:c r="A221" s="1" t="s">
        <x:v>4637</x:v>
      </x:c>
      <x:c r="B221" s="1" t="s">
        <x:v>6178</x:v>
      </x:c>
      <x:c r="C221" s="1" t="s">
        <x:v>4786</x:v>
      </x:c>
      <x:c r="D221" s="1" t="s">
        <x:v>6072</x:v>
      </x:c>
      <x:c r="E221" s="1" t="s">
        <x:v>883</x:v>
      </x:c>
      <x:c r="F221" s="1" t="s">
        <x:v>3474</x:v>
      </x:c>
      <x:c r="G221" s="1" t="s">
        <x:v>4637</x:v>
      </x:c>
    </x:row>
    <x:row r="222" ht="15" hidden="0" customHeight="1">
      <x:c r="A222" s="1" t="s">
        <x:v>4637</x:v>
      </x:c>
      <x:c r="B222" s="1" t="s">
        <x:v>6178</x:v>
      </x:c>
      <x:c r="C222" s="1" t="s">
        <x:v>4786</x:v>
      </x:c>
      <x:c r="D222" s="1" t="s">
        <x:v>6073</x:v>
      </x:c>
      <x:c r="E222" s="1" t="s">
        <x:v>6078</x:v>
      </x:c>
      <x:c r="F222" s="1" t="s">
        <x:v>6117</x:v>
      </x:c>
      <x:c r="G222" s="1" t="s">
        <x:v>4637</x:v>
      </x:c>
    </x:row>
    <x:row r="223" ht="15" hidden="0" customHeight="1">
      <x:c r="A223" s="1" t="s">
        <x:v>4637</x:v>
      </x:c>
      <x:c r="B223" s="1" t="s">
        <x:v>6178</x:v>
      </x:c>
      <x:c r="C223" s="1" t="s">
        <x:v>4707</x:v>
      </x:c>
      <x:c r="D223" s="1" t="s">
        <x:v>6067</x:v>
      </x:c>
      <x:c r="E223" s="1" t="s">
        <x:v>6075</x:v>
      </x:c>
      <x:c r="F223" s="1" t="s">
        <x:v>6079</x:v>
      </x:c>
      <x:c r="G223" s="1" t="s">
        <x:v>6213</x:v>
      </x:c>
    </x:row>
    <x:row r="224" ht="15" hidden="0" customHeight="1">
      <x:c r="A224" s="1" t="s">
        <x:v>4637</x:v>
      </x:c>
      <x:c r="B224" s="1" t="s">
        <x:v>6178</x:v>
      </x:c>
      <x:c r="C224" s="1" t="s">
        <x:v>4707</x:v>
      </x:c>
      <x:c r="D224" s="1" t="s">
        <x:v>6071</x:v>
      </x:c>
      <x:c r="E224" s="1" t="s">
        <x:v>30</x:v>
      </x:c>
      <x:c r="F224" s="1" t="s">
        <x:v>6118</x:v>
      </x:c>
      <x:c r="G224" s="1" t="s">
        <x:v>4637</x:v>
      </x:c>
    </x:row>
    <x:row r="225" ht="15" hidden="0" customHeight="1">
      <x:c r="A225" s="1" t="s">
        <x:v>4637</x:v>
      </x:c>
      <x:c r="B225" s="1" t="s">
        <x:v>6178</x:v>
      </x:c>
      <x:c r="C225" s="1" t="s">
        <x:v>4707</x:v>
      </x:c>
      <x:c r="D225" s="1" t="s">
        <x:v>6072</x:v>
      </x:c>
      <x:c r="E225" s="1" t="s">
        <x:v>883</x:v>
      </x:c>
      <x:c r="F225" s="1" t="s">
        <x:v>3474</x:v>
      </x:c>
      <x:c r="G225" s="1" t="s">
        <x:v>4637</x:v>
      </x:c>
    </x:row>
    <x:row r="226" ht="15" hidden="0" customHeight="1">
      <x:c r="A226" s="1" t="s">
        <x:v>4637</x:v>
      </x:c>
      <x:c r="B226" s="1" t="s">
        <x:v>6178</x:v>
      </x:c>
      <x:c r="C226" s="1" t="s">
        <x:v>4707</x:v>
      </x:c>
      <x:c r="D226" s="1" t="s">
        <x:v>6073</x:v>
      </x:c>
      <x:c r="E226" s="1" t="s">
        <x:v>6078</x:v>
      </x:c>
      <x:c r="F226" s="1" t="s">
        <x:v>6117</x:v>
      </x:c>
      <x:c r="G226" s="1" t="s">
        <x:v>4637</x:v>
      </x:c>
    </x:row>
    <x:row r="227" ht="15" hidden="0" customHeight="1">
      <x:c r="A227" s="1" t="s">
        <x:v>4637</x:v>
      </x:c>
      <x:c r="B227" s="1" t="s">
        <x:v>6180</x:v>
      </x:c>
      <x:c r="D227" s="1" t="s">
        <x:v>6184</x:v>
      </x:c>
      <x:c r="E227" s="1" t="n">
        <x:v>6</x:v>
      </x:c>
      <x:c r="F227" s="1" t="n">
        <x:v>4</x:v>
      </x:c>
      <x:c r="G227" s="1" t="s">
        <x:v>6215</x:v>
      </x:c>
    </x:row>
    <x:row r="228" ht="15" hidden="0" customHeight="1">
      <x:c r="A228" s="1" t="s">
        <x:v>4637</x:v>
      </x:c>
      <x:c r="B228" s="1" t="s">
        <x:v>6180</x:v>
      </x:c>
      <x:c r="D228" s="1" t="s">
        <x:v>6186</x:v>
      </x:c>
      <x:c r="E228" s="1" t="n">
        <x:v>1497</x:v>
      </x:c>
      <x:c r="F228" s="1" t="n">
        <x:v>1579</x:v>
      </x:c>
      <x:c r="G228" s="1" t="s">
        <x:v>6216</x:v>
      </x:c>
    </x:row>
    <x:row r="229" ht="15" hidden="0" customHeight="1">
      <x:c r="A229" s="1" t="s">
        <x:v>4637</x:v>
      </x:c>
      <x:c r="B229" s="1" t="s">
        <x:v>6180</x:v>
      </x:c>
      <x:c r="D229" s="1" t="s">
        <x:v>6188</x:v>
      </x:c>
      <x:c r="E229" s="1" t="n">
        <x:v>82</x:v>
      </x:c>
      <x:c r="F229" s="1" t="n">
        <x:v>81</x:v>
      </x:c>
      <x:c r="G229" s="1" t="s">
        <x:v>6217</x:v>
      </x:c>
    </x:row>
    <x:row r="230" ht="15" hidden="0" customHeight="1">
      <x:c r="A230" s="1" t="s">
        <x:v>4637</x:v>
      </x:c>
      <x:c r="B230" s="1" t="s">
        <x:v>6180</x:v>
      </x:c>
      <x:c r="D230" s="1" t="s">
        <x:v>6190</x:v>
      </x:c>
      <x:c r="E230" s="1" t="s">
        <x:v>6192</x:v>
      </x:c>
      <x:c r="F230" s="1" t="s">
        <x:v>6218</x:v>
      </x:c>
      <x:c r="G230" s="1" t="s">
        <x:v>4637</x:v>
      </x:c>
    </x:row>
    <x:row r="231" ht="15" hidden="0" customHeight="1">
      <x:c r="A231" s="1" t="s">
        <x:v>4637</x:v>
      </x:c>
      <x:c r="B231" s="1" t="s">
        <x:v>6180</x:v>
      </x:c>
      <x:c r="D231" s="1" t="s">
        <x:v>6193</x:v>
      </x:c>
      <x:c r="E231" s="1" t="s">
        <x:v>6195</x:v>
      </x:c>
      <x:c r="F231" s="1" t="s">
        <x:v>6219</x:v>
      </x:c>
      <x:c r="G231" s="1" t="s">
        <x:v>4637</x:v>
      </x:c>
    </x:row>
    <x:row r="232" ht="15" hidden="0" customHeight="1">
      <x:c r="A232" s="1" t="s">
        <x:v>4637</x:v>
      </x:c>
      <x:c r="B232" s="1" t="s">
        <x:v>6180</x:v>
      </x:c>
      <x:c r="D232" s="1" t="s">
        <x:v>6196</x:v>
      </x:c>
      <x:c r="E232" s="1" t="s">
        <x:v>6197</x:v>
      </x:c>
      <x:c r="F232" s="1" t="s">
        <x:v>6220</x:v>
      </x:c>
      <x:c r="G232" s="1" t="s">
        <x:v>4637</x:v>
      </x:c>
    </x:row>
    <x:row r="233" ht="15" hidden="0" customHeight="1">
      <x:c r="A233" s="1" t="s">
        <x:v>4637</x:v>
      </x:c>
      <x:c r="B233" s="1" t="s">
        <x:v>6180</x:v>
      </x:c>
      <x:c r="D233" s="1" t="s">
        <x:v>6198</x:v>
      </x:c>
      <x:c r="E233" s="1" t="s">
        <x:v>6200</x:v>
      </x:c>
      <x:c r="F233" s="1" t="s">
        <x:v>6221</x:v>
      </x:c>
      <x:c r="G233" s="1" t="s">
        <x:v>4637</x:v>
      </x:c>
    </x:row>
    <x:row r="234" ht="15" hidden="0" customHeight="1">
      <x:c r="A234" s="1" t="s">
        <x:v>4904</x:v>
      </x:c>
      <x:c r="B234" s="1" t="s">
        <x:v>72</x:v>
      </x:c>
      <x:c r="C234" s="1" t="s">
        <x:v>4336</x:v>
      </x:c>
      <x:c r="D234" s="1" t="s">
        <x:v>100</x:v>
      </x:c>
      <x:c r="E234" s="1" t="s">
        <x:v>32</x:v>
      </x:c>
      <x:c r="F234" s="1" t="s">
        <x:v>30</x:v>
      </x:c>
      <x:c r="G234" s="1" t="s">
        <x:v>6222</x:v>
      </x:c>
    </x:row>
    <x:row r="235" ht="15" hidden="0" customHeight="1">
      <x:c r="A235" s="1" t="s">
        <x:v>4904</x:v>
      </x:c>
      <x:c r="B235" s="1" t="s">
        <x:v>72</x:v>
      </x:c>
      <x:c r="C235" s="1" t="s">
        <x:v>4336</x:v>
      </x:c>
      <x:c r="D235" s="1" t="s">
        <x:v>85</x:v>
      </x:c>
      <x:c r="E235" s="1" t="s">
        <x:v>32</x:v>
      </x:c>
      <x:c r="F235" s="1" t="s">
        <x:v>30</x:v>
      </x:c>
      <x:c r="G235" s="1" t="s">
        <x:v>6222</x:v>
      </x:c>
    </x:row>
    <x:row r="236" ht="15" hidden="0" customHeight="1">
      <x:c r="A236" s="1" t="s">
        <x:v>4904</x:v>
      </x:c>
      <x:c r="B236" s="1" t="s">
        <x:v>72</x:v>
      </x:c>
      <x:c r="C236" s="1" t="s">
        <x:v>4336</x:v>
      </x:c>
      <x:c r="D236" s="1" t="s">
        <x:v>98</x:v>
      </x:c>
      <x:c r="E236" s="1" t="s">
        <x:v>6223</x:v>
      </x:c>
      <x:c r="F236" s="1" t="s">
        <x:v>4475</x:v>
      </x:c>
      <x:c r="G236" s="1" t="s">
        <x:v>6222</x:v>
      </x:c>
    </x:row>
    <x:row r="237" ht="15" hidden="0" customHeight="1">
      <x:c r="A237" s="1" t="s">
        <x:v>4904</x:v>
      </x:c>
      <x:c r="B237" s="1" t="s">
        <x:v>72</x:v>
      </x:c>
      <x:c r="C237" s="1" t="s">
        <x:v>4482</x:v>
      </x:c>
      <x:c r="D237" s="1" t="s">
        <x:v>100</x:v>
      </x:c>
      <x:c r="E237" s="1" t="s">
        <x:v>32</x:v>
      </x:c>
      <x:c r="F237" s="1" t="s">
        <x:v>30</x:v>
      </x:c>
      <x:c r="G237" s="1" t="s">
        <x:v>6224</x:v>
      </x:c>
    </x:row>
    <x:row r="238" ht="15" hidden="0" customHeight="1">
      <x:c r="A238" s="1" t="s">
        <x:v>4904</x:v>
      </x:c>
      <x:c r="B238" s="1" t="s">
        <x:v>72</x:v>
      </x:c>
      <x:c r="C238" s="1" t="s">
        <x:v>4482</x:v>
      </x:c>
      <x:c r="D238" s="1" t="s">
        <x:v>85</x:v>
      </x:c>
      <x:c r="E238" s="1" t="s">
        <x:v>32</x:v>
      </x:c>
      <x:c r="F238" s="1" t="s">
        <x:v>30</x:v>
      </x:c>
      <x:c r="G238" s="1" t="s">
        <x:v>6224</x:v>
      </x:c>
    </x:row>
    <x:row r="239" ht="15" hidden="0" customHeight="1">
      <x:c r="A239" s="1" t="s">
        <x:v>4904</x:v>
      </x:c>
      <x:c r="B239" s="1" t="s">
        <x:v>72</x:v>
      </x:c>
      <x:c r="C239" s="1" t="s">
        <x:v>4482</x:v>
      </x:c>
      <x:c r="D239" s="1" t="s">
        <x:v>98</x:v>
      </x:c>
      <x:c r="E239" s="1" t="s">
        <x:v>6225</x:v>
      </x:c>
      <x:c r="F239" s="1" t="s">
        <x:v>4522</x:v>
      </x:c>
      <x:c r="G239" s="1" t="s">
        <x:v>6224</x:v>
      </x:c>
    </x:row>
    <x:row r="240" ht="15" hidden="0" customHeight="1">
      <x:c r="A240" s="1" t="s">
        <x:v>4904</x:v>
      </x:c>
      <x:c r="B240" s="1" t="s">
        <x:v>72</x:v>
      </x:c>
      <x:c r="C240" s="1" t="s">
        <x:v>4553</x:v>
      </x:c>
      <x:c r="D240" s="1" t="s">
        <x:v>100</x:v>
      </x:c>
      <x:c r="E240" s="1" t="s">
        <x:v>32</x:v>
      </x:c>
      <x:c r="F240" s="1" t="s">
        <x:v>30</x:v>
      </x:c>
      <x:c r="G240" s="1" t="s">
        <x:v>6226</x:v>
      </x:c>
    </x:row>
    <x:row r="241" ht="15" hidden="0" customHeight="1">
      <x:c r="A241" s="1" t="s">
        <x:v>4904</x:v>
      </x:c>
      <x:c r="B241" s="1" t="s">
        <x:v>72</x:v>
      </x:c>
      <x:c r="C241" s="1" t="s">
        <x:v>4553</x:v>
      </x:c>
      <x:c r="D241" s="1" t="s">
        <x:v>85</x:v>
      </x:c>
      <x:c r="E241" s="1" t="s">
        <x:v>32</x:v>
      </x:c>
      <x:c r="F241" s="1" t="s">
        <x:v>30</x:v>
      </x:c>
      <x:c r="G241" s="1" t="s">
        <x:v>6226</x:v>
      </x:c>
    </x:row>
    <x:row r="242" ht="15" hidden="0" customHeight="1">
      <x:c r="A242" s="1" t="s">
        <x:v>4904</x:v>
      </x:c>
      <x:c r="B242" s="1" t="s">
        <x:v>72</x:v>
      </x:c>
      <x:c r="C242" s="1" t="s">
        <x:v>4553</x:v>
      </x:c>
      <x:c r="D242" s="1" t="s">
        <x:v>98</x:v>
      </x:c>
      <x:c r="E242" s="1" t="s">
        <x:v>6227</x:v>
      </x:c>
      <x:c r="F242" s="1" t="s">
        <x:v>4568</x:v>
      </x:c>
      <x:c r="G242" s="1" t="s">
        <x:v>6226</x:v>
      </x:c>
    </x:row>
    <x:row r="243" ht="15" hidden="0" customHeight="1">
      <x:c r="A243" s="1" t="s">
        <x:v>4904</x:v>
      </x:c>
      <x:c r="B243" s="1" t="s">
        <x:v>72</x:v>
      </x:c>
      <x:c r="C243" s="1" t="s">
        <x:v>4629</x:v>
      </x:c>
      <x:c r="D243" s="1" t="s">
        <x:v>100</x:v>
      </x:c>
      <x:c r="E243" s="1" t="s">
        <x:v>32</x:v>
      </x:c>
      <x:c r="F243" s="1" t="s">
        <x:v>30</x:v>
      </x:c>
      <x:c r="G243" s="1" t="s">
        <x:v>6228</x:v>
      </x:c>
    </x:row>
    <x:row r="244" ht="15" hidden="0" customHeight="1">
      <x:c r="A244" s="1" t="s">
        <x:v>4904</x:v>
      </x:c>
      <x:c r="B244" s="1" t="s">
        <x:v>72</x:v>
      </x:c>
      <x:c r="C244" s="1" t="s">
        <x:v>4629</x:v>
      </x:c>
      <x:c r="D244" s="1" t="s">
        <x:v>85</x:v>
      </x:c>
      <x:c r="E244" s="1" t="s">
        <x:v>32</x:v>
      </x:c>
      <x:c r="F244" s="1" t="s">
        <x:v>30</x:v>
      </x:c>
      <x:c r="G244" s="1" t="s">
        <x:v>6228</x:v>
      </x:c>
    </x:row>
    <x:row r="245" ht="15" hidden="0" customHeight="1">
      <x:c r="A245" s="1" t="s">
        <x:v>4904</x:v>
      </x:c>
      <x:c r="B245" s="1" t="s">
        <x:v>72</x:v>
      </x:c>
      <x:c r="C245" s="1" t="s">
        <x:v>4629</x:v>
      </x:c>
      <x:c r="D245" s="1" t="s">
        <x:v>98</x:v>
      </x:c>
      <x:c r="E245" s="1" t="s">
        <x:v>6229</x:v>
      </x:c>
      <x:c r="F245" s="1" t="s">
        <x:v>4675</x:v>
      </x:c>
      <x:c r="G245" s="1" t="s">
        <x:v>6228</x:v>
      </x:c>
    </x:row>
    <x:row r="246" ht="15" hidden="0" customHeight="1">
      <x:c r="A246" s="1" t="s">
        <x:v>4904</x:v>
      </x:c>
      <x:c r="B246" s="1" t="s">
        <x:v>72</x:v>
      </x:c>
      <x:c r="C246" s="1" t="s">
        <x:v>4629</x:v>
      </x:c>
      <x:c r="D246" s="1" t="s">
        <x:v>100</x:v>
      </x:c>
      <x:c r="E246" s="1" t="s">
        <x:v>32</x:v>
      </x:c>
      <x:c r="F246" s="1" t="s">
        <x:v>30</x:v>
      </x:c>
      <x:c r="G246" s="1" t="s">
        <x:v>6230</x:v>
      </x:c>
    </x:row>
    <x:row r="247" ht="15" hidden="0" customHeight="1">
      <x:c r="A247" s="1" t="s">
        <x:v>4904</x:v>
      </x:c>
      <x:c r="B247" s="1" t="s">
        <x:v>72</x:v>
      </x:c>
      <x:c r="C247" s="1" t="s">
        <x:v>4629</x:v>
      </x:c>
      <x:c r="D247" s="1" t="s">
        <x:v>85</x:v>
      </x:c>
      <x:c r="E247" s="1" t="s">
        <x:v>32</x:v>
      </x:c>
      <x:c r="F247" s="1" t="s">
        <x:v>30</x:v>
      </x:c>
      <x:c r="G247" s="1" t="s">
        <x:v>6230</x:v>
      </x:c>
    </x:row>
    <x:row r="248" ht="15" hidden="0" customHeight="1">
      <x:c r="A248" s="1" t="s">
        <x:v>4904</x:v>
      </x:c>
      <x:c r="B248" s="1" t="s">
        <x:v>72</x:v>
      </x:c>
      <x:c r="C248" s="1" t="s">
        <x:v>4629</x:v>
      </x:c>
      <x:c r="D248" s="1" t="s">
        <x:v>98</x:v>
      </x:c>
      <x:c r="F248" s="1" t="s">
        <x:v>4705</x:v>
      </x:c>
      <x:c r="G248" s="1" t="s">
        <x:v>6230</x:v>
      </x:c>
    </x:row>
    <x:row r="249" ht="15" hidden="0" customHeight="1">
      <x:c r="A249" s="1" t="s">
        <x:v>4904</x:v>
      </x:c>
      <x:c r="B249" s="1" t="s">
        <x:v>35</x:v>
      </x:c>
      <x:c r="C249" s="1" t="s">
        <x:v>4916</x:v>
      </x:c>
      <x:c r="D249" s="1" t="s">
        <x:v>6121</x:v>
      </x:c>
      <x:c r="E249" s="1" t="s">
        <x:v>30</x:v>
      </x:c>
      <x:c r="F249" s="1" t="s">
        <x:v>6159</x:v>
      </x:c>
      <x:c r="G249" s="1" t="s">
        <x:v>6231</x:v>
      </x:c>
    </x:row>
    <x:row r="250" ht="15" hidden="0" customHeight="1">
      <x:c r="A250" s="1" t="s">
        <x:v>4904</x:v>
      </x:c>
      <x:c r="B250" s="1" t="s">
        <x:v>35</x:v>
      </x:c>
      <x:c r="C250" s="1" t="s">
        <x:v>4916</x:v>
      </x:c>
      <x:c r="D250" s="1" t="s">
        <x:v>4471</x:v>
      </x:c>
      <x:c r="E250" s="1" t="s">
        <x:v>30</x:v>
      </x:c>
      <x:c r="F250" s="1" t="s">
        <x:v>6159</x:v>
      </x:c>
      <x:c r="G250" s="1" t="s">
        <x:v>6231</x:v>
      </x:c>
    </x:row>
    <x:row r="251" ht="15" hidden="0" customHeight="1">
      <x:c r="A251" s="1" t="s">
        <x:v>4904</x:v>
      </x:c>
      <x:c r="B251" s="1" t="s">
        <x:v>35</x:v>
      </x:c>
      <x:c r="C251" s="1" t="s">
        <x:v>4916</x:v>
      </x:c>
      <x:c r="D251" s="1" t="s">
        <x:v>6156</x:v>
      </x:c>
      <x:c r="E251" s="1" t="s">
        <x:v>30</x:v>
      </x:c>
      <x:c r="F251" s="1" t="s">
        <x:v>6159</x:v>
      </x:c>
      <x:c r="G251" s="1" t="s">
        <x:v>6231</x:v>
      </x:c>
    </x:row>
    <x:row r="252" ht="15" hidden="0" customHeight="1">
      <x:c r="A252" s="1" t="s">
        <x:v>4904</x:v>
      </x:c>
      <x:c r="B252" s="1" t="s">
        <x:v>35</x:v>
      </x:c>
      <x:c r="C252" s="1" t="s">
        <x:v>4916</x:v>
      </x:c>
      <x:c r="D252" s="1" t="s">
        <x:v>6120</x:v>
      </x:c>
      <x:c r="E252" s="1" t="s">
        <x:v>6157</x:v>
      </x:c>
      <x:c r="F252" s="1" t="s">
        <x:v>6158</x:v>
      </x:c>
      <x:c r="G252" s="1" t="s">
        <x:v>6232</x:v>
      </x:c>
    </x:row>
    <x:row r="253" ht="15" hidden="0" customHeight="1">
      <x:c r="A253" s="1" t="s">
        <x:v>4904</x:v>
      </x:c>
      <x:c r="B253" s="1" t="s">
        <x:v>35</x:v>
      </x:c>
      <x:c r="C253" s="1" t="s">
        <x:v>2517</x:v>
      </x:c>
      <x:c r="D253" s="1" t="s">
        <x:v>6120</x:v>
      </x:c>
      <x:c r="E253" s="1" t="s">
        <x:v>6157</x:v>
      </x:c>
      <x:c r="F253" s="1" t="s">
        <x:v>6158</x:v>
      </x:c>
      <x:c r="G253" s="1" t="s">
        <x:v>6232</x:v>
      </x:c>
    </x:row>
    <x:row r="254" ht="15" hidden="0" customHeight="1">
      <x:c r="A254" s="1" t="s">
        <x:v>4904</x:v>
      </x:c>
      <x:c r="B254" s="1" t="s">
        <x:v>6167</x:v>
      </x:c>
      <x:c r="C254" s="1" t="s">
        <x:v>4629</x:v>
      </x:c>
      <x:c r="D254" s="1" t="s">
        <x:v>5466</x:v>
      </x:c>
      <x:c r="E254" s="1" t="s">
        <x:v>4637</x:v>
      </x:c>
      <x:c r="F254" s="1" t="s">
        <x:v>4904</x:v>
      </x:c>
      <x:c r="G254" s="1" t="s">
        <x:v>4904</x:v>
      </x:c>
    </x:row>
    <x:row r="255" ht="15" hidden="0" customHeight="1">
      <x:c r="A255" s="1" t="s">
        <x:v>4904</x:v>
      </x:c>
      <x:c r="B255" s="1" t="s">
        <x:v>6167</x:v>
      </x:c>
      <x:c r="C255" s="1" t="s">
        <x:v>4916</x:v>
      </x:c>
      <x:c r="D255" s="1" t="s">
        <x:v>5463</x:v>
      </x:c>
      <x:c r="E255" s="1" t="s">
        <x:v>56</x:v>
      </x:c>
      <x:c r="F255" s="1" t="s">
        <x:v>50</x:v>
      </x:c>
      <x:c r="G255" s="1" t="s">
        <x:v>6233</x:v>
      </x:c>
    </x:row>
    <x:row r="256" ht="15" hidden="0" customHeight="1">
      <x:c r="A256" s="1" t="s">
        <x:v>4904</x:v>
      </x:c>
      <x:c r="B256" s="1" t="s">
        <x:v>6167</x:v>
      </x:c>
      <x:c r="C256" s="1" t="s">
        <x:v>4916</x:v>
      </x:c>
      <x:c r="D256" s="1" t="s">
        <x:v>5464</x:v>
      </x:c>
      <x:c r="E256" s="1" t="s">
        <x:v>30</x:v>
      </x:c>
      <x:c r="F256" s="1" t="s">
        <x:v>45</x:v>
      </x:c>
      <x:c r="G256" s="1" t="s">
        <x:v>4904</x:v>
      </x:c>
    </x:row>
    <x:row r="257" ht="15" hidden="0" customHeight="1">
      <x:c r="A257" s="1" t="s">
        <x:v>4904</x:v>
      </x:c>
      <x:c r="B257" s="1" t="s">
        <x:v>6167</x:v>
      </x:c>
      <x:c r="C257" s="1" t="s">
        <x:v>4916</x:v>
      </x:c>
      <x:c r="D257" s="1" t="s">
        <x:v>5466</x:v>
      </x:c>
      <x:c r="F257" s="1" t="s">
        <x:v>4904</x:v>
      </x:c>
      <x:c r="G257" s="1" t="s">
        <x:v>4904</x:v>
      </x:c>
    </x:row>
    <x:row r="258" ht="15" hidden="0" customHeight="1">
      <x:c r="A258" s="1" t="s">
        <x:v>4904</x:v>
      </x:c>
      <x:c r="B258" s="1" t="s">
        <x:v>6167</x:v>
      </x:c>
      <x:c r="C258" s="1" t="s">
        <x:v>4916</x:v>
      </x:c>
      <x:c r="D258" s="1" t="s">
        <x:v>5467</x:v>
      </x:c>
      <x:c r="F258" s="1" t="s">
        <x:v>5515</x:v>
      </x:c>
      <x:c r="G258" s="1" t="s">
        <x:v>4904</x:v>
      </x:c>
    </x:row>
    <x:row r="259" ht="15" hidden="0" customHeight="1">
      <x:c r="A259" s="1" t="s">
        <x:v>4904</x:v>
      </x:c>
      <x:c r="B259" s="1" t="s">
        <x:v>6167</x:v>
      </x:c>
      <x:c r="C259" s="1" t="s">
        <x:v>4833</x:v>
      </x:c>
      <x:c r="D259" s="1" t="s">
        <x:v>5466</x:v>
      </x:c>
      <x:c r="E259" s="1" t="s">
        <x:v>4637</x:v>
      </x:c>
      <x:c r="F259" s="1" t="s">
        <x:v>4904</x:v>
      </x:c>
      <x:c r="G259" s="1" t="s">
        <x:v>4904</x:v>
      </x:c>
    </x:row>
    <x:row r="260" ht="15" hidden="0" customHeight="1">
      <x:c r="A260" s="1" t="s">
        <x:v>4904</x:v>
      </x:c>
      <x:c r="B260" s="1" t="s">
        <x:v>6167</x:v>
      </x:c>
      <x:c r="C260" s="1" t="s">
        <x:v>2517</x:v>
      </x:c>
      <x:c r="D260" s="1" t="s">
        <x:v>5466</x:v>
      </x:c>
      <x:c r="E260" s="1" t="s">
        <x:v>1624</x:v>
      </x:c>
      <x:c r="F260" s="1" t="s">
        <x:v>4904</x:v>
      </x:c>
      <x:c r="G260" s="1" t="s">
        <x:v>4904</x:v>
      </x:c>
    </x:row>
    <x:row r="261" ht="15" hidden="0" customHeight="1">
      <x:c r="A261" s="1" t="s">
        <x:v>4904</x:v>
      </x:c>
      <x:c r="B261" s="1" t="s">
        <x:v>6174</x:v>
      </x:c>
      <x:c r="C261" s="1" t="s">
        <x:v>4629</x:v>
      </x:c>
      <x:c r="D261" s="1" t="s">
        <x:v>98</x:v>
      </x:c>
      <x:c r="E261" s="1" t="s">
        <x:v>6207</x:v>
      </x:c>
      <x:c r="F261" s="1" t="s">
        <x:v>5726</x:v>
      </x:c>
      <x:c r="G261" s="1" t="s">
        <x:v>6234</x:v>
      </x:c>
    </x:row>
    <x:row r="262" ht="15" hidden="0" customHeight="1">
      <x:c r="A262" s="1" t="s">
        <x:v>4904</x:v>
      </x:c>
      <x:c r="B262" s="1" t="s">
        <x:v>6174</x:v>
      </x:c>
      <x:c r="C262" s="1" t="s">
        <x:v>4916</x:v>
      </x:c>
      <x:c r="D262" s="1" t="s">
        <x:v>5661</x:v>
      </x:c>
      <x:c r="E262" s="1" t="s">
        <x:v>30</x:v>
      </x:c>
      <x:c r="F262" s="1" t="s">
        <x:v>5688</x:v>
      </x:c>
      <x:c r="G262" s="1" t="s">
        <x:v>4904</x:v>
      </x:c>
    </x:row>
    <x:row r="263" ht="15" hidden="0" customHeight="1">
      <x:c r="A263" s="1" t="s">
        <x:v>4904</x:v>
      </x:c>
      <x:c r="B263" s="1" t="s">
        <x:v>6174</x:v>
      </x:c>
      <x:c r="C263" s="1" t="s">
        <x:v>4916</x:v>
      </x:c>
      <x:c r="D263" s="1" t="s">
        <x:v>98</x:v>
      </x:c>
      <x:c r="E263" s="1" t="s">
        <x:v>5680</x:v>
      </x:c>
      <x:c r="F263" s="1" t="s">
        <x:v>6235</x:v>
      </x:c>
      <x:c r="G263" s="1" t="s">
        <x:v>6234</x:v>
      </x:c>
    </x:row>
    <x:row r="264" ht="15" hidden="0" customHeight="1">
      <x:c r="A264" s="1" t="s">
        <x:v>4904</x:v>
      </x:c>
      <x:c r="B264" s="1" t="s">
        <x:v>6174</x:v>
      </x:c>
      <x:c r="C264" s="1" t="s">
        <x:v>4833</x:v>
      </x:c>
      <x:c r="D264" s="1" t="s">
        <x:v>98</x:v>
      </x:c>
      <x:c r="E264" s="1" t="s">
        <x:v>6209</x:v>
      </x:c>
      <x:c r="F264" s="1" t="s">
        <x:v>6236</x:v>
      </x:c>
      <x:c r="G264" s="1" t="s">
        <x:v>6234</x:v>
      </x:c>
    </x:row>
    <x:row r="265" ht="15" hidden="0" customHeight="1">
      <x:c r="A265" s="1" t="s">
        <x:v>4904</x:v>
      </x:c>
      <x:c r="B265" s="1" t="s">
        <x:v>6174</x:v>
      </x:c>
      <x:c r="C265" s="1" t="s">
        <x:v>2517</x:v>
      </x:c>
      <x:c r="D265" s="1" t="s">
        <x:v>98</x:v>
      </x:c>
      <x:c r="E265" s="1" t="s">
        <x:v>5730</x:v>
      </x:c>
      <x:c r="F265" s="1" t="s">
        <x:v>6237</x:v>
      </x:c>
      <x:c r="G265" s="1" t="s">
        <x:v>6234</x:v>
      </x:c>
    </x:row>
    <x:row r="266" ht="15" hidden="0" customHeight="1">
      <x:c r="A266" s="1" t="s">
        <x:v>4904</x:v>
      </x:c>
      <x:c r="B266" s="1" t="s">
        <x:v>6178</x:v>
      </x:c>
      <x:c r="C266" s="1" t="s">
        <x:v>4916</x:v>
      </x:c>
      <x:c r="D266" s="1" t="s">
        <x:v>6067</x:v>
      </x:c>
      <x:c r="E266" s="1" t="s">
        <x:v>6075</x:v>
      </x:c>
      <x:c r="F266" s="1" t="s">
        <x:v>6079</x:v>
      </x:c>
      <x:c r="G266" s="1" t="s">
        <x:v>6238</x:v>
      </x:c>
    </x:row>
    <x:row r="267" ht="15" hidden="0" customHeight="1">
      <x:c r="A267" s="1" t="s">
        <x:v>4904</x:v>
      </x:c>
      <x:c r="B267" s="1" t="s">
        <x:v>6178</x:v>
      </x:c>
      <x:c r="C267" s="1" t="s">
        <x:v>4916</x:v>
      </x:c>
      <x:c r="D267" s="1" t="s">
        <x:v>6071</x:v>
      </x:c>
      <x:c r="E267" s="1" t="s">
        <x:v>30</x:v>
      </x:c>
      <x:c r="F267" s="1" t="s">
        <x:v>6090</x:v>
      </x:c>
      <x:c r="G267" s="1" t="s">
        <x:v>4904</x:v>
      </x:c>
    </x:row>
    <x:row r="268" ht="15" hidden="0" customHeight="1">
      <x:c r="A268" s="1" t="s">
        <x:v>4904</x:v>
      </x:c>
      <x:c r="B268" s="1" t="s">
        <x:v>6178</x:v>
      </x:c>
      <x:c r="C268" s="1" t="s">
        <x:v>4916</x:v>
      </x:c>
      <x:c r="D268" s="1" t="s">
        <x:v>6072</x:v>
      </x:c>
      <x:c r="E268" s="1" t="s">
        <x:v>883</x:v>
      </x:c>
      <x:c r="F268" s="1" t="s">
        <x:v>20</x:v>
      </x:c>
      <x:c r="G268" s="1" t="s">
        <x:v>4904</x:v>
      </x:c>
    </x:row>
    <x:row r="269" ht="15" hidden="0" customHeight="1">
      <x:c r="A269" s="1" t="s">
        <x:v>4904</x:v>
      </x:c>
      <x:c r="B269" s="1" t="s">
        <x:v>6178</x:v>
      </x:c>
      <x:c r="C269" s="1" t="s">
        <x:v>4916</x:v>
      </x:c>
      <x:c r="D269" s="1" t="s">
        <x:v>6073</x:v>
      </x:c>
      <x:c r="E269" s="1" t="s">
        <x:v>6078</x:v>
      </x:c>
      <x:c r="F269" s="1" t="s">
        <x:v>6091</x:v>
      </x:c>
      <x:c r="G269" s="1" t="s">
        <x:v>4904</x:v>
      </x:c>
    </x:row>
    <x:row r="270" ht="15" hidden="0" customHeight="1">
      <x:c r="A270" s="1" t="s">
        <x:v>4904</x:v>
      </x:c>
      <x:c r="B270" s="1" t="s">
        <x:v>6180</x:v>
      </x:c>
      <x:c r="C270" s="1"/>
      <x:c r="D270" s="1" t="s">
        <x:v>6184</x:v>
      </x:c>
      <x:c r="E270" s="1" t="n">
        <x:v>4</x:v>
      </x:c>
      <x:c r="F270" s="1" t="n">
        <x:v>1</x:v>
      </x:c>
      <x:c r="G270" s="1" t="s">
        <x:v>6239</x:v>
      </x:c>
    </x:row>
    <x:row r="271" ht="15" hidden="0" customHeight="1">
      <x:c r="A271" s="1" t="s">
        <x:v>4904</x:v>
      </x:c>
      <x:c r="B271" s="1" t="s">
        <x:v>6180</x:v>
      </x:c>
      <x:c r="C271" s="1"/>
      <x:c r="D271" s="1" t="s">
        <x:v>6186</x:v>
      </x:c>
      <x:c r="E271" s="1" t="n">
        <x:v>1579</x:v>
      </x:c>
      <x:c r="F271" s="1" t="n">
        <x:v>1660</x:v>
      </x:c>
      <x:c r="G271" s="1" t="s">
        <x:v>6240</x:v>
      </x:c>
    </x:row>
    <x:row r="272" ht="15" hidden="0" customHeight="1">
      <x:c r="A272" s="1" t="s">
        <x:v>4904</x:v>
      </x:c>
      <x:c r="B272" s="1" t="s">
        <x:v>6180</x:v>
      </x:c>
      <x:c r="C272" s="1"/>
      <x:c r="D272" s="1" t="s">
        <x:v>6188</x:v>
      </x:c>
      <x:c r="E272" s="1" t="n">
        <x:v>81</x:v>
      </x:c>
      <x:c r="F272" s="1" t="n">
        <x:v>11</x:v>
      </x:c>
      <x:c r="G272" s="1" t="s">
        <x:v>6241</x:v>
      </x:c>
    </x:row>
    <x:row r="273" ht="15" hidden="0" customHeight="1">
      <x:c r="A273" s="1" t="s">
        <x:v>4904</x:v>
      </x:c>
      <x:c r="B273" s="1" t="s">
        <x:v>6180</x:v>
      </x:c>
      <x:c r="C273" s="1"/>
      <x:c r="D273" s="1" t="s">
        <x:v>6190</x:v>
      </x:c>
      <x:c r="E273" s="1" t="s">
        <x:v>6218</x:v>
      </x:c>
      <x:c r="F273" s="1" t="s">
        <x:v>6242</x:v>
      </x:c>
      <x:c r="G273" s="1" t="s">
        <x:v>4904</x:v>
      </x:c>
    </x:row>
    <x:row r="274" ht="15" hidden="0" customHeight="1">
      <x:c r="A274" s="1" t="s">
        <x:v>4904</x:v>
      </x:c>
      <x:c r="B274" s="1" t="s">
        <x:v>6180</x:v>
      </x:c>
      <x:c r="C274" s="1"/>
      <x:c r="D274" s="1" t="s">
        <x:v>6196</x:v>
      </x:c>
      <x:c r="E274" s="1" t="s">
        <x:v>6220</x:v>
      </x:c>
      <x:c r="F274" s="1" t="s">
        <x:v>33</x:v>
      </x:c>
      <x:c r="G274" s="1" t="s">
        <x:v>6243</x:v>
      </x:c>
    </x:row>
    <x:row r="275" ht="15" hidden="0" customHeight="1">
      <x:c r="A275" s="1" t="s">
        <x:v>4904</x:v>
      </x:c>
      <x:c r="B275" s="1" t="s">
        <x:v>6180</x:v>
      </x:c>
      <x:c r="C275" s="1"/>
      <x:c r="D275" s="1" t="s">
        <x:v>6244</x:v>
      </x:c>
      <x:c r="E275" s="1" t="s">
        <x:v>6245</x:v>
      </x:c>
      <x:c r="F275" s="1" t="s">
        <x:v>34</x:v>
      </x:c>
      <x:c r="G275" s="1" t="s">
        <x:v>6246</x:v>
      </x:c>
    </x:row>
    <x:row r="276" ht="15" hidden="0" customHeight="1">
      <x:c r="A276" s="1" t="s">
        <x:v>4904</x:v>
      </x:c>
      <x:c r="B276" s="1" t="s">
        <x:v>6180</x:v>
      </x:c>
      <x:c r="C276" s="1"/>
      <x:c r="D276" s="1" t="s">
        <x:v>6247</x:v>
      </x:c>
      <x:c r="E276" s="1" t="s">
        <x:v>6248</x:v>
      </x:c>
      <x:c r="F276" s="1" t="s">
        <x:v>36</x:v>
      </x:c>
      <x:c r="G276" s="1" t="s">
        <x:v>4904</x:v>
      </x:c>
    </x:row>
    <x:row r="277" ht="15" hidden="0" customHeight="1">
      <x:c r="A277" s="1" t="s">
        <x:v>4904</x:v>
      </x:c>
      <x:c r="B277" s="1" t="s">
        <x:v>6180</x:v>
      </x:c>
      <x:c r="C277" s="1"/>
      <x:c r="D277" s="1" t="s">
        <x:v>6249</x:v>
      </x:c>
      <x:c r="E277" s="1" t="s">
        <x:v>6250</x:v>
      </x:c>
      <x:c r="F277" s="1" t="s">
        <x:v>37</x:v>
      </x:c>
      <x:c r="G277" s="1" t="s">
        <x:v>4904</x:v>
      </x:c>
    </x:row>
    <x:row r="278" ht="15" hidden="0" customHeight="1">
      <x:c r="A278" s="1" t="s">
        <x:v>4904</x:v>
      </x:c>
      <x:c r="B278" s="1" t="s">
        <x:v>6180</x:v>
      </x:c>
      <x:c r="C278" s="1"/>
      <x:c r="D278" s="1" t="s">
        <x:v>5218</x:v>
      </x:c>
      <x:c r="E278" s="1" t="s">
        <x:v>3474</x:v>
      </x:c>
      <x:c r="F278" s="1" t="s">
        <x:v>20</x:v>
      </x:c>
      <x:c r="G278" s="1" t="s">
        <x:v>4904</x:v>
      </x:c>
    </x:row>
    <x:row r="279" ht="15" hidden="0" customHeight="1">
      <x:c r="A279" s="1" t="s">
        <x:v>4904</x:v>
      </x:c>
      <x:c r="B279" s="1" t="s">
        <x:v>6180</x:v>
      </x:c>
      <x:c r="C279" s="1"/>
      <x:c r="D279" s="1" t="s">
        <x:v>6251</x:v>
      </x:c>
      <x:c r="E279" s="1" t="s">
        <x:v>6252</x:v>
      </x:c>
      <x:c r="F279" s="1" t="s">
        <x:v>6253</x:v>
      </x:c>
      <x:c r="G279" s="1" t="s">
        <x:v>6254</x:v>
      </x:c>
    </x:row>
    <x:row r="280" ht="15" hidden="0" customHeight="1">
      <x:c r="A280" s="1" t="s">
        <x:v>4904</x:v>
      </x:c>
      <x:c r="B280" s="1" t="s">
        <x:v>6180</x:v>
      </x:c>
      <x:c r="C280" s="1"/>
      <x:c r="D280" s="1" t="s">
        <x:v>6193</x:v>
      </x:c>
      <x:c r="E280" s="1" t="s">
        <x:v>6219</x:v>
      </x:c>
      <x:c r="F280" s="1" t="s">
        <x:v>6255</x:v>
      </x:c>
      <x:c r="G280" s="1" t="s">
        <x:v>4904</x:v>
      </x:c>
    </x:row>
    <x:row r="281" ht="15" hidden="0" customHeight="1">
      <x:c r="A281" s="1" t="s">
        <x:v>4904</x:v>
      </x:c>
      <x:c r="B281" s="1" t="s">
        <x:v>6180</x:v>
      </x:c>
      <x:c r="C281" s="1"/>
      <x:c r="D281" s="1" t="s">
        <x:v>6256</x:v>
      </x:c>
      <x:c r="E281" s="1" t="s">
        <x:v>2517</x:v>
      </x:c>
      <x:c r="F281" s="1" t="s">
        <x:v>42</x:v>
      </x:c>
      <x:c r="G281" s="1" t="s">
        <x:v>4904</x:v>
      </x:c>
    </x:row>
    <x:row r="282" ht="15" hidden="0" customHeight="1">
      <x:c r="A282" s="1" t="s">
        <x:v>4904</x:v>
      </x:c>
      <x:c r="B282" s="1" t="s">
        <x:v>6180</x:v>
      </x:c>
      <x:c r="C282" s="1"/>
      <x:c r="D282" s="1" t="s">
        <x:v>6198</x:v>
      </x:c>
      <x:c r="E282" s="1" t="s">
        <x:v>6221</x:v>
      </x:c>
      <x:c r="F282" s="1" t="s">
        <x:v>6257</x:v>
      </x:c>
      <x:c r="G282" s="1" t="s">
        <x:v>4904</x:v>
      </x:c>
    </x:row>
    <x:row r="283" ht="15" hidden="0" customHeight="1">
      <x:c r="A283" s="1" t="s">
        <x:v>4904</x:v>
      </x:c>
      <x:c r="B283" s="1" t="s">
        <x:v>6258</x:v>
      </x:c>
      <x:c r="C283" s="1"/>
      <x:c r="D283" s="1" t="s">
        <x:v>6259</x:v>
      </x:c>
      <x:c r="E283" s="1" t="s">
        <x:v>6260</x:v>
      </x:c>
      <x:c r="F283" s="1" t="s">
        <x:v>6261</x:v>
      </x:c>
      <x:c r="G283" s="1" t="s">
        <x:v>6262</x:v>
      </x:c>
    </x:row>
    <x:row r="284" ht="15" hidden="0" customHeight="1">
      <x:c r="A284" s="1" t="s">
        <x:v>4904</x:v>
      </x:c>
      <x:c r="B284" s="1" t="s">
        <x:v>6263</x:v>
      </x:c>
      <x:c r="C284" s="1"/>
      <x:c r="D284" s="1" t="s">
        <x:v>6259</x:v>
      </x:c>
      <x:c r="E284" s="1" t="s">
        <x:v>6260</x:v>
      </x:c>
      <x:c r="F284" s="1" t="s">
        <x:v>6261</x:v>
      </x:c>
      <x:c r="G284" s="1" t="s">
        <x:v>6262</x:v>
      </x:c>
    </x:row>
    <x:row r="285" ht="15" hidden="0" customHeight="1">
      <x:c r="A285" s="1" t="s">
        <x:v>4904</x:v>
      </x:c>
      <x:c r="B285" s="1" t="s">
        <x:v>6167</x:v>
      </x:c>
      <x:c r="C285" s="1" t="s">
        <x:v>104</x:v>
      </x:c>
      <x:c r="D285" s="1" t="s">
        <x:v>5462</x:v>
      </x:c>
      <x:c r="E285" s="1" t="n">
        <x:v>22</x:v>
      </x:c>
      <x:c r="F285" s="1" t="s">
        <x:v>6264</x:v>
      </x:c>
      <x:c r="G285" s="1" t="s">
        <x:v>6265</x:v>
      </x:c>
    </x:row>
    <x:row r="286" ht="15" hidden="0" customHeight="1">
      <x:c r="A286" s="1" t="s">
        <x:v>4904</x:v>
      </x:c>
      <x:c r="B286" s="1" t="s">
        <x:v>6167</x:v>
      </x:c>
      <x:c r="C286" s="1" t="s">
        <x:v>194</x:v>
      </x:c>
      <x:c r="D286" s="1" t="s">
        <x:v>5462</x:v>
      </x:c>
      <x:c r="E286" s="1" t="n">
        <x:v>26</x:v>
      </x:c>
      <x:c r="F286" s="1" t="s">
        <x:v>6266</x:v>
      </x:c>
      <x:c r="G286" s="1" t="s">
        <x:v>6265</x:v>
      </x:c>
    </x:row>
    <x:row r="287" ht="15" hidden="0" customHeight="1">
      <x:c r="A287" s="1" t="s">
        <x:v>4904</x:v>
      </x:c>
      <x:c r="B287" s="1" t="s">
        <x:v>6167</x:v>
      </x:c>
      <x:c r="C287" s="1" t="s">
        <x:v>279</x:v>
      </x:c>
      <x:c r="D287" s="1" t="s">
        <x:v>5462</x:v>
      </x:c>
      <x:c r="E287" s="1" t="n">
        <x:v>26</x:v>
      </x:c>
      <x:c r="F287" s="1" t="s">
        <x:v>6267</x:v>
      </x:c>
      <x:c r="G287" s="1" t="s">
        <x:v>6265</x:v>
      </x:c>
    </x:row>
    <x:row r="288" ht="15" hidden="0" customHeight="1">
      <x:c r="A288" s="1" t="s">
        <x:v>4904</x:v>
      </x:c>
      <x:c r="B288" s="1" t="s">
        <x:v>6167</x:v>
      </x:c>
      <x:c r="C288" s="1" t="s">
        <x:v>356</x:v>
      </x:c>
      <x:c r="D288" s="1" t="s">
        <x:v>5462</x:v>
      </x:c>
      <x:c r="E288" s="1" t="n">
        <x:v>23</x:v>
      </x:c>
      <x:c r="F288" s="1" t="s">
        <x:v>6268</x:v>
      </x:c>
      <x:c r="G288" s="1" t="s">
        <x:v>6265</x:v>
      </x:c>
    </x:row>
    <x:row r="289" ht="15" hidden="0" customHeight="1">
      <x:c r="A289" s="1" t="s">
        <x:v>4904</x:v>
      </x:c>
      <x:c r="B289" s="1" t="s">
        <x:v>6167</x:v>
      </x:c>
      <x:c r="C289" s="1" t="s">
        <x:v>554</x:v>
      </x:c>
      <x:c r="D289" s="1" t="s">
        <x:v>5462</x:v>
      </x:c>
      <x:c r="E289" s="1" t="n">
        <x:v>6</x:v>
      </x:c>
      <x:c r="F289" s="1" t="s">
        <x:v>6269</x:v>
      </x:c>
      <x:c r="G289" s="1" t="s">
        <x:v>6265</x:v>
      </x:c>
    </x:row>
    <x:row r="290" ht="15" hidden="0" customHeight="1">
      <x:c r="A290" s="1" t="s">
        <x:v>4904</x:v>
      </x:c>
      <x:c r="B290" s="1" t="s">
        <x:v>6167</x:v>
      </x:c>
      <x:c r="C290" s="1" t="s">
        <x:v>431</x:v>
      </x:c>
      <x:c r="D290" s="1" t="s">
        <x:v>5462</x:v>
      </x:c>
      <x:c r="E290" s="1" t="n">
        <x:v>19</x:v>
      </x:c>
      <x:c r="F290" s="1" t="s">
        <x:v>6270</x:v>
      </x:c>
      <x:c r="G290" s="1" t="s">
        <x:v>6265</x:v>
      </x:c>
    </x:row>
    <x:row r="291" ht="15" hidden="0" customHeight="1">
      <x:c r="A291" s="1" t="s">
        <x:v>4904</x:v>
      </x:c>
      <x:c r="B291" s="1" t="s">
        <x:v>6167</x:v>
      </x:c>
      <x:c r="C291" s="1" t="s">
        <x:v>875</x:v>
      </x:c>
      <x:c r="D291" s="1" t="s">
        <x:v>5462</x:v>
      </x:c>
      <x:c r="E291" s="1" t="s">
        <x:v>6271</x:v>
      </x:c>
      <x:c r="F291" s="1" t="s">
        <x:v>6272</x:v>
      </x:c>
      <x:c r="G291" s="1" t="s">
        <x:v>6265</x:v>
      </x:c>
    </x:row>
    <x:row r="292" ht="15" hidden="0" customHeight="1">
      <x:c r="A292" s="1" t="s">
        <x:v>4904</x:v>
      </x:c>
      <x:c r="B292" s="1" t="s">
        <x:v>6167</x:v>
      </x:c>
      <x:c r="C292" s="1" t="s">
        <x:v>1107</x:v>
      </x:c>
      <x:c r="D292" s="1" t="s">
        <x:v>5462</x:v>
      </x:c>
      <x:c r="E292" s="1" t="s">
        <x:v>6273</x:v>
      </x:c>
      <x:c r="F292" s="1" t="s">
        <x:v>6274</x:v>
      </x:c>
      <x:c r="G292" s="1" t="s">
        <x:v>6265</x:v>
      </x:c>
    </x:row>
    <x:row r="293" ht="15" hidden="0" customHeight="1">
      <x:c r="A293" s="1" t="s">
        <x:v>4904</x:v>
      </x:c>
      <x:c r="B293" s="1" t="s">
        <x:v>6167</x:v>
      </x:c>
      <x:c r="C293" s="1" t="s">
        <x:v>1197</x:v>
      </x:c>
      <x:c r="D293" s="1" t="s">
        <x:v>5462</x:v>
      </x:c>
      <x:c r="E293" s="1" t="s">
        <x:v>6275</x:v>
      </x:c>
      <x:c r="F293" s="1" t="s">
        <x:v>6276</x:v>
      </x:c>
      <x:c r="G293" s="1" t="s">
        <x:v>6265</x:v>
      </x:c>
    </x:row>
    <x:row r="294" ht="15" hidden="0" customHeight="1">
      <x:c r="A294" s="1" t="s">
        <x:v>4904</x:v>
      </x:c>
      <x:c r="B294" s="1" t="s">
        <x:v>6167</x:v>
      </x:c>
      <x:c r="C294" s="1" t="s">
        <x:v>1279</x:v>
      </x:c>
      <x:c r="D294" s="1" t="s">
        <x:v>5462</x:v>
      </x:c>
      <x:c r="E294" s="1" t="s">
        <x:v>6277</x:v>
      </x:c>
      <x:c r="F294" s="1" t="s">
        <x:v>6278</x:v>
      </x:c>
      <x:c r="G294" s="1" t="s">
        <x:v>6265</x:v>
      </x:c>
    </x:row>
    <x:row r="295" ht="15" hidden="0" customHeight="1">
      <x:c r="A295" s="1" t="s">
        <x:v>4904</x:v>
      </x:c>
      <x:c r="B295" s="1" t="s">
        <x:v>6167</x:v>
      </x:c>
      <x:c r="C295" s="1" t="s">
        <x:v>1466</x:v>
      </x:c>
      <x:c r="D295" s="1" t="s">
        <x:v>5462</x:v>
      </x:c>
      <x:c r="E295" s="1" t="s">
        <x:v>6279</x:v>
      </x:c>
      <x:c r="F295" s="1" t="s">
        <x:v>6280</x:v>
      </x:c>
      <x:c r="G295" s="1" t="s">
        <x:v>6265</x:v>
      </x:c>
    </x:row>
    <x:row r="296" ht="15" hidden="0" customHeight="1">
      <x:c r="A296" s="1" t="s">
        <x:v>4904</x:v>
      </x:c>
      <x:c r="B296" s="1" t="s">
        <x:v>6167</x:v>
      </x:c>
      <x:c r="C296" s="1" t="s">
        <x:v>5501</x:v>
      </x:c>
      <x:c r="D296" s="1" t="s">
        <x:v>5462</x:v>
      </x:c>
      <x:c r="E296" s="1" t="n">
        <x:v>0</x:v>
      </x:c>
      <x:c r="F296" s="1" t="s">
        <x:v>6281</x:v>
      </x:c>
      <x:c r="G296" s="1" t="s">
        <x:v>6265</x:v>
      </x:c>
    </x:row>
    <x:row r="297" ht="15" hidden="0" customHeight="1">
      <x:c r="A297" s="1" t="s">
        <x:v>4904</x:v>
      </x:c>
      <x:c r="B297" s="1" t="s">
        <x:v>6167</x:v>
      </x:c>
      <x:c r="C297" s="1" t="s">
        <x:v>4629</x:v>
      </x:c>
      <x:c r="D297" s="1" t="s">
        <x:v>5462</x:v>
      </x:c>
      <x:c r="E297" s="1" t="n">
        <x:v>23</x:v>
      </x:c>
      <x:c r="F297" s="1" t="s">
        <x:v>6282</x:v>
      </x:c>
      <x:c r="G297" s="1" t="s">
        <x:v>6265</x:v>
      </x:c>
    </x:row>
    <x:row r="298" ht="15" hidden="0" customHeight="1">
      <x:c r="A298" s="1" t="s">
        <x:v>4904</x:v>
      </x:c>
      <x:c r="B298" s="1" t="s">
        <x:v>6167</x:v>
      </x:c>
      <x:c r="C298" s="1" t="s">
        <x:v>3426</x:v>
      </x:c>
      <x:c r="D298" s="1" t="s">
        <x:v>5462</x:v>
      </x:c>
      <x:c r="E298" s="1" t="s">
        <x:v>6283</x:v>
      </x:c>
      <x:c r="F298" s="1" t="s">
        <x:v>6284</x:v>
      </x:c>
      <x:c r="G298" s="1" t="s">
        <x:v>6265</x:v>
      </x:c>
    </x:row>
    <x:row r="299" ht="15" hidden="0" customHeight="1">
      <x:c r="A299" s="1" t="s">
        <x:v>4904</x:v>
      </x:c>
      <x:c r="B299" s="1" t="s">
        <x:v>6167</x:v>
      </x:c>
      <x:c r="C299" s="1" t="s">
        <x:v>5101</x:v>
      </x:c>
      <x:c r="D299" s="1" t="s">
        <x:v>5462</x:v>
      </x:c>
      <x:c r="E299" s="1" t="n">
        <x:v>0</x:v>
      </x:c>
      <x:c r="F299" s="1" t="s">
        <x:v>6285</x:v>
      </x:c>
      <x:c r="G299" s="1" t="s">
        <x:v>6265</x:v>
      </x:c>
    </x:row>
    <x:row r="300" ht="15" hidden="0" customHeight="1">
      <x:c r="A300" s="1" t="s">
        <x:v>4904</x:v>
      </x:c>
      <x:c r="B300" s="1" t="s">
        <x:v>6167</x:v>
      </x:c>
      <x:c r="C300" s="1" t="s">
        <x:v>1703</x:v>
      </x:c>
      <x:c r="D300" s="1" t="s">
        <x:v>5462</x:v>
      </x:c>
      <x:c r="E300" s="1" t="s">
        <x:v>6286</x:v>
      </x:c>
      <x:c r="F300" s="1" t="s">
        <x:v>6287</x:v>
      </x:c>
      <x:c r="G300" s="1" t="s">
        <x:v>6265</x:v>
      </x:c>
    </x:row>
    <x:row r="301" ht="15" hidden="0" customHeight="1">
      <x:c r="A301" s="1" t="s">
        <x:v>4904</x:v>
      </x:c>
      <x:c r="B301" s="1" t="s">
        <x:v>6167</x:v>
      </x:c>
      <x:c r="C301" s="1" t="s">
        <x:v>4916</x:v>
      </x:c>
      <x:c r="D301" s="1" t="s">
        <x:v>5462</x:v>
      </x:c>
      <x:c r="E301" s="1" t="n">
        <x:v>0</x:v>
      </x:c>
      <x:c r="F301" s="1" t="s">
        <x:v>6288</x:v>
      </x:c>
      <x:c r="G301" s="1" t="s">
        <x:v>6265</x:v>
      </x:c>
    </x:row>
    <x:row r="302" ht="15" hidden="0" customHeight="1">
      <x:c r="A302" s="1" t="s">
        <x:v>4904</x:v>
      </x:c>
      <x:c r="B302" s="1" t="s">
        <x:v>6167</x:v>
      </x:c>
      <x:c r="C302" s="1" t="s">
        <x:v>1730</x:v>
      </x:c>
      <x:c r="D302" s="1" t="s">
        <x:v>5462</x:v>
      </x:c>
      <x:c r="E302" s="1" t="s">
        <x:v>6289</x:v>
      </x:c>
      <x:c r="F302" s="1" t="s">
        <x:v>6290</x:v>
      </x:c>
      <x:c r="G302" s="1" t="s">
        <x:v>6265</x:v>
      </x:c>
    </x:row>
    <x:row r="303" ht="15" hidden="0" customHeight="1">
      <x:c r="A303" s="1" t="s">
        <x:v>4904</x:v>
      </x:c>
      <x:c r="B303" s="1" t="s">
        <x:v>6167</x:v>
      </x:c>
      <x:c r="C303" s="1" t="s">
        <x:v>2425</x:v>
      </x:c>
      <x:c r="D303" s="1" t="s">
        <x:v>5462</x:v>
      </x:c>
      <x:c r="E303" s="1" t="s">
        <x:v>6291</x:v>
      </x:c>
      <x:c r="F303" s="1" t="s">
        <x:v>6292</x:v>
      </x:c>
      <x:c r="G303" s="1" t="s">
        <x:v>6265</x:v>
      </x:c>
    </x:row>
    <x:row r="304" ht="15" hidden="0" customHeight="1">
      <x:c r="A304" s="1" t="s">
        <x:v>4904</x:v>
      </x:c>
      <x:c r="B304" s="1" t="s">
        <x:v>6167</x:v>
      </x:c>
      <x:c r="C304" s="1" t="s">
        <x:v>3443</x:v>
      </x:c>
      <x:c r="D304" s="1" t="s">
        <x:v>5462</x:v>
      </x:c>
      <x:c r="E304" s="1" t="s">
        <x:v>6293</x:v>
      </x:c>
      <x:c r="F304" s="1" t="s">
        <x:v>6294</x:v>
      </x:c>
      <x:c r="G304" s="1" t="s">
        <x:v>6265</x:v>
      </x:c>
    </x:row>
    <x:row r="305" ht="15" hidden="0" customHeight="1">
      <x:c r="A305" s="1" t="s">
        <x:v>4904</x:v>
      </x:c>
      <x:c r="B305" s="1" t="s">
        <x:v>6167</x:v>
      </x:c>
      <x:c r="C305" s="1" t="s">
        <x:v>4553</x:v>
      </x:c>
      <x:c r="D305" s="1" t="s">
        <x:v>5462</x:v>
      </x:c>
      <x:c r="E305" s="1" t="n">
        <x:v>3</x:v>
      </x:c>
      <x:c r="F305" s="1" t="s">
        <x:v>6295</x:v>
      </x:c>
      <x:c r="G305" s="1" t="s">
        <x:v>6265</x:v>
      </x:c>
    </x:row>
    <x:row r="306" ht="15" hidden="0" customHeight="1">
      <x:c r="A306" s="1" t="s">
        <x:v>4904</x:v>
      </x:c>
      <x:c r="B306" s="1" t="s">
        <x:v>6167</x:v>
      </x:c>
      <x:c r="C306" s="1" t="s">
        <x:v>4570</x:v>
      </x:c>
      <x:c r="D306" s="1" t="s">
        <x:v>5462</x:v>
      </x:c>
      <x:c r="E306" s="1" t="n">
        <x:v>4</x:v>
      </x:c>
      <x:c r="F306" s="1" t="s">
        <x:v>6296</x:v>
      </x:c>
      <x:c r="G306" s="1" t="s">
        <x:v>6265</x:v>
      </x:c>
    </x:row>
    <x:row r="307" ht="15" hidden="0" customHeight="1">
      <x:c r="A307" s="1" t="s">
        <x:v>4904</x:v>
      </x:c>
      <x:c r="B307" s="1" t="s">
        <x:v>6167</x:v>
      </x:c>
      <x:c r="C307" s="1" t="s">
        <x:v>2444</x:v>
      </x:c>
      <x:c r="D307" s="1" t="s">
        <x:v>5462</x:v>
      </x:c>
      <x:c r="E307" s="1" t="s">
        <x:v>6297</x:v>
      </x:c>
      <x:c r="F307" s="1" t="s">
        <x:v>6298</x:v>
      </x:c>
      <x:c r="G307" s="1" t="s">
        <x:v>6265</x:v>
      </x:c>
    </x:row>
    <x:row r="308" ht="15" hidden="0" customHeight="1">
      <x:c r="A308" s="1" t="s">
        <x:v>4904</x:v>
      </x:c>
      <x:c r="B308" s="1" t="s">
        <x:v>6167</x:v>
      </x:c>
      <x:c r="C308" s="1" t="s">
        <x:v>5151</x:v>
      </x:c>
      <x:c r="D308" s="1" t="s">
        <x:v>5462</x:v>
      </x:c>
      <x:c r="E308" s="1" t="n">
        <x:v>0</x:v>
      </x:c>
      <x:c r="F308" s="1" t="s">
        <x:v>6299</x:v>
      </x:c>
      <x:c r="G308" s="1" t="s">
        <x:v>6265</x:v>
      </x:c>
    </x:row>
    <x:row r="309" ht="15" hidden="0" customHeight="1">
      <x:c r="A309" s="1" t="s">
        <x:v>4904</x:v>
      </x:c>
      <x:c r="B309" s="1" t="s">
        <x:v>6167</x:v>
      </x:c>
      <x:c r="C309" s="1" t="s">
        <x:v>573</x:v>
      </x:c>
      <x:c r="D309" s="1" t="s">
        <x:v>5462</x:v>
      </x:c>
      <x:c r="E309" s="1" t="n">
        <x:v>17</x:v>
      </x:c>
      <x:c r="F309" s="1" t="s">
        <x:v>6300</x:v>
      </x:c>
      <x:c r="G309" s="1" t="s">
        <x:v>6265</x:v>
      </x:c>
    </x:row>
    <x:row r="310" ht="15" hidden="0" customHeight="1">
      <x:c r="A310" s="1" t="s">
        <x:v>4904</x:v>
      </x:c>
      <x:c r="B310" s="1" t="s">
        <x:v>6167</x:v>
      </x:c>
      <x:c r="C310" s="1" t="s">
        <x:v>628</x:v>
      </x:c>
      <x:c r="D310" s="1" t="s">
        <x:v>5462</x:v>
      </x:c>
      <x:c r="E310" s="1" t="n">
        <x:v>10</x:v>
      </x:c>
      <x:c r="F310" s="1" t="s">
        <x:v>6301</x:v>
      </x:c>
      <x:c r="G310" s="1" t="s">
        <x:v>6265</x:v>
      </x:c>
    </x:row>
    <x:row r="311" ht="15" hidden="0" customHeight="1">
      <x:c r="A311" s="1" t="s">
        <x:v>4904</x:v>
      </x:c>
      <x:c r="B311" s="1" t="s">
        <x:v>6167</x:v>
      </x:c>
      <x:c r="C311" s="1" t="s">
        <x:v>1614</x:v>
      </x:c>
      <x:c r="D311" s="1" t="s">
        <x:v>5462</x:v>
      </x:c>
      <x:c r="E311" s="1" t="s">
        <x:v>6302</x:v>
      </x:c>
      <x:c r="F311" s="1" t="s">
        <x:v>6303</x:v>
      </x:c>
      <x:c r="G311" s="1" t="s">
        <x:v>6265</x:v>
      </x:c>
    </x:row>
    <x:row r="312" ht="15" hidden="0" customHeight="1">
      <x:c r="A312" s="1" t="s">
        <x:v>4904</x:v>
      </x:c>
      <x:c r="B312" s="1" t="s">
        <x:v>6167</x:v>
      </x:c>
      <x:c r="C312" s="1" t="s">
        <x:v>2999</x:v>
      </x:c>
      <x:c r="D312" s="1" t="s">
        <x:v>5462</x:v>
      </x:c>
      <x:c r="E312" s="1" t="s">
        <x:v>6304</x:v>
      </x:c>
      <x:c r="F312" s="1" t="s">
        <x:v>6305</x:v>
      </x:c>
      <x:c r="G312" s="1" t="s">
        <x:v>6265</x:v>
      </x:c>
    </x:row>
    <x:row r="313" ht="15" hidden="0" customHeight="1">
      <x:c r="A313" s="1" t="s">
        <x:v>4904</x:v>
      </x:c>
      <x:c r="B313" s="1" t="s">
        <x:v>6167</x:v>
      </x:c>
      <x:c r="C313" s="1" t="s">
        <x:v>2138</x:v>
      </x:c>
      <x:c r="D313" s="1" t="s">
        <x:v>5462</x:v>
      </x:c>
      <x:c r="E313" s="1" t="s">
        <x:v>6306</x:v>
      </x:c>
      <x:c r="F313" s="1" t="s">
        <x:v>6307</x:v>
      </x:c>
      <x:c r="G313" s="1" t="s">
        <x:v>6265</x:v>
      </x:c>
    </x:row>
    <x:row r="314" ht="15" hidden="0" customHeight="1">
      <x:c r="A314" s="1" t="s">
        <x:v>4904</x:v>
      </x:c>
      <x:c r="B314" s="1" t="s">
        <x:v>6167</x:v>
      </x:c>
      <x:c r="C314" s="1" t="s">
        <x:v>2874</x:v>
      </x:c>
      <x:c r="D314" s="1" t="s">
        <x:v>5462</x:v>
      </x:c>
      <x:c r="E314" s="1" t="s">
        <x:v>6308</x:v>
      </x:c>
      <x:c r="F314" s="1" t="s">
        <x:v>6309</x:v>
      </x:c>
      <x:c r="G314" s="1" t="s">
        <x:v>6265</x:v>
      </x:c>
    </x:row>
    <x:row r="315" ht="15" hidden="0" customHeight="1">
      <x:c r="A315" s="1" t="s">
        <x:v>4904</x:v>
      </x:c>
      <x:c r="B315" s="1" t="s">
        <x:v>6167</x:v>
      </x:c>
      <x:c r="C315" s="1" t="s">
        <x:v>2181</x:v>
      </x:c>
      <x:c r="D315" s="1" t="s">
        <x:v>5462</x:v>
      </x:c>
      <x:c r="E315" s="1" t="s">
        <x:v>6310</x:v>
      </x:c>
      <x:c r="F315" s="1" t="s">
        <x:v>6311</x:v>
      </x:c>
      <x:c r="G315" s="1" t="s">
        <x:v>6265</x:v>
      </x:c>
    </x:row>
    <x:row r="316" ht="15" hidden="0" customHeight="1">
      <x:c r="A316" s="1" t="s">
        <x:v>4904</x:v>
      </x:c>
      <x:c r="B316" s="1" t="s">
        <x:v>6167</x:v>
      </x:c>
      <x:c r="C316" s="1" t="s">
        <x:v>1812</x:v>
      </x:c>
      <x:c r="D316" s="1" t="s">
        <x:v>5462</x:v>
      </x:c>
      <x:c r="E316" s="1" t="s">
        <x:v>6312</x:v>
      </x:c>
      <x:c r="F316" s="1" t="s">
        <x:v>6313</x:v>
      </x:c>
      <x:c r="G316" s="1" t="s">
        <x:v>6265</x:v>
      </x:c>
    </x:row>
    <x:row r="317" ht="15" hidden="0" customHeight="1">
      <x:c r="A317" s="1" t="s">
        <x:v>4904</x:v>
      </x:c>
      <x:c r="B317" s="1" t="s">
        <x:v>6167</x:v>
      </x:c>
      <x:c r="C317" s="1" t="s">
        <x:v>1845</x:v>
      </x:c>
      <x:c r="D317" s="1" t="s">
        <x:v>5462</x:v>
      </x:c>
      <x:c r="E317" s="1" t="s">
        <x:v>6314</x:v>
      </x:c>
      <x:c r="F317" s="1" t="s">
        <x:v>6315</x:v>
      </x:c>
      <x:c r="G317" s="1" t="s">
        <x:v>6265</x:v>
      </x:c>
    </x:row>
    <x:row r="318" ht="15" hidden="0" customHeight="1">
      <x:c r="A318" s="1" t="s">
        <x:v>4904</x:v>
      </x:c>
      <x:c r="B318" s="1" t="s">
        <x:v>6167</x:v>
      </x:c>
      <x:c r="C318" s="1" t="s">
        <x:v>661</x:v>
      </x:c>
      <x:c r="D318" s="1" t="s">
        <x:v>5462</x:v>
      </x:c>
      <x:c r="E318" s="1" t="n">
        <x:v>6</x:v>
      </x:c>
      <x:c r="F318" s="1" t="s">
        <x:v>6316</x:v>
      </x:c>
      <x:c r="G318" s="1" t="s">
        <x:v>6265</x:v>
      </x:c>
    </x:row>
    <x:row r="319" ht="15" hidden="0" customHeight="1">
      <x:c r="A319" s="1" t="s">
        <x:v>4904</x:v>
      </x:c>
      <x:c r="B319" s="1" t="s">
        <x:v>6167</x:v>
      </x:c>
      <x:c r="C319" s="1" t="s">
        <x:v>675</x:v>
      </x:c>
      <x:c r="D319" s="1" t="s">
        <x:v>5462</x:v>
      </x:c>
      <x:c r="E319" s="1" t="n">
        <x:v>5</x:v>
      </x:c>
      <x:c r="F319" s="1" t="s">
        <x:v>6317</x:v>
      </x:c>
      <x:c r="G319" s="1" t="s">
        <x:v>6265</x:v>
      </x:c>
    </x:row>
    <x:row r="320" ht="15" hidden="0" customHeight="1">
      <x:c r="A320" s="1" t="s">
        <x:v>4904</x:v>
      </x:c>
      <x:c r="B320" s="1" t="s">
        <x:v>6167</x:v>
      </x:c>
      <x:c r="C320" s="1" t="s">
        <x:v>1871</x:v>
      </x:c>
      <x:c r="D320" s="1" t="s">
        <x:v>5462</x:v>
      </x:c>
      <x:c r="E320" s="1" t="s">
        <x:v>6318</x:v>
      </x:c>
      <x:c r="F320" s="1" t="s">
        <x:v>6319</x:v>
      </x:c>
      <x:c r="G320" s="1" t="s">
        <x:v>6265</x:v>
      </x:c>
    </x:row>
    <x:row r="321" ht="15" hidden="0" customHeight="1">
      <x:c r="A321" s="1" t="s">
        <x:v>4904</x:v>
      </x:c>
      <x:c r="B321" s="1" t="s">
        <x:v>6167</x:v>
      </x:c>
      <x:c r="C321" s="1" t="s">
        <x:v>688</x:v>
      </x:c>
      <x:c r="D321" s="1" t="s">
        <x:v>5462</x:v>
      </x:c>
      <x:c r="E321" s="1" t="n">
        <x:v>10</x:v>
      </x:c>
      <x:c r="F321" s="1" t="s">
        <x:v>6320</x:v>
      </x:c>
      <x:c r="G321" s="1" t="s">
        <x:v>6265</x:v>
      </x:c>
    </x:row>
    <x:row r="322" ht="15" hidden="0" customHeight="1">
      <x:c r="A322" s="1" t="s">
        <x:v>4904</x:v>
      </x:c>
      <x:c r="B322" s="1" t="s">
        <x:v>6167</x:v>
      </x:c>
      <x:c r="C322" s="1" t="s">
        <x:v>2760</x:v>
      </x:c>
      <x:c r="D322" s="1" t="s">
        <x:v>5462</x:v>
      </x:c>
      <x:c r="E322" s="1" t="s">
        <x:v>6321</x:v>
      </x:c>
      <x:c r="F322" s="1" t="s">
        <x:v>6322</x:v>
      </x:c>
      <x:c r="G322" s="1" t="s">
        <x:v>6265</x:v>
      </x:c>
    </x:row>
    <x:row r="323" ht="15" hidden="0" customHeight="1">
      <x:c r="A323" s="1" t="s">
        <x:v>4904</x:v>
      </x:c>
      <x:c r="B323" s="1" t="s">
        <x:v>6167</x:v>
      </x:c>
      <x:c r="C323" s="1" t="s">
        <x:v>1910</x:v>
      </x:c>
      <x:c r="D323" s="1" t="s">
        <x:v>5462</x:v>
      </x:c>
      <x:c r="E323" s="1" t="s">
        <x:v>6323</x:v>
      </x:c>
      <x:c r="F323" s="1" t="s">
        <x:v>6324</x:v>
      </x:c>
      <x:c r="G323" s="1" t="s">
        <x:v>6265</x:v>
      </x:c>
    </x:row>
    <x:row r="324" ht="15" hidden="0" customHeight="1">
      <x:c r="A324" s="1" t="s">
        <x:v>4904</x:v>
      </x:c>
      <x:c r="B324" s="1" t="s">
        <x:v>6167</x:v>
      </x:c>
      <x:c r="C324" s="1" t="s">
        <x:v>477</x:v>
      </x:c>
      <x:c r="D324" s="1" t="s">
        <x:v>5462</x:v>
      </x:c>
      <x:c r="E324" s="1" t="n">
        <x:v>24</x:v>
      </x:c>
      <x:c r="F324" s="1" t="s">
        <x:v>6325</x:v>
      </x:c>
      <x:c r="G324" s="1" t="s">
        <x:v>6265</x:v>
      </x:c>
    </x:row>
    <x:row r="325" ht="15" hidden="0" customHeight="1">
      <x:c r="A325" s="1" t="s">
        <x:v>4904</x:v>
      </x:c>
      <x:c r="B325" s="1" t="s">
        <x:v>6167</x:v>
      </x:c>
      <x:c r="C325" s="1" t="s">
        <x:v>5111</x:v>
      </x:c>
      <x:c r="D325" s="1" t="s">
        <x:v>5462</x:v>
      </x:c>
      <x:c r="E325" s="1" t="n">
        <x:v>0</x:v>
      </x:c>
      <x:c r="F325" s="1" t="s">
        <x:v>6326</x:v>
      </x:c>
      <x:c r="G325" s="1" t="s">
        <x:v>6265</x:v>
      </x:c>
    </x:row>
    <x:row r="326" ht="15" hidden="0" customHeight="1">
      <x:c r="A326" s="1" t="s">
        <x:v>4904</x:v>
      </x:c>
      <x:c r="B326" s="1" t="s">
        <x:v>6167</x:v>
      </x:c>
      <x:c r="C326" s="1" t="s">
        <x:v>3993</x:v>
      </x:c>
      <x:c r="D326" s="1" t="s">
        <x:v>5462</x:v>
      </x:c>
      <x:c r="E326" s="1" t="s">
        <x:v>6327</x:v>
      </x:c>
      <x:c r="F326" s="1" t="s">
        <x:v>6328</x:v>
      </x:c>
      <x:c r="G326" s="1" t="s">
        <x:v>6265</x:v>
      </x:c>
    </x:row>
    <x:row r="327" ht="15" hidden="0" customHeight="1">
      <x:c r="A327" s="1" t="s">
        <x:v>4904</x:v>
      </x:c>
      <x:c r="B327" s="1" t="s">
        <x:v>6167</x:v>
      </x:c>
      <x:c r="C327" s="1" t="s">
        <x:v>1754</x:v>
      </x:c>
      <x:c r="D327" s="1" t="s">
        <x:v>5462</x:v>
      </x:c>
      <x:c r="E327" s="1" t="s">
        <x:v>6329</x:v>
      </x:c>
      <x:c r="F327" s="1" t="s">
        <x:v>6330</x:v>
      </x:c>
      <x:c r="G327" s="1" t="s">
        <x:v>6265</x:v>
      </x:c>
    </x:row>
    <x:row r="328" ht="15" hidden="0" customHeight="1">
      <x:c r="A328" s="1" t="s">
        <x:v>4904</x:v>
      </x:c>
      <x:c r="B328" s="1" t="s">
        <x:v>6167</x:v>
      </x:c>
      <x:c r="C328" s="1" t="s">
        <x:v>1932</x:v>
      </x:c>
      <x:c r="D328" s="1" t="s">
        <x:v>5462</x:v>
      </x:c>
      <x:c r="E328" s="1" t="s">
        <x:v>6331</x:v>
      </x:c>
      <x:c r="F328" s="1" t="s">
        <x:v>6332</x:v>
      </x:c>
      <x:c r="G328" s="1" t="s">
        <x:v>6265</x:v>
      </x:c>
    </x:row>
    <x:row r="329" ht="15" hidden="0" customHeight="1">
      <x:c r="A329" s="1" t="s">
        <x:v>4904</x:v>
      </x:c>
      <x:c r="B329" s="1" t="s">
        <x:v>6167</x:v>
      </x:c>
      <x:c r="C329" s="1" t="s">
        <x:v>2802</x:v>
      </x:c>
      <x:c r="D329" s="1" t="s">
        <x:v>5462</x:v>
      </x:c>
      <x:c r="E329" s="1" t="s">
        <x:v>6333</x:v>
      </x:c>
      <x:c r="F329" s="1" t="s">
        <x:v>6334</x:v>
      </x:c>
      <x:c r="G329" s="1" t="s">
        <x:v>6265</x:v>
      </x:c>
    </x:row>
    <x:row r="330" ht="15" hidden="0" customHeight="1">
      <x:c r="A330" s="1" t="s">
        <x:v>4904</x:v>
      </x:c>
      <x:c r="B330" s="1" t="s">
        <x:v>6167</x:v>
      </x:c>
      <x:c r="C330" s="1" t="s">
        <x:v>3808</x:v>
      </x:c>
      <x:c r="D330" s="1" t="s">
        <x:v>5462</x:v>
      </x:c>
      <x:c r="E330" s="1" t="s">
        <x:v>6335</x:v>
      </x:c>
      <x:c r="F330" s="1" t="s">
        <x:v>6336</x:v>
      </x:c>
      <x:c r="G330" s="1" t="s">
        <x:v>6265</x:v>
      </x:c>
    </x:row>
    <x:row r="331" ht="15" hidden="0" customHeight="1">
      <x:c r="A331" s="1" t="s">
        <x:v>4904</x:v>
      </x:c>
      <x:c r="B331" s="1" t="s">
        <x:v>6167</x:v>
      </x:c>
      <x:c r="C331" s="1" t="s">
        <x:v>5123</x:v>
      </x:c>
      <x:c r="D331" s="1" t="s">
        <x:v>5462</x:v>
      </x:c>
      <x:c r="E331" s="1" t="n">
        <x:v>0</x:v>
      </x:c>
      <x:c r="F331" s="1" t="s">
        <x:v>6337</x:v>
      </x:c>
      <x:c r="G331" s="1" t="s">
        <x:v>6265</x:v>
      </x:c>
    </x:row>
    <x:row r="332" ht="15" hidden="0" customHeight="1">
      <x:c r="A332" s="1" t="s">
        <x:v>4904</x:v>
      </x:c>
      <x:c r="B332" s="1" t="s">
        <x:v>6167</x:v>
      </x:c>
      <x:c r="C332" s="1" t="s">
        <x:v>3649</x:v>
      </x:c>
      <x:c r="D332" s="1" t="s">
        <x:v>5462</x:v>
      </x:c>
      <x:c r="E332" s="1" t="s">
        <x:v>6338</x:v>
      </x:c>
      <x:c r="F332" s="1" t="s">
        <x:v>6339</x:v>
      </x:c>
      <x:c r="G332" s="1" t="s">
        <x:v>6265</x:v>
      </x:c>
    </x:row>
    <x:row r="333" ht="15" hidden="0" customHeight="1">
      <x:c r="A333" s="1" t="s">
        <x:v>4904</x:v>
      </x:c>
      <x:c r="B333" s="1" t="s">
        <x:v>6167</x:v>
      </x:c>
      <x:c r="C333" s="1" t="s">
        <x:v>3721</x:v>
      </x:c>
      <x:c r="D333" s="1" t="s">
        <x:v>5462</x:v>
      </x:c>
      <x:c r="E333" s="1" t="s">
        <x:v>6340</x:v>
      </x:c>
      <x:c r="F333" s="1" t="s">
        <x:v>6341</x:v>
      </x:c>
      <x:c r="G333" s="1" t="s">
        <x:v>6265</x:v>
      </x:c>
    </x:row>
    <x:row r="334" ht="15" hidden="0" customHeight="1">
      <x:c r="A334" s="1" t="s">
        <x:v>4904</x:v>
      </x:c>
      <x:c r="B334" s="1" t="s">
        <x:v>6167</x:v>
      </x:c>
      <x:c r="C334" s="1" t="s">
        <x:v>3466</x:v>
      </x:c>
      <x:c r="D334" s="1" t="s">
        <x:v>5462</x:v>
      </x:c>
      <x:c r="E334" s="1" t="s">
        <x:v>6342</x:v>
      </x:c>
      <x:c r="F334" s="1" t="s">
        <x:v>6343</x:v>
      </x:c>
      <x:c r="G334" s="1" t="s">
        <x:v>6265</x:v>
      </x:c>
    </x:row>
    <x:row r="335" ht="15" hidden="0" customHeight="1">
      <x:c r="A335" s="1" t="s">
        <x:v>4904</x:v>
      </x:c>
      <x:c r="B335" s="1" t="s">
        <x:v>6167</x:v>
      </x:c>
      <x:c r="C335" s="1" t="s">
        <x:v>3668</x:v>
      </x:c>
      <x:c r="D335" s="1" t="s">
        <x:v>5462</x:v>
      </x:c>
      <x:c r="E335" s="1" t="s">
        <x:v>6344</x:v>
      </x:c>
      <x:c r="F335" s="1" t="s">
        <x:v>6345</x:v>
      </x:c>
      <x:c r="G335" s="1" t="s">
        <x:v>6265</x:v>
      </x:c>
    </x:row>
    <x:row r="336" ht="15" hidden="0" customHeight="1">
      <x:c r="A336" s="1" t="s">
        <x:v>4904</x:v>
      </x:c>
      <x:c r="B336" s="1" t="s">
        <x:v>6167</x:v>
      </x:c>
      <x:c r="C336" s="1" t="s">
        <x:v>3759</x:v>
      </x:c>
      <x:c r="D336" s="1" t="s">
        <x:v>5462</x:v>
      </x:c>
      <x:c r="E336" s="1" t="s">
        <x:v>6346</x:v>
      </x:c>
      <x:c r="F336" s="1" t="s">
        <x:v>6347</x:v>
      </x:c>
      <x:c r="G336" s="1" t="s">
        <x:v>6265</x:v>
      </x:c>
    </x:row>
    <x:row r="337" ht="15" hidden="0" customHeight="1">
      <x:c r="A337" s="1" t="s">
        <x:v>4904</x:v>
      </x:c>
      <x:c r="B337" s="1" t="s">
        <x:v>6167</x:v>
      </x:c>
      <x:c r="C337" s="1" t="s">
        <x:v>5559</x:v>
      </x:c>
      <x:c r="D337" s="1" t="s">
        <x:v>5462</x:v>
      </x:c>
      <x:c r="E337" s="1" t="n">
        <x:v>0</x:v>
      </x:c>
      <x:c r="F337" s="1" t="s">
        <x:v>6348</x:v>
      </x:c>
      <x:c r="G337" s="1" t="s">
        <x:v>6265</x:v>
      </x:c>
    </x:row>
    <x:row r="338" ht="15" hidden="0" customHeight="1">
      <x:c r="A338" s="1" t="s">
        <x:v>4904</x:v>
      </x:c>
      <x:c r="B338" s="1" t="s">
        <x:v>6167</x:v>
      </x:c>
      <x:c r="C338" s="1" t="s">
        <x:v>5134</x:v>
      </x:c>
      <x:c r="D338" s="1" t="s">
        <x:v>5462</x:v>
      </x:c>
      <x:c r="E338" s="1" t="n">
        <x:v>0</x:v>
      </x:c>
      <x:c r="F338" s="1" t="s">
        <x:v>6349</x:v>
      </x:c>
      <x:c r="G338" s="1" t="s">
        <x:v>6265</x:v>
      </x:c>
    </x:row>
    <x:row r="339" ht="15" hidden="0" customHeight="1">
      <x:c r="A339" s="1" t="s">
        <x:v>4904</x:v>
      </x:c>
      <x:c r="B339" s="1" t="s">
        <x:v>6167</x:v>
      </x:c>
      <x:c r="C339" s="1" t="s">
        <x:v>5160</x:v>
      </x:c>
      <x:c r="D339" s="1" t="s">
        <x:v>5462</x:v>
      </x:c>
      <x:c r="E339" s="1" t="n">
        <x:v>0</x:v>
      </x:c>
      <x:c r="F339" s="1" t="s">
        <x:v>6350</x:v>
      </x:c>
      <x:c r="G339" s="1" t="s">
        <x:v>6265</x:v>
      </x:c>
    </x:row>
    <x:row r="340" ht="15" hidden="0" customHeight="1">
      <x:c r="A340" s="1" t="s">
        <x:v>4904</x:v>
      </x:c>
      <x:c r="B340" s="1" t="s">
        <x:v>6167</x:v>
      </x:c>
      <x:c r="C340" s="1" t="s">
        <x:v>3191</x:v>
      </x:c>
      <x:c r="D340" s="1" t="s">
        <x:v>5462</x:v>
      </x:c>
      <x:c r="E340" s="1" t="s">
        <x:v>6351</x:v>
      </x:c>
      <x:c r="F340" s="1" t="s">
        <x:v>6352</x:v>
      </x:c>
      <x:c r="G340" s="1" t="s">
        <x:v>6265</x:v>
      </x:c>
    </x:row>
    <x:row r="341" ht="15" hidden="0" customHeight="1">
      <x:c r="A341" s="1" t="s">
        <x:v>4904</x:v>
      </x:c>
      <x:c r="B341" s="1" t="s">
        <x:v>6167</x:v>
      </x:c>
      <x:c r="C341" s="1" t="s">
        <x:v>3207</x:v>
      </x:c>
      <x:c r="D341" s="1" t="s">
        <x:v>5462</x:v>
      </x:c>
      <x:c r="E341" s="1" t="s">
        <x:v>6353</x:v>
      </x:c>
      <x:c r="F341" s="1" t="s">
        <x:v>6354</x:v>
      </x:c>
      <x:c r="G341" s="1" t="s">
        <x:v>6265</x:v>
      </x:c>
    </x:row>
    <x:row r="342" ht="15" hidden="0" customHeight="1">
      <x:c r="A342" s="1" t="s">
        <x:v>4904</x:v>
      </x:c>
      <x:c r="B342" s="1" t="s">
        <x:v>6167</x:v>
      </x:c>
      <x:c r="C342" s="1" t="s">
        <x:v>4585</x:v>
      </x:c>
      <x:c r="D342" s="1" t="s">
        <x:v>5462</x:v>
      </x:c>
      <x:c r="E342" s="1" t="n">
        <x:v>8</x:v>
      </x:c>
      <x:c r="F342" s="1" t="s">
        <x:v>6355</x:v>
      </x:c>
      <x:c r="G342" s="1" t="s">
        <x:v>6265</x:v>
      </x:c>
    </x:row>
    <x:row r="343" ht="15" hidden="0" customHeight="1">
      <x:c r="A343" s="1" t="s">
        <x:v>4904</x:v>
      </x:c>
      <x:c r="B343" s="1" t="s">
        <x:v>6167</x:v>
      </x:c>
      <x:c r="C343" s="1" t="s">
        <x:v>715</x:v>
      </x:c>
      <x:c r="D343" s="1" t="s">
        <x:v>5462</x:v>
      </x:c>
      <x:c r="E343" s="1" t="n">
        <x:v>6</x:v>
      </x:c>
      <x:c r="F343" s="1" t="s">
        <x:v>6356</x:v>
      </x:c>
      <x:c r="G343" s="1" t="s">
        <x:v>6265</x:v>
      </x:c>
    </x:row>
    <x:row r="344" ht="15" hidden="0" customHeight="1">
      <x:c r="A344" s="1" t="s">
        <x:v>4904</x:v>
      </x:c>
      <x:c r="B344" s="1" t="s">
        <x:v>6167</x:v>
      </x:c>
      <x:c r="C344" s="1" t="s">
        <x:v>1980</x:v>
      </x:c>
      <x:c r="D344" s="1" t="s">
        <x:v>5462</x:v>
      </x:c>
      <x:c r="E344" s="1" t="s">
        <x:v>6357</x:v>
      </x:c>
      <x:c r="F344" s="1" t="s">
        <x:v>6358</x:v>
      </x:c>
      <x:c r="G344" s="1" t="s">
        <x:v>6265</x:v>
      </x:c>
    </x:row>
    <x:row r="345" ht="15" hidden="0" customHeight="1">
      <x:c r="A345" s="1" t="s">
        <x:v>4904</x:v>
      </x:c>
      <x:c r="B345" s="1" t="s">
        <x:v>6167</x:v>
      </x:c>
      <x:c r="C345" s="1" t="s">
        <x:v>3535</x:v>
      </x:c>
      <x:c r="D345" s="1" t="s">
        <x:v>5462</x:v>
      </x:c>
      <x:c r="E345" s="1" t="s">
        <x:v>6359</x:v>
      </x:c>
      <x:c r="F345" s="1" t="s">
        <x:v>6360</x:v>
      </x:c>
      <x:c r="G345" s="1" t="s">
        <x:v>6265</x:v>
      </x:c>
    </x:row>
    <x:row r="346" ht="15" hidden="0" customHeight="1">
      <x:c r="A346" s="1" t="s">
        <x:v>4904</x:v>
      </x:c>
      <x:c r="B346" s="1" t="s">
        <x:v>6167</x:v>
      </x:c>
      <x:c r="C346" s="1" t="s">
        <x:v>730</x:v>
      </x:c>
      <x:c r="D346" s="1" t="s">
        <x:v>5462</x:v>
      </x:c>
      <x:c r="E346" s="1" t="n">
        <x:v>8</x:v>
      </x:c>
      <x:c r="F346" s="1" t="s">
        <x:v>6361</x:v>
      </x:c>
      <x:c r="G346" s="1" t="s">
        <x:v>6265</x:v>
      </x:c>
    </x:row>
    <x:row r="347" ht="15" hidden="0" customHeight="1">
      <x:c r="A347" s="1" t="s">
        <x:v>4904</x:v>
      </x:c>
      <x:c r="B347" s="1" t="s">
        <x:v>6167</x:v>
      </x:c>
      <x:c r="C347" s="1" t="s">
        <x:v>752</x:v>
      </x:c>
      <x:c r="D347" s="1" t="s">
        <x:v>5462</x:v>
      </x:c>
      <x:c r="E347" s="1" t="n">
        <x:v>9</x:v>
      </x:c>
      <x:c r="F347" s="1" t="s">
        <x:v>6362</x:v>
      </x:c>
      <x:c r="G347" s="1" t="s">
        <x:v>6265</x:v>
      </x:c>
    </x:row>
    <x:row r="348" ht="15" hidden="0" customHeight="1">
      <x:c r="A348" s="1" t="s">
        <x:v>4904</x:v>
      </x:c>
      <x:c r="B348" s="1" t="s">
        <x:v>6167</x:v>
      </x:c>
      <x:c r="C348" s="1" t="s">
        <x:v>781</x:v>
      </x:c>
      <x:c r="D348" s="1" t="s">
        <x:v>5462</x:v>
      </x:c>
      <x:c r="E348" s="1" t="n">
        <x:v>13</x:v>
      </x:c>
      <x:c r="F348" s="1" t="s">
        <x:v>6363</x:v>
      </x:c>
      <x:c r="G348" s="1" t="s">
        <x:v>6265</x:v>
      </x:c>
    </x:row>
    <x:row r="349" ht="15" hidden="0" customHeight="1">
      <x:c r="A349" s="1" t="s">
        <x:v>4904</x:v>
      </x:c>
      <x:c r="B349" s="1" t="s">
        <x:v>6167</x:v>
      </x:c>
      <x:c r="C349" s="1" t="s">
        <x:v>2227</x:v>
      </x:c>
      <x:c r="D349" s="1" t="s">
        <x:v>5462</x:v>
      </x:c>
      <x:c r="E349" s="1" t="s">
        <x:v>6364</x:v>
      </x:c>
      <x:c r="F349" s="1" t="s">
        <x:v>6365</x:v>
      </x:c>
      <x:c r="G349" s="1" t="s">
        <x:v>6265</x:v>
      </x:c>
    </x:row>
    <x:row r="350" ht="15" hidden="0" customHeight="1">
      <x:c r="A350" s="1" t="s">
        <x:v>4904</x:v>
      </x:c>
      <x:c r="B350" s="1" t="s">
        <x:v>6167</x:v>
      </x:c>
      <x:c r="C350" s="1" t="s">
        <x:v>2268</x:v>
      </x:c>
      <x:c r="D350" s="1" t="s">
        <x:v>5462</x:v>
      </x:c>
      <x:c r="E350" s="1" t="s">
        <x:v>6366</x:v>
      </x:c>
      <x:c r="F350" s="1" t="s">
        <x:v>6367</x:v>
      </x:c>
      <x:c r="G350" s="1" t="s">
        <x:v>6265</x:v>
      </x:c>
    </x:row>
    <x:row r="351" ht="15" hidden="0" customHeight="1">
      <x:c r="A351" s="1" t="s">
        <x:v>4904</x:v>
      </x:c>
      <x:c r="B351" s="1" t="s">
        <x:v>6167</x:v>
      </x:c>
      <x:c r="C351" s="1" t="s">
        <x:v>3142</x:v>
      </x:c>
      <x:c r="D351" s="1" t="s">
        <x:v>5462</x:v>
      </x:c>
      <x:c r="E351" s="1" t="s">
        <x:v>6368</x:v>
      </x:c>
      <x:c r="F351" s="1" t="s">
        <x:v>6369</x:v>
      </x:c>
      <x:c r="G351" s="1" t="s">
        <x:v>6265</x:v>
      </x:c>
    </x:row>
    <x:row r="352" ht="15" hidden="0" customHeight="1">
      <x:c r="A352" s="1" t="s">
        <x:v>4904</x:v>
      </x:c>
      <x:c r="B352" s="1" t="s">
        <x:v>6167</x:v>
      </x:c>
      <x:c r="C352" s="1" t="s">
        <x:v>2025</x:v>
      </x:c>
      <x:c r="D352" s="1" t="s">
        <x:v>5462</x:v>
      </x:c>
      <x:c r="E352" s="1" t="s">
        <x:v>6370</x:v>
      </x:c>
      <x:c r="F352" s="1" t="s">
        <x:v>6371</x:v>
      </x:c>
      <x:c r="G352" s="1" t="s">
        <x:v>6265</x:v>
      </x:c>
    </x:row>
    <x:row r="353" ht="15" hidden="0" customHeight="1">
      <x:c r="A353" s="1" t="s">
        <x:v>4904</x:v>
      </x:c>
      <x:c r="B353" s="1" t="s">
        <x:v>6167</x:v>
      </x:c>
      <x:c r="C353" s="1" t="s">
        <x:v>5580</x:v>
      </x:c>
      <x:c r="D353" s="1" t="s">
        <x:v>5462</x:v>
      </x:c>
      <x:c r="E353" s="1" t="n">
        <x:v>0</x:v>
      </x:c>
      <x:c r="F353" s="1" t="s">
        <x:v>6372</x:v>
      </x:c>
      <x:c r="G353" s="1" t="s">
        <x:v>6265</x:v>
      </x:c>
    </x:row>
    <x:row r="354" ht="15" hidden="0" customHeight="1">
      <x:c r="A354" s="1" t="s">
        <x:v>4904</x:v>
      </x:c>
      <x:c r="B354" s="1" t="s">
        <x:v>6167</x:v>
      </x:c>
      <x:c r="C354" s="1" t="s">
        <x:v>5583</x:v>
      </x:c>
      <x:c r="D354" s="1" t="s">
        <x:v>5462</x:v>
      </x:c>
      <x:c r="E354" s="1" t="n">
        <x:v>0</x:v>
      </x:c>
      <x:c r="F354" s="1" t="s">
        <x:v>6373</x:v>
      </x:c>
      <x:c r="G354" s="1" t="s">
        <x:v>6265</x:v>
      </x:c>
    </x:row>
    <x:row r="355" ht="15" hidden="0" customHeight="1">
      <x:c r="A355" s="1" t="s">
        <x:v>4904</x:v>
      </x:c>
      <x:c r="B355" s="1" t="s">
        <x:v>6167</x:v>
      </x:c>
      <x:c r="C355" s="1" t="s">
        <x:v>5585</x:v>
      </x:c>
      <x:c r="D355" s="1" t="s">
        <x:v>5462</x:v>
      </x:c>
      <x:c r="E355" s="1" t="n">
        <x:v>0</x:v>
      </x:c>
      <x:c r="F355" s="1" t="s">
        <x:v>6374</x:v>
      </x:c>
      <x:c r="G355" s="1" t="s">
        <x:v>6265</x:v>
      </x:c>
    </x:row>
    <x:row r="356" ht="15" hidden="0" customHeight="1">
      <x:c r="A356" s="1" t="s">
        <x:v>4904</x:v>
      </x:c>
      <x:c r="B356" s="1" t="s">
        <x:v>6167</x:v>
      </x:c>
      <x:c r="C356" s="1" t="s">
        <x:v>5587</x:v>
      </x:c>
      <x:c r="D356" s="1" t="s">
        <x:v>5462</x:v>
      </x:c>
      <x:c r="E356" s="1" t="n">
        <x:v>0</x:v>
      </x:c>
      <x:c r="F356" s="1" t="s">
        <x:v>6375</x:v>
      </x:c>
      <x:c r="G356" s="1" t="s">
        <x:v>6265</x:v>
      </x:c>
    </x:row>
    <x:row r="357" ht="15" hidden="0" customHeight="1">
      <x:c r="A357" s="1" t="s">
        <x:v>4904</x:v>
      </x:c>
      <x:c r="B357" s="1" t="s">
        <x:v>6167</x:v>
      </x:c>
      <x:c r="C357" s="1" t="s">
        <x:v>5589</x:v>
      </x:c>
      <x:c r="D357" s="1" t="s">
        <x:v>5462</x:v>
      </x:c>
      <x:c r="E357" s="1" t="n">
        <x:v>0</x:v>
      </x:c>
      <x:c r="F357" s="1" t="s">
        <x:v>6376</x:v>
      </x:c>
      <x:c r="G357" s="1" t="s">
        <x:v>6265</x:v>
      </x:c>
    </x:row>
    <x:row r="358" ht="15" hidden="0" customHeight="1">
      <x:c r="A358" s="1" t="s">
        <x:v>4904</x:v>
      </x:c>
      <x:c r="B358" s="1" t="s">
        <x:v>6167</x:v>
      </x:c>
      <x:c r="C358" s="1" t="s">
        <x:v>2830</x:v>
      </x:c>
      <x:c r="D358" s="1" t="s">
        <x:v>5462</x:v>
      </x:c>
      <x:c r="E358" s="1" t="s">
        <x:v>6377</x:v>
      </x:c>
      <x:c r="F358" s="1" t="s">
        <x:v>6378</x:v>
      </x:c>
      <x:c r="G358" s="1" t="s">
        <x:v>6265</x:v>
      </x:c>
    </x:row>
    <x:row r="359" ht="15" hidden="0" customHeight="1">
      <x:c r="A359" s="1" t="s">
        <x:v>4904</x:v>
      </x:c>
      <x:c r="B359" s="1" t="s">
        <x:v>6167</x:v>
      </x:c>
      <x:c r="C359" s="1" t="s">
        <x:v>2306</x:v>
      </x:c>
      <x:c r="D359" s="1" t="s">
        <x:v>5462</x:v>
      </x:c>
      <x:c r="E359" s="1" t="s">
        <x:v>6379</x:v>
      </x:c>
      <x:c r="F359" s="1" t="s">
        <x:v>6380</x:v>
      </x:c>
      <x:c r="G359" s="1" t="s">
        <x:v>6265</x:v>
      </x:c>
    </x:row>
    <x:row r="360" ht="15" hidden="0" customHeight="1">
      <x:c r="A360" s="1" t="s">
        <x:v>4904</x:v>
      </x:c>
      <x:c r="B360" s="1" t="s">
        <x:v>6167</x:v>
      </x:c>
      <x:c r="C360" s="1" t="s">
        <x:v>2554</x:v>
      </x:c>
      <x:c r="D360" s="1" t="s">
        <x:v>5462</x:v>
      </x:c>
      <x:c r="E360" s="1" t="s">
        <x:v>6381</x:v>
      </x:c>
      <x:c r="F360" s="1" t="s">
        <x:v>6382</x:v>
      </x:c>
      <x:c r="G360" s="1" t="s">
        <x:v>6265</x:v>
      </x:c>
    </x:row>
    <x:row r="361" ht="15" hidden="0" customHeight="1">
      <x:c r="A361" s="1" t="s">
        <x:v>4904</x:v>
      </x:c>
      <x:c r="B361" s="1" t="s">
        <x:v>6167</x:v>
      </x:c>
      <x:c r="C361" s="1" t="s">
        <x:v>4833</x:v>
      </x:c>
      <x:c r="D361" s="1" t="s">
        <x:v>5462</x:v>
      </x:c>
      <x:c r="E361" s="1" t="n">
        <x:v>20</x:v>
      </x:c>
      <x:c r="F361" s="1" t="s">
        <x:v>6383</x:v>
      </x:c>
      <x:c r="G361" s="1" t="s">
        <x:v>6265</x:v>
      </x:c>
    </x:row>
    <x:row r="362" ht="15" hidden="0" customHeight="1">
      <x:c r="A362" s="1" t="s">
        <x:v>4904</x:v>
      </x:c>
      <x:c r="B362" s="1" t="s">
        <x:v>6167</x:v>
      </x:c>
      <x:c r="C362" s="1" t="s">
        <x:v>3247</x:v>
      </x:c>
      <x:c r="D362" s="1" t="s">
        <x:v>5462</x:v>
      </x:c>
      <x:c r="E362" s="1" t="s">
        <x:v>6384</x:v>
      </x:c>
      <x:c r="F362" s="1" t="s">
        <x:v>6385</x:v>
      </x:c>
      <x:c r="G362" s="1" t="s">
        <x:v>6265</x:v>
      </x:c>
    </x:row>
    <x:row r="363" ht="15" hidden="0" customHeight="1">
      <x:c r="A363" s="1" t="s">
        <x:v>4904</x:v>
      </x:c>
      <x:c r="B363" s="1" t="s">
        <x:v>6167</x:v>
      </x:c>
      <x:c r="C363" s="1" t="s">
        <x:v>3296</x:v>
      </x:c>
      <x:c r="D363" s="1" t="s">
        <x:v>5462</x:v>
      </x:c>
      <x:c r="E363" s="1" t="s">
        <x:v>6386</x:v>
      </x:c>
      <x:c r="F363" s="1" t="s">
        <x:v>6387</x:v>
      </x:c>
      <x:c r="G363" s="1" t="s">
        <x:v>6265</x:v>
      </x:c>
    </x:row>
    <x:row r="364" ht="15" hidden="0" customHeight="1">
      <x:c r="A364" s="1" t="s">
        <x:v>4904</x:v>
      </x:c>
      <x:c r="B364" s="1" t="s">
        <x:v>6167</x:v>
      </x:c>
      <x:c r="C364" s="1" t="s">
        <x:v>3029</x:v>
      </x:c>
      <x:c r="D364" s="1" t="s">
        <x:v>5462</x:v>
      </x:c>
      <x:c r="E364" s="1" t="s">
        <x:v>6388</x:v>
      </x:c>
      <x:c r="F364" s="1" t="s">
        <x:v>6389</x:v>
      </x:c>
      <x:c r="G364" s="1" t="s">
        <x:v>6265</x:v>
      </x:c>
    </x:row>
    <x:row r="365" ht="15" hidden="0" customHeight="1">
      <x:c r="A365" s="1" t="s">
        <x:v>4904</x:v>
      </x:c>
      <x:c r="B365" s="1" t="s">
        <x:v>6167</x:v>
      </x:c>
      <x:c r="C365" s="1" t="s">
        <x:v>3064</x:v>
      </x:c>
      <x:c r="D365" s="1" t="s">
        <x:v>5462</x:v>
      </x:c>
      <x:c r="E365" s="1" t="s">
        <x:v>6390</x:v>
      </x:c>
      <x:c r="F365" s="1" t="s">
        <x:v>6391</x:v>
      </x:c>
      <x:c r="G365" s="1" t="s">
        <x:v>6265</x:v>
      </x:c>
    </x:row>
    <x:row r="366" ht="15" hidden="0" customHeight="1">
      <x:c r="A366" s="1" t="s">
        <x:v>4904</x:v>
      </x:c>
      <x:c r="B366" s="1" t="s">
        <x:v>6167</x:v>
      </x:c>
      <x:c r="C366" s="1" t="s">
        <x:v>2344</x:v>
      </x:c>
      <x:c r="D366" s="1" t="s">
        <x:v>5462</x:v>
      </x:c>
      <x:c r="E366" s="1" t="s">
        <x:v>6392</x:v>
      </x:c>
      <x:c r="F366" s="1" t="s">
        <x:v>6393</x:v>
      </x:c>
      <x:c r="G366" s="1" t="s">
        <x:v>6265</x:v>
      </x:c>
    </x:row>
    <x:row r="367" ht="15" hidden="0" customHeight="1">
      <x:c r="A367" s="1" t="s">
        <x:v>4904</x:v>
      </x:c>
      <x:c r="B367" s="1" t="s">
        <x:v>6167</x:v>
      </x:c>
      <x:c r="C367" s="1" t="s">
        <x:v>3375</x:v>
      </x:c>
      <x:c r="D367" s="1" t="s">
        <x:v>5462</x:v>
      </x:c>
      <x:c r="E367" s="1" t="s">
        <x:v>6394</x:v>
      </x:c>
      <x:c r="F367" s="1" t="s">
        <x:v>6395</x:v>
      </x:c>
      <x:c r="G367" s="1" t="s">
        <x:v>6265</x:v>
      </x:c>
    </x:row>
    <x:row r="368" ht="15" hidden="0" customHeight="1">
      <x:c r="A368" s="1" t="s">
        <x:v>4904</x:v>
      </x:c>
      <x:c r="B368" s="1" t="s">
        <x:v>6167</x:v>
      </x:c>
      <x:c r="C368" s="1" t="s">
        <x:v>3106</x:v>
      </x:c>
      <x:c r="D368" s="1" t="s">
        <x:v>5462</x:v>
      </x:c>
      <x:c r="E368" s="1" t="s">
        <x:v>6396</x:v>
      </x:c>
      <x:c r="F368" s="1" t="s">
        <x:v>6397</x:v>
      </x:c>
      <x:c r="G368" s="1" t="s">
        <x:v>6265</x:v>
      </x:c>
    </x:row>
    <x:row r="369" ht="15" hidden="0" customHeight="1">
      <x:c r="A369" s="1" t="s">
        <x:v>4904</x:v>
      </x:c>
      <x:c r="B369" s="1" t="s">
        <x:v>6167</x:v>
      </x:c>
      <x:c r="C369" s="1" t="s">
        <x:v>4068</x:v>
      </x:c>
      <x:c r="D369" s="1" t="s">
        <x:v>5462</x:v>
      </x:c>
      <x:c r="E369" s="1" t="s">
        <x:v>6398</x:v>
      </x:c>
      <x:c r="F369" s="1" t="s">
        <x:v>6399</x:v>
      </x:c>
      <x:c r="G369" s="1" t="s">
        <x:v>6265</x:v>
      </x:c>
    </x:row>
    <x:row r="370" ht="15" hidden="0" customHeight="1">
      <x:c r="A370" s="1" t="s">
        <x:v>4904</x:v>
      </x:c>
      <x:c r="B370" s="1" t="s">
        <x:v>6167</x:v>
      </x:c>
      <x:c r="C370" s="1" t="s">
        <x:v>3600</x:v>
      </x:c>
      <x:c r="D370" s="1" t="s">
        <x:v>5462</x:v>
      </x:c>
      <x:c r="E370" s="1" t="s">
        <x:v>6400</x:v>
      </x:c>
      <x:c r="F370" s="1" t="s">
        <x:v>6401</x:v>
      </x:c>
      <x:c r="G370" s="1" t="s">
        <x:v>6265</x:v>
      </x:c>
    </x:row>
    <x:row r="371" ht="15" hidden="0" customHeight="1">
      <x:c r="A371" s="1" t="s">
        <x:v>4904</x:v>
      </x:c>
      <x:c r="B371" s="1" t="s">
        <x:v>6167</x:v>
      </x:c>
      <x:c r="C371" s="1" t="s">
        <x:v>2461</x:v>
      </x:c>
      <x:c r="D371" s="1" t="s">
        <x:v>5462</x:v>
      </x:c>
      <x:c r="E371" s="1" t="s">
        <x:v>6402</x:v>
      </x:c>
      <x:c r="F371" s="1" t="s">
        <x:v>6403</x:v>
      </x:c>
      <x:c r="G371" s="1" t="s">
        <x:v>6265</x:v>
      </x:c>
    </x:row>
    <x:row r="372" ht="15" hidden="0" customHeight="1">
      <x:c r="A372" s="1" t="s">
        <x:v>4904</x:v>
      </x:c>
      <x:c r="B372" s="1" t="s">
        <x:v>6167</x:v>
      </x:c>
      <x:c r="C372" s="1" t="s">
        <x:v>2492</x:v>
      </x:c>
      <x:c r="D372" s="1" t="s">
        <x:v>5462</x:v>
      </x:c>
      <x:c r="E372" s="1" t="s">
        <x:v>6404</x:v>
      </x:c>
      <x:c r="F372" s="1" t="s">
        <x:v>6405</x:v>
      </x:c>
      <x:c r="G372" s="1" t="s">
        <x:v>6265</x:v>
      </x:c>
    </x:row>
    <x:row r="373" ht="15" hidden="0" customHeight="1">
      <x:c r="A373" s="1" t="s">
        <x:v>4904</x:v>
      </x:c>
      <x:c r="B373" s="1" t="s">
        <x:v>6167</x:v>
      </x:c>
      <x:c r="C373" s="1" t="s">
        <x:v>2517</x:v>
      </x:c>
      <x:c r="D373" s="1" t="s">
        <x:v>5462</x:v>
      </x:c>
      <x:c r="E373" s="1" t="s">
        <x:v>6406</x:v>
      </x:c>
      <x:c r="F373" s="1" t="s">
        <x:v>6407</x:v>
      </x:c>
      <x:c r="G373" s="1" t="s">
        <x:v>6265</x:v>
      </x:c>
    </x:row>
    <x:row r="374" ht="15" hidden="0" customHeight="1">
      <x:c r="A374" s="1" t="s">
        <x:v>4904</x:v>
      </x:c>
      <x:c r="B374" s="1" t="s">
        <x:v>6167</x:v>
      </x:c>
      <x:c r="C374" s="1" t="s">
        <x:v>812</x:v>
      </x:c>
      <x:c r="D374" s="1" t="s">
        <x:v>5462</x:v>
      </x:c>
      <x:c r="E374" s="1" t="n">
        <x:v>10</x:v>
      </x:c>
      <x:c r="F374" s="1" t="s">
        <x:v>6408</x:v>
      </x:c>
      <x:c r="G374" s="1" t="s">
        <x:v>6265</x:v>
      </x:c>
    </x:row>
    <x:row r="375" ht="15" hidden="0" customHeight="1">
      <x:c r="A375" s="1" t="s">
        <x:v>4904</x:v>
      </x:c>
      <x:c r="B375" s="1" t="s">
        <x:v>6167</x:v>
      </x:c>
      <x:c r="C375" s="1" t="s">
        <x:v>2390</x:v>
      </x:c>
      <x:c r="D375" s="1" t="s">
        <x:v>5462</x:v>
      </x:c>
      <x:c r="E375" s="1" t="s">
        <x:v>6409</x:v>
      </x:c>
      <x:c r="F375" s="1" t="s">
        <x:v>6410</x:v>
      </x:c>
      <x:c r="G375" s="1" t="s">
        <x:v>6265</x:v>
      </x:c>
    </x:row>
    <x:row r="376" ht="15" hidden="0" customHeight="1">
      <x:c r="A376" s="1" t="s">
        <x:v>4904</x:v>
      </x:c>
      <x:c r="B376" s="1" t="s">
        <x:v>6167</x:v>
      </x:c>
      <x:c r="C376" s="1" t="s">
        <x:v>3163</x:v>
      </x:c>
      <x:c r="D376" s="1" t="s">
        <x:v>5462</x:v>
      </x:c>
      <x:c r="E376" s="1" t="s">
        <x:v>6411</x:v>
      </x:c>
      <x:c r="F376" s="1" t="s">
        <x:v>6412</x:v>
      </x:c>
      <x:c r="G376" s="1" t="s">
        <x:v>6265</x:v>
      </x:c>
    </x:row>
    <x:row r="377" ht="15" hidden="0" customHeight="1">
      <x:c r="A377" s="1" t="s">
        <x:v>4904</x:v>
      </x:c>
      <x:c r="B377" s="1" t="s">
        <x:v>6167</x:v>
      </x:c>
      <x:c r="C377" s="1" t="s">
        <x:v>4482</x:v>
      </x:c>
      <x:c r="D377" s="1" t="s">
        <x:v>5462</x:v>
      </x:c>
      <x:c r="E377" s="1" t="n">
        <x:v>19</x:v>
      </x:c>
      <x:c r="F377" s="1" t="s">
        <x:v>6413</x:v>
      </x:c>
      <x:c r="G377" s="1" t="s">
        <x:v>6265</x:v>
      </x:c>
    </x:row>
    <x:row r="378" ht="15" hidden="0" customHeight="1">
      <x:c r="A378" s="1" t="s">
        <x:v>4904</x:v>
      </x:c>
      <x:c r="B378" s="1" t="s">
        <x:v>6167</x:v>
      </x:c>
      <x:c r="C378" s="1" t="s">
        <x:v>2084</x:v>
      </x:c>
      <x:c r="D378" s="1" t="s">
        <x:v>5462</x:v>
      </x:c>
      <x:c r="E378" s="1" t="s">
        <x:v>6414</x:v>
      </x:c>
      <x:c r="F378" s="1" t="s">
        <x:v>6415</x:v>
      </x:c>
      <x:c r="G378" s="1" t="s">
        <x:v>6265</x:v>
      </x:c>
    </x:row>
    <x:row r="379" ht="15" hidden="0" customHeight="1">
      <x:c r="A379" s="1" t="s">
        <x:v>4904</x:v>
      </x:c>
      <x:c r="B379" s="1" t="s">
        <x:v>6167</x:v>
      </x:c>
      <x:c r="C379" s="1" t="s">
        <x:v>4336</x:v>
      </x:c>
      <x:c r="D379" s="1" t="s">
        <x:v>5462</x:v>
      </x:c>
      <x:c r="E379" s="1" t="n">
        <x:v>45</x:v>
      </x:c>
      <x:c r="F379" s="1" t="s">
        <x:v>6416</x:v>
      </x:c>
      <x:c r="G379" s="1" t="s">
        <x:v>6265</x:v>
      </x:c>
    </x:row>
    <x:row r="380" ht="15" hidden="0" customHeight="1">
      <x:c r="A380" s="1" t="s">
        <x:v>4904</x:v>
      </x:c>
      <x:c r="B380" s="1" t="s">
        <x:v>6167</x:v>
      </x:c>
      <x:c r="C380" s="1" t="s">
        <x:v>4144</x:v>
      </x:c>
      <x:c r="D380" s="1" t="s">
        <x:v>5462</x:v>
      </x:c>
      <x:c r="E380" s="1" t="s">
        <x:v>6417</x:v>
      </x:c>
      <x:c r="F380" s="1" t="s">
        <x:v>6418</x:v>
      </x:c>
      <x:c r="G380" s="1" t="s">
        <x:v>6265</x:v>
      </x:c>
    </x:row>
    <x:row r="381" ht="15" hidden="0" customHeight="1">
      <x:c r="A381" s="1" t="s">
        <x:v>4904</x:v>
      </x:c>
      <x:c r="B381" s="1" t="s">
        <x:v>6167</x:v>
      </x:c>
      <x:c r="C381" s="1" t="s">
        <x:v>4188</x:v>
      </x:c>
      <x:c r="D381" s="1" t="s">
        <x:v>5462</x:v>
      </x:c>
      <x:c r="E381" s="1" t="s">
        <x:v>6419</x:v>
      </x:c>
      <x:c r="F381" s="1" t="s">
        <x:v>6420</x:v>
      </x:c>
      <x:c r="G381" s="1" t="s">
        <x:v>6265</x:v>
      </x:c>
    </x:row>
    <x:row r="382" ht="15" hidden="0" customHeight="1">
      <x:c r="A382" s="1" t="s">
        <x:v>4904</x:v>
      </x:c>
      <x:c r="B382" s="1" t="s">
        <x:v>6167</x:v>
      </x:c>
      <x:c r="C382" s="1" t="s">
        <x:v>4278</x:v>
      </x:c>
      <x:c r="D382" s="1" t="s">
        <x:v>5462</x:v>
      </x:c>
      <x:c r="E382" s="1" t="s">
        <x:v>6421</x:v>
      </x:c>
      <x:c r="F382" s="1" t="s">
        <x:v>6422</x:v>
      </x:c>
      <x:c r="G382" s="1" t="s">
        <x:v>6265</x:v>
      </x:c>
    </x:row>
    <x:row r="383" ht="15" hidden="0" customHeight="1">
      <x:c r="A383" s="1" t="s">
        <x:v>4904</x:v>
      </x:c>
      <x:c r="B383" s="1" t="s">
        <x:v>6167</x:v>
      </x:c>
      <x:c r="C383" s="1" t="s">
        <x:v>4786</x:v>
      </x:c>
      <x:c r="D383" s="1" t="s">
        <x:v>5462</x:v>
      </x:c>
      <x:c r="E383" s="1" t="n">
        <x:v>16</x:v>
      </x:c>
      <x:c r="F383" s="1" t="s">
        <x:v>6423</x:v>
      </x:c>
      <x:c r="G383" s="1" t="s">
        <x:v>6265</x:v>
      </x:c>
    </x:row>
    <x:row r="384" ht="15" hidden="0" customHeight="1">
      <x:c r="A384" s="1" t="s">
        <x:v>4904</x:v>
      </x:c>
      <x:c r="B384" s="1" t="s">
        <x:v>6167</x:v>
      </x:c>
      <x:c r="C384" s="1" t="s">
        <x:v>4707</x:v>
      </x:c>
      <x:c r="D384" s="1" t="s">
        <x:v>5462</x:v>
      </x:c>
      <x:c r="E384" s="1" t="n">
        <x:v>22</x:v>
      </x:c>
      <x:c r="F384" s="1" t="s">
        <x:v>6424</x:v>
      </x:c>
      <x:c r="G384" s="1" t="s">
        <x:v>6265</x:v>
      </x:c>
    </x:row>
    <x:row r="385" ht="15" hidden="0" customHeight="1">
      <x:c r="A385" s="1" t="s">
        <x:v>4904</x:v>
      </x:c>
      <x:c r="B385" s="1" t="s">
        <x:v>6167</x:v>
      </x:c>
      <x:c r="C385" s="1" t="s">
        <x:v>2598</x:v>
      </x:c>
      <x:c r="D385" s="1" t="s">
        <x:v>5462</x:v>
      </x:c>
      <x:c r="E385" s="1" t="s">
        <x:v>6425</x:v>
      </x:c>
      <x:c r="F385" s="1" t="s">
        <x:v>6426</x:v>
      </x:c>
      <x:c r="G385" s="1" t="s">
        <x:v>6265</x:v>
      </x:c>
    </x:row>
    <x:row r="386" ht="15" hidden="0" customHeight="1">
      <x:c r="A386" s="1" t="s">
        <x:v>4904</x:v>
      </x:c>
      <x:c r="B386" s="1" t="s">
        <x:v>6167</x:v>
      </x:c>
      <x:c r="C386" s="1" t="s">
        <x:v>3860</x:v>
      </x:c>
      <x:c r="D386" s="1" t="s">
        <x:v>5462</x:v>
      </x:c>
      <x:c r="E386" s="1" t="s">
        <x:v>6427</x:v>
      </x:c>
      <x:c r="F386" s="1" t="s">
        <x:v>6428</x:v>
      </x:c>
      <x:c r="G386" s="1" t="s">
        <x:v>6265</x:v>
      </x:c>
    </x:row>
    <x:row r="387" ht="15" hidden="0" customHeight="1">
      <x:c r="A387" s="1" t="s">
        <x:v>4904</x:v>
      </x:c>
      <x:c r="B387" s="1" t="s">
        <x:v>6167</x:v>
      </x:c>
      <x:c r="C387" s="1" t="s">
        <x:v>2681</x:v>
      </x:c>
      <x:c r="D387" s="1" t="s">
        <x:v>5462</x:v>
      </x:c>
      <x:c r="E387" s="1" t="s">
        <x:v>6429</x:v>
      </x:c>
      <x:c r="F387" s="1" t="s">
        <x:v>6430</x:v>
      </x:c>
      <x:c r="G387" s="1" t="s">
        <x:v>6265</x:v>
      </x:c>
    </x:row>
    <x:row r="388" ht="15" hidden="0" customHeight="1">
      <x:c r="A388" s="1" t="s">
        <x:v>4904</x:v>
      </x:c>
      <x:c r="B388" s="1" t="s">
        <x:v>6167</x:v>
      </x:c>
      <x:c r="C388" s="1" t="s">
        <x:v>839</x:v>
      </x:c>
      <x:c r="D388" s="1" t="s">
        <x:v>5462</x:v>
      </x:c>
      <x:c r="E388" s="1" t="n">
        <x:v>8</x:v>
      </x:c>
      <x:c r="F388" s="1" t="s">
        <x:v>6431</x:v>
      </x:c>
      <x:c r="G388" s="1" t="s">
        <x:v>6265</x:v>
      </x:c>
    </x:row>
    <x:row r="389" ht="15" hidden="0" customHeight="1">
      <x:c r="A389" s="1" t="s">
        <x:v>4904</x:v>
      </x:c>
      <x:c r="B389" s="1" t="s">
        <x:v>6167</x:v>
      </x:c>
      <x:c r="C389" s="1" t="s">
        <x:v>5634</x:v>
      </x:c>
      <x:c r="D389" s="1" t="s">
        <x:v>5462</x:v>
      </x:c>
      <x:c r="E389" s="1" t="n">
        <x:v>0</x:v>
      </x:c>
      <x:c r="F389" s="1" t="s">
        <x:v>6432</x:v>
      </x:c>
      <x:c r="G389" s="1" t="s">
        <x:v>6265</x:v>
      </x:c>
    </x:row>
    <x:row r="390" ht="15" hidden="0" customHeight="1">
      <x:c r="A390" s="1" t="s">
        <x:v>4904</x:v>
      </x:c>
      <x:c r="B390" s="1" t="s">
        <x:v>6167</x:v>
      </x:c>
      <x:c r="C390" s="1" t="s">
        <x:v>5636</x:v>
      </x:c>
      <x:c r="D390" s="1" t="s">
        <x:v>5462</x:v>
      </x:c>
      <x:c r="E390" s="1" t="n">
        <x:v>0</x:v>
      </x:c>
      <x:c r="F390" s="1" t="s">
        <x:v>6433</x:v>
      </x:c>
      <x:c r="G390" s="1" t="s">
        <x:v>6265</x:v>
      </x:c>
    </x:row>
    <x:row r="391" ht="15" hidden="0" customHeight="1">
      <x:c r="A391" s="1" t="s">
        <x:v>4904</x:v>
      </x:c>
      <x:c r="B391" s="1" t="s">
        <x:v>6167</x:v>
      </x:c>
      <x:c r="C391" s="1" t="s">
        <x:v>857</x:v>
      </x:c>
      <x:c r="D391" s="1" t="s">
        <x:v>5462</x:v>
      </x:c>
      <x:c r="E391" s="1" t="n">
        <x:v>6</x:v>
      </x:c>
      <x:c r="F391" s="1" t="s">
        <x:v>6434</x:v>
      </x:c>
      <x:c r="G391" s="1" t="s">
        <x:v>6265</x:v>
      </x:c>
    </x:row>
    <x:row r="392" ht="15" hidden="0" customHeight="1">
      <x:c r="A392" s="1" t="s">
        <x:v>4904</x:v>
      </x:c>
      <x:c r="B392" s="1" t="s">
        <x:v>6167</x:v>
      </x:c>
      <x:c r="C392" s="1" t="s">
        <x:v>2645</x:v>
      </x:c>
      <x:c r="D392" s="1" t="s">
        <x:v>5462</x:v>
      </x:c>
      <x:c r="E392" s="1" t="s">
        <x:v>6435</x:v>
      </x:c>
      <x:c r="F392" s="1" t="s">
        <x:v>6436</x:v>
      </x:c>
      <x:c r="G392" s="1" t="s">
        <x:v>6265</x:v>
      </x:c>
    </x:row>
    <x:row r="393" ht="15" hidden="0" customHeight="1">
      <x:c r="A393" s="1" t="s">
        <x:v>4904</x:v>
      </x:c>
      <x:c r="B393" s="1" t="s">
        <x:v>6167</x:v>
      </x:c>
      <x:c r="C393" s="1" t="s">
        <x:v>2918</x:v>
      </x:c>
      <x:c r="D393" s="1" t="s">
        <x:v>5462</x:v>
      </x:c>
      <x:c r="E393" s="1" t="s">
        <x:v>6437</x:v>
      </x:c>
      <x:c r="F393" s="1" t="s">
        <x:v>6438</x:v>
      </x:c>
      <x:c r="G393" s="1" t="s">
        <x:v>6265</x:v>
      </x:c>
    </x:row>
    <x:row r="394" ht="15" hidden="0" customHeight="1">
      <x:c r="A394" s="1" t="s">
        <x:v>4904</x:v>
      </x:c>
      <x:c r="B394" s="1" t="s">
        <x:v>6167</x:v>
      </x:c>
      <x:c r="C394" s="1" t="s">
        <x:v>2957</x:v>
      </x:c>
      <x:c r="D394" s="1" t="s">
        <x:v>5462</x:v>
      </x:c>
      <x:c r="E394" s="1" t="s">
        <x:v>6439</x:v>
      </x:c>
      <x:c r="F394" s="1" t="s">
        <x:v>6440</x:v>
      </x:c>
      <x:c r="G394" s="1" t="s">
        <x:v>6265</x:v>
      </x:c>
    </x:row>
    <x:row r="395" ht="15" hidden="0" customHeight="1">
      <x:c r="A395" s="1" t="s">
        <x:v>4904</x:v>
      </x:c>
      <x:c r="B395" s="1" t="s">
        <x:v>6167</x:v>
      </x:c>
      <x:c r="C395" s="1" t="s">
        <x:v>5142</x:v>
      </x:c>
      <x:c r="D395" s="1" t="s">
        <x:v>5462</x:v>
      </x:c>
      <x:c r="E395" s="1" t="n">
        <x:v>0</x:v>
      </x:c>
      <x:c r="F395" s="1" t="s">
        <x:v>6441</x:v>
      </x:c>
      <x:c r="G395" s="1" t="s">
        <x:v>6265</x:v>
      </x:c>
    </x:row>
    <x:row r="396" ht="15" hidden="0" customHeight="1">
      <x:c r="A396" s="1" t="s">
        <x:v>4904</x:v>
      </x:c>
      <x:c r="B396" s="1" t="s">
        <x:v>6167</x:v>
      </x:c>
      <x:c r="C396" s="1" t="s">
        <x:v>4614</x:v>
      </x:c>
      <x:c r="D396" s="1" t="s">
        <x:v>5462</x:v>
      </x:c>
      <x:c r="E396" s="1" t="n">
        <x:v>3</x:v>
      </x:c>
      <x:c r="F396" s="1" t="s">
        <x:v>6442</x:v>
      </x:c>
      <x:c r="G396" s="1" t="s">
        <x:v>6265</x:v>
      </x:c>
    </x:row>
    <x:row r="397" ht="15" hidden="0" customHeight="1">
      <x:c r="A397" s="1" t="s">
        <x:v>4904</x:v>
      </x:c>
      <x:c r="B397" s="1" t="s">
        <x:v>6167</x:v>
      </x:c>
      <x:c r="C397" s="1" t="s">
        <x:v>5171</x:v>
      </x:c>
      <x:c r="D397" s="1" t="s">
        <x:v>5462</x:v>
      </x:c>
      <x:c r="E397" s="1" t="n">
        <x:v>0</x:v>
      </x:c>
      <x:c r="F397" s="1" t="s">
        <x:v>6443</x:v>
      </x:c>
      <x:c r="G397" s="1" t="s">
        <x:v>6265</x:v>
      </x:c>
    </x:row>
    <x:row r="398" ht="15" hidden="0" customHeight="1">
      <x:c r="A398" s="1" t="s">
        <x:v>4904</x:v>
      </x:c>
      <x:c r="B398" s="1" t="s">
        <x:v>6167</x:v>
      </x:c>
      <x:c r="C398" s="1" t="s">
        <x:v>3339</x:v>
      </x:c>
      <x:c r="D398" s="1" t="s">
        <x:v>5462</x:v>
      </x:c>
      <x:c r="E398" s="1" t="s">
        <x:v>6444</x:v>
      </x:c>
      <x:c r="F398" s="1" t="s">
        <x:v>6445</x:v>
      </x:c>
      <x:c r="G398" s="1" t="s">
        <x:v>6265</x:v>
      </x:c>
    </x:row>
    <x:row r="399" ht="15" hidden="0" customHeight="1">
      <x:c r="A399" s="1" t="s">
        <x:v>4904</x:v>
      </x:c>
      <x:c r="B399" s="1" t="s">
        <x:v>6167</x:v>
      </x:c>
      <x:c r="C399" s="1" t="s">
        <x:v>538</x:v>
      </x:c>
      <x:c r="D399" s="1" t="s">
        <x:v>5462</x:v>
      </x:c>
      <x:c r="E399" s="1" t="n">
        <x:v>4</x:v>
      </x:c>
      <x:c r="F399" s="1" t="s">
        <x:v>6446</x:v>
      </x:c>
      <x:c r="G399" s="1" t="s">
        <x:v>6265</x:v>
      </x:c>
    </x:row>
    <x:row r="400" ht="15" hidden="0" customHeight="1">
      <x:c r="A400" s="1" t="s">
        <x:v>4954</x:v>
      </x:c>
      <x:c r="B400" s="1" t="s">
        <x:v>35</x:v>
      </x:c>
      <x:c r="C400" s="1" t="s">
        <x:v>2999</x:v>
      </x:c>
      <x:c r="D400" s="1" t="s">
        <x:v>6124</x:v>
      </x:c>
      <x:c r="E400" s="1" t="s">
        <x:v>30</x:v>
      </x:c>
      <x:c r="F400" s="1" t="s">
        <x:v>6159</x:v>
      </x:c>
      <x:c r="G400" s="1" t="s">
        <x:v>6447</x:v>
      </x:c>
    </x:row>
    <x:row r="401" ht="15" hidden="0" customHeight="1">
      <x:c r="A401" s="1" t="s">
        <x:v>4954</x:v>
      </x:c>
      <x:c r="B401" s="1" t="s">
        <x:v>35</x:v>
      </x:c>
      <x:c r="C401" s="1" t="s">
        <x:v>2999</x:v>
      </x:c>
      <x:c r="D401" s="1" t="s">
        <x:v>4721</x:v>
      </x:c>
      <x:c r="E401" s="1" t="s">
        <x:v>30</x:v>
      </x:c>
      <x:c r="F401" s="1" t="s">
        <x:v>6159</x:v>
      </x:c>
      <x:c r="G401" s="1" t="s">
        <x:v>6447</x:v>
      </x:c>
    </x:row>
    <x:row r="402" ht="15" hidden="0" customHeight="1">
      <x:c r="A402" s="1" t="s">
        <x:v>4954</x:v>
      </x:c>
      <x:c r="B402" s="1" t="s">
        <x:v>35</x:v>
      </x:c>
      <x:c r="C402" s="1" t="s">
        <x:v>2999</x:v>
      </x:c>
      <x:c r="D402" s="1" t="s">
        <x:v>6123</x:v>
      </x:c>
      <x:c r="E402" s="1" t="s">
        <x:v>30</x:v>
      </x:c>
      <x:c r="F402" s="1" t="s">
        <x:v>6159</x:v>
      </x:c>
      <x:c r="G402" s="1" t="s">
        <x:v>6447</x:v>
      </x:c>
    </x:row>
    <x:row r="403" ht="15" hidden="0" customHeight="1">
      <x:c r="A403" s="1" t="s">
        <x:v>4954</x:v>
      </x:c>
      <x:c r="B403" s="1" t="s">
        <x:v>35</x:v>
      </x:c>
      <x:c r="C403" s="1" t="s">
        <x:v>2999</x:v>
      </x:c>
      <x:c r="D403" s="1" t="s">
        <x:v>6149</x:v>
      </x:c>
      <x:c r="E403" s="1" t="s">
        <x:v>30</x:v>
      </x:c>
      <x:c r="F403" s="1" t="s">
        <x:v>6159</x:v>
      </x:c>
      <x:c r="G403" s="1" t="s">
        <x:v>6447</x:v>
      </x:c>
    </x:row>
    <x:row r="404" ht="15" hidden="0" customHeight="1">
      <x:c r="A404" s="1" t="s">
        <x:v>4954</x:v>
      </x:c>
      <x:c r="B404" s="1" t="s">
        <x:v>35</x:v>
      </x:c>
      <x:c r="C404" s="1" t="s">
        <x:v>2999</x:v>
      </x:c>
      <x:c r="D404" s="1" t="s">
        <x:v>4725</x:v>
      </x:c>
      <x:c r="E404" s="1" t="s">
        <x:v>30</x:v>
      </x:c>
      <x:c r="F404" s="1" t="s">
        <x:v>6159</x:v>
      </x:c>
      <x:c r="G404" s="1" t="s">
        <x:v>6447</x:v>
      </x:c>
    </x:row>
    <x:row r="405" ht="15" hidden="0" customHeight="1">
      <x:c r="A405" s="1" t="s">
        <x:v>4954</x:v>
      </x:c>
      <x:c r="B405" s="1" t="s">
        <x:v>35</x:v>
      </x:c>
      <x:c r="C405" s="1" t="s">
        <x:v>2999</x:v>
      </x:c>
      <x:c r="D405" s="1" t="s">
        <x:v>4449</x:v>
      </x:c>
      <x:c r="E405" s="1" t="s">
        <x:v>30</x:v>
      </x:c>
      <x:c r="F405" s="1" t="s">
        <x:v>6159</x:v>
      </x:c>
      <x:c r="G405" s="1" t="s">
        <x:v>6447</x:v>
      </x:c>
    </x:row>
    <x:row r="406" ht="15" hidden="0" customHeight="1">
      <x:c r="A406" s="1" t="s">
        <x:v>4954</x:v>
      </x:c>
      <x:c r="B406" s="1" t="s">
        <x:v>35</x:v>
      </x:c>
      <x:c r="C406" s="1" t="s">
        <x:v>2999</x:v>
      </x:c>
      <x:c r="D406" s="1" t="s">
        <x:v>6151</x:v>
      </x:c>
      <x:c r="E406" s="1" t="s">
        <x:v>30</x:v>
      </x:c>
      <x:c r="F406" s="1" t="s">
        <x:v>6159</x:v>
      </x:c>
      <x:c r="G406" s="1" t="s">
        <x:v>6447</x:v>
      </x:c>
    </x:row>
    <x:row r="407" ht="15" hidden="0" customHeight="1">
      <x:c r="A407" s="1" t="s">
        <x:v>4954</x:v>
      </x:c>
      <x:c r="B407" s="1" t="s">
        <x:v>35</x:v>
      </x:c>
      <x:c r="C407" s="1" t="s">
        <x:v>2999</x:v>
      </x:c>
      <x:c r="D407" s="1" t="s">
        <x:v>6155</x:v>
      </x:c>
      <x:c r="E407" s="1" t="s">
        <x:v>30</x:v>
      </x:c>
      <x:c r="F407" s="1" t="s">
        <x:v>6159</x:v>
      </x:c>
      <x:c r="G407" s="1" t="s">
        <x:v>6447</x:v>
      </x:c>
    </x:row>
    <x:row r="408" ht="15" hidden="0" customHeight="1">
      <x:c r="A408" s="1" t="s">
        <x:v>4954</x:v>
      </x:c>
      <x:c r="B408" s="1" t="s">
        <x:v>35</x:v>
      </x:c>
      <x:c r="C408" s="1" t="s">
        <x:v>2999</x:v>
      </x:c>
      <x:c r="D408" s="1" t="s">
        <x:v>6154</x:v>
      </x:c>
      <x:c r="E408" s="1" t="s">
        <x:v>30</x:v>
      </x:c>
      <x:c r="F408" s="1" t="s">
        <x:v>6159</x:v>
      </x:c>
      <x:c r="G408" s="1" t="s">
        <x:v>6447</x:v>
      </x:c>
    </x:row>
    <x:row r="409" ht="15" hidden="0" customHeight="1">
      <x:c r="A409" s="1" t="s">
        <x:v>4954</x:v>
      </x:c>
      <x:c r="B409" s="1" t="s">
        <x:v>35</x:v>
      </x:c>
      <x:c r="C409" s="1" t="s">
        <x:v>2999</x:v>
      </x:c>
      <x:c r="D409" s="1" t="s">
        <x:v>6132</x:v>
      </x:c>
      <x:c r="E409" s="1" t="s">
        <x:v>30</x:v>
      </x:c>
      <x:c r="F409" s="1" t="s">
        <x:v>6159</x:v>
      </x:c>
      <x:c r="G409" s="1" t="s">
        <x:v>6447</x:v>
      </x:c>
    </x:row>
    <x:row r="410" ht="15" hidden="0" customHeight="1">
      <x:c r="A410" s="1" t="s">
        <x:v>4954</x:v>
      </x:c>
      <x:c r="B410" s="1" t="s">
        <x:v>35</x:v>
      </x:c>
      <x:c r="C410" s="1" t="s">
        <x:v>2999</x:v>
      </x:c>
      <x:c r="D410" s="1" t="s">
        <x:v>6120</x:v>
      </x:c>
      <x:c r="E410" s="1" t="s">
        <x:v>6157</x:v>
      </x:c>
      <x:c r="F410" s="1" t="s">
        <x:v>6158</x:v>
      </x:c>
      <x:c r="G410" s="1" t="s">
        <x:v>6448</x:v>
      </x:c>
    </x:row>
    <x:row r="411" ht="15" hidden="0" customHeight="1">
      <x:c r="A411" s="1" t="s">
        <x:v>4954</x:v>
      </x:c>
      <x:c r="B411" s="1" t="s">
        <x:v>35</x:v>
      </x:c>
      <x:c r="C411" s="1" t="s">
        <x:v>2802</x:v>
      </x:c>
      <x:c r="D411" s="1" t="s">
        <x:v>6121</x:v>
      </x:c>
      <x:c r="E411" s="1" t="s">
        <x:v>30</x:v>
      </x:c>
      <x:c r="F411" s="1" t="s">
        <x:v>6159</x:v>
      </x:c>
      <x:c r="G411" s="1" t="s">
        <x:v>6447</x:v>
      </x:c>
    </x:row>
    <x:row r="412" ht="15" hidden="0" customHeight="1">
      <x:c r="A412" s="1" t="s">
        <x:v>4954</x:v>
      </x:c>
      <x:c r="B412" s="1" t="s">
        <x:v>35</x:v>
      </x:c>
      <x:c r="C412" s="1" t="s">
        <x:v>2802</x:v>
      </x:c>
      <x:c r="D412" s="1" t="s">
        <x:v>6124</x:v>
      </x:c>
      <x:c r="E412" s="1" t="s">
        <x:v>30</x:v>
      </x:c>
      <x:c r="F412" s="1" t="s">
        <x:v>6159</x:v>
      </x:c>
      <x:c r="G412" s="1" t="s">
        <x:v>6447</x:v>
      </x:c>
    </x:row>
    <x:row r="413" ht="15" hidden="0" customHeight="1">
      <x:c r="A413" s="1" t="s">
        <x:v>4954</x:v>
      </x:c>
      <x:c r="B413" s="1" t="s">
        <x:v>35</x:v>
      </x:c>
      <x:c r="C413" s="1" t="s">
        <x:v>2802</x:v>
      </x:c>
      <x:c r="D413" s="1" t="s">
        <x:v>6138</x:v>
      </x:c>
      <x:c r="E413" s="1" t="s">
        <x:v>30</x:v>
      </x:c>
      <x:c r="F413" s="1" t="s">
        <x:v>6159</x:v>
      </x:c>
      <x:c r="G413" s="1" t="s">
        <x:v>6447</x:v>
      </x:c>
    </x:row>
    <x:row r="414" ht="15" hidden="0" customHeight="1">
      <x:c r="A414" s="1" t="s">
        <x:v>4954</x:v>
      </x:c>
      <x:c r="B414" s="1" t="s">
        <x:v>35</x:v>
      </x:c>
      <x:c r="C414" s="1" t="s">
        <x:v>2802</x:v>
      </x:c>
      <x:c r="D414" s="1" t="s">
        <x:v>6149</x:v>
      </x:c>
      <x:c r="E414" s="1" t="s">
        <x:v>30</x:v>
      </x:c>
      <x:c r="F414" s="1" t="s">
        <x:v>6159</x:v>
      </x:c>
      <x:c r="G414" s="1" t="s">
        <x:v>6447</x:v>
      </x:c>
    </x:row>
    <x:row r="415" ht="15" hidden="0" customHeight="1">
      <x:c r="A415" s="1" t="s">
        <x:v>4954</x:v>
      </x:c>
      <x:c r="B415" s="1" t="s">
        <x:v>35</x:v>
      </x:c>
      <x:c r="C415" s="1" t="s">
        <x:v>2802</x:v>
      </x:c>
      <x:c r="D415" s="1" t="s">
        <x:v>6151</x:v>
      </x:c>
      <x:c r="E415" s="1" t="s">
        <x:v>30</x:v>
      </x:c>
      <x:c r="F415" s="1" t="s">
        <x:v>6159</x:v>
      </x:c>
      <x:c r="G415" s="1" t="s">
        <x:v>6447</x:v>
      </x:c>
    </x:row>
    <x:row r="416" ht="15" hidden="0" customHeight="1">
      <x:c r="A416" s="1" t="s">
        <x:v>4954</x:v>
      </x:c>
      <x:c r="B416" s="1" t="s">
        <x:v>35</x:v>
      </x:c>
      <x:c r="C416" s="1" t="s">
        <x:v>2802</x:v>
      </x:c>
      <x:c r="D416" s="1" t="s">
        <x:v>6132</x:v>
      </x:c>
      <x:c r="E416" s="1" t="s">
        <x:v>30</x:v>
      </x:c>
      <x:c r="F416" s="1" t="s">
        <x:v>32</x:v>
      </x:c>
      <x:c r="G416" s="1" t="s">
        <x:v>6447</x:v>
      </x:c>
    </x:row>
    <x:row r="417" ht="15" hidden="0" customHeight="1">
      <x:c r="A417" s="1" t="s">
        <x:v>4954</x:v>
      </x:c>
      <x:c r="B417" s="1" t="s">
        <x:v>35</x:v>
      </x:c>
      <x:c r="C417" s="1" t="s">
        <x:v>2802</x:v>
      </x:c>
      <x:c r="D417" s="1" t="s">
        <x:v>4449</x:v>
      </x:c>
      <x:c r="E417" s="1" t="s">
        <x:v>30</x:v>
      </x:c>
      <x:c r="F417" s="1" t="s">
        <x:v>32</x:v>
      </x:c>
      <x:c r="G417" s="1" t="s">
        <x:v>6447</x:v>
      </x:c>
    </x:row>
    <x:row r="418" ht="15" hidden="0" customHeight="1">
      <x:c r="A418" s="1" t="s">
        <x:v>4954</x:v>
      </x:c>
      <x:c r="B418" s="1" t="s">
        <x:v>35</x:v>
      </x:c>
      <x:c r="C418" s="1" t="s">
        <x:v>2802</x:v>
      </x:c>
      <x:c r="D418" s="1" t="s">
        <x:v>6152</x:v>
      </x:c>
      <x:c r="E418" s="1" t="s">
        <x:v>30</x:v>
      </x:c>
      <x:c r="F418" s="1" t="s">
        <x:v>6159</x:v>
      </x:c>
      <x:c r="G418" s="1" t="s">
        <x:v>6447</x:v>
      </x:c>
    </x:row>
    <x:row r="419" ht="15" hidden="0" customHeight="1">
      <x:c r="A419" s="1" t="s">
        <x:v>4954</x:v>
      </x:c>
      <x:c r="B419" s="1" t="s">
        <x:v>35</x:v>
      </x:c>
      <x:c r="C419" s="1" t="s">
        <x:v>2802</x:v>
      </x:c>
      <x:c r="D419" s="1" t="s">
        <x:v>6154</x:v>
      </x:c>
      <x:c r="E419" s="1" t="s">
        <x:v>30</x:v>
      </x:c>
      <x:c r="F419" s="1" t="s">
        <x:v>32</x:v>
      </x:c>
      <x:c r="G419" s="1" t="s">
        <x:v>6447</x:v>
      </x:c>
    </x:row>
    <x:row r="420" ht="15" hidden="0" customHeight="1">
      <x:c r="A420" s="1" t="s">
        <x:v>4954</x:v>
      </x:c>
      <x:c r="B420" s="1" t="s">
        <x:v>35</x:v>
      </x:c>
      <x:c r="C420" s="1" t="s">
        <x:v>2802</x:v>
      </x:c>
      <x:c r="D420" s="1" t="s">
        <x:v>6120</x:v>
      </x:c>
      <x:c r="E420" s="1" t="s">
        <x:v>6157</x:v>
      </x:c>
      <x:c r="F420" s="1" t="s">
        <x:v>6158</x:v>
      </x:c>
      <x:c r="G420" s="1" t="s">
        <x:v>6448</x:v>
      </x:c>
    </x:row>
    <x:row r="421" ht="15" hidden="0" customHeight="1">
      <x:c r="A421" s="1" t="s">
        <x:v>4954</x:v>
      </x:c>
      <x:c r="B421" s="1" t="s">
        <x:v>6167</x:v>
      </x:c>
      <x:c r="C421" s="1" t="s">
        <x:v>2999</x:v>
      </x:c>
      <x:c r="D421" s="1" t="s">
        <x:v>5466</x:v>
      </x:c>
      <x:c r="E421" s="1" t="s">
        <x:v>2764</x:v>
      </x:c>
      <x:c r="F421" s="1" t="s">
        <x:v>4954</x:v>
      </x:c>
      <x:c r="G421" s="1" t="s">
        <x:v>4954</x:v>
      </x:c>
    </x:row>
    <x:row r="422" ht="15" hidden="0" customHeight="1">
      <x:c r="A422" s="1" t="s">
        <x:v>4954</x:v>
      </x:c>
      <x:c r="B422" s="1" t="s">
        <x:v>6167</x:v>
      </x:c>
      <x:c r="C422" s="1" t="s">
        <x:v>2999</x:v>
      </x:c>
      <x:c r="D422" s="1" t="s">
        <x:v>5467</x:v>
      </x:c>
      <x:c r="E422" s="1" t="s">
        <x:v>5509</x:v>
      </x:c>
      <x:c r="F422" s="1" t="s">
        <x:v>5529</x:v>
      </x:c>
      <x:c r="G422" s="1" t="s">
        <x:v>4954</x:v>
      </x:c>
    </x:row>
    <x:row r="423" ht="15" hidden="0" customHeight="1">
      <x:c r="A423" s="1" t="s">
        <x:v>4954</x:v>
      </x:c>
      <x:c r="B423" s="1" t="s">
        <x:v>6167</x:v>
      </x:c>
      <x:c r="C423" s="1" t="s">
        <x:v>2802</x:v>
      </x:c>
      <x:c r="D423" s="1" t="s">
        <x:v>5466</x:v>
      </x:c>
      <x:c r="E423" s="1" t="s">
        <x:v>2764</x:v>
      </x:c>
      <x:c r="F423" s="1" t="s">
        <x:v>4954</x:v>
      </x:c>
      <x:c r="G423" s="1" t="s">
        <x:v>4954</x:v>
      </x:c>
    </x:row>
    <x:row r="424" ht="15" hidden="0" customHeight="1">
      <x:c r="A424" s="1" t="s">
        <x:v>4954</x:v>
      </x:c>
      <x:c r="B424" s="1" t="s">
        <x:v>6167</x:v>
      </x:c>
      <x:c r="C424" s="1" t="s">
        <x:v>2802</x:v>
      </x:c>
      <x:c r="D424" s="1" t="s">
        <x:v>5467</x:v>
      </x:c>
      <x:c r="E424" s="1" t="s">
        <x:v>5509</x:v>
      </x:c>
      <x:c r="F424" s="1" t="s">
        <x:v>6449</x:v>
      </x:c>
      <x:c r="G424" s="1" t="s">
        <x:v>4954</x:v>
      </x:c>
    </x:row>
    <x:row r="425" ht="15" hidden="0" customHeight="1">
      <x:c r="A425" s="1" t="s">
        <x:v>4954</x:v>
      </x:c>
      <x:c r="B425" s="1" t="s">
        <x:v>6167</x:v>
      </x:c>
      <x:c r="C425" s="1" t="s">
        <x:v>2517</x:v>
      </x:c>
      <x:c r="D425" s="1" t="s">
        <x:v>5466</x:v>
      </x:c>
      <x:c r="E425" s="1" t="s">
        <x:v>4904</x:v>
      </x:c>
      <x:c r="F425" s="1" t="s">
        <x:v>4954</x:v>
      </x:c>
      <x:c r="G425" s="1" t="s">
        <x:v>4954</x:v>
      </x:c>
    </x:row>
    <x:row r="426" ht="15" hidden="0" customHeight="1">
      <x:c r="A426" s="1" t="s">
        <x:v>4954</x:v>
      </x:c>
      <x:c r="B426" s="1" t="s">
        <x:v>6174</x:v>
      </x:c>
      <x:c r="C426" s="1" t="s">
        <x:v>2999</x:v>
      </x:c>
      <x:c r="D426" s="1" t="s">
        <x:v>98</x:v>
      </x:c>
      <x:c r="E426" s="1" t="s">
        <x:v>5730</x:v>
      </x:c>
      <x:c r="F426" s="1" t="s">
        <x:v>5767</x:v>
      </x:c>
      <x:c r="G426" s="1" t="s">
        <x:v>6450</x:v>
      </x:c>
    </x:row>
    <x:row r="427" ht="15" hidden="0" customHeight="1">
      <x:c r="A427" s="1" t="s">
        <x:v>4954</x:v>
      </x:c>
      <x:c r="B427" s="1" t="s">
        <x:v>6174</x:v>
      </x:c>
      <x:c r="C427" s="1" t="s">
        <x:v>2802</x:v>
      </x:c>
      <x:c r="D427" s="1" t="s">
        <x:v>98</x:v>
      </x:c>
      <x:c r="E427" s="1" t="s">
        <x:v>5730</x:v>
      </x:c>
      <x:c r="F427" s="1" t="s">
        <x:v>6451</x:v>
      </x:c>
      <x:c r="G427" s="1" t="s">
        <x:v>6450</x:v>
      </x:c>
    </x:row>
    <x:row r="428" ht="15" hidden="0" customHeight="1">
      <x:c r="A428" s="1" t="s">
        <x:v>4954</x:v>
      </x:c>
      <x:c r="B428" s="1" t="s">
        <x:v>6174</x:v>
      </x:c>
      <x:c r="C428" s="1" t="s">
        <x:v>2517</x:v>
      </x:c>
      <x:c r="D428" s="1" t="s">
        <x:v>98</x:v>
      </x:c>
      <x:c r="E428" s="1" t="s">
        <x:v>6237</x:v>
      </x:c>
      <x:c r="F428" s="1" t="s">
        <x:v>5920</x:v>
      </x:c>
      <x:c r="G428" s="1" t="s">
        <x:v>6450</x:v>
      </x:c>
    </x:row>
    <x:row r="429" ht="15" hidden="0" customHeight="1">
      <x:c r="A429" s="1" t="s">
        <x:v>4954</x:v>
      </x:c>
      <x:c r="B429" s="1" t="s">
        <x:v>6180</x:v>
      </x:c>
      <x:c r="C429" s="1"/>
      <x:c r="D429" s="1" t="s">
        <x:v>6184</x:v>
      </x:c>
      <x:c r="E429" s="1" t="n">
        <x:v>1</x:v>
      </x:c>
      <x:c r="F429" s="1" t="n">
        <x:v>0</x:v>
      </x:c>
      <x:c r="G429" s="1" t="s">
        <x:v>6452</x:v>
      </x:c>
    </x:row>
    <x:row r="430" ht="15" hidden="0" customHeight="1">
      <x:c r="A430" s="1" t="s">
        <x:v>4954</x:v>
      </x:c>
      <x:c r="B430" s="1" t="s">
        <x:v>6180</x:v>
      </x:c>
      <x:c r="C430" s="1"/>
      <x:c r="D430" s="1" t="s">
        <x:v>6186</x:v>
      </x:c>
      <x:c r="E430" s="1" t="n">
        <x:v>1660</x:v>
      </x:c>
      <x:c r="F430" s="1" t="n">
        <x:v>1671</x:v>
      </x:c>
      <x:c r="G430" s="1" t="s">
        <x:v>6453</x:v>
      </x:c>
    </x:row>
    <x:row r="431" ht="15" hidden="0" customHeight="1">
      <x:c r="A431" s="1" t="s">
        <x:v>4954</x:v>
      </x:c>
      <x:c r="B431" s="1" t="s">
        <x:v>6180</x:v>
      </x:c>
      <x:c r="C431" s="1"/>
      <x:c r="D431" s="1" t="s">
        <x:v>6188</x:v>
      </x:c>
      <x:c r="E431" s="1" t="n">
        <x:v>11</x:v>
      </x:c>
      <x:c r="F431" s="1" t="n">
        <x:v>33</x:v>
      </x:c>
      <x:c r="G431" s="1" t="s">
        <x:v>6454</x:v>
      </x:c>
    </x:row>
    <x:row r="432" ht="15" hidden="0" customHeight="1">
      <x:c r="A432" s="1" t="s">
        <x:v>4954</x:v>
      </x:c>
      <x:c r="B432" s="1" t="s">
        <x:v>6180</x:v>
      </x:c>
      <x:c r="C432" s="1"/>
      <x:c r="D432" s="1" t="s">
        <x:v>6190</x:v>
      </x:c>
      <x:c r="E432" s="1" t="s">
        <x:v>6242</x:v>
      </x:c>
      <x:c r="F432" s="1" t="s">
        <x:v>6455</x:v>
      </x:c>
      <x:c r="G432" s="1" t="s">
        <x:v>4954</x:v>
      </x:c>
    </x:row>
    <x:row r="433" ht="15" hidden="0" customHeight="1">
      <x:c r="A433" s="1" t="s">
        <x:v>4954</x:v>
      </x:c>
      <x:c r="B433" s="1" t="s">
        <x:v>6180</x:v>
      </x:c>
      <x:c r="C433" s="1"/>
      <x:c r="D433" s="1" t="s">
        <x:v>6193</x:v>
      </x:c>
      <x:c r="E433" s="1" t="s">
        <x:v>6255</x:v>
      </x:c>
      <x:c r="F433" s="1" t="s">
        <x:v>6456</x:v>
      </x:c>
      <x:c r="G433" s="1" t="s">
        <x:v>4954</x:v>
      </x:c>
    </x:row>
    <x:row r="434" ht="15" hidden="0" customHeight="1">
      <x:c r="A434" s="1" t="s">
        <x:v>4954</x:v>
      </x:c>
      <x:c r="B434" s="1" t="s">
        <x:v>6180</x:v>
      </x:c>
      <x:c r="C434" s="1"/>
      <x:c r="D434" s="1" t="s">
        <x:v>6198</x:v>
      </x:c>
      <x:c r="E434" s="1" t="s">
        <x:v>6257</x:v>
      </x:c>
      <x:c r="F434" s="1" t="s">
        <x:v>6457</x:v>
      </x:c>
      <x:c r="G434" s="1" t="s">
        <x:v>4954</x:v>
      </x:c>
    </x:row>
    <x:row r="435" ht="15" hidden="0" customHeight="1">
      <x:c r="A435" s="1" t="s">
        <x:v>4954</x:v>
      </x:c>
      <x:c r="B435" s="1" t="s">
        <x:v>6167</x:v>
      </x:c>
      <x:c r="C435" s="1" t="s">
        <x:v>104</x:v>
      </x:c>
      <x:c r="D435" s="1" t="s">
        <x:v>5462</x:v>
      </x:c>
      <x:c r="E435" s="1" t="s">
        <x:v>6264</x:v>
      </x:c>
      <x:c r="F435" s="1" t="s">
        <x:v>6458</x:v>
      </x:c>
      <x:c r="G435" s="1" t="s">
        <x:v>6265</x:v>
      </x:c>
    </x:row>
    <x:row r="436" ht="15" hidden="0" customHeight="1">
      <x:c r="A436" s="1" t="s">
        <x:v>4954</x:v>
      </x:c>
      <x:c r="B436" s="1" t="s">
        <x:v>6167</x:v>
      </x:c>
      <x:c r="C436" s="1" t="s">
        <x:v>194</x:v>
      </x:c>
      <x:c r="D436" s="1" t="s">
        <x:v>5462</x:v>
      </x:c>
      <x:c r="E436" s="1" t="s">
        <x:v>6266</x:v>
      </x:c>
      <x:c r="F436" s="1" t="s">
        <x:v>6459</x:v>
      </x:c>
      <x:c r="G436" s="1" t="s">
        <x:v>6265</x:v>
      </x:c>
    </x:row>
    <x:row r="437" ht="15" hidden="0" customHeight="1">
      <x:c r="A437" s="1" t="s">
        <x:v>4954</x:v>
      </x:c>
      <x:c r="B437" s="1" t="s">
        <x:v>6167</x:v>
      </x:c>
      <x:c r="C437" s="1" t="s">
        <x:v>279</x:v>
      </x:c>
      <x:c r="D437" s="1" t="s">
        <x:v>5462</x:v>
      </x:c>
      <x:c r="E437" s="1" t="s">
        <x:v>6267</x:v>
      </x:c>
      <x:c r="F437" s="1" t="s">
        <x:v>6460</x:v>
      </x:c>
      <x:c r="G437" s="1" t="s">
        <x:v>6265</x:v>
      </x:c>
    </x:row>
    <x:row r="438" ht="15" hidden="0" customHeight="1">
      <x:c r="A438" s="1" t="s">
        <x:v>4954</x:v>
      </x:c>
      <x:c r="B438" s="1" t="s">
        <x:v>6167</x:v>
      </x:c>
      <x:c r="C438" s="1" t="s">
        <x:v>356</x:v>
      </x:c>
      <x:c r="D438" s="1" t="s">
        <x:v>5462</x:v>
      </x:c>
      <x:c r="E438" s="1" t="s">
        <x:v>6268</x:v>
      </x:c>
      <x:c r="F438" s="1" t="s">
        <x:v>6461</x:v>
      </x:c>
      <x:c r="G438" s="1" t="s">
        <x:v>6265</x:v>
      </x:c>
    </x:row>
    <x:row r="439" ht="15" hidden="0" customHeight="1">
      <x:c r="A439" s="1" t="s">
        <x:v>4954</x:v>
      </x:c>
      <x:c r="B439" s="1" t="s">
        <x:v>6167</x:v>
      </x:c>
      <x:c r="C439" s="1" t="s">
        <x:v>554</x:v>
      </x:c>
      <x:c r="D439" s="1" t="s">
        <x:v>5462</x:v>
      </x:c>
      <x:c r="E439" s="1" t="s">
        <x:v>6269</x:v>
      </x:c>
      <x:c r="F439" s="1" t="s">
        <x:v>6462</x:v>
      </x:c>
      <x:c r="G439" s="1" t="s">
        <x:v>6265</x:v>
      </x:c>
    </x:row>
    <x:row r="440" ht="15" hidden="0" customHeight="1">
      <x:c r="A440" s="1" t="s">
        <x:v>4954</x:v>
      </x:c>
      <x:c r="B440" s="1" t="s">
        <x:v>6167</x:v>
      </x:c>
      <x:c r="C440" s="1" t="s">
        <x:v>431</x:v>
      </x:c>
      <x:c r="D440" s="1" t="s">
        <x:v>5462</x:v>
      </x:c>
      <x:c r="E440" s="1" t="s">
        <x:v>6270</x:v>
      </x:c>
      <x:c r="F440" s="1" t="s">
        <x:v>6463</x:v>
      </x:c>
      <x:c r="G440" s="1" t="s">
        <x:v>6265</x:v>
      </x:c>
    </x:row>
    <x:row r="441" ht="15" hidden="0" customHeight="1">
      <x:c r="A441" s="1" t="s">
        <x:v>4954</x:v>
      </x:c>
      <x:c r="B441" s="1" t="s">
        <x:v>6167</x:v>
      </x:c>
      <x:c r="C441" s="1" t="s">
        <x:v>875</x:v>
      </x:c>
      <x:c r="D441" s="1" t="s">
        <x:v>5462</x:v>
      </x:c>
      <x:c r="E441" s="1" t="s">
        <x:v>6272</x:v>
      </x:c>
      <x:c r="F441" s="1" t="s">
        <x:v>6464</x:v>
      </x:c>
      <x:c r="G441" s="1" t="s">
        <x:v>6265</x:v>
      </x:c>
    </x:row>
    <x:row r="442" ht="15" hidden="0" customHeight="1">
      <x:c r="A442" s="1" t="s">
        <x:v>4954</x:v>
      </x:c>
      <x:c r="B442" s="1" t="s">
        <x:v>6167</x:v>
      </x:c>
      <x:c r="C442" s="1" t="s">
        <x:v>1107</x:v>
      </x:c>
      <x:c r="D442" s="1" t="s">
        <x:v>5462</x:v>
      </x:c>
      <x:c r="E442" s="1" t="s">
        <x:v>6274</x:v>
      </x:c>
      <x:c r="F442" s="1" t="s">
        <x:v>6465</x:v>
      </x:c>
      <x:c r="G442" s="1" t="s">
        <x:v>6265</x:v>
      </x:c>
    </x:row>
    <x:row r="443" ht="15" hidden="0" customHeight="1">
      <x:c r="A443" s="1" t="s">
        <x:v>4954</x:v>
      </x:c>
      <x:c r="B443" s="1" t="s">
        <x:v>6167</x:v>
      </x:c>
      <x:c r="C443" s="1" t="s">
        <x:v>1197</x:v>
      </x:c>
      <x:c r="D443" s="1" t="s">
        <x:v>5462</x:v>
      </x:c>
      <x:c r="E443" s="1" t="s">
        <x:v>6276</x:v>
      </x:c>
      <x:c r="F443" s="1" t="s">
        <x:v>6466</x:v>
      </x:c>
      <x:c r="G443" s="1" t="s">
        <x:v>6265</x:v>
      </x:c>
    </x:row>
    <x:row r="444" ht="15" hidden="0" customHeight="1">
      <x:c r="A444" s="1" t="s">
        <x:v>4954</x:v>
      </x:c>
      <x:c r="B444" s="1" t="s">
        <x:v>6167</x:v>
      </x:c>
      <x:c r="C444" s="1" t="s">
        <x:v>1279</x:v>
      </x:c>
      <x:c r="D444" s="1" t="s">
        <x:v>5462</x:v>
      </x:c>
      <x:c r="E444" s="1" t="s">
        <x:v>6278</x:v>
      </x:c>
      <x:c r="F444" s="1" t="s">
        <x:v>6467</x:v>
      </x:c>
      <x:c r="G444" s="1" t="s">
        <x:v>6265</x:v>
      </x:c>
    </x:row>
    <x:row r="445" ht="15" hidden="0" customHeight="1">
      <x:c r="A445" s="1" t="s">
        <x:v>4954</x:v>
      </x:c>
      <x:c r="B445" s="1" t="s">
        <x:v>6167</x:v>
      </x:c>
      <x:c r="C445" s="1" t="s">
        <x:v>1466</x:v>
      </x:c>
      <x:c r="D445" s="1" t="s">
        <x:v>5462</x:v>
      </x:c>
      <x:c r="E445" s="1" t="s">
        <x:v>6280</x:v>
      </x:c>
      <x:c r="F445" s="1" t="s">
        <x:v>6468</x:v>
      </x:c>
      <x:c r="G445" s="1" t="s">
        <x:v>6265</x:v>
      </x:c>
    </x:row>
    <x:row r="446" ht="15" hidden="0" customHeight="1">
      <x:c r="A446" s="1" t="s">
        <x:v>4954</x:v>
      </x:c>
      <x:c r="B446" s="1" t="s">
        <x:v>6167</x:v>
      </x:c>
      <x:c r="C446" s="1" t="s">
        <x:v>5501</x:v>
      </x:c>
      <x:c r="D446" s="1" t="s">
        <x:v>5462</x:v>
      </x:c>
      <x:c r="E446" s="1" t="s">
        <x:v>6281</x:v>
      </x:c>
      <x:c r="F446" s="1" t="s">
        <x:v>6469</x:v>
      </x:c>
      <x:c r="G446" s="1" t="s">
        <x:v>6265</x:v>
      </x:c>
    </x:row>
    <x:row r="447" ht="15" hidden="0" customHeight="1">
      <x:c r="A447" s="1" t="s">
        <x:v>4954</x:v>
      </x:c>
      <x:c r="B447" s="1" t="s">
        <x:v>6167</x:v>
      </x:c>
      <x:c r="C447" s="1" t="s">
        <x:v>4629</x:v>
      </x:c>
      <x:c r="D447" s="1" t="s">
        <x:v>5462</x:v>
      </x:c>
      <x:c r="E447" s="1" t="s">
        <x:v>6282</x:v>
      </x:c>
      <x:c r="F447" s="1" t="s">
        <x:v>6470</x:v>
      </x:c>
      <x:c r="G447" s="1" t="s">
        <x:v>6265</x:v>
      </x:c>
    </x:row>
    <x:row r="448" ht="15" hidden="0" customHeight="1">
      <x:c r="A448" s="1" t="s">
        <x:v>4954</x:v>
      </x:c>
      <x:c r="B448" s="1" t="s">
        <x:v>6167</x:v>
      </x:c>
      <x:c r="C448" s="1" t="s">
        <x:v>3426</x:v>
      </x:c>
      <x:c r="D448" s="1" t="s">
        <x:v>5462</x:v>
      </x:c>
      <x:c r="E448" s="1" t="s">
        <x:v>6284</x:v>
      </x:c>
      <x:c r="F448" s="1" t="s">
        <x:v>6471</x:v>
      </x:c>
      <x:c r="G448" s="1" t="s">
        <x:v>6265</x:v>
      </x:c>
    </x:row>
    <x:row r="449" ht="15" hidden="0" customHeight="1">
      <x:c r="A449" s="1" t="s">
        <x:v>4954</x:v>
      </x:c>
      <x:c r="B449" s="1" t="s">
        <x:v>6167</x:v>
      </x:c>
      <x:c r="C449" s="1" t="s">
        <x:v>5101</x:v>
      </x:c>
      <x:c r="D449" s="1" t="s">
        <x:v>5462</x:v>
      </x:c>
      <x:c r="E449" s="1" t="s">
        <x:v>6285</x:v>
      </x:c>
      <x:c r="F449" s="1" t="s">
        <x:v>6472</x:v>
      </x:c>
      <x:c r="G449" s="1" t="s">
        <x:v>6265</x:v>
      </x:c>
    </x:row>
    <x:row r="450" ht="15" hidden="0" customHeight="1">
      <x:c r="A450" s="1" t="s">
        <x:v>4954</x:v>
      </x:c>
      <x:c r="B450" s="1" t="s">
        <x:v>6167</x:v>
      </x:c>
      <x:c r="C450" s="1" t="s">
        <x:v>1703</x:v>
      </x:c>
      <x:c r="D450" s="1" t="s">
        <x:v>5462</x:v>
      </x:c>
      <x:c r="E450" s="1" t="s">
        <x:v>6287</x:v>
      </x:c>
      <x:c r="F450" s="1" t="s">
        <x:v>6473</x:v>
      </x:c>
      <x:c r="G450" s="1" t="s">
        <x:v>6265</x:v>
      </x:c>
    </x:row>
    <x:row r="451" ht="15" hidden="0" customHeight="1">
      <x:c r="A451" s="1" t="s">
        <x:v>4954</x:v>
      </x:c>
      <x:c r="B451" s="1" t="s">
        <x:v>6167</x:v>
      </x:c>
      <x:c r="C451" s="1" t="s">
        <x:v>4916</x:v>
      </x:c>
      <x:c r="D451" s="1" t="s">
        <x:v>5462</x:v>
      </x:c>
      <x:c r="E451" s="1" t="s">
        <x:v>6288</x:v>
      </x:c>
      <x:c r="F451" s="1" t="s">
        <x:v>6474</x:v>
      </x:c>
      <x:c r="G451" s="1" t="s">
        <x:v>6265</x:v>
      </x:c>
    </x:row>
    <x:row r="452" ht="15" hidden="0" customHeight="1">
      <x:c r="A452" s="1" t="s">
        <x:v>4954</x:v>
      </x:c>
      <x:c r="B452" s="1" t="s">
        <x:v>6167</x:v>
      </x:c>
      <x:c r="C452" s="1" t="s">
        <x:v>1730</x:v>
      </x:c>
      <x:c r="D452" s="1" t="s">
        <x:v>5462</x:v>
      </x:c>
      <x:c r="E452" s="1" t="s">
        <x:v>6290</x:v>
      </x:c>
      <x:c r="F452" s="1" t="s">
        <x:v>6475</x:v>
      </x:c>
      <x:c r="G452" s="1" t="s">
        <x:v>6265</x:v>
      </x:c>
    </x:row>
    <x:row r="453" ht="15" hidden="0" customHeight="1">
      <x:c r="A453" s="1" t="s">
        <x:v>4954</x:v>
      </x:c>
      <x:c r="B453" s="1" t="s">
        <x:v>6167</x:v>
      </x:c>
      <x:c r="C453" s="1" t="s">
        <x:v>2425</x:v>
      </x:c>
      <x:c r="D453" s="1" t="s">
        <x:v>5462</x:v>
      </x:c>
      <x:c r="E453" s="1" t="s">
        <x:v>6292</x:v>
      </x:c>
      <x:c r="F453" s="1" t="s">
        <x:v>6476</x:v>
      </x:c>
      <x:c r="G453" s="1" t="s">
        <x:v>6265</x:v>
      </x:c>
    </x:row>
    <x:row r="454" ht="15" hidden="0" customHeight="1">
      <x:c r="A454" s="1" t="s">
        <x:v>4954</x:v>
      </x:c>
      <x:c r="B454" s="1" t="s">
        <x:v>6167</x:v>
      </x:c>
      <x:c r="C454" s="1" t="s">
        <x:v>3443</x:v>
      </x:c>
      <x:c r="D454" s="1" t="s">
        <x:v>5462</x:v>
      </x:c>
      <x:c r="E454" s="1" t="s">
        <x:v>6294</x:v>
      </x:c>
      <x:c r="F454" s="1" t="s">
        <x:v>6477</x:v>
      </x:c>
      <x:c r="G454" s="1" t="s">
        <x:v>6265</x:v>
      </x:c>
    </x:row>
    <x:row r="455" ht="15" hidden="0" customHeight="1">
      <x:c r="A455" s="1" t="s">
        <x:v>4954</x:v>
      </x:c>
      <x:c r="B455" s="1" t="s">
        <x:v>6167</x:v>
      </x:c>
      <x:c r="C455" s="1" t="s">
        <x:v>4553</x:v>
      </x:c>
      <x:c r="D455" s="1" t="s">
        <x:v>5462</x:v>
      </x:c>
      <x:c r="E455" s="1" t="s">
        <x:v>6295</x:v>
      </x:c>
      <x:c r="F455" s="1" t="s">
        <x:v>6478</x:v>
      </x:c>
      <x:c r="G455" s="1" t="s">
        <x:v>6265</x:v>
      </x:c>
    </x:row>
    <x:row r="456" ht="15" hidden="0" customHeight="1">
      <x:c r="A456" s="1" t="s">
        <x:v>4954</x:v>
      </x:c>
      <x:c r="B456" s="1" t="s">
        <x:v>6167</x:v>
      </x:c>
      <x:c r="C456" s="1" t="s">
        <x:v>4570</x:v>
      </x:c>
      <x:c r="D456" s="1" t="s">
        <x:v>5462</x:v>
      </x:c>
      <x:c r="E456" s="1" t="s">
        <x:v>6296</x:v>
      </x:c>
      <x:c r="F456" s="1" t="s">
        <x:v>6479</x:v>
      </x:c>
      <x:c r="G456" s="1" t="s">
        <x:v>6265</x:v>
      </x:c>
    </x:row>
    <x:row r="457" ht="15" hidden="0" customHeight="1">
      <x:c r="A457" s="1" t="s">
        <x:v>4954</x:v>
      </x:c>
      <x:c r="B457" s="1" t="s">
        <x:v>6167</x:v>
      </x:c>
      <x:c r="C457" s="1" t="s">
        <x:v>2444</x:v>
      </x:c>
      <x:c r="D457" s="1" t="s">
        <x:v>5462</x:v>
      </x:c>
      <x:c r="E457" s="1" t="s">
        <x:v>6298</x:v>
      </x:c>
      <x:c r="F457" s="1" t="s">
        <x:v>6480</x:v>
      </x:c>
      <x:c r="G457" s="1" t="s">
        <x:v>6265</x:v>
      </x:c>
    </x:row>
    <x:row r="458" ht="15" hidden="0" customHeight="1">
      <x:c r="A458" s="1" t="s">
        <x:v>4954</x:v>
      </x:c>
      <x:c r="B458" s="1" t="s">
        <x:v>6167</x:v>
      </x:c>
      <x:c r="C458" s="1" t="s">
        <x:v>5151</x:v>
      </x:c>
      <x:c r="D458" s="1" t="s">
        <x:v>5462</x:v>
      </x:c>
      <x:c r="E458" s="1" t="s">
        <x:v>6299</x:v>
      </x:c>
      <x:c r="F458" s="1" t="s">
        <x:v>6481</x:v>
      </x:c>
      <x:c r="G458" s="1" t="s">
        <x:v>6265</x:v>
      </x:c>
    </x:row>
    <x:row r="459" ht="15" hidden="0" customHeight="1">
      <x:c r="A459" s="1" t="s">
        <x:v>4954</x:v>
      </x:c>
      <x:c r="B459" s="1" t="s">
        <x:v>6167</x:v>
      </x:c>
      <x:c r="C459" s="1" t="s">
        <x:v>573</x:v>
      </x:c>
      <x:c r="D459" s="1" t="s">
        <x:v>5462</x:v>
      </x:c>
      <x:c r="E459" s="1" t="s">
        <x:v>6300</x:v>
      </x:c>
      <x:c r="F459" s="1" t="s">
        <x:v>6482</x:v>
      </x:c>
      <x:c r="G459" s="1" t="s">
        <x:v>6265</x:v>
      </x:c>
    </x:row>
    <x:row r="460" ht="15" hidden="0" customHeight="1">
      <x:c r="A460" s="1" t="s">
        <x:v>4954</x:v>
      </x:c>
      <x:c r="B460" s="1" t="s">
        <x:v>6167</x:v>
      </x:c>
      <x:c r="C460" s="1" t="s">
        <x:v>628</x:v>
      </x:c>
      <x:c r="D460" s="1" t="s">
        <x:v>5462</x:v>
      </x:c>
      <x:c r="E460" s="1" t="s">
        <x:v>6301</x:v>
      </x:c>
      <x:c r="F460" s="1" t="s">
        <x:v>6483</x:v>
      </x:c>
      <x:c r="G460" s="1" t="s">
        <x:v>6265</x:v>
      </x:c>
    </x:row>
    <x:row r="461" ht="15" hidden="0" customHeight="1">
      <x:c r="A461" s="1" t="s">
        <x:v>4954</x:v>
      </x:c>
      <x:c r="B461" s="1" t="s">
        <x:v>6167</x:v>
      </x:c>
      <x:c r="C461" s="1" t="s">
        <x:v>1614</x:v>
      </x:c>
      <x:c r="D461" s="1" t="s">
        <x:v>5462</x:v>
      </x:c>
      <x:c r="E461" s="1" t="s">
        <x:v>6303</x:v>
      </x:c>
      <x:c r="F461" s="1" t="s">
        <x:v>6484</x:v>
      </x:c>
      <x:c r="G461" s="1" t="s">
        <x:v>6265</x:v>
      </x:c>
    </x:row>
    <x:row r="462" ht="15" hidden="0" customHeight="1">
      <x:c r="A462" s="1" t="s">
        <x:v>4954</x:v>
      </x:c>
      <x:c r="B462" s="1" t="s">
        <x:v>6167</x:v>
      </x:c>
      <x:c r="C462" s="1" t="s">
        <x:v>2999</x:v>
      </x:c>
      <x:c r="D462" s="1" t="s">
        <x:v>5462</x:v>
      </x:c>
      <x:c r="E462" s="1" t="s">
        <x:v>6305</x:v>
      </x:c>
      <x:c r="F462" s="1" t="s">
        <x:v>6485</x:v>
      </x:c>
      <x:c r="G462" s="1" t="s">
        <x:v>6265</x:v>
      </x:c>
    </x:row>
    <x:row r="463" ht="15" hidden="0" customHeight="1">
      <x:c r="A463" s="1" t="s">
        <x:v>4954</x:v>
      </x:c>
      <x:c r="B463" s="1" t="s">
        <x:v>6167</x:v>
      </x:c>
      <x:c r="C463" s="1" t="s">
        <x:v>2138</x:v>
      </x:c>
      <x:c r="D463" s="1" t="s">
        <x:v>5462</x:v>
      </x:c>
      <x:c r="E463" s="1" t="s">
        <x:v>6307</x:v>
      </x:c>
      <x:c r="F463" s="1" t="s">
        <x:v>6486</x:v>
      </x:c>
      <x:c r="G463" s="1" t="s">
        <x:v>6265</x:v>
      </x:c>
    </x:row>
    <x:row r="464" ht="15" hidden="0" customHeight="1">
      <x:c r="A464" s="1" t="s">
        <x:v>4954</x:v>
      </x:c>
      <x:c r="B464" s="1" t="s">
        <x:v>6167</x:v>
      </x:c>
      <x:c r="C464" s="1" t="s">
        <x:v>2874</x:v>
      </x:c>
      <x:c r="D464" s="1" t="s">
        <x:v>5462</x:v>
      </x:c>
      <x:c r="E464" s="1" t="s">
        <x:v>6309</x:v>
      </x:c>
      <x:c r="F464" s="1" t="s">
        <x:v>6487</x:v>
      </x:c>
      <x:c r="G464" s="1" t="s">
        <x:v>6265</x:v>
      </x:c>
    </x:row>
    <x:row r="465" ht="15" hidden="0" customHeight="1">
      <x:c r="A465" s="1" t="s">
        <x:v>4954</x:v>
      </x:c>
      <x:c r="B465" s="1" t="s">
        <x:v>6167</x:v>
      </x:c>
      <x:c r="C465" s="1" t="s">
        <x:v>2181</x:v>
      </x:c>
      <x:c r="D465" s="1" t="s">
        <x:v>5462</x:v>
      </x:c>
      <x:c r="E465" s="1" t="s">
        <x:v>6311</x:v>
      </x:c>
      <x:c r="F465" s="1" t="s">
        <x:v>6488</x:v>
      </x:c>
      <x:c r="G465" s="1" t="s">
        <x:v>6265</x:v>
      </x:c>
    </x:row>
    <x:row r="466" ht="15" hidden="0" customHeight="1">
      <x:c r="A466" s="1" t="s">
        <x:v>4954</x:v>
      </x:c>
      <x:c r="B466" s="1" t="s">
        <x:v>6167</x:v>
      </x:c>
      <x:c r="C466" s="1" t="s">
        <x:v>1812</x:v>
      </x:c>
      <x:c r="D466" s="1" t="s">
        <x:v>5462</x:v>
      </x:c>
      <x:c r="E466" s="1" t="s">
        <x:v>6313</x:v>
      </x:c>
      <x:c r="F466" s="1" t="s">
        <x:v>6489</x:v>
      </x:c>
      <x:c r="G466" s="1" t="s">
        <x:v>6265</x:v>
      </x:c>
    </x:row>
    <x:row r="467" ht="15" hidden="0" customHeight="1">
      <x:c r="A467" s="1" t="s">
        <x:v>4954</x:v>
      </x:c>
      <x:c r="B467" s="1" t="s">
        <x:v>6167</x:v>
      </x:c>
      <x:c r="C467" s="1" t="s">
        <x:v>1845</x:v>
      </x:c>
      <x:c r="D467" s="1" t="s">
        <x:v>5462</x:v>
      </x:c>
      <x:c r="E467" s="1" t="s">
        <x:v>6315</x:v>
      </x:c>
      <x:c r="F467" s="1" t="s">
        <x:v>6490</x:v>
      </x:c>
      <x:c r="G467" s="1" t="s">
        <x:v>6265</x:v>
      </x:c>
    </x:row>
    <x:row r="468" ht="15" hidden="0" customHeight="1">
      <x:c r="A468" s="1" t="s">
        <x:v>4954</x:v>
      </x:c>
      <x:c r="B468" s="1" t="s">
        <x:v>6167</x:v>
      </x:c>
      <x:c r="C468" s="1" t="s">
        <x:v>661</x:v>
      </x:c>
      <x:c r="D468" s="1" t="s">
        <x:v>5462</x:v>
      </x:c>
      <x:c r="E468" s="1" t="s">
        <x:v>6316</x:v>
      </x:c>
      <x:c r="F468" s="1" t="s">
        <x:v>6491</x:v>
      </x:c>
      <x:c r="G468" s="1" t="s">
        <x:v>6265</x:v>
      </x:c>
    </x:row>
    <x:row r="469" ht="15" hidden="0" customHeight="1">
      <x:c r="A469" s="1" t="s">
        <x:v>4954</x:v>
      </x:c>
      <x:c r="B469" s="1" t="s">
        <x:v>6167</x:v>
      </x:c>
      <x:c r="C469" s="1" t="s">
        <x:v>675</x:v>
      </x:c>
      <x:c r="D469" s="1" t="s">
        <x:v>5462</x:v>
      </x:c>
      <x:c r="E469" s="1" t="s">
        <x:v>6317</x:v>
      </x:c>
      <x:c r="F469" s="1" t="s">
        <x:v>6492</x:v>
      </x:c>
      <x:c r="G469" s="1" t="s">
        <x:v>6265</x:v>
      </x:c>
    </x:row>
    <x:row r="470" ht="15" hidden="0" customHeight="1">
      <x:c r="A470" s="1" t="s">
        <x:v>4954</x:v>
      </x:c>
      <x:c r="B470" s="1" t="s">
        <x:v>6167</x:v>
      </x:c>
      <x:c r="C470" s="1" t="s">
        <x:v>1871</x:v>
      </x:c>
      <x:c r="D470" s="1" t="s">
        <x:v>5462</x:v>
      </x:c>
      <x:c r="E470" s="1" t="s">
        <x:v>6319</x:v>
      </x:c>
      <x:c r="F470" s="1" t="s">
        <x:v>6493</x:v>
      </x:c>
      <x:c r="G470" s="1" t="s">
        <x:v>6265</x:v>
      </x:c>
    </x:row>
    <x:row r="471" ht="15" hidden="0" customHeight="1">
      <x:c r="A471" s="1" t="s">
        <x:v>4954</x:v>
      </x:c>
      <x:c r="B471" s="1" t="s">
        <x:v>6167</x:v>
      </x:c>
      <x:c r="C471" s="1" t="s">
        <x:v>688</x:v>
      </x:c>
      <x:c r="D471" s="1" t="s">
        <x:v>5462</x:v>
      </x:c>
      <x:c r="E471" s="1" t="s">
        <x:v>6320</x:v>
      </x:c>
      <x:c r="F471" s="1" t="s">
        <x:v>6494</x:v>
      </x:c>
      <x:c r="G471" s="1" t="s">
        <x:v>6265</x:v>
      </x:c>
    </x:row>
    <x:row r="472" ht="15" hidden="0" customHeight="1">
      <x:c r="A472" s="1" t="s">
        <x:v>4954</x:v>
      </x:c>
      <x:c r="B472" s="1" t="s">
        <x:v>6167</x:v>
      </x:c>
      <x:c r="C472" s="1" t="s">
        <x:v>2760</x:v>
      </x:c>
      <x:c r="D472" s="1" t="s">
        <x:v>5462</x:v>
      </x:c>
      <x:c r="E472" s="1" t="s">
        <x:v>6322</x:v>
      </x:c>
      <x:c r="F472" s="1" t="s">
        <x:v>6495</x:v>
      </x:c>
      <x:c r="G472" s="1" t="s">
        <x:v>6265</x:v>
      </x:c>
    </x:row>
    <x:row r="473" ht="15" hidden="0" customHeight="1">
      <x:c r="A473" s="1" t="s">
        <x:v>4954</x:v>
      </x:c>
      <x:c r="B473" s="1" t="s">
        <x:v>6167</x:v>
      </x:c>
      <x:c r="C473" s="1" t="s">
        <x:v>1910</x:v>
      </x:c>
      <x:c r="D473" s="1" t="s">
        <x:v>5462</x:v>
      </x:c>
      <x:c r="E473" s="1" t="s">
        <x:v>6324</x:v>
      </x:c>
      <x:c r="F473" s="1" t="s">
        <x:v>6496</x:v>
      </x:c>
      <x:c r="G473" s="1" t="s">
        <x:v>6265</x:v>
      </x:c>
    </x:row>
    <x:row r="474" ht="15" hidden="0" customHeight="1">
      <x:c r="A474" s="1" t="s">
        <x:v>4954</x:v>
      </x:c>
      <x:c r="B474" s="1" t="s">
        <x:v>6167</x:v>
      </x:c>
      <x:c r="C474" s="1" t="s">
        <x:v>477</x:v>
      </x:c>
      <x:c r="D474" s="1" t="s">
        <x:v>5462</x:v>
      </x:c>
      <x:c r="E474" s="1" t="s">
        <x:v>6325</x:v>
      </x:c>
      <x:c r="F474" s="1" t="s">
        <x:v>6497</x:v>
      </x:c>
      <x:c r="G474" s="1" t="s">
        <x:v>6265</x:v>
      </x:c>
    </x:row>
    <x:row r="475" ht="15" hidden="0" customHeight="1">
      <x:c r="A475" s="1" t="s">
        <x:v>4954</x:v>
      </x:c>
      <x:c r="B475" s="1" t="s">
        <x:v>6167</x:v>
      </x:c>
      <x:c r="C475" s="1" t="s">
        <x:v>5111</x:v>
      </x:c>
      <x:c r="D475" s="1" t="s">
        <x:v>5462</x:v>
      </x:c>
      <x:c r="E475" s="1" t="s">
        <x:v>6326</x:v>
      </x:c>
      <x:c r="F475" s="1" t="s">
        <x:v>6498</x:v>
      </x:c>
      <x:c r="G475" s="1" t="s">
        <x:v>6265</x:v>
      </x:c>
    </x:row>
    <x:row r="476" ht="15" hidden="0" customHeight="1">
      <x:c r="A476" s="1" t="s">
        <x:v>4954</x:v>
      </x:c>
      <x:c r="B476" s="1" t="s">
        <x:v>6167</x:v>
      </x:c>
      <x:c r="C476" s="1" t="s">
        <x:v>3993</x:v>
      </x:c>
      <x:c r="D476" s="1" t="s">
        <x:v>5462</x:v>
      </x:c>
      <x:c r="E476" s="1" t="s">
        <x:v>6328</x:v>
      </x:c>
      <x:c r="F476" s="1" t="s">
        <x:v>6499</x:v>
      </x:c>
      <x:c r="G476" s="1" t="s">
        <x:v>6265</x:v>
      </x:c>
    </x:row>
    <x:row r="477" ht="15" hidden="0" customHeight="1">
      <x:c r="A477" s="1" t="s">
        <x:v>4954</x:v>
      </x:c>
      <x:c r="B477" s="1" t="s">
        <x:v>6167</x:v>
      </x:c>
      <x:c r="C477" s="1" t="s">
        <x:v>1754</x:v>
      </x:c>
      <x:c r="D477" s="1" t="s">
        <x:v>5462</x:v>
      </x:c>
      <x:c r="E477" s="1" t="s">
        <x:v>6330</x:v>
      </x:c>
      <x:c r="F477" s="1" t="s">
        <x:v>6500</x:v>
      </x:c>
      <x:c r="G477" s="1" t="s">
        <x:v>6265</x:v>
      </x:c>
    </x:row>
    <x:row r="478" ht="15" hidden="0" customHeight="1">
      <x:c r="A478" s="1" t="s">
        <x:v>4954</x:v>
      </x:c>
      <x:c r="B478" s="1" t="s">
        <x:v>6167</x:v>
      </x:c>
      <x:c r="C478" s="1" t="s">
        <x:v>1932</x:v>
      </x:c>
      <x:c r="D478" s="1" t="s">
        <x:v>5462</x:v>
      </x:c>
      <x:c r="E478" s="1" t="s">
        <x:v>6332</x:v>
      </x:c>
      <x:c r="F478" s="1" t="s">
        <x:v>6501</x:v>
      </x:c>
      <x:c r="G478" s="1" t="s">
        <x:v>6265</x:v>
      </x:c>
    </x:row>
    <x:row r="479" ht="15" hidden="0" customHeight="1">
      <x:c r="A479" s="1" t="s">
        <x:v>4954</x:v>
      </x:c>
      <x:c r="B479" s="1" t="s">
        <x:v>6167</x:v>
      </x:c>
      <x:c r="C479" s="1" t="s">
        <x:v>2802</x:v>
      </x:c>
      <x:c r="D479" s="1" t="s">
        <x:v>5462</x:v>
      </x:c>
      <x:c r="E479" s="1" t="s">
        <x:v>6334</x:v>
      </x:c>
      <x:c r="F479" s="1" t="s">
        <x:v>6502</x:v>
      </x:c>
      <x:c r="G479" s="1" t="s">
        <x:v>6265</x:v>
      </x:c>
    </x:row>
    <x:row r="480" ht="15" hidden="0" customHeight="1">
      <x:c r="A480" s="1" t="s">
        <x:v>4954</x:v>
      </x:c>
      <x:c r="B480" s="1" t="s">
        <x:v>6167</x:v>
      </x:c>
      <x:c r="C480" s="1" t="s">
        <x:v>3808</x:v>
      </x:c>
      <x:c r="D480" s="1" t="s">
        <x:v>5462</x:v>
      </x:c>
      <x:c r="E480" s="1" t="s">
        <x:v>6336</x:v>
      </x:c>
      <x:c r="F480" s="1" t="s">
        <x:v>6503</x:v>
      </x:c>
      <x:c r="G480" s="1" t="s">
        <x:v>6265</x:v>
      </x:c>
    </x:row>
    <x:row r="481" ht="15" hidden="0" customHeight="1">
      <x:c r="A481" s="1" t="s">
        <x:v>4954</x:v>
      </x:c>
      <x:c r="B481" s="1" t="s">
        <x:v>6167</x:v>
      </x:c>
      <x:c r="C481" s="1" t="s">
        <x:v>5123</x:v>
      </x:c>
      <x:c r="D481" s="1" t="s">
        <x:v>5462</x:v>
      </x:c>
      <x:c r="E481" s="1" t="s">
        <x:v>6337</x:v>
      </x:c>
      <x:c r="F481" s="1" t="s">
        <x:v>6504</x:v>
      </x:c>
      <x:c r="G481" s="1" t="s">
        <x:v>6265</x:v>
      </x:c>
    </x:row>
    <x:row r="482" ht="15" hidden="0" customHeight="1">
      <x:c r="A482" s="1" t="s">
        <x:v>4954</x:v>
      </x:c>
      <x:c r="B482" s="1" t="s">
        <x:v>6167</x:v>
      </x:c>
      <x:c r="C482" s="1" t="s">
        <x:v>3649</x:v>
      </x:c>
      <x:c r="D482" s="1" t="s">
        <x:v>5462</x:v>
      </x:c>
      <x:c r="E482" s="1" t="s">
        <x:v>6339</x:v>
      </x:c>
      <x:c r="F482" s="1" t="s">
        <x:v>6505</x:v>
      </x:c>
      <x:c r="G482" s="1" t="s">
        <x:v>6265</x:v>
      </x:c>
    </x:row>
    <x:row r="483" ht="15" hidden="0" customHeight="1">
      <x:c r="A483" s="1" t="s">
        <x:v>4954</x:v>
      </x:c>
      <x:c r="B483" s="1" t="s">
        <x:v>6167</x:v>
      </x:c>
      <x:c r="C483" s="1" t="s">
        <x:v>3721</x:v>
      </x:c>
      <x:c r="D483" s="1" t="s">
        <x:v>5462</x:v>
      </x:c>
      <x:c r="E483" s="1" t="s">
        <x:v>6341</x:v>
      </x:c>
      <x:c r="F483" s="1" t="s">
        <x:v>6506</x:v>
      </x:c>
      <x:c r="G483" s="1" t="s">
        <x:v>6265</x:v>
      </x:c>
    </x:row>
    <x:row r="484" ht="15" hidden="0" customHeight="1">
      <x:c r="A484" s="1" t="s">
        <x:v>4954</x:v>
      </x:c>
      <x:c r="B484" s="1" t="s">
        <x:v>6167</x:v>
      </x:c>
      <x:c r="C484" s="1" t="s">
        <x:v>3466</x:v>
      </x:c>
      <x:c r="D484" s="1" t="s">
        <x:v>5462</x:v>
      </x:c>
      <x:c r="E484" s="1" t="s">
        <x:v>6343</x:v>
      </x:c>
      <x:c r="F484" s="1" t="s">
        <x:v>6507</x:v>
      </x:c>
      <x:c r="G484" s="1" t="s">
        <x:v>6265</x:v>
      </x:c>
    </x:row>
    <x:row r="485" ht="15" hidden="0" customHeight="1">
      <x:c r="A485" s="1" t="s">
        <x:v>4954</x:v>
      </x:c>
      <x:c r="B485" s="1" t="s">
        <x:v>6167</x:v>
      </x:c>
      <x:c r="C485" s="1" t="s">
        <x:v>3668</x:v>
      </x:c>
      <x:c r="D485" s="1" t="s">
        <x:v>5462</x:v>
      </x:c>
      <x:c r="E485" s="1" t="s">
        <x:v>6345</x:v>
      </x:c>
      <x:c r="F485" s="1" t="s">
        <x:v>6508</x:v>
      </x:c>
      <x:c r="G485" s="1" t="s">
        <x:v>6265</x:v>
      </x:c>
    </x:row>
    <x:row r="486" ht="15" hidden="0" customHeight="1">
      <x:c r="A486" s="1" t="s">
        <x:v>4954</x:v>
      </x:c>
      <x:c r="B486" s="1" t="s">
        <x:v>6167</x:v>
      </x:c>
      <x:c r="C486" s="1" t="s">
        <x:v>3759</x:v>
      </x:c>
      <x:c r="D486" s="1" t="s">
        <x:v>5462</x:v>
      </x:c>
      <x:c r="E486" s="1" t="s">
        <x:v>6347</x:v>
      </x:c>
      <x:c r="F486" s="1" t="s">
        <x:v>6509</x:v>
      </x:c>
      <x:c r="G486" s="1" t="s">
        <x:v>6265</x:v>
      </x:c>
    </x:row>
    <x:row r="487" ht="15" hidden="0" customHeight="1">
      <x:c r="A487" s="1" t="s">
        <x:v>4954</x:v>
      </x:c>
      <x:c r="B487" s="1" t="s">
        <x:v>6167</x:v>
      </x:c>
      <x:c r="C487" s="1" t="s">
        <x:v>5559</x:v>
      </x:c>
      <x:c r="D487" s="1" t="s">
        <x:v>5462</x:v>
      </x:c>
      <x:c r="E487" s="1" t="s">
        <x:v>6348</x:v>
      </x:c>
      <x:c r="F487" s="1" t="s">
        <x:v>6510</x:v>
      </x:c>
      <x:c r="G487" s="1" t="s">
        <x:v>6265</x:v>
      </x:c>
    </x:row>
    <x:row r="488" ht="15" hidden="0" customHeight="1">
      <x:c r="A488" s="1" t="s">
        <x:v>4954</x:v>
      </x:c>
      <x:c r="B488" s="1" t="s">
        <x:v>6167</x:v>
      </x:c>
      <x:c r="C488" s="1" t="s">
        <x:v>5134</x:v>
      </x:c>
      <x:c r="D488" s="1" t="s">
        <x:v>5462</x:v>
      </x:c>
      <x:c r="E488" s="1" t="s">
        <x:v>6349</x:v>
      </x:c>
      <x:c r="F488" s="1" t="s">
        <x:v>6511</x:v>
      </x:c>
      <x:c r="G488" s="1" t="s">
        <x:v>6265</x:v>
      </x:c>
    </x:row>
    <x:row r="489" ht="15" hidden="0" customHeight="1">
      <x:c r="A489" s="1" t="s">
        <x:v>4954</x:v>
      </x:c>
      <x:c r="B489" s="1" t="s">
        <x:v>6167</x:v>
      </x:c>
      <x:c r="C489" s="1" t="s">
        <x:v>5160</x:v>
      </x:c>
      <x:c r="D489" s="1" t="s">
        <x:v>5462</x:v>
      </x:c>
      <x:c r="E489" s="1" t="s">
        <x:v>6350</x:v>
      </x:c>
      <x:c r="F489" s="1" t="s">
        <x:v>6512</x:v>
      </x:c>
      <x:c r="G489" s="1" t="s">
        <x:v>6265</x:v>
      </x:c>
    </x:row>
    <x:row r="490" ht="15" hidden="0" customHeight="1">
      <x:c r="A490" s="1" t="s">
        <x:v>4954</x:v>
      </x:c>
      <x:c r="B490" s="1" t="s">
        <x:v>6167</x:v>
      </x:c>
      <x:c r="C490" s="1" t="s">
        <x:v>3191</x:v>
      </x:c>
      <x:c r="D490" s="1" t="s">
        <x:v>5462</x:v>
      </x:c>
      <x:c r="E490" s="1" t="s">
        <x:v>6352</x:v>
      </x:c>
      <x:c r="F490" s="1" t="s">
        <x:v>6513</x:v>
      </x:c>
      <x:c r="G490" s="1" t="s">
        <x:v>6265</x:v>
      </x:c>
    </x:row>
    <x:row r="491" ht="15" hidden="0" customHeight="1">
      <x:c r="A491" s="1" t="s">
        <x:v>4954</x:v>
      </x:c>
      <x:c r="B491" s="1" t="s">
        <x:v>6167</x:v>
      </x:c>
      <x:c r="C491" s="1" t="s">
        <x:v>3207</x:v>
      </x:c>
      <x:c r="D491" s="1" t="s">
        <x:v>5462</x:v>
      </x:c>
      <x:c r="E491" s="1" t="s">
        <x:v>6354</x:v>
      </x:c>
      <x:c r="F491" s="1" t="s">
        <x:v>6514</x:v>
      </x:c>
      <x:c r="G491" s="1" t="s">
        <x:v>6265</x:v>
      </x:c>
    </x:row>
    <x:row r="492" ht="15" hidden="0" customHeight="1">
      <x:c r="A492" s="1" t="s">
        <x:v>4954</x:v>
      </x:c>
      <x:c r="B492" s="1" t="s">
        <x:v>6167</x:v>
      </x:c>
      <x:c r="C492" s="1" t="s">
        <x:v>4585</x:v>
      </x:c>
      <x:c r="D492" s="1" t="s">
        <x:v>5462</x:v>
      </x:c>
      <x:c r="E492" s="1" t="s">
        <x:v>6355</x:v>
      </x:c>
      <x:c r="F492" s="1" t="s">
        <x:v>6515</x:v>
      </x:c>
      <x:c r="G492" s="1" t="s">
        <x:v>6265</x:v>
      </x:c>
    </x:row>
    <x:row r="493" ht="15" hidden="0" customHeight="1">
      <x:c r="A493" s="1" t="s">
        <x:v>4954</x:v>
      </x:c>
      <x:c r="B493" s="1" t="s">
        <x:v>6167</x:v>
      </x:c>
      <x:c r="C493" s="1" t="s">
        <x:v>715</x:v>
      </x:c>
      <x:c r="D493" s="1" t="s">
        <x:v>5462</x:v>
      </x:c>
      <x:c r="E493" s="1" t="s">
        <x:v>6356</x:v>
      </x:c>
      <x:c r="F493" s="1" t="s">
        <x:v>6516</x:v>
      </x:c>
      <x:c r="G493" s="1" t="s">
        <x:v>6265</x:v>
      </x:c>
    </x:row>
    <x:row r="494" ht="15" hidden="0" customHeight="1">
      <x:c r="A494" s="1" t="s">
        <x:v>4954</x:v>
      </x:c>
      <x:c r="B494" s="1" t="s">
        <x:v>6167</x:v>
      </x:c>
      <x:c r="C494" s="1" t="s">
        <x:v>1980</x:v>
      </x:c>
      <x:c r="D494" s="1" t="s">
        <x:v>5462</x:v>
      </x:c>
      <x:c r="E494" s="1" t="s">
        <x:v>6358</x:v>
      </x:c>
      <x:c r="F494" s="1" t="s">
        <x:v>6517</x:v>
      </x:c>
      <x:c r="G494" s="1" t="s">
        <x:v>6265</x:v>
      </x:c>
    </x:row>
    <x:row r="495" ht="15" hidden="0" customHeight="1">
      <x:c r="A495" s="1" t="s">
        <x:v>4954</x:v>
      </x:c>
      <x:c r="B495" s="1" t="s">
        <x:v>6167</x:v>
      </x:c>
      <x:c r="C495" s="1" t="s">
        <x:v>3535</x:v>
      </x:c>
      <x:c r="D495" s="1" t="s">
        <x:v>5462</x:v>
      </x:c>
      <x:c r="E495" s="1" t="s">
        <x:v>6360</x:v>
      </x:c>
      <x:c r="F495" s="1" t="s">
        <x:v>6518</x:v>
      </x:c>
      <x:c r="G495" s="1" t="s">
        <x:v>6265</x:v>
      </x:c>
    </x:row>
    <x:row r="496" ht="15" hidden="0" customHeight="1">
      <x:c r="A496" s="1" t="s">
        <x:v>4954</x:v>
      </x:c>
      <x:c r="B496" s="1" t="s">
        <x:v>6167</x:v>
      </x:c>
      <x:c r="C496" s="1" t="s">
        <x:v>730</x:v>
      </x:c>
      <x:c r="D496" s="1" t="s">
        <x:v>5462</x:v>
      </x:c>
      <x:c r="E496" s="1" t="s">
        <x:v>6361</x:v>
      </x:c>
      <x:c r="F496" s="1" t="s">
        <x:v>6519</x:v>
      </x:c>
      <x:c r="G496" s="1" t="s">
        <x:v>6265</x:v>
      </x:c>
    </x:row>
    <x:row r="497" ht="15" hidden="0" customHeight="1">
      <x:c r="A497" s="1" t="s">
        <x:v>4954</x:v>
      </x:c>
      <x:c r="B497" s="1" t="s">
        <x:v>6167</x:v>
      </x:c>
      <x:c r="C497" s="1" t="s">
        <x:v>752</x:v>
      </x:c>
      <x:c r="D497" s="1" t="s">
        <x:v>5462</x:v>
      </x:c>
      <x:c r="E497" s="1" t="s">
        <x:v>6362</x:v>
      </x:c>
      <x:c r="F497" s="1" t="s">
        <x:v>6520</x:v>
      </x:c>
      <x:c r="G497" s="1" t="s">
        <x:v>6265</x:v>
      </x:c>
    </x:row>
    <x:row r="498" ht="15" hidden="0" customHeight="1">
      <x:c r="A498" s="1" t="s">
        <x:v>4954</x:v>
      </x:c>
      <x:c r="B498" s="1" t="s">
        <x:v>6167</x:v>
      </x:c>
      <x:c r="C498" s="1" t="s">
        <x:v>781</x:v>
      </x:c>
      <x:c r="D498" s="1" t="s">
        <x:v>5462</x:v>
      </x:c>
      <x:c r="E498" s="1" t="s">
        <x:v>6363</x:v>
      </x:c>
      <x:c r="F498" s="1" t="s">
        <x:v>6521</x:v>
      </x:c>
      <x:c r="G498" s="1" t="s">
        <x:v>6265</x:v>
      </x:c>
    </x:row>
    <x:row r="499" ht="15" hidden="0" customHeight="1">
      <x:c r="A499" s="1" t="s">
        <x:v>4954</x:v>
      </x:c>
      <x:c r="B499" s="1" t="s">
        <x:v>6167</x:v>
      </x:c>
      <x:c r="C499" s="1" t="s">
        <x:v>2227</x:v>
      </x:c>
      <x:c r="D499" s="1" t="s">
        <x:v>5462</x:v>
      </x:c>
      <x:c r="E499" s="1" t="s">
        <x:v>6365</x:v>
      </x:c>
      <x:c r="F499" s="1" t="s">
        <x:v>6522</x:v>
      </x:c>
      <x:c r="G499" s="1" t="s">
        <x:v>6265</x:v>
      </x:c>
    </x:row>
    <x:row r="500" ht="15" hidden="0" customHeight="1">
      <x:c r="A500" s="1" t="s">
        <x:v>4954</x:v>
      </x:c>
      <x:c r="B500" s="1" t="s">
        <x:v>6167</x:v>
      </x:c>
      <x:c r="C500" s="1" t="s">
        <x:v>2268</x:v>
      </x:c>
      <x:c r="D500" s="1" t="s">
        <x:v>5462</x:v>
      </x:c>
      <x:c r="E500" s="1" t="s">
        <x:v>6367</x:v>
      </x:c>
      <x:c r="F500" s="1" t="s">
        <x:v>6523</x:v>
      </x:c>
      <x:c r="G500" s="1" t="s">
        <x:v>6265</x:v>
      </x:c>
    </x:row>
    <x:row r="501" ht="15" hidden="0" customHeight="1">
      <x:c r="A501" s="1" t="s">
        <x:v>4954</x:v>
      </x:c>
      <x:c r="B501" s="1" t="s">
        <x:v>6167</x:v>
      </x:c>
      <x:c r="C501" s="1" t="s">
        <x:v>3142</x:v>
      </x:c>
      <x:c r="D501" s="1" t="s">
        <x:v>5462</x:v>
      </x:c>
      <x:c r="E501" s="1" t="s">
        <x:v>6369</x:v>
      </x:c>
      <x:c r="F501" s="1" t="s">
        <x:v>6524</x:v>
      </x:c>
      <x:c r="G501" s="1" t="s">
        <x:v>6265</x:v>
      </x:c>
    </x:row>
    <x:row r="502" ht="15" hidden="0" customHeight="1">
      <x:c r="A502" s="1" t="s">
        <x:v>4954</x:v>
      </x:c>
      <x:c r="B502" s="1" t="s">
        <x:v>6167</x:v>
      </x:c>
      <x:c r="C502" s="1" t="s">
        <x:v>2025</x:v>
      </x:c>
      <x:c r="D502" s="1" t="s">
        <x:v>5462</x:v>
      </x:c>
      <x:c r="E502" s="1" t="s">
        <x:v>6371</x:v>
      </x:c>
      <x:c r="F502" s="1" t="s">
        <x:v>6525</x:v>
      </x:c>
      <x:c r="G502" s="1" t="s">
        <x:v>6265</x:v>
      </x:c>
    </x:row>
    <x:row r="503" ht="15" hidden="0" customHeight="1">
      <x:c r="A503" s="1" t="s">
        <x:v>4954</x:v>
      </x:c>
      <x:c r="B503" s="1" t="s">
        <x:v>6167</x:v>
      </x:c>
      <x:c r="C503" s="1" t="s">
        <x:v>5580</x:v>
      </x:c>
      <x:c r="D503" s="1" t="s">
        <x:v>5462</x:v>
      </x:c>
      <x:c r="E503" s="1" t="s">
        <x:v>6372</x:v>
      </x:c>
      <x:c r="F503" s="1" t="s">
        <x:v>6526</x:v>
      </x:c>
      <x:c r="G503" s="1" t="s">
        <x:v>6265</x:v>
      </x:c>
    </x:row>
    <x:row r="504" ht="15" hidden="0" customHeight="1">
      <x:c r="A504" s="1" t="s">
        <x:v>4954</x:v>
      </x:c>
      <x:c r="B504" s="1" t="s">
        <x:v>6167</x:v>
      </x:c>
      <x:c r="C504" s="1" t="s">
        <x:v>5583</x:v>
      </x:c>
      <x:c r="D504" s="1" t="s">
        <x:v>5462</x:v>
      </x:c>
      <x:c r="E504" s="1" t="s">
        <x:v>6373</x:v>
      </x:c>
      <x:c r="F504" s="1" t="s">
        <x:v>6527</x:v>
      </x:c>
      <x:c r="G504" s="1" t="s">
        <x:v>6265</x:v>
      </x:c>
    </x:row>
    <x:row r="505" ht="15" hidden="0" customHeight="1">
      <x:c r="A505" s="1" t="s">
        <x:v>4954</x:v>
      </x:c>
      <x:c r="B505" s="1" t="s">
        <x:v>6167</x:v>
      </x:c>
      <x:c r="C505" s="1" t="s">
        <x:v>5585</x:v>
      </x:c>
      <x:c r="D505" s="1" t="s">
        <x:v>5462</x:v>
      </x:c>
      <x:c r="E505" s="1" t="s">
        <x:v>6374</x:v>
      </x:c>
      <x:c r="F505" s="1" t="s">
        <x:v>6528</x:v>
      </x:c>
      <x:c r="G505" s="1" t="s">
        <x:v>6265</x:v>
      </x:c>
    </x:row>
    <x:row r="506" ht="15" hidden="0" customHeight="1">
      <x:c r="A506" s="1" t="s">
        <x:v>4954</x:v>
      </x:c>
      <x:c r="B506" s="1" t="s">
        <x:v>6167</x:v>
      </x:c>
      <x:c r="C506" s="1" t="s">
        <x:v>5587</x:v>
      </x:c>
      <x:c r="D506" s="1" t="s">
        <x:v>5462</x:v>
      </x:c>
      <x:c r="E506" s="1" t="s">
        <x:v>6375</x:v>
      </x:c>
      <x:c r="F506" s="1" t="s">
        <x:v>6529</x:v>
      </x:c>
      <x:c r="G506" s="1" t="s">
        <x:v>6265</x:v>
      </x:c>
    </x:row>
    <x:row r="507" ht="15" hidden="0" customHeight="1">
      <x:c r="A507" s="1" t="s">
        <x:v>4954</x:v>
      </x:c>
      <x:c r="B507" s="1" t="s">
        <x:v>6167</x:v>
      </x:c>
      <x:c r="C507" s="1" t="s">
        <x:v>5589</x:v>
      </x:c>
      <x:c r="D507" s="1" t="s">
        <x:v>5462</x:v>
      </x:c>
      <x:c r="E507" s="1" t="s">
        <x:v>6376</x:v>
      </x:c>
      <x:c r="F507" s="1" t="s">
        <x:v>6530</x:v>
      </x:c>
      <x:c r="G507" s="1" t="s">
        <x:v>6265</x:v>
      </x:c>
    </x:row>
    <x:row r="508" ht="15" hidden="0" customHeight="1">
      <x:c r="A508" s="1" t="s">
        <x:v>4954</x:v>
      </x:c>
      <x:c r="B508" s="1" t="s">
        <x:v>6167</x:v>
      </x:c>
      <x:c r="C508" s="1" t="s">
        <x:v>2830</x:v>
      </x:c>
      <x:c r="D508" s="1" t="s">
        <x:v>5462</x:v>
      </x:c>
      <x:c r="E508" s="1" t="s">
        <x:v>6378</x:v>
      </x:c>
      <x:c r="F508" s="1" t="s">
        <x:v>6531</x:v>
      </x:c>
      <x:c r="G508" s="1" t="s">
        <x:v>6265</x:v>
      </x:c>
    </x:row>
    <x:row r="509" ht="15" hidden="0" customHeight="1">
      <x:c r="A509" s="1" t="s">
        <x:v>4954</x:v>
      </x:c>
      <x:c r="B509" s="1" t="s">
        <x:v>6167</x:v>
      </x:c>
      <x:c r="C509" s="1" t="s">
        <x:v>2306</x:v>
      </x:c>
      <x:c r="D509" s="1" t="s">
        <x:v>5462</x:v>
      </x:c>
      <x:c r="E509" s="1" t="s">
        <x:v>6380</x:v>
      </x:c>
      <x:c r="F509" s="1" t="s">
        <x:v>6532</x:v>
      </x:c>
      <x:c r="G509" s="1" t="s">
        <x:v>6265</x:v>
      </x:c>
    </x:row>
    <x:row r="510" ht="15" hidden="0" customHeight="1">
      <x:c r="A510" s="1" t="s">
        <x:v>4954</x:v>
      </x:c>
      <x:c r="B510" s="1" t="s">
        <x:v>6167</x:v>
      </x:c>
      <x:c r="C510" s="1" t="s">
        <x:v>2554</x:v>
      </x:c>
      <x:c r="D510" s="1" t="s">
        <x:v>5462</x:v>
      </x:c>
      <x:c r="E510" s="1" t="s">
        <x:v>6382</x:v>
      </x:c>
      <x:c r="F510" s="1" t="s">
        <x:v>6533</x:v>
      </x:c>
      <x:c r="G510" s="1" t="s">
        <x:v>6265</x:v>
      </x:c>
    </x:row>
    <x:row r="511" ht="15" hidden="0" customHeight="1">
      <x:c r="A511" s="1" t="s">
        <x:v>4954</x:v>
      </x:c>
      <x:c r="B511" s="1" t="s">
        <x:v>6167</x:v>
      </x:c>
      <x:c r="C511" s="1" t="s">
        <x:v>4833</x:v>
      </x:c>
      <x:c r="D511" s="1" t="s">
        <x:v>5462</x:v>
      </x:c>
      <x:c r="E511" s="1" t="s">
        <x:v>6383</x:v>
      </x:c>
      <x:c r="F511" s="1" t="s">
        <x:v>6534</x:v>
      </x:c>
      <x:c r="G511" s="1" t="s">
        <x:v>6265</x:v>
      </x:c>
    </x:row>
    <x:row r="512" ht="15" hidden="0" customHeight="1">
      <x:c r="A512" s="1" t="s">
        <x:v>4954</x:v>
      </x:c>
      <x:c r="B512" s="1" t="s">
        <x:v>6167</x:v>
      </x:c>
      <x:c r="C512" s="1" t="s">
        <x:v>3247</x:v>
      </x:c>
      <x:c r="D512" s="1" t="s">
        <x:v>5462</x:v>
      </x:c>
      <x:c r="E512" s="1" t="s">
        <x:v>6385</x:v>
      </x:c>
      <x:c r="F512" s="1" t="s">
        <x:v>6535</x:v>
      </x:c>
      <x:c r="G512" s="1" t="s">
        <x:v>6265</x:v>
      </x:c>
    </x:row>
    <x:row r="513" ht="15" hidden="0" customHeight="1">
      <x:c r="A513" s="1" t="s">
        <x:v>4954</x:v>
      </x:c>
      <x:c r="B513" s="1" t="s">
        <x:v>6167</x:v>
      </x:c>
      <x:c r="C513" s="1" t="s">
        <x:v>3296</x:v>
      </x:c>
      <x:c r="D513" s="1" t="s">
        <x:v>5462</x:v>
      </x:c>
      <x:c r="E513" s="1" t="s">
        <x:v>6387</x:v>
      </x:c>
      <x:c r="F513" s="1" t="s">
        <x:v>6536</x:v>
      </x:c>
      <x:c r="G513" s="1" t="s">
        <x:v>6265</x:v>
      </x:c>
    </x:row>
    <x:row r="514" ht="15" hidden="0" customHeight="1">
      <x:c r="A514" s="1" t="s">
        <x:v>4954</x:v>
      </x:c>
      <x:c r="B514" s="1" t="s">
        <x:v>6167</x:v>
      </x:c>
      <x:c r="C514" s="1" t="s">
        <x:v>3029</x:v>
      </x:c>
      <x:c r="D514" s="1" t="s">
        <x:v>5462</x:v>
      </x:c>
      <x:c r="E514" s="1" t="s">
        <x:v>6389</x:v>
      </x:c>
      <x:c r="F514" s="1" t="s">
        <x:v>6537</x:v>
      </x:c>
      <x:c r="G514" s="1" t="s">
        <x:v>6265</x:v>
      </x:c>
    </x:row>
    <x:row r="515" ht="15" hidden="0" customHeight="1">
      <x:c r="A515" s="1" t="s">
        <x:v>4954</x:v>
      </x:c>
      <x:c r="B515" s="1" t="s">
        <x:v>6167</x:v>
      </x:c>
      <x:c r="C515" s="1" t="s">
        <x:v>3064</x:v>
      </x:c>
      <x:c r="D515" s="1" t="s">
        <x:v>5462</x:v>
      </x:c>
      <x:c r="E515" s="1" t="s">
        <x:v>6391</x:v>
      </x:c>
      <x:c r="F515" s="1" t="s">
        <x:v>6538</x:v>
      </x:c>
      <x:c r="G515" s="1" t="s">
        <x:v>6265</x:v>
      </x:c>
    </x:row>
    <x:row r="516" ht="15" hidden="0" customHeight="1">
      <x:c r="A516" s="1" t="s">
        <x:v>4954</x:v>
      </x:c>
      <x:c r="B516" s="1" t="s">
        <x:v>6167</x:v>
      </x:c>
      <x:c r="C516" s="1" t="s">
        <x:v>2344</x:v>
      </x:c>
      <x:c r="D516" s="1" t="s">
        <x:v>5462</x:v>
      </x:c>
      <x:c r="E516" s="1" t="s">
        <x:v>6393</x:v>
      </x:c>
      <x:c r="F516" s="1" t="s">
        <x:v>6539</x:v>
      </x:c>
      <x:c r="G516" s="1" t="s">
        <x:v>6265</x:v>
      </x:c>
    </x:row>
    <x:row r="517" ht="15" hidden="0" customHeight="1">
      <x:c r="A517" s="1" t="s">
        <x:v>4954</x:v>
      </x:c>
      <x:c r="B517" s="1" t="s">
        <x:v>6167</x:v>
      </x:c>
      <x:c r="C517" s="1" t="s">
        <x:v>3375</x:v>
      </x:c>
      <x:c r="D517" s="1" t="s">
        <x:v>5462</x:v>
      </x:c>
      <x:c r="E517" s="1" t="s">
        <x:v>6395</x:v>
      </x:c>
      <x:c r="F517" s="1" t="s">
        <x:v>6540</x:v>
      </x:c>
      <x:c r="G517" s="1" t="s">
        <x:v>6265</x:v>
      </x:c>
    </x:row>
    <x:row r="518" ht="15" hidden="0" customHeight="1">
      <x:c r="A518" s="1" t="s">
        <x:v>4954</x:v>
      </x:c>
      <x:c r="B518" s="1" t="s">
        <x:v>6167</x:v>
      </x:c>
      <x:c r="C518" s="1" t="s">
        <x:v>3106</x:v>
      </x:c>
      <x:c r="D518" s="1" t="s">
        <x:v>5462</x:v>
      </x:c>
      <x:c r="E518" s="1" t="s">
        <x:v>6397</x:v>
      </x:c>
      <x:c r="F518" s="1" t="s">
        <x:v>6541</x:v>
      </x:c>
      <x:c r="G518" s="1" t="s">
        <x:v>6265</x:v>
      </x:c>
    </x:row>
    <x:row r="519" ht="15" hidden="0" customHeight="1">
      <x:c r="A519" s="1" t="s">
        <x:v>4954</x:v>
      </x:c>
      <x:c r="B519" s="1" t="s">
        <x:v>6167</x:v>
      </x:c>
      <x:c r="C519" s="1" t="s">
        <x:v>4068</x:v>
      </x:c>
      <x:c r="D519" s="1" t="s">
        <x:v>5462</x:v>
      </x:c>
      <x:c r="E519" s="1" t="s">
        <x:v>6399</x:v>
      </x:c>
      <x:c r="F519" s="1" t="s">
        <x:v>6542</x:v>
      </x:c>
      <x:c r="G519" s="1" t="s">
        <x:v>6265</x:v>
      </x:c>
    </x:row>
    <x:row r="520" ht="15" hidden="0" customHeight="1">
      <x:c r="A520" s="1" t="s">
        <x:v>4954</x:v>
      </x:c>
      <x:c r="B520" s="1" t="s">
        <x:v>6167</x:v>
      </x:c>
      <x:c r="C520" s="1" t="s">
        <x:v>3600</x:v>
      </x:c>
      <x:c r="D520" s="1" t="s">
        <x:v>5462</x:v>
      </x:c>
      <x:c r="E520" s="1" t="s">
        <x:v>6401</x:v>
      </x:c>
      <x:c r="F520" s="1" t="s">
        <x:v>6543</x:v>
      </x:c>
      <x:c r="G520" s="1" t="s">
        <x:v>6265</x:v>
      </x:c>
    </x:row>
    <x:row r="521" ht="15" hidden="0" customHeight="1">
      <x:c r="A521" s="1" t="s">
        <x:v>4954</x:v>
      </x:c>
      <x:c r="B521" s="1" t="s">
        <x:v>6167</x:v>
      </x:c>
      <x:c r="C521" s="1" t="s">
        <x:v>2461</x:v>
      </x:c>
      <x:c r="D521" s="1" t="s">
        <x:v>5462</x:v>
      </x:c>
      <x:c r="E521" s="1" t="s">
        <x:v>6403</x:v>
      </x:c>
      <x:c r="F521" s="1" t="s">
        <x:v>6544</x:v>
      </x:c>
      <x:c r="G521" s="1" t="s">
        <x:v>6265</x:v>
      </x:c>
    </x:row>
    <x:row r="522" ht="15" hidden="0" customHeight="1">
      <x:c r="A522" s="1" t="s">
        <x:v>4954</x:v>
      </x:c>
      <x:c r="B522" s="1" t="s">
        <x:v>6167</x:v>
      </x:c>
      <x:c r="C522" s="1" t="s">
        <x:v>2492</x:v>
      </x:c>
      <x:c r="D522" s="1" t="s">
        <x:v>5462</x:v>
      </x:c>
      <x:c r="E522" s="1" t="s">
        <x:v>6405</x:v>
      </x:c>
      <x:c r="F522" s="1" t="s">
        <x:v>6545</x:v>
      </x:c>
      <x:c r="G522" s="1" t="s">
        <x:v>6265</x:v>
      </x:c>
    </x:row>
    <x:row r="523" ht="15" hidden="0" customHeight="1">
      <x:c r="A523" s="1" t="s">
        <x:v>4954</x:v>
      </x:c>
      <x:c r="B523" s="1" t="s">
        <x:v>6167</x:v>
      </x:c>
      <x:c r="C523" s="1" t="s">
        <x:v>2517</x:v>
      </x:c>
      <x:c r="D523" s="1" t="s">
        <x:v>5462</x:v>
      </x:c>
      <x:c r="E523" s="1" t="s">
        <x:v>6407</x:v>
      </x:c>
      <x:c r="F523" s="1" t="s">
        <x:v>6546</x:v>
      </x:c>
      <x:c r="G523" s="1" t="s">
        <x:v>6265</x:v>
      </x:c>
    </x:row>
    <x:row r="524" ht="15" hidden="0" customHeight="1">
      <x:c r="A524" s="1" t="s">
        <x:v>4954</x:v>
      </x:c>
      <x:c r="B524" s="1" t="s">
        <x:v>6167</x:v>
      </x:c>
      <x:c r="C524" s="1" t="s">
        <x:v>812</x:v>
      </x:c>
      <x:c r="D524" s="1" t="s">
        <x:v>5462</x:v>
      </x:c>
      <x:c r="E524" s="1" t="s">
        <x:v>6408</x:v>
      </x:c>
      <x:c r="F524" s="1" t="s">
        <x:v>6547</x:v>
      </x:c>
      <x:c r="G524" s="1" t="s">
        <x:v>6265</x:v>
      </x:c>
    </x:row>
    <x:row r="525" ht="15" hidden="0" customHeight="1">
      <x:c r="A525" s="1" t="s">
        <x:v>4954</x:v>
      </x:c>
      <x:c r="B525" s="1" t="s">
        <x:v>6167</x:v>
      </x:c>
      <x:c r="C525" s="1" t="s">
        <x:v>2390</x:v>
      </x:c>
      <x:c r="D525" s="1" t="s">
        <x:v>5462</x:v>
      </x:c>
      <x:c r="E525" s="1" t="s">
        <x:v>6410</x:v>
      </x:c>
      <x:c r="F525" s="1" t="s">
        <x:v>6548</x:v>
      </x:c>
      <x:c r="G525" s="1" t="s">
        <x:v>6265</x:v>
      </x:c>
    </x:row>
    <x:row r="526" ht="15" hidden="0" customHeight="1">
      <x:c r="A526" s="1" t="s">
        <x:v>4954</x:v>
      </x:c>
      <x:c r="B526" s="1" t="s">
        <x:v>6167</x:v>
      </x:c>
      <x:c r="C526" s="1" t="s">
        <x:v>3163</x:v>
      </x:c>
      <x:c r="D526" s="1" t="s">
        <x:v>5462</x:v>
      </x:c>
      <x:c r="E526" s="1" t="s">
        <x:v>6412</x:v>
      </x:c>
      <x:c r="F526" s="1" t="s">
        <x:v>6549</x:v>
      </x:c>
      <x:c r="G526" s="1" t="s">
        <x:v>6265</x:v>
      </x:c>
    </x:row>
    <x:row r="527" ht="15" hidden="0" customHeight="1">
      <x:c r="A527" s="1" t="s">
        <x:v>4954</x:v>
      </x:c>
      <x:c r="B527" s="1" t="s">
        <x:v>6167</x:v>
      </x:c>
      <x:c r="C527" s="1" t="s">
        <x:v>4482</x:v>
      </x:c>
      <x:c r="D527" s="1" t="s">
        <x:v>5462</x:v>
      </x:c>
      <x:c r="E527" s="1" t="s">
        <x:v>6413</x:v>
      </x:c>
      <x:c r="F527" s="1" t="s">
        <x:v>6550</x:v>
      </x:c>
      <x:c r="G527" s="1" t="s">
        <x:v>6265</x:v>
      </x:c>
    </x:row>
    <x:row r="528" ht="15" hidden="0" customHeight="1">
      <x:c r="A528" s="1" t="s">
        <x:v>4954</x:v>
      </x:c>
      <x:c r="B528" s="1" t="s">
        <x:v>6167</x:v>
      </x:c>
      <x:c r="C528" s="1" t="s">
        <x:v>2084</x:v>
      </x:c>
      <x:c r="D528" s="1" t="s">
        <x:v>5462</x:v>
      </x:c>
      <x:c r="E528" s="1" t="s">
        <x:v>6415</x:v>
      </x:c>
      <x:c r="F528" s="1" t="s">
        <x:v>6551</x:v>
      </x:c>
      <x:c r="G528" s="1" t="s">
        <x:v>6265</x:v>
      </x:c>
    </x:row>
    <x:row r="529" ht="15" hidden="0" customHeight="1">
      <x:c r="A529" s="1" t="s">
        <x:v>4954</x:v>
      </x:c>
      <x:c r="B529" s="1" t="s">
        <x:v>6167</x:v>
      </x:c>
      <x:c r="C529" s="1" t="s">
        <x:v>4336</x:v>
      </x:c>
      <x:c r="D529" s="1" t="s">
        <x:v>5462</x:v>
      </x:c>
      <x:c r="E529" s="1" t="s">
        <x:v>6416</x:v>
      </x:c>
      <x:c r="F529" s="1" t="s">
        <x:v>6552</x:v>
      </x:c>
      <x:c r="G529" s="1" t="s">
        <x:v>6265</x:v>
      </x:c>
    </x:row>
    <x:row r="530" ht="15" hidden="0" customHeight="1">
      <x:c r="A530" s="1" t="s">
        <x:v>4954</x:v>
      </x:c>
      <x:c r="B530" s="1" t="s">
        <x:v>6167</x:v>
      </x:c>
      <x:c r="C530" s="1" t="s">
        <x:v>4144</x:v>
      </x:c>
      <x:c r="D530" s="1" t="s">
        <x:v>5462</x:v>
      </x:c>
      <x:c r="E530" s="1" t="s">
        <x:v>6418</x:v>
      </x:c>
      <x:c r="F530" s="1" t="s">
        <x:v>6553</x:v>
      </x:c>
      <x:c r="G530" s="1" t="s">
        <x:v>6265</x:v>
      </x:c>
    </x:row>
    <x:row r="531" ht="15" hidden="0" customHeight="1">
      <x:c r="A531" s="1" t="s">
        <x:v>4954</x:v>
      </x:c>
      <x:c r="B531" s="1" t="s">
        <x:v>6167</x:v>
      </x:c>
      <x:c r="C531" s="1" t="s">
        <x:v>4188</x:v>
      </x:c>
      <x:c r="D531" s="1" t="s">
        <x:v>5462</x:v>
      </x:c>
      <x:c r="E531" s="1" t="s">
        <x:v>6420</x:v>
      </x:c>
      <x:c r="F531" s="1" t="s">
        <x:v>6554</x:v>
      </x:c>
      <x:c r="G531" s="1" t="s">
        <x:v>6265</x:v>
      </x:c>
    </x:row>
    <x:row r="532" ht="15" hidden="0" customHeight="1">
      <x:c r="A532" s="1" t="s">
        <x:v>4954</x:v>
      </x:c>
      <x:c r="B532" s="1" t="s">
        <x:v>6167</x:v>
      </x:c>
      <x:c r="C532" s="1" t="s">
        <x:v>4278</x:v>
      </x:c>
      <x:c r="D532" s="1" t="s">
        <x:v>5462</x:v>
      </x:c>
      <x:c r="E532" s="1" t="s">
        <x:v>6422</x:v>
      </x:c>
      <x:c r="F532" s="1" t="s">
        <x:v>6555</x:v>
      </x:c>
      <x:c r="G532" s="1" t="s">
        <x:v>6265</x:v>
      </x:c>
    </x:row>
    <x:row r="533" ht="15" hidden="0" customHeight="1">
      <x:c r="A533" s="1" t="s">
        <x:v>4954</x:v>
      </x:c>
      <x:c r="B533" s="1" t="s">
        <x:v>6167</x:v>
      </x:c>
      <x:c r="C533" s="1" t="s">
        <x:v>4786</x:v>
      </x:c>
      <x:c r="D533" s="1" t="s">
        <x:v>5462</x:v>
      </x:c>
      <x:c r="E533" s="1" t="s">
        <x:v>6423</x:v>
      </x:c>
      <x:c r="F533" s="1" t="s">
        <x:v>6556</x:v>
      </x:c>
      <x:c r="G533" s="1" t="s">
        <x:v>6265</x:v>
      </x:c>
    </x:row>
    <x:row r="534" ht="15" hidden="0" customHeight="1">
      <x:c r="A534" s="1" t="s">
        <x:v>4954</x:v>
      </x:c>
      <x:c r="B534" s="1" t="s">
        <x:v>6167</x:v>
      </x:c>
      <x:c r="C534" s="1" t="s">
        <x:v>4707</x:v>
      </x:c>
      <x:c r="D534" s="1" t="s">
        <x:v>5462</x:v>
      </x:c>
      <x:c r="E534" s="1" t="s">
        <x:v>6424</x:v>
      </x:c>
      <x:c r="F534" s="1" t="s">
        <x:v>6557</x:v>
      </x:c>
      <x:c r="G534" s="1" t="s">
        <x:v>6265</x:v>
      </x:c>
    </x:row>
    <x:row r="535" ht="15" hidden="0" customHeight="1">
      <x:c r="A535" s="1" t="s">
        <x:v>4954</x:v>
      </x:c>
      <x:c r="B535" s="1" t="s">
        <x:v>6167</x:v>
      </x:c>
      <x:c r="C535" s="1" t="s">
        <x:v>2598</x:v>
      </x:c>
      <x:c r="D535" s="1" t="s">
        <x:v>5462</x:v>
      </x:c>
      <x:c r="E535" s="1" t="s">
        <x:v>6426</x:v>
      </x:c>
      <x:c r="F535" s="1" t="s">
        <x:v>6558</x:v>
      </x:c>
      <x:c r="G535" s="1" t="s">
        <x:v>6265</x:v>
      </x:c>
    </x:row>
    <x:row r="536" ht="15" hidden="0" customHeight="1">
      <x:c r="A536" s="1" t="s">
        <x:v>4954</x:v>
      </x:c>
      <x:c r="B536" s="1" t="s">
        <x:v>6167</x:v>
      </x:c>
      <x:c r="C536" s="1" t="s">
        <x:v>3860</x:v>
      </x:c>
      <x:c r="D536" s="1" t="s">
        <x:v>5462</x:v>
      </x:c>
      <x:c r="E536" s="1" t="s">
        <x:v>6428</x:v>
      </x:c>
      <x:c r="F536" s="1" t="s">
        <x:v>6559</x:v>
      </x:c>
      <x:c r="G536" s="1" t="s">
        <x:v>6265</x:v>
      </x:c>
    </x:row>
    <x:row r="537" ht="15" hidden="0" customHeight="1">
      <x:c r="A537" s="1" t="s">
        <x:v>4954</x:v>
      </x:c>
      <x:c r="B537" s="1" t="s">
        <x:v>6167</x:v>
      </x:c>
      <x:c r="C537" s="1" t="s">
        <x:v>2681</x:v>
      </x:c>
      <x:c r="D537" s="1" t="s">
        <x:v>5462</x:v>
      </x:c>
      <x:c r="E537" s="1" t="s">
        <x:v>6430</x:v>
      </x:c>
      <x:c r="F537" s="1" t="s">
        <x:v>6560</x:v>
      </x:c>
      <x:c r="G537" s="1" t="s">
        <x:v>6265</x:v>
      </x:c>
    </x:row>
    <x:row r="538" ht="15" hidden="0" customHeight="1">
      <x:c r="A538" s="1" t="s">
        <x:v>4954</x:v>
      </x:c>
      <x:c r="B538" s="1" t="s">
        <x:v>6167</x:v>
      </x:c>
      <x:c r="C538" s="1" t="s">
        <x:v>839</x:v>
      </x:c>
      <x:c r="D538" s="1" t="s">
        <x:v>5462</x:v>
      </x:c>
      <x:c r="E538" s="1" t="s">
        <x:v>6431</x:v>
      </x:c>
      <x:c r="F538" s="1" t="s">
        <x:v>6561</x:v>
      </x:c>
      <x:c r="G538" s="1" t="s">
        <x:v>6265</x:v>
      </x:c>
    </x:row>
    <x:row r="539" ht="15" hidden="0" customHeight="1">
      <x:c r="A539" s="1" t="s">
        <x:v>4954</x:v>
      </x:c>
      <x:c r="B539" s="1" t="s">
        <x:v>6167</x:v>
      </x:c>
      <x:c r="C539" s="1" t="s">
        <x:v>5634</x:v>
      </x:c>
      <x:c r="D539" s="1" t="s">
        <x:v>5462</x:v>
      </x:c>
      <x:c r="E539" s="1" t="s">
        <x:v>6432</x:v>
      </x:c>
      <x:c r="F539" s="1" t="s">
        <x:v>6562</x:v>
      </x:c>
      <x:c r="G539" s="1" t="s">
        <x:v>6265</x:v>
      </x:c>
    </x:row>
    <x:row r="540" ht="15" hidden="0" customHeight="1">
      <x:c r="A540" s="1" t="s">
        <x:v>4954</x:v>
      </x:c>
      <x:c r="B540" s="1" t="s">
        <x:v>6167</x:v>
      </x:c>
      <x:c r="C540" s="1" t="s">
        <x:v>5636</x:v>
      </x:c>
      <x:c r="D540" s="1" t="s">
        <x:v>5462</x:v>
      </x:c>
      <x:c r="E540" s="1" t="s">
        <x:v>6433</x:v>
      </x:c>
      <x:c r="F540" s="1" t="s">
        <x:v>6563</x:v>
      </x:c>
      <x:c r="G540" s="1" t="s">
        <x:v>6265</x:v>
      </x:c>
    </x:row>
    <x:row r="541" ht="15" hidden="0" customHeight="1">
      <x:c r="A541" s="1" t="s">
        <x:v>4954</x:v>
      </x:c>
      <x:c r="B541" s="1" t="s">
        <x:v>6167</x:v>
      </x:c>
      <x:c r="C541" s="1" t="s">
        <x:v>857</x:v>
      </x:c>
      <x:c r="D541" s="1" t="s">
        <x:v>5462</x:v>
      </x:c>
      <x:c r="E541" s="1" t="s">
        <x:v>6434</x:v>
      </x:c>
      <x:c r="F541" s="1" t="s">
        <x:v>6564</x:v>
      </x:c>
      <x:c r="G541" s="1" t="s">
        <x:v>6265</x:v>
      </x:c>
    </x:row>
    <x:row r="542" ht="15" hidden="0" customHeight="1">
      <x:c r="A542" s="1" t="s">
        <x:v>4954</x:v>
      </x:c>
      <x:c r="B542" s="1" t="s">
        <x:v>6167</x:v>
      </x:c>
      <x:c r="C542" s="1" t="s">
        <x:v>2645</x:v>
      </x:c>
      <x:c r="D542" s="1" t="s">
        <x:v>5462</x:v>
      </x:c>
      <x:c r="E542" s="1" t="s">
        <x:v>6436</x:v>
      </x:c>
      <x:c r="F542" s="1" t="s">
        <x:v>6565</x:v>
      </x:c>
      <x:c r="G542" s="1" t="s">
        <x:v>6265</x:v>
      </x:c>
    </x:row>
    <x:row r="543" ht="15" hidden="0" customHeight="1">
      <x:c r="A543" s="1" t="s">
        <x:v>4954</x:v>
      </x:c>
      <x:c r="B543" s="1" t="s">
        <x:v>6167</x:v>
      </x:c>
      <x:c r="C543" s="1" t="s">
        <x:v>2918</x:v>
      </x:c>
      <x:c r="D543" s="1" t="s">
        <x:v>5462</x:v>
      </x:c>
      <x:c r="E543" s="1" t="s">
        <x:v>6438</x:v>
      </x:c>
      <x:c r="F543" s="1" t="s">
        <x:v>6566</x:v>
      </x:c>
      <x:c r="G543" s="1" t="s">
        <x:v>6265</x:v>
      </x:c>
    </x:row>
    <x:row r="544" ht="15" hidden="0" customHeight="1">
      <x:c r="A544" s="1" t="s">
        <x:v>4954</x:v>
      </x:c>
      <x:c r="B544" s="1" t="s">
        <x:v>6167</x:v>
      </x:c>
      <x:c r="C544" s="1" t="s">
        <x:v>2957</x:v>
      </x:c>
      <x:c r="D544" s="1" t="s">
        <x:v>5462</x:v>
      </x:c>
      <x:c r="E544" s="1" t="s">
        <x:v>6440</x:v>
      </x:c>
      <x:c r="F544" s="1" t="s">
        <x:v>6567</x:v>
      </x:c>
      <x:c r="G544" s="1" t="s">
        <x:v>6265</x:v>
      </x:c>
    </x:row>
    <x:row r="545" ht="15" hidden="0" customHeight="1">
      <x:c r="A545" s="1" t="s">
        <x:v>4954</x:v>
      </x:c>
      <x:c r="B545" s="1" t="s">
        <x:v>6167</x:v>
      </x:c>
      <x:c r="C545" s="1" t="s">
        <x:v>5142</x:v>
      </x:c>
      <x:c r="D545" s="1" t="s">
        <x:v>5462</x:v>
      </x:c>
      <x:c r="E545" s="1" t="s">
        <x:v>6441</x:v>
      </x:c>
      <x:c r="F545" s="1" t="s">
        <x:v>6568</x:v>
      </x:c>
      <x:c r="G545" s="1" t="s">
        <x:v>6265</x:v>
      </x:c>
    </x:row>
    <x:row r="546" ht="15" hidden="0" customHeight="1">
      <x:c r="A546" s="1" t="s">
        <x:v>4954</x:v>
      </x:c>
      <x:c r="B546" s="1" t="s">
        <x:v>6167</x:v>
      </x:c>
      <x:c r="C546" s="1" t="s">
        <x:v>4614</x:v>
      </x:c>
      <x:c r="D546" s="1" t="s">
        <x:v>5462</x:v>
      </x:c>
      <x:c r="E546" s="1" t="s">
        <x:v>6442</x:v>
      </x:c>
      <x:c r="F546" s="1" t="s">
        <x:v>6569</x:v>
      </x:c>
      <x:c r="G546" s="1" t="s">
        <x:v>6265</x:v>
      </x:c>
    </x:row>
    <x:row r="547" ht="15" hidden="0" customHeight="1">
      <x:c r="A547" s="1" t="s">
        <x:v>4954</x:v>
      </x:c>
      <x:c r="B547" s="1" t="s">
        <x:v>6167</x:v>
      </x:c>
      <x:c r="C547" s="1" t="s">
        <x:v>5171</x:v>
      </x:c>
      <x:c r="D547" s="1" t="s">
        <x:v>5462</x:v>
      </x:c>
      <x:c r="E547" s="1" t="s">
        <x:v>6443</x:v>
      </x:c>
      <x:c r="F547" s="1" t="s">
        <x:v>6570</x:v>
      </x:c>
      <x:c r="G547" s="1" t="s">
        <x:v>6265</x:v>
      </x:c>
    </x:row>
    <x:row r="548" ht="15" hidden="0" customHeight="1">
      <x:c r="A548" s="1" t="s">
        <x:v>4954</x:v>
      </x:c>
      <x:c r="B548" s="1" t="s">
        <x:v>6167</x:v>
      </x:c>
      <x:c r="C548" s="1" t="s">
        <x:v>3339</x:v>
      </x:c>
      <x:c r="D548" s="1" t="s">
        <x:v>5462</x:v>
      </x:c>
      <x:c r="E548" s="1" t="s">
        <x:v>6445</x:v>
      </x:c>
      <x:c r="F548" s="1" t="s">
        <x:v>6571</x:v>
      </x:c>
      <x:c r="G548" s="1" t="s">
        <x:v>6265</x:v>
      </x:c>
    </x:row>
    <x:row r="549" ht="15" hidden="0" customHeight="1">
      <x:c r="A549" s="1" t="s">
        <x:v>4954</x:v>
      </x:c>
      <x:c r="B549" s="1" t="s">
        <x:v>6167</x:v>
      </x:c>
      <x:c r="C549" s="1" t="s">
        <x:v>538</x:v>
      </x:c>
      <x:c r="D549" s="1" t="s">
        <x:v>5462</x:v>
      </x:c>
      <x:c r="E549" s="1" t="s">
        <x:v>6446</x:v>
      </x:c>
      <x:c r="F549" s="1" t="s">
        <x:v>6572</x:v>
      </x:c>
      <x:c r="G549" s="1" t="s">
        <x:v>6265</x:v>
      </x:c>
    </x:row>
    <x:row r="550" ht="15" hidden="0" customHeight="1">
      <x:c r="A550" s="1" t="s">
        <x:v>4954</x:v>
      </x:c>
      <x:c r="B550" s="1" t="s">
        <x:v>72</x:v>
      </x:c>
      <x:c r="C550" s="1" t="s">
        <x:v>2517</x:v>
      </x:c>
      <x:c r="D550" s="1" t="s">
        <x:v>88</x:v>
      </x:c>
      <x:c r="F550" s="1" t="s">
        <x:v>2519</x:v>
      </x:c>
      <x:c r="G550" s="1" t="s">
        <x:v>6573</x:v>
      </x:c>
    </x:row>
    <x:row r="551" ht="15" hidden="0" customHeight="1">
      <x:c r="A551" s="1" t="s">
        <x:v>4954</x:v>
      </x:c>
      <x:c r="B551" s="1" t="s">
        <x:v>6180</x:v>
      </x:c>
      <x:c r="D551" s="1" t="s">
        <x:v>4954</x:v>
      </x:c>
      <x:c r="E551" s="1" t="s">
        <x:v>6574</x:v>
      </x:c>
      <x:c r="F551" s="1" t="s">
        <x:v>14</x:v>
      </x:c>
      <x:c r="G551" s="1" t="s">
        <x:v>6575</x:v>
      </x:c>
    </x:row>
    <x:row r="552" ht="15" hidden="0" customHeight="1">
      <x:c r="A552" s="1" t="s">
        <x:v>5060</x:v>
      </x:c>
      <x:c r="B552" s="1" t="s">
        <x:v>6174</x:v>
      </x:c>
      <x:c r="C552" s="1" t="s">
        <x:v>5585</x:v>
      </x:c>
      <x:c r="D552" s="1" t="s">
        <x:v>5651</x:v>
      </x:c>
      <x:c r="F552" s="1" t="s">
        <x:v>5873</x:v>
      </x:c>
      <x:c r="G552" s="1" t="s">
        <x:v>6576</x:v>
      </x:c>
    </x:row>
    <x:row r="553" ht="15" hidden="0" customHeight="1">
      <x:c r="A553" s="1" t="s">
        <x:v>5060</x:v>
      </x:c>
      <x:c r="B553" s="1" t="s">
        <x:v>35</x:v>
      </x:c>
      <x:c r="C553" s="1" t="s">
        <x:v>5101</x:v>
      </x:c>
      <x:c r="D553" s="1" t="s">
        <x:v>6121</x:v>
      </x:c>
      <x:c r="E553" s="1" t="s">
        <x:v>30</x:v>
      </x:c>
      <x:c r="F553" s="1" t="s">
        <x:v>6159</x:v>
      </x:c>
      <x:c r="G553" s="1" t="s">
        <x:v>6577</x:v>
      </x:c>
    </x:row>
    <x:row r="554" ht="15" hidden="0" customHeight="1">
      <x:c r="A554" s="1" t="s">
        <x:v>5060</x:v>
      </x:c>
      <x:c r="B554" s="1" t="s">
        <x:v>35</x:v>
      </x:c>
      <x:c r="C554" s="1" t="s">
        <x:v>5101</x:v>
      </x:c>
      <x:c r="D554" s="1" t="s">
        <x:v>6120</x:v>
      </x:c>
      <x:c r="E554" s="1" t="s">
        <x:v>6157</x:v>
      </x:c>
      <x:c r="F554" s="1" t="s">
        <x:v>6158</x:v>
      </x:c>
      <x:c r="G554" s="1" t="s">
        <x:v>6578</x:v>
      </x:c>
    </x:row>
    <x:row r="555" ht="15" hidden="0" customHeight="1">
      <x:c r="A555" s="1" t="s">
        <x:v>5060</x:v>
      </x:c>
      <x:c r="B555" s="1" t="s">
        <x:v>35</x:v>
      </x:c>
      <x:c r="C555" s="1" t="s">
        <x:v>5151</x:v>
      </x:c>
      <x:c r="D555" s="1" t="s">
        <x:v>6121</x:v>
      </x:c>
      <x:c r="E555" s="1" t="s">
        <x:v>30</x:v>
      </x:c>
      <x:c r="F555" s="1" t="s">
        <x:v>6159</x:v>
      </x:c>
      <x:c r="G555" s="1" t="s">
        <x:v>6577</x:v>
      </x:c>
    </x:row>
    <x:row r="556" ht="15" hidden="0" customHeight="1">
      <x:c r="A556" s="1" t="s">
        <x:v>5060</x:v>
      </x:c>
      <x:c r="B556" s="1" t="s">
        <x:v>35</x:v>
      </x:c>
      <x:c r="C556" s="1" t="s">
        <x:v>5151</x:v>
      </x:c>
      <x:c r="D556" s="1" t="s">
        <x:v>4471</x:v>
      </x:c>
      <x:c r="E556" s="1" t="s">
        <x:v>30</x:v>
      </x:c>
      <x:c r="F556" s="1" t="s">
        <x:v>6159</x:v>
      </x:c>
      <x:c r="G556" s="1" t="s">
        <x:v>6577</x:v>
      </x:c>
    </x:row>
    <x:row r="557" ht="15" hidden="0" customHeight="1">
      <x:c r="A557" s="1" t="s">
        <x:v>5060</x:v>
      </x:c>
      <x:c r="B557" s="1" t="s">
        <x:v>35</x:v>
      </x:c>
      <x:c r="C557" s="1" t="s">
        <x:v>5151</x:v>
      </x:c>
      <x:c r="D557" s="1" t="s">
        <x:v>6120</x:v>
      </x:c>
      <x:c r="E557" s="1" t="s">
        <x:v>6157</x:v>
      </x:c>
      <x:c r="F557" s="1" t="s">
        <x:v>6158</x:v>
      </x:c>
      <x:c r="G557" s="1" t="s">
        <x:v>6578</x:v>
      </x:c>
    </x:row>
    <x:row r="558" ht="15" hidden="0" customHeight="1">
      <x:c r="A558" s="1" t="s">
        <x:v>5060</x:v>
      </x:c>
      <x:c r="B558" s="1" t="s">
        <x:v>35</x:v>
      </x:c>
      <x:c r="C558" s="1" t="s">
        <x:v>5111</x:v>
      </x:c>
      <x:c r="D558" s="1" t="s">
        <x:v>6144</x:v>
      </x:c>
      <x:c r="E558" s="1" t="s">
        <x:v>30</x:v>
      </x:c>
      <x:c r="F558" s="1" t="s">
        <x:v>6159</x:v>
      </x:c>
      <x:c r="G558" s="1" t="s">
        <x:v>6577</x:v>
      </x:c>
    </x:row>
    <x:row r="559" ht="15" hidden="0" customHeight="1">
      <x:c r="A559" s="1" t="s">
        <x:v>5060</x:v>
      </x:c>
      <x:c r="B559" s="1" t="s">
        <x:v>35</x:v>
      </x:c>
      <x:c r="C559" s="1" t="s">
        <x:v>5111</x:v>
      </x:c>
      <x:c r="D559" s="1" t="s">
        <x:v>6122</x:v>
      </x:c>
      <x:c r="E559" s="1" t="s">
        <x:v>30</x:v>
      </x:c>
      <x:c r="F559" s="1" t="s">
        <x:v>6159</x:v>
      </x:c>
      <x:c r="G559" s="1" t="s">
        <x:v>6577</x:v>
      </x:c>
    </x:row>
    <x:row r="560" ht="15" hidden="0" customHeight="1">
      <x:c r="A560" s="1" t="s">
        <x:v>5060</x:v>
      </x:c>
      <x:c r="B560" s="1" t="s">
        <x:v>35</x:v>
      </x:c>
      <x:c r="C560" s="1" t="s">
        <x:v>5111</x:v>
      </x:c>
      <x:c r="D560" s="1" t="s">
        <x:v>6151</x:v>
      </x:c>
      <x:c r="E560" s="1" t="s">
        <x:v>30</x:v>
      </x:c>
      <x:c r="F560" s="1" t="s">
        <x:v>6159</x:v>
      </x:c>
      <x:c r="G560" s="1" t="s">
        <x:v>6577</x:v>
      </x:c>
    </x:row>
    <x:row r="561" ht="15" hidden="0" customHeight="1">
      <x:c r="A561" s="1" t="s">
        <x:v>5060</x:v>
      </x:c>
      <x:c r="B561" s="1" t="s">
        <x:v>35</x:v>
      </x:c>
      <x:c r="C561" s="1" t="s">
        <x:v>5111</x:v>
      </x:c>
      <x:c r="D561" s="1" t="s">
        <x:v>6120</x:v>
      </x:c>
      <x:c r="E561" s="1" t="s">
        <x:v>6157</x:v>
      </x:c>
      <x:c r="F561" s="1" t="s">
        <x:v>6158</x:v>
      </x:c>
      <x:c r="G561" s="1" t="s">
        <x:v>6578</x:v>
      </x:c>
    </x:row>
    <x:row r="562" ht="15" hidden="0" customHeight="1">
      <x:c r="A562" s="1" t="s">
        <x:v>5060</x:v>
      </x:c>
      <x:c r="B562" s="1" t="s">
        <x:v>35</x:v>
      </x:c>
      <x:c r="C562" s="1" t="s">
        <x:v>5123</x:v>
      </x:c>
      <x:c r="D562" s="1" t="s">
        <x:v>6124</x:v>
      </x:c>
      <x:c r="E562" s="1" t="s">
        <x:v>30</x:v>
      </x:c>
      <x:c r="F562" s="1" t="s">
        <x:v>6159</x:v>
      </x:c>
      <x:c r="G562" s="1" t="s">
        <x:v>6577</x:v>
      </x:c>
    </x:row>
    <x:row r="563" ht="15" hidden="0" customHeight="1">
      <x:c r="A563" s="1" t="s">
        <x:v>5060</x:v>
      </x:c>
      <x:c r="B563" s="1" t="s">
        <x:v>35</x:v>
      </x:c>
      <x:c r="C563" s="1" t="s">
        <x:v>5123</x:v>
      </x:c>
      <x:c r="D563" s="1" t="s">
        <x:v>4721</x:v>
      </x:c>
      <x:c r="E563" s="1" t="s">
        <x:v>30</x:v>
      </x:c>
      <x:c r="F563" s="1" t="s">
        <x:v>6159</x:v>
      </x:c>
      <x:c r="G563" s="1" t="s">
        <x:v>6577</x:v>
      </x:c>
    </x:row>
    <x:row r="564" ht="15" hidden="0" customHeight="1">
      <x:c r="A564" s="1" t="s">
        <x:v>5060</x:v>
      </x:c>
      <x:c r="B564" s="1" t="s">
        <x:v>35</x:v>
      </x:c>
      <x:c r="C564" s="1" t="s">
        <x:v>5123</x:v>
      </x:c>
      <x:c r="D564" s="1" t="s">
        <x:v>6151</x:v>
      </x:c>
      <x:c r="E564" s="1" t="s">
        <x:v>30</x:v>
      </x:c>
      <x:c r="F564" s="1" t="s">
        <x:v>6159</x:v>
      </x:c>
      <x:c r="G564" s="1" t="s">
        <x:v>6577</x:v>
      </x:c>
    </x:row>
    <x:row r="565" ht="15" hidden="0" customHeight="1">
      <x:c r="A565" s="1" t="s">
        <x:v>5060</x:v>
      </x:c>
      <x:c r="B565" s="1" t="s">
        <x:v>35</x:v>
      </x:c>
      <x:c r="C565" s="1" t="s">
        <x:v>5123</x:v>
      </x:c>
      <x:c r="D565" s="1" t="s">
        <x:v>6120</x:v>
      </x:c>
      <x:c r="E565" s="1" t="s">
        <x:v>6157</x:v>
      </x:c>
      <x:c r="F565" s="1" t="s">
        <x:v>6158</x:v>
      </x:c>
      <x:c r="G565" s="1" t="s">
        <x:v>6578</x:v>
      </x:c>
    </x:row>
    <x:row r="566" ht="15" hidden="0" customHeight="1">
      <x:c r="A566" s="1" t="s">
        <x:v>5060</x:v>
      </x:c>
      <x:c r="B566" s="1" t="s">
        <x:v>35</x:v>
      </x:c>
      <x:c r="C566" s="1" t="s">
        <x:v>5134</x:v>
      </x:c>
      <x:c r="D566" s="1" t="s">
        <x:v>6124</x:v>
      </x:c>
      <x:c r="E566" s="1" t="s">
        <x:v>30</x:v>
      </x:c>
      <x:c r="F566" s="1" t="s">
        <x:v>6159</x:v>
      </x:c>
      <x:c r="G566" s="1" t="s">
        <x:v>6577</x:v>
      </x:c>
    </x:row>
    <x:row r="567" ht="15" hidden="0" customHeight="1">
      <x:c r="A567" s="1" t="s">
        <x:v>5060</x:v>
      </x:c>
      <x:c r="B567" s="1" t="s">
        <x:v>35</x:v>
      </x:c>
      <x:c r="C567" s="1" t="s">
        <x:v>5134</x:v>
      </x:c>
      <x:c r="D567" s="1" t="s">
        <x:v>6151</x:v>
      </x:c>
      <x:c r="E567" s="1" t="s">
        <x:v>30</x:v>
      </x:c>
      <x:c r="F567" s="1" t="s">
        <x:v>6159</x:v>
      </x:c>
      <x:c r="G567" s="1" t="s">
        <x:v>6577</x:v>
      </x:c>
    </x:row>
    <x:row r="568" ht="15" hidden="0" customHeight="1">
      <x:c r="A568" s="1" t="s">
        <x:v>5060</x:v>
      </x:c>
      <x:c r="B568" s="1" t="s">
        <x:v>35</x:v>
      </x:c>
      <x:c r="C568" s="1" t="s">
        <x:v>5134</x:v>
      </x:c>
      <x:c r="D568" s="1" t="s">
        <x:v>6120</x:v>
      </x:c>
      <x:c r="E568" s="1" t="s">
        <x:v>6157</x:v>
      </x:c>
      <x:c r="F568" s="1" t="s">
        <x:v>6158</x:v>
      </x:c>
      <x:c r="G568" s="1" t="s">
        <x:v>6578</x:v>
      </x:c>
    </x:row>
    <x:row r="569" ht="15" hidden="0" customHeight="1">
      <x:c r="A569" s="1" t="s">
        <x:v>5060</x:v>
      </x:c>
      <x:c r="B569" s="1" t="s">
        <x:v>35</x:v>
      </x:c>
      <x:c r="C569" s="1" t="s">
        <x:v>5160</x:v>
      </x:c>
      <x:c r="D569" s="1" t="s">
        <x:v>6124</x:v>
      </x:c>
      <x:c r="E569" s="1" t="s">
        <x:v>30</x:v>
      </x:c>
      <x:c r="F569" s="1" t="s">
        <x:v>6159</x:v>
      </x:c>
      <x:c r="G569" s="1" t="s">
        <x:v>6577</x:v>
      </x:c>
    </x:row>
    <x:row r="570" ht="15" hidden="0" customHeight="1">
      <x:c r="A570" s="1" t="s">
        <x:v>5060</x:v>
      </x:c>
      <x:c r="B570" s="1" t="s">
        <x:v>35</x:v>
      </x:c>
      <x:c r="C570" s="1" t="s">
        <x:v>5160</x:v>
      </x:c>
      <x:c r="D570" s="1" t="s">
        <x:v>6121</x:v>
      </x:c>
      <x:c r="E570" s="1" t="s">
        <x:v>30</x:v>
      </x:c>
      <x:c r="F570" s="1" t="s">
        <x:v>6159</x:v>
      </x:c>
      <x:c r="G570" s="1" t="s">
        <x:v>6577</x:v>
      </x:c>
    </x:row>
    <x:row r="571" ht="15" hidden="0" customHeight="1">
      <x:c r="A571" s="1" t="s">
        <x:v>5060</x:v>
      </x:c>
      <x:c r="B571" s="1" t="s">
        <x:v>35</x:v>
      </x:c>
      <x:c r="C571" s="1" t="s">
        <x:v>5160</x:v>
      </x:c>
      <x:c r="D571" s="1" t="s">
        <x:v>6152</x:v>
      </x:c>
      <x:c r="E571" s="1" t="s">
        <x:v>30</x:v>
      </x:c>
      <x:c r="F571" s="1" t="s">
        <x:v>6159</x:v>
      </x:c>
      <x:c r="G571" s="1" t="s">
        <x:v>6577</x:v>
      </x:c>
    </x:row>
    <x:row r="572" ht="15" hidden="0" customHeight="1">
      <x:c r="A572" s="1" t="s">
        <x:v>5060</x:v>
      </x:c>
      <x:c r="B572" s="1" t="s">
        <x:v>35</x:v>
      </x:c>
      <x:c r="C572" s="1" t="s">
        <x:v>5160</x:v>
      </x:c>
      <x:c r="D572" s="1" t="s">
        <x:v>6120</x:v>
      </x:c>
      <x:c r="E572" s="1" t="s">
        <x:v>6157</x:v>
      </x:c>
      <x:c r="F572" s="1" t="s">
        <x:v>6158</x:v>
      </x:c>
      <x:c r="G572" s="1" t="s">
        <x:v>6578</x:v>
      </x:c>
    </x:row>
    <x:row r="573" ht="15" hidden="0" customHeight="1">
      <x:c r="A573" s="1" t="s">
        <x:v>5060</x:v>
      </x:c>
      <x:c r="B573" s="1" t="s">
        <x:v>35</x:v>
      </x:c>
      <x:c r="C573" s="1" t="s">
        <x:v>5142</x:v>
      </x:c>
      <x:c r="D573" s="1" t="s">
        <x:v>4721</x:v>
      </x:c>
      <x:c r="E573" s="1" t="s">
        <x:v>30</x:v>
      </x:c>
      <x:c r="F573" s="1" t="s">
        <x:v>6159</x:v>
      </x:c>
      <x:c r="G573" s="1" t="s">
        <x:v>6577</x:v>
      </x:c>
    </x:row>
    <x:row r="574" ht="15" hidden="0" customHeight="1">
      <x:c r="A574" s="1" t="s">
        <x:v>5060</x:v>
      </x:c>
      <x:c r="B574" s="1" t="s">
        <x:v>35</x:v>
      </x:c>
      <x:c r="C574" s="1" t="s">
        <x:v>5142</x:v>
      </x:c>
      <x:c r="D574" s="1" t="s">
        <x:v>6151</x:v>
      </x:c>
      <x:c r="E574" s="1" t="s">
        <x:v>30</x:v>
      </x:c>
      <x:c r="F574" s="1" t="s">
        <x:v>6159</x:v>
      </x:c>
      <x:c r="G574" s="1" t="s">
        <x:v>6577</x:v>
      </x:c>
    </x:row>
    <x:row r="575" ht="15" hidden="0" customHeight="1">
      <x:c r="A575" s="1" t="s">
        <x:v>5060</x:v>
      </x:c>
      <x:c r="B575" s="1" t="s">
        <x:v>35</x:v>
      </x:c>
      <x:c r="C575" s="1" t="s">
        <x:v>5142</x:v>
      </x:c>
      <x:c r="D575" s="1" t="s">
        <x:v>6120</x:v>
      </x:c>
      <x:c r="E575" s="1" t="s">
        <x:v>6157</x:v>
      </x:c>
      <x:c r="F575" s="1" t="s">
        <x:v>6158</x:v>
      </x:c>
      <x:c r="G575" s="1" t="s">
        <x:v>6578</x:v>
      </x:c>
    </x:row>
    <x:row r="576" ht="15" hidden="0" customHeight="1">
      <x:c r="A576" s="1" t="s">
        <x:v>5060</x:v>
      </x:c>
      <x:c r="B576" s="1" t="s">
        <x:v>35</x:v>
      </x:c>
      <x:c r="C576" s="1" t="s">
        <x:v>5171</x:v>
      </x:c>
      <x:c r="D576" s="1" t="s">
        <x:v>6121</x:v>
      </x:c>
      <x:c r="E576" s="1" t="s">
        <x:v>30</x:v>
      </x:c>
      <x:c r="F576" s="1" t="s">
        <x:v>6159</x:v>
      </x:c>
      <x:c r="G576" s="1" t="s">
        <x:v>6577</x:v>
      </x:c>
    </x:row>
    <x:row r="577" ht="15" hidden="0" customHeight="1">
      <x:c r="A577" s="1" t="s">
        <x:v>5060</x:v>
      </x:c>
      <x:c r="B577" s="1" t="s">
        <x:v>35</x:v>
      </x:c>
      <x:c r="C577" s="1" t="s">
        <x:v>5171</x:v>
      </x:c>
      <x:c r="D577" s="1" t="s">
        <x:v>6151</x:v>
      </x:c>
      <x:c r="E577" s="1" t="s">
        <x:v>30</x:v>
      </x:c>
      <x:c r="F577" s="1" t="s">
        <x:v>6159</x:v>
      </x:c>
      <x:c r="G577" s="1" t="s">
        <x:v>6577</x:v>
      </x:c>
    </x:row>
    <x:row r="578" ht="15" hidden="0" customHeight="1">
      <x:c r="A578" s="1" t="s">
        <x:v>5060</x:v>
      </x:c>
      <x:c r="B578" s="1" t="s">
        <x:v>35</x:v>
      </x:c>
      <x:c r="C578" s="1" t="s">
        <x:v>5171</x:v>
      </x:c>
      <x:c r="D578" s="1" t="s">
        <x:v>6122</x:v>
      </x:c>
      <x:c r="E578" s="1" t="s">
        <x:v>30</x:v>
      </x:c>
      <x:c r="F578" s="1" t="s">
        <x:v>6159</x:v>
      </x:c>
      <x:c r="G578" s="1" t="s">
        <x:v>6577</x:v>
      </x:c>
    </x:row>
    <x:row r="579" ht="15" hidden="0" customHeight="1">
      <x:c r="A579" s="1" t="s">
        <x:v>5060</x:v>
      </x:c>
      <x:c r="B579" s="1" t="s">
        <x:v>35</x:v>
      </x:c>
      <x:c r="C579" s="1" t="s">
        <x:v>5171</x:v>
      </x:c>
      <x:c r="D579" s="1" t="s">
        <x:v>6124</x:v>
      </x:c>
      <x:c r="E579" s="1" t="s">
        <x:v>30</x:v>
      </x:c>
      <x:c r="F579" s="1" t="s">
        <x:v>6159</x:v>
      </x:c>
      <x:c r="G579" s="1" t="s">
        <x:v>6577</x:v>
      </x:c>
    </x:row>
    <x:row r="580" ht="15" hidden="0" customHeight="1">
      <x:c r="A580" s="1" t="s">
        <x:v>5060</x:v>
      </x:c>
      <x:c r="B580" s="1" t="s">
        <x:v>35</x:v>
      </x:c>
      <x:c r="C580" s="1" t="s">
        <x:v>5171</x:v>
      </x:c>
      <x:c r="D580" s="1" t="s">
        <x:v>6138</x:v>
      </x:c>
      <x:c r="E580" s="1" t="s">
        <x:v>30</x:v>
      </x:c>
      <x:c r="F580" s="1" t="s">
        <x:v>6159</x:v>
      </x:c>
      <x:c r="G580" s="1" t="s">
        <x:v>6577</x:v>
      </x:c>
    </x:row>
    <x:row r="581" ht="15" hidden="0" customHeight="1">
      <x:c r="A581" s="1" t="s">
        <x:v>5060</x:v>
      </x:c>
      <x:c r="B581" s="1" t="s">
        <x:v>35</x:v>
      </x:c>
      <x:c r="C581" s="1" t="s">
        <x:v>5171</x:v>
      </x:c>
      <x:c r="D581" s="1" t="s">
        <x:v>6154</x:v>
      </x:c>
      <x:c r="E581" s="1" t="s">
        <x:v>30</x:v>
      </x:c>
      <x:c r="F581" s="1" t="s">
        <x:v>6159</x:v>
      </x:c>
      <x:c r="G581" s="1" t="s">
        <x:v>6577</x:v>
      </x:c>
    </x:row>
    <x:row r="582" ht="15" hidden="0" customHeight="1">
      <x:c r="A582" s="1" t="s">
        <x:v>5060</x:v>
      </x:c>
      <x:c r="B582" s="1" t="s">
        <x:v>35</x:v>
      </x:c>
      <x:c r="C582" s="1" t="s">
        <x:v>5171</x:v>
      </x:c>
      <x:c r="D582" s="1" t="s">
        <x:v>6120</x:v>
      </x:c>
      <x:c r="E582" s="1" t="s">
        <x:v>6157</x:v>
      </x:c>
      <x:c r="F582" s="1" t="s">
        <x:v>6158</x:v>
      </x:c>
      <x:c r="G582" s="1" t="s">
        <x:v>6578</x:v>
      </x:c>
    </x:row>
    <x:row r="583" ht="15" hidden="0" customHeight="1">
      <x:c r="A583" s="1" t="s">
        <x:v>5060</x:v>
      </x:c>
      <x:c r="B583" s="1" t="s">
        <x:v>6167</x:v>
      </x:c>
      <x:c r="C583" s="1" t="s">
        <x:v>5101</x:v>
      </x:c>
      <x:c r="D583" s="1" t="s">
        <x:v>5463</x:v>
      </x:c>
      <x:c r="E583" s="1" t="s">
        <x:v>56</x:v>
      </x:c>
      <x:c r="F583" s="1" t="s">
        <x:v>52</x:v>
      </x:c>
      <x:c r="G583" s="1" t="s">
        <x:v>6579</x:v>
      </x:c>
    </x:row>
    <x:row r="584" ht="15" hidden="0" customHeight="1">
      <x:c r="A584" s="1" t="s">
        <x:v>5060</x:v>
      </x:c>
      <x:c r="B584" s="1" t="s">
        <x:v>6167</x:v>
      </x:c>
      <x:c r="C584" s="1" t="s">
        <x:v>5101</x:v>
      </x:c>
      <x:c r="D584" s="1" t="s">
        <x:v>5464</x:v>
      </x:c>
      <x:c r="E584" s="1" t="s">
        <x:v>30</x:v>
      </x:c>
      <x:c r="F584" s="1" t="s">
        <x:v>45</x:v>
      </x:c>
      <x:c r="G584" s="1" t="s">
        <x:v>5060</x:v>
      </x:c>
    </x:row>
    <x:row r="585" ht="15" hidden="0" customHeight="1">
      <x:c r="A585" s="1" t="s">
        <x:v>5060</x:v>
      </x:c>
      <x:c r="B585" s="1" t="s">
        <x:v>6167</x:v>
      </x:c>
      <x:c r="C585" s="1" t="s">
        <x:v>5101</x:v>
      </x:c>
      <x:c r="D585" s="1" t="s">
        <x:v>5466</x:v>
      </x:c>
      <x:c r="F585" s="1" t="s">
        <x:v>5060</x:v>
      </x:c>
      <x:c r="G585" s="1" t="s">
        <x:v>5060</x:v>
      </x:c>
    </x:row>
    <x:row r="586" ht="15" hidden="0" customHeight="1">
      <x:c r="A586" s="1" t="s">
        <x:v>5060</x:v>
      </x:c>
      <x:c r="B586" s="1" t="s">
        <x:v>6167</x:v>
      </x:c>
      <x:c r="C586" s="1" t="s">
        <x:v>5101</x:v>
      </x:c>
      <x:c r="D586" s="1" t="s">
        <x:v>5467</x:v>
      </x:c>
      <x:c r="F586" s="1" t="s">
        <x:v>5511</x:v>
      </x:c>
      <x:c r="G586" s="1" t="s">
        <x:v>5060</x:v>
      </x:c>
    </x:row>
    <x:row r="587" ht="15" hidden="0" customHeight="1">
      <x:c r="A587" s="1" t="s">
        <x:v>5060</x:v>
      </x:c>
      <x:c r="B587" s="1" t="s">
        <x:v>6167</x:v>
      </x:c>
      <x:c r="C587" s="1" t="s">
        <x:v>5151</x:v>
      </x:c>
      <x:c r="D587" s="1" t="s">
        <x:v>5463</x:v>
      </x:c>
      <x:c r="E587" s="1" t="s">
        <x:v>56</x:v>
      </x:c>
      <x:c r="F587" s="1" t="s">
        <x:v>52</x:v>
      </x:c>
      <x:c r="G587" s="1" t="s">
        <x:v>6579</x:v>
      </x:c>
    </x:row>
    <x:row r="588" ht="15" hidden="0" customHeight="1">
      <x:c r="A588" s="1" t="s">
        <x:v>5060</x:v>
      </x:c>
      <x:c r="B588" s="1" t="s">
        <x:v>6167</x:v>
      </x:c>
      <x:c r="C588" s="1" t="s">
        <x:v>5151</x:v>
      </x:c>
      <x:c r="D588" s="1" t="s">
        <x:v>5464</x:v>
      </x:c>
      <x:c r="E588" s="1" t="s">
        <x:v>30</x:v>
      </x:c>
      <x:c r="F588" s="1" t="s">
        <x:v>45</x:v>
      </x:c>
      <x:c r="G588" s="1" t="s">
        <x:v>5060</x:v>
      </x:c>
    </x:row>
    <x:row r="589" ht="15" hidden="0" customHeight="1">
      <x:c r="A589" s="1" t="s">
        <x:v>5060</x:v>
      </x:c>
      <x:c r="B589" s="1" t="s">
        <x:v>6167</x:v>
      </x:c>
      <x:c r="C589" s="1" t="s">
        <x:v>5151</x:v>
      </x:c>
      <x:c r="D589" s="1" t="s">
        <x:v>5466</x:v>
      </x:c>
      <x:c r="F589" s="1" t="s">
        <x:v>5060</x:v>
      </x:c>
      <x:c r="G589" s="1" t="s">
        <x:v>5060</x:v>
      </x:c>
    </x:row>
    <x:row r="590" ht="15" hidden="0" customHeight="1">
      <x:c r="A590" s="1" t="s">
        <x:v>5060</x:v>
      </x:c>
      <x:c r="B590" s="1" t="s">
        <x:v>6167</x:v>
      </x:c>
      <x:c r="C590" s="1" t="s">
        <x:v>5151</x:v>
      </x:c>
      <x:c r="D590" s="1" t="s">
        <x:v>5467</x:v>
      </x:c>
      <x:c r="F590" s="1" t="s">
        <x:v>5511</x:v>
      </x:c>
      <x:c r="G590" s="1" t="s">
        <x:v>5060</x:v>
      </x:c>
    </x:row>
    <x:row r="591" ht="15" hidden="0" customHeight="1">
      <x:c r="A591" s="1" t="s">
        <x:v>5060</x:v>
      </x:c>
      <x:c r="B591" s="1" t="s">
        <x:v>6167</x:v>
      </x:c>
      <x:c r="C591" s="1" t="s">
        <x:v>5111</x:v>
      </x:c>
      <x:c r="D591" s="1" t="s">
        <x:v>5463</x:v>
      </x:c>
      <x:c r="E591" s="1" t="s">
        <x:v>56</x:v>
      </x:c>
      <x:c r="F591" s="1" t="s">
        <x:v>52</x:v>
      </x:c>
      <x:c r="G591" s="1" t="s">
        <x:v>6579</x:v>
      </x:c>
    </x:row>
    <x:row r="592" ht="15" hidden="0" customHeight="1">
      <x:c r="A592" s="1" t="s">
        <x:v>5060</x:v>
      </x:c>
      <x:c r="B592" s="1" t="s">
        <x:v>6167</x:v>
      </x:c>
      <x:c r="C592" s="1" t="s">
        <x:v>5111</x:v>
      </x:c>
      <x:c r="D592" s="1" t="s">
        <x:v>5464</x:v>
      </x:c>
      <x:c r="E592" s="1" t="s">
        <x:v>30</x:v>
      </x:c>
      <x:c r="F592" s="1" t="s">
        <x:v>45</x:v>
      </x:c>
      <x:c r="G592" s="1" t="s">
        <x:v>5060</x:v>
      </x:c>
    </x:row>
    <x:row r="593" ht="15" hidden="0" customHeight="1">
      <x:c r="A593" s="1" t="s">
        <x:v>5060</x:v>
      </x:c>
      <x:c r="B593" s="1" t="s">
        <x:v>6167</x:v>
      </x:c>
      <x:c r="C593" s="1" t="s">
        <x:v>5111</x:v>
      </x:c>
      <x:c r="D593" s="1" t="s">
        <x:v>5466</x:v>
      </x:c>
      <x:c r="F593" s="1" t="s">
        <x:v>5060</x:v>
      </x:c>
      <x:c r="G593" s="1" t="s">
        <x:v>5060</x:v>
      </x:c>
    </x:row>
    <x:row r="594" ht="15" hidden="0" customHeight="1">
      <x:c r="A594" s="1" t="s">
        <x:v>5060</x:v>
      </x:c>
      <x:c r="B594" s="1" t="s">
        <x:v>6167</x:v>
      </x:c>
      <x:c r="C594" s="1" t="s">
        <x:v>5111</x:v>
      </x:c>
      <x:c r="D594" s="1" t="s">
        <x:v>5467</x:v>
      </x:c>
      <x:c r="F594" s="1" t="s">
        <x:v>5511</x:v>
      </x:c>
      <x:c r="G594" s="1" t="s">
        <x:v>5060</x:v>
      </x:c>
    </x:row>
    <x:row r="595" ht="15" hidden="0" customHeight="1">
      <x:c r="A595" s="1" t="s">
        <x:v>5060</x:v>
      </x:c>
      <x:c r="B595" s="1" t="s">
        <x:v>6167</x:v>
      </x:c>
      <x:c r="C595" s="1" t="s">
        <x:v>5123</x:v>
      </x:c>
      <x:c r="D595" s="1" t="s">
        <x:v>5463</x:v>
      </x:c>
      <x:c r="E595" s="1" t="s">
        <x:v>56</x:v>
      </x:c>
      <x:c r="F595" s="1" t="s">
        <x:v>52</x:v>
      </x:c>
      <x:c r="G595" s="1" t="s">
        <x:v>6579</x:v>
      </x:c>
    </x:row>
    <x:row r="596" ht="15" hidden="0" customHeight="1">
      <x:c r="A596" s="1" t="s">
        <x:v>5060</x:v>
      </x:c>
      <x:c r="B596" s="1" t="s">
        <x:v>6167</x:v>
      </x:c>
      <x:c r="C596" s="1" t="s">
        <x:v>5123</x:v>
      </x:c>
      <x:c r="D596" s="1" t="s">
        <x:v>5464</x:v>
      </x:c>
      <x:c r="E596" s="1" t="s">
        <x:v>30</x:v>
      </x:c>
      <x:c r="F596" s="1" t="s">
        <x:v>45</x:v>
      </x:c>
      <x:c r="G596" s="1" t="s">
        <x:v>5060</x:v>
      </x:c>
    </x:row>
    <x:row r="597" ht="15" hidden="0" customHeight="1">
      <x:c r="A597" s="1" t="s">
        <x:v>5060</x:v>
      </x:c>
      <x:c r="B597" s="1" t="s">
        <x:v>6167</x:v>
      </x:c>
      <x:c r="C597" s="1" t="s">
        <x:v>5123</x:v>
      </x:c>
      <x:c r="D597" s="1" t="s">
        <x:v>5466</x:v>
      </x:c>
      <x:c r="F597" s="1" t="s">
        <x:v>5060</x:v>
      </x:c>
      <x:c r="G597" s="1" t="s">
        <x:v>5060</x:v>
      </x:c>
    </x:row>
    <x:row r="598" ht="15" hidden="0" customHeight="1">
      <x:c r="A598" s="1" t="s">
        <x:v>5060</x:v>
      </x:c>
      <x:c r="B598" s="1" t="s">
        <x:v>6167</x:v>
      </x:c>
      <x:c r="C598" s="1" t="s">
        <x:v>5123</x:v>
      </x:c>
      <x:c r="D598" s="1" t="s">
        <x:v>5467</x:v>
      </x:c>
      <x:c r="F598" s="1" t="s">
        <x:v>5511</x:v>
      </x:c>
      <x:c r="G598" s="1" t="s">
        <x:v>5060</x:v>
      </x:c>
    </x:row>
    <x:row r="599" ht="15" hidden="0" customHeight="1">
      <x:c r="A599" s="1" t="s">
        <x:v>5060</x:v>
      </x:c>
      <x:c r="B599" s="1" t="s">
        <x:v>6167</x:v>
      </x:c>
      <x:c r="C599" s="1" t="s">
        <x:v>5134</x:v>
      </x:c>
      <x:c r="D599" s="1" t="s">
        <x:v>5463</x:v>
      </x:c>
      <x:c r="E599" s="1" t="s">
        <x:v>56</x:v>
      </x:c>
      <x:c r="F599" s="1" t="s">
        <x:v>52</x:v>
      </x:c>
      <x:c r="G599" s="1" t="s">
        <x:v>6579</x:v>
      </x:c>
    </x:row>
    <x:row r="600" ht="15" hidden="0" customHeight="1">
      <x:c r="A600" s="1" t="s">
        <x:v>5060</x:v>
      </x:c>
      <x:c r="B600" s="1" t="s">
        <x:v>6167</x:v>
      </x:c>
      <x:c r="C600" s="1" t="s">
        <x:v>5134</x:v>
      </x:c>
      <x:c r="D600" s="1" t="s">
        <x:v>5464</x:v>
      </x:c>
      <x:c r="E600" s="1" t="s">
        <x:v>30</x:v>
      </x:c>
      <x:c r="F600" s="1" t="s">
        <x:v>45</x:v>
      </x:c>
      <x:c r="G600" s="1" t="s">
        <x:v>5060</x:v>
      </x:c>
    </x:row>
    <x:row r="601" ht="15" hidden="0" customHeight="1">
      <x:c r="A601" s="1" t="s">
        <x:v>5060</x:v>
      </x:c>
      <x:c r="B601" s="1" t="s">
        <x:v>6167</x:v>
      </x:c>
      <x:c r="C601" s="1" t="s">
        <x:v>5134</x:v>
      </x:c>
      <x:c r="D601" s="1" t="s">
        <x:v>5466</x:v>
      </x:c>
      <x:c r="F601" s="1" t="s">
        <x:v>5060</x:v>
      </x:c>
      <x:c r="G601" s="1" t="s">
        <x:v>5060</x:v>
      </x:c>
    </x:row>
    <x:row r="602" ht="15" hidden="0" customHeight="1">
      <x:c r="A602" s="1" t="s">
        <x:v>5060</x:v>
      </x:c>
      <x:c r="B602" s="1" t="s">
        <x:v>6167</x:v>
      </x:c>
      <x:c r="C602" s="1" t="s">
        <x:v>5134</x:v>
      </x:c>
      <x:c r="D602" s="1" t="s">
        <x:v>5467</x:v>
      </x:c>
      <x:c r="F602" s="1" t="s">
        <x:v>5511</x:v>
      </x:c>
      <x:c r="G602" s="1" t="s">
        <x:v>5060</x:v>
      </x:c>
    </x:row>
    <x:row r="603" ht="15" hidden="0" customHeight="1">
      <x:c r="A603" s="1" t="s">
        <x:v>5060</x:v>
      </x:c>
      <x:c r="B603" s="1" t="s">
        <x:v>6167</x:v>
      </x:c>
      <x:c r="C603" s="1" t="s">
        <x:v>5160</x:v>
      </x:c>
      <x:c r="D603" s="1" t="s">
        <x:v>5463</x:v>
      </x:c>
      <x:c r="E603" s="1" t="s">
        <x:v>56</x:v>
      </x:c>
      <x:c r="F603" s="1" t="s">
        <x:v>52</x:v>
      </x:c>
      <x:c r="G603" s="1" t="s">
        <x:v>6579</x:v>
      </x:c>
    </x:row>
    <x:row r="604" ht="15" hidden="0" customHeight="1">
      <x:c r="A604" s="1" t="s">
        <x:v>5060</x:v>
      </x:c>
      <x:c r="B604" s="1" t="s">
        <x:v>6167</x:v>
      </x:c>
      <x:c r="C604" s="1" t="s">
        <x:v>5160</x:v>
      </x:c>
      <x:c r="D604" s="1" t="s">
        <x:v>5464</x:v>
      </x:c>
      <x:c r="E604" s="1" t="s">
        <x:v>30</x:v>
      </x:c>
      <x:c r="F604" s="1" t="s">
        <x:v>45</x:v>
      </x:c>
      <x:c r="G604" s="1" t="s">
        <x:v>5060</x:v>
      </x:c>
    </x:row>
    <x:row r="605" ht="15" hidden="0" customHeight="1">
      <x:c r="A605" s="1" t="s">
        <x:v>5060</x:v>
      </x:c>
      <x:c r="B605" s="1" t="s">
        <x:v>6167</x:v>
      </x:c>
      <x:c r="C605" s="1" t="s">
        <x:v>5160</x:v>
      </x:c>
      <x:c r="D605" s="1" t="s">
        <x:v>5466</x:v>
      </x:c>
      <x:c r="F605" s="1" t="s">
        <x:v>5060</x:v>
      </x:c>
      <x:c r="G605" s="1" t="s">
        <x:v>5060</x:v>
      </x:c>
    </x:row>
    <x:row r="606" ht="15" hidden="0" customHeight="1">
      <x:c r="A606" s="1" t="s">
        <x:v>5060</x:v>
      </x:c>
      <x:c r="B606" s="1" t="s">
        <x:v>6167</x:v>
      </x:c>
      <x:c r="C606" s="1" t="s">
        <x:v>5160</x:v>
      </x:c>
      <x:c r="D606" s="1" t="s">
        <x:v>5467</x:v>
      </x:c>
      <x:c r="F606" s="1" t="s">
        <x:v>5511</x:v>
      </x:c>
      <x:c r="G606" s="1" t="s">
        <x:v>5060</x:v>
      </x:c>
    </x:row>
    <x:row r="607" ht="15" hidden="0" customHeight="1">
      <x:c r="A607" s="1" t="s">
        <x:v>5060</x:v>
      </x:c>
      <x:c r="B607" s="1" t="s">
        <x:v>6167</x:v>
      </x:c>
      <x:c r="C607" s="1" t="s">
        <x:v>4833</x:v>
      </x:c>
      <x:c r="D607" s="1" t="s">
        <x:v>5466</x:v>
      </x:c>
      <x:c r="E607" s="1" t="s">
        <x:v>4904</x:v>
      </x:c>
      <x:c r="F607" s="1" t="s">
        <x:v>5060</x:v>
      </x:c>
      <x:c r="G607" s="1" t="s">
        <x:v>5060</x:v>
      </x:c>
    </x:row>
    <x:row r="608" ht="15" hidden="0" customHeight="1">
      <x:c r="A608" s="1" t="s">
        <x:v>5060</x:v>
      </x:c>
      <x:c r="B608" s="1" t="s">
        <x:v>6167</x:v>
      </x:c>
      <x:c r="C608" s="1" t="s">
        <x:v>4833</x:v>
      </x:c>
      <x:c r="D608" s="1" t="s">
        <x:v>5467</x:v>
      </x:c>
      <x:c r="E608" s="1" t="s">
        <x:v>6205</x:v>
      </x:c>
      <x:c r="F608" s="1" t="s">
        <x:v>5596</x:v>
      </x:c>
      <x:c r="G608" s="1" t="s">
        <x:v>5060</x:v>
      </x:c>
    </x:row>
    <x:row r="609" ht="15" hidden="0" customHeight="1">
      <x:c r="A609" s="1" t="s">
        <x:v>5060</x:v>
      </x:c>
      <x:c r="B609" s="1" t="s">
        <x:v>6167</x:v>
      </x:c>
      <x:c r="C609" s="1" t="s">
        <x:v>5142</x:v>
      </x:c>
      <x:c r="D609" s="1" t="s">
        <x:v>5463</x:v>
      </x:c>
      <x:c r="E609" s="1" t="s">
        <x:v>56</x:v>
      </x:c>
      <x:c r="F609" s="1" t="s">
        <x:v>52</x:v>
      </x:c>
      <x:c r="G609" s="1" t="s">
        <x:v>6579</x:v>
      </x:c>
    </x:row>
    <x:row r="610" ht="15" hidden="0" customHeight="1">
      <x:c r="A610" s="1" t="s">
        <x:v>5060</x:v>
      </x:c>
      <x:c r="B610" s="1" t="s">
        <x:v>6167</x:v>
      </x:c>
      <x:c r="C610" s="1" t="s">
        <x:v>5142</x:v>
      </x:c>
      <x:c r="D610" s="1" t="s">
        <x:v>5464</x:v>
      </x:c>
      <x:c r="E610" s="1" t="s">
        <x:v>30</x:v>
      </x:c>
      <x:c r="F610" s="1" t="s">
        <x:v>45</x:v>
      </x:c>
      <x:c r="G610" s="1" t="s">
        <x:v>5060</x:v>
      </x:c>
    </x:row>
    <x:row r="611" ht="15" hidden="0" customHeight="1">
      <x:c r="A611" s="1" t="s">
        <x:v>5060</x:v>
      </x:c>
      <x:c r="B611" s="1" t="s">
        <x:v>6167</x:v>
      </x:c>
      <x:c r="C611" s="1" t="s">
        <x:v>5142</x:v>
      </x:c>
      <x:c r="D611" s="1" t="s">
        <x:v>5466</x:v>
      </x:c>
      <x:c r="F611" s="1" t="s">
        <x:v>5060</x:v>
      </x:c>
      <x:c r="G611" s="1" t="s">
        <x:v>5060</x:v>
      </x:c>
    </x:row>
    <x:row r="612" ht="15" hidden="0" customHeight="1">
      <x:c r="A612" s="1" t="s">
        <x:v>5060</x:v>
      </x:c>
      <x:c r="B612" s="1" t="s">
        <x:v>6167</x:v>
      </x:c>
      <x:c r="C612" s="1" t="s">
        <x:v>5142</x:v>
      </x:c>
      <x:c r="D612" s="1" t="s">
        <x:v>5467</x:v>
      </x:c>
      <x:c r="F612" s="1" t="s">
        <x:v>5511</x:v>
      </x:c>
      <x:c r="G612" s="1" t="s">
        <x:v>5060</x:v>
      </x:c>
    </x:row>
    <x:row r="613" ht="15" hidden="0" customHeight="1">
      <x:c r="A613" s="1" t="s">
        <x:v>5060</x:v>
      </x:c>
      <x:c r="B613" s="1" t="s">
        <x:v>6167</x:v>
      </x:c>
      <x:c r="C613" s="1" t="s">
        <x:v>5171</x:v>
      </x:c>
      <x:c r="D613" s="1" t="s">
        <x:v>5463</x:v>
      </x:c>
      <x:c r="E613" s="1" t="s">
        <x:v>56</x:v>
      </x:c>
      <x:c r="F613" s="1" t="s">
        <x:v>54</x:v>
      </x:c>
      <x:c r="G613" s="1" t="s">
        <x:v>6579</x:v>
      </x:c>
    </x:row>
    <x:row r="614" ht="15" hidden="0" customHeight="1">
      <x:c r="A614" s="1" t="s">
        <x:v>5060</x:v>
      </x:c>
      <x:c r="B614" s="1" t="s">
        <x:v>6167</x:v>
      </x:c>
      <x:c r="C614" s="1" t="s">
        <x:v>5171</x:v>
      </x:c>
      <x:c r="D614" s="1" t="s">
        <x:v>5464</x:v>
      </x:c>
      <x:c r="E614" s="1" t="s">
        <x:v>30</x:v>
      </x:c>
      <x:c r="F614" s="1" t="s">
        <x:v>45</x:v>
      </x:c>
      <x:c r="G614" s="1" t="s">
        <x:v>5060</x:v>
      </x:c>
    </x:row>
    <x:row r="615" ht="15" hidden="0" customHeight="1">
      <x:c r="A615" s="1" t="s">
        <x:v>5060</x:v>
      </x:c>
      <x:c r="B615" s="1" t="s">
        <x:v>6167</x:v>
      </x:c>
      <x:c r="C615" s="1" t="s">
        <x:v>5171</x:v>
      </x:c>
      <x:c r="D615" s="1" t="s">
        <x:v>5466</x:v>
      </x:c>
      <x:c r="F615" s="1" t="s">
        <x:v>5060</x:v>
      </x:c>
      <x:c r="G615" s="1" t="s">
        <x:v>5060</x:v>
      </x:c>
    </x:row>
    <x:row r="616" ht="15" hidden="0" customHeight="1">
      <x:c r="A616" s="1" t="s">
        <x:v>5060</x:v>
      </x:c>
      <x:c r="B616" s="1" t="s">
        <x:v>6167</x:v>
      </x:c>
      <x:c r="C616" s="1" t="s">
        <x:v>5171</x:v>
      </x:c>
      <x:c r="D616" s="1" t="s">
        <x:v>5467</x:v>
      </x:c>
      <x:c r="F616" s="1" t="s">
        <x:v>5511</x:v>
      </x:c>
      <x:c r="G616" s="1" t="s">
        <x:v>5060</x:v>
      </x:c>
    </x:row>
    <x:row r="617" ht="15" hidden="0" customHeight="1">
      <x:c r="A617" s="1" t="s">
        <x:v>5060</x:v>
      </x:c>
      <x:c r="B617" s="1" t="s">
        <x:v>6174</x:v>
      </x:c>
      <x:c r="C617" s="1" t="s">
        <x:v>5101</x:v>
      </x:c>
      <x:c r="D617" s="1" t="s">
        <x:v>5661</x:v>
      </x:c>
      <x:c r="E617" s="1" t="s">
        <x:v>30</x:v>
      </x:c>
      <x:c r="F617" s="1" t="s">
        <x:v>52</x:v>
      </x:c>
      <x:c r="G617" s="1" t="s">
        <x:v>5060</x:v>
      </x:c>
    </x:row>
    <x:row r="618" ht="15" hidden="0" customHeight="1">
      <x:c r="A618" s="1" t="s">
        <x:v>5060</x:v>
      </x:c>
      <x:c r="B618" s="1" t="s">
        <x:v>6174</x:v>
      </x:c>
      <x:c r="C618" s="1" t="s">
        <x:v>5101</x:v>
      </x:c>
      <x:c r="D618" s="1" t="s">
        <x:v>98</x:v>
      </x:c>
      <x:c r="E618" s="1" t="s">
        <x:v>5680</x:v>
      </x:c>
      <x:c r="F618" s="1" t="s">
        <x:v>5733</x:v>
      </x:c>
      <x:c r="G618" s="1" t="s">
        <x:v>6580</x:v>
      </x:c>
    </x:row>
    <x:row r="619" ht="15" hidden="0" customHeight="1">
      <x:c r="A619" s="1" t="s">
        <x:v>5060</x:v>
      </x:c>
      <x:c r="B619" s="1" t="s">
        <x:v>6174</x:v>
      </x:c>
      <x:c r="C619" s="1" t="s">
        <x:v>5151</x:v>
      </x:c>
      <x:c r="D619" s="1" t="s">
        <x:v>5661</x:v>
      </x:c>
      <x:c r="E619" s="1" t="s">
        <x:v>30</x:v>
      </x:c>
      <x:c r="F619" s="1" t="s">
        <x:v>52</x:v>
      </x:c>
      <x:c r="G619" s="1" t="s">
        <x:v>5060</x:v>
      </x:c>
    </x:row>
    <x:row r="620" ht="15" hidden="0" customHeight="1">
      <x:c r="A620" s="1" t="s">
        <x:v>5060</x:v>
      </x:c>
      <x:c r="B620" s="1" t="s">
        <x:v>6174</x:v>
      </x:c>
      <x:c r="C620" s="1" t="s">
        <x:v>5151</x:v>
      </x:c>
      <x:c r="D620" s="1" t="s">
        <x:v>98</x:v>
      </x:c>
      <x:c r="E620" s="1" t="s">
        <x:v>5680</x:v>
      </x:c>
      <x:c r="F620" s="1" t="s">
        <x:v>5733</x:v>
      </x:c>
      <x:c r="G620" s="1" t="s">
        <x:v>6580</x:v>
      </x:c>
    </x:row>
    <x:row r="621" ht="15" hidden="0" customHeight="1">
      <x:c r="A621" s="1" t="s">
        <x:v>5060</x:v>
      </x:c>
      <x:c r="B621" s="1" t="s">
        <x:v>6174</x:v>
      </x:c>
      <x:c r="C621" s="1" t="s">
        <x:v>5111</x:v>
      </x:c>
      <x:c r="D621" s="1" t="s">
        <x:v>5661</x:v>
      </x:c>
      <x:c r="E621" s="1" t="s">
        <x:v>30</x:v>
      </x:c>
      <x:c r="F621" s="1" t="s">
        <x:v>52</x:v>
      </x:c>
      <x:c r="G621" s="1" t="s">
        <x:v>5060</x:v>
      </x:c>
    </x:row>
    <x:row r="622" ht="15" hidden="0" customHeight="1">
      <x:c r="A622" s="1" t="s">
        <x:v>5060</x:v>
      </x:c>
      <x:c r="B622" s="1" t="s">
        <x:v>6174</x:v>
      </x:c>
      <x:c r="C622" s="1" t="s">
        <x:v>5111</x:v>
      </x:c>
      <x:c r="D622" s="1" t="s">
        <x:v>98</x:v>
      </x:c>
      <x:c r="E622" s="1" t="s">
        <x:v>5680</x:v>
      </x:c>
      <x:c r="F622" s="1" t="s">
        <x:v>5733</x:v>
      </x:c>
      <x:c r="G622" s="1" t="s">
        <x:v>6580</x:v>
      </x:c>
    </x:row>
    <x:row r="623" ht="15" hidden="0" customHeight="1">
      <x:c r="A623" s="1" t="s">
        <x:v>5060</x:v>
      </x:c>
      <x:c r="B623" s="1" t="s">
        <x:v>6174</x:v>
      </x:c>
      <x:c r="C623" s="1" t="s">
        <x:v>5123</x:v>
      </x:c>
      <x:c r="D623" s="1" t="s">
        <x:v>5661</x:v>
      </x:c>
      <x:c r="E623" s="1" t="s">
        <x:v>30</x:v>
      </x:c>
      <x:c r="F623" s="1" t="s">
        <x:v>52</x:v>
      </x:c>
      <x:c r="G623" s="1" t="s">
        <x:v>5060</x:v>
      </x:c>
    </x:row>
    <x:row r="624" ht="15" hidden="0" customHeight="1">
      <x:c r="A624" s="1" t="s">
        <x:v>5060</x:v>
      </x:c>
      <x:c r="B624" s="1" t="s">
        <x:v>6174</x:v>
      </x:c>
      <x:c r="C624" s="1" t="s">
        <x:v>5123</x:v>
      </x:c>
      <x:c r="D624" s="1" t="s">
        <x:v>98</x:v>
      </x:c>
      <x:c r="E624" s="1" t="s">
        <x:v>5680</x:v>
      </x:c>
      <x:c r="F624" s="1" t="s">
        <x:v>5733</x:v>
      </x:c>
      <x:c r="G624" s="1" t="s">
        <x:v>6580</x:v>
      </x:c>
    </x:row>
    <x:row r="625" ht="15" hidden="0" customHeight="1">
      <x:c r="A625" s="1" t="s">
        <x:v>5060</x:v>
      </x:c>
      <x:c r="B625" s="1" t="s">
        <x:v>6174</x:v>
      </x:c>
      <x:c r="C625" s="1" t="s">
        <x:v>5134</x:v>
      </x:c>
      <x:c r="D625" s="1" t="s">
        <x:v>5661</x:v>
      </x:c>
      <x:c r="E625" s="1" t="s">
        <x:v>30</x:v>
      </x:c>
      <x:c r="F625" s="1" t="s">
        <x:v>52</x:v>
      </x:c>
      <x:c r="G625" s="1" t="s">
        <x:v>5060</x:v>
      </x:c>
    </x:row>
    <x:row r="626" ht="15" hidden="0" customHeight="1">
      <x:c r="A626" s="1" t="s">
        <x:v>5060</x:v>
      </x:c>
      <x:c r="B626" s="1" t="s">
        <x:v>6174</x:v>
      </x:c>
      <x:c r="C626" s="1" t="s">
        <x:v>5134</x:v>
      </x:c>
      <x:c r="D626" s="1" t="s">
        <x:v>98</x:v>
      </x:c>
      <x:c r="E626" s="1" t="s">
        <x:v>5680</x:v>
      </x:c>
      <x:c r="F626" s="1" t="s">
        <x:v>5733</x:v>
      </x:c>
      <x:c r="G626" s="1" t="s">
        <x:v>6580</x:v>
      </x:c>
    </x:row>
    <x:row r="627" ht="15" hidden="0" customHeight="1">
      <x:c r="A627" s="1" t="s">
        <x:v>5060</x:v>
      </x:c>
      <x:c r="B627" s="1" t="s">
        <x:v>6174</x:v>
      </x:c>
      <x:c r="C627" s="1" t="s">
        <x:v>5160</x:v>
      </x:c>
      <x:c r="D627" s="1" t="s">
        <x:v>5661</x:v>
      </x:c>
      <x:c r="E627" s="1" t="s">
        <x:v>30</x:v>
      </x:c>
      <x:c r="F627" s="1" t="s">
        <x:v>52</x:v>
      </x:c>
      <x:c r="G627" s="1" t="s">
        <x:v>5060</x:v>
      </x:c>
    </x:row>
    <x:row r="628" ht="15" hidden="0" customHeight="1">
      <x:c r="A628" s="1" t="s">
        <x:v>5060</x:v>
      </x:c>
      <x:c r="B628" s="1" t="s">
        <x:v>6174</x:v>
      </x:c>
      <x:c r="C628" s="1" t="s">
        <x:v>5160</x:v>
      </x:c>
      <x:c r="D628" s="1" t="s">
        <x:v>98</x:v>
      </x:c>
      <x:c r="E628" s="1" t="s">
        <x:v>5680</x:v>
      </x:c>
      <x:c r="F628" s="1" t="s">
        <x:v>5733</x:v>
      </x:c>
      <x:c r="G628" s="1" t="s">
        <x:v>6580</x:v>
      </x:c>
    </x:row>
    <x:row r="629" ht="15" hidden="0" customHeight="1">
      <x:c r="A629" s="1" t="s">
        <x:v>5060</x:v>
      </x:c>
      <x:c r="B629" s="1" t="s">
        <x:v>6174</x:v>
      </x:c>
      <x:c r="C629" s="1" t="s">
        <x:v>4833</x:v>
      </x:c>
      <x:c r="D629" s="1" t="s">
        <x:v>98</x:v>
      </x:c>
      <x:c r="E629" s="1" t="s">
        <x:v>6236</x:v>
      </x:c>
      <x:c r="F629" s="1" t="s">
        <x:v>6581</x:v>
      </x:c>
      <x:c r="G629" s="1" t="s">
        <x:v>6580</x:v>
      </x:c>
    </x:row>
    <x:row r="630" ht="15" hidden="0" customHeight="1">
      <x:c r="A630" s="1" t="s">
        <x:v>5060</x:v>
      </x:c>
      <x:c r="B630" s="1" t="s">
        <x:v>6174</x:v>
      </x:c>
      <x:c r="C630" s="1" t="s">
        <x:v>5142</x:v>
      </x:c>
      <x:c r="D630" s="1" t="s">
        <x:v>5661</x:v>
      </x:c>
      <x:c r="E630" s="1" t="s">
        <x:v>30</x:v>
      </x:c>
      <x:c r="F630" s="1" t="s">
        <x:v>52</x:v>
      </x:c>
      <x:c r="G630" s="1" t="s">
        <x:v>5060</x:v>
      </x:c>
    </x:row>
    <x:row r="631" ht="15" hidden="0" customHeight="1">
      <x:c r="A631" s="1" t="s">
        <x:v>5060</x:v>
      </x:c>
      <x:c r="B631" s="1" t="s">
        <x:v>6174</x:v>
      </x:c>
      <x:c r="C631" s="1" t="s">
        <x:v>5142</x:v>
      </x:c>
      <x:c r="D631" s="1" t="s">
        <x:v>98</x:v>
      </x:c>
      <x:c r="E631" s="1" t="s">
        <x:v>5680</x:v>
      </x:c>
      <x:c r="F631" s="1" t="s">
        <x:v>5733</x:v>
      </x:c>
      <x:c r="G631" s="1" t="s">
        <x:v>6580</x:v>
      </x:c>
    </x:row>
    <x:row r="632" ht="15" hidden="0" customHeight="1">
      <x:c r="A632" s="1" t="s">
        <x:v>5060</x:v>
      </x:c>
      <x:c r="B632" s="1" t="s">
        <x:v>6174</x:v>
      </x:c>
      <x:c r="C632" s="1" t="s">
        <x:v>5171</x:v>
      </x:c>
      <x:c r="D632" s="1" t="s">
        <x:v>5661</x:v>
      </x:c>
      <x:c r="E632" s="1" t="s">
        <x:v>30</x:v>
      </x:c>
      <x:c r="F632" s="1" t="s">
        <x:v>52</x:v>
      </x:c>
      <x:c r="G632" s="1" t="s">
        <x:v>5060</x:v>
      </x:c>
    </x:row>
    <x:row r="633" ht="15" hidden="0" customHeight="1">
      <x:c r="A633" s="1" t="s">
        <x:v>5060</x:v>
      </x:c>
      <x:c r="B633" s="1" t="s">
        <x:v>6174</x:v>
      </x:c>
      <x:c r="C633" s="1" t="s">
        <x:v>5171</x:v>
      </x:c>
      <x:c r="D633" s="1" t="s">
        <x:v>98</x:v>
      </x:c>
      <x:c r="E633" s="1" t="s">
        <x:v>5680</x:v>
      </x:c>
      <x:c r="F633" s="1" t="s">
        <x:v>5998</x:v>
      </x:c>
      <x:c r="G633" s="1" t="s">
        <x:v>6580</x:v>
      </x:c>
    </x:row>
    <x:row r="634" ht="15" hidden="0" customHeight="1">
      <x:c r="A634" s="1" t="s">
        <x:v>5060</x:v>
      </x:c>
      <x:c r="B634" s="1" t="s">
        <x:v>6178</x:v>
      </x:c>
      <x:c r="C634" s="1" t="s">
        <x:v>5101</x:v>
      </x:c>
      <x:c r="D634" s="1" t="s">
        <x:v>6067</x:v>
      </x:c>
      <x:c r="E634" s="1" t="s">
        <x:v>6075</x:v>
      </x:c>
      <x:c r="F634" s="1" t="s">
        <x:v>52</x:v>
      </x:c>
      <x:c r="G634" s="1" t="s">
        <x:v>6582</x:v>
      </x:c>
    </x:row>
    <x:row r="635" ht="15" hidden="0" customHeight="1">
      <x:c r="A635" s="1" t="s">
        <x:v>5060</x:v>
      </x:c>
      <x:c r="B635" s="1" t="s">
        <x:v>6178</x:v>
      </x:c>
      <x:c r="C635" s="1" t="s">
        <x:v>5101</x:v>
      </x:c>
      <x:c r="D635" s="1" t="s">
        <x:v>6071</x:v>
      </x:c>
      <x:c r="E635" s="1" t="s">
        <x:v>30</x:v>
      </x:c>
      <x:c r="F635" s="1" t="s">
        <x:v>6086</x:v>
      </x:c>
      <x:c r="G635" s="1" t="s">
        <x:v>5060</x:v>
      </x:c>
    </x:row>
    <x:row r="636" ht="15" hidden="0" customHeight="1">
      <x:c r="A636" s="1" t="s">
        <x:v>5060</x:v>
      </x:c>
      <x:c r="B636" s="1" t="s">
        <x:v>6178</x:v>
      </x:c>
      <x:c r="C636" s="1" t="s">
        <x:v>5101</x:v>
      </x:c>
      <x:c r="D636" s="1" t="s">
        <x:v>6072</x:v>
      </x:c>
      <x:c r="E636" s="1" t="s">
        <x:v>883</x:v>
      </x:c>
      <x:c r="F636" s="1" t="s">
        <x:v>20</x:v>
      </x:c>
      <x:c r="G636" s="1" t="s">
        <x:v>5060</x:v>
      </x:c>
    </x:row>
    <x:row r="637" ht="15" hidden="0" customHeight="1">
      <x:c r="A637" s="1" t="s">
        <x:v>5060</x:v>
      </x:c>
      <x:c r="B637" s="1" t="s">
        <x:v>6178</x:v>
      </x:c>
      <x:c r="C637" s="1" t="s">
        <x:v>5101</x:v>
      </x:c>
      <x:c r="D637" s="1" t="s">
        <x:v>6073</x:v>
      </x:c>
      <x:c r="E637" s="1" t="s">
        <x:v>6078</x:v>
      </x:c>
      <x:c r="F637" s="1" t="s">
        <x:v>6087</x:v>
      </x:c>
      <x:c r="G637" s="1" t="s">
        <x:v>5060</x:v>
      </x:c>
    </x:row>
    <x:row r="638" ht="15" hidden="0" customHeight="1">
      <x:c r="A638" s="1" t="s">
        <x:v>5060</x:v>
      </x:c>
      <x:c r="B638" s="1" t="s">
        <x:v>6178</x:v>
      </x:c>
      <x:c r="C638" s="1" t="s">
        <x:v>5151</x:v>
      </x:c>
      <x:c r="D638" s="1" t="s">
        <x:v>6067</x:v>
      </x:c>
      <x:c r="E638" s="1" t="s">
        <x:v>6075</x:v>
      </x:c>
      <x:c r="F638" s="1" t="s">
        <x:v>52</x:v>
      </x:c>
      <x:c r="G638" s="1" t="s">
        <x:v>6582</x:v>
      </x:c>
    </x:row>
    <x:row r="639" ht="15" hidden="0" customHeight="1">
      <x:c r="A639" s="1" t="s">
        <x:v>5060</x:v>
      </x:c>
      <x:c r="B639" s="1" t="s">
        <x:v>6178</x:v>
      </x:c>
      <x:c r="C639" s="1" t="s">
        <x:v>5151</x:v>
      </x:c>
      <x:c r="D639" s="1" t="s">
        <x:v>6071</x:v>
      </x:c>
      <x:c r="E639" s="1" t="s">
        <x:v>30</x:v>
      </x:c>
      <x:c r="F639" s="1" t="s">
        <x:v>6086</x:v>
      </x:c>
      <x:c r="G639" s="1" t="s">
        <x:v>5060</x:v>
      </x:c>
    </x:row>
    <x:row r="640" ht="15" hidden="0" customHeight="1">
      <x:c r="A640" s="1" t="s">
        <x:v>5060</x:v>
      </x:c>
      <x:c r="B640" s="1" t="s">
        <x:v>6178</x:v>
      </x:c>
      <x:c r="C640" s="1" t="s">
        <x:v>5151</x:v>
      </x:c>
      <x:c r="D640" s="1" t="s">
        <x:v>6072</x:v>
      </x:c>
      <x:c r="E640" s="1" t="s">
        <x:v>883</x:v>
      </x:c>
      <x:c r="F640" s="1" t="s">
        <x:v>20</x:v>
      </x:c>
      <x:c r="G640" s="1" t="s">
        <x:v>5060</x:v>
      </x:c>
    </x:row>
    <x:row r="641" ht="15" hidden="0" customHeight="1">
      <x:c r="A641" s="1" t="s">
        <x:v>5060</x:v>
      </x:c>
      <x:c r="B641" s="1" t="s">
        <x:v>6178</x:v>
      </x:c>
      <x:c r="C641" s="1" t="s">
        <x:v>5151</x:v>
      </x:c>
      <x:c r="D641" s="1" t="s">
        <x:v>6073</x:v>
      </x:c>
      <x:c r="E641" s="1" t="s">
        <x:v>6078</x:v>
      </x:c>
      <x:c r="F641" s="1" t="s">
        <x:v>6087</x:v>
      </x:c>
      <x:c r="G641" s="1" t="s">
        <x:v>5060</x:v>
      </x:c>
    </x:row>
    <x:row r="642" ht="15" hidden="0" customHeight="1">
      <x:c r="A642" s="1" t="s">
        <x:v>5060</x:v>
      </x:c>
      <x:c r="B642" s="1" t="s">
        <x:v>6178</x:v>
      </x:c>
      <x:c r="C642" s="1" t="s">
        <x:v>5111</x:v>
      </x:c>
      <x:c r="D642" s="1" t="s">
        <x:v>6067</x:v>
      </x:c>
      <x:c r="E642" s="1" t="s">
        <x:v>6075</x:v>
      </x:c>
      <x:c r="F642" s="1" t="s">
        <x:v>52</x:v>
      </x:c>
      <x:c r="G642" s="1" t="s">
        <x:v>6582</x:v>
      </x:c>
    </x:row>
    <x:row r="643" ht="15" hidden="0" customHeight="1">
      <x:c r="A643" s="1" t="s">
        <x:v>5060</x:v>
      </x:c>
      <x:c r="B643" s="1" t="s">
        <x:v>6178</x:v>
      </x:c>
      <x:c r="C643" s="1" t="s">
        <x:v>5111</x:v>
      </x:c>
      <x:c r="D643" s="1" t="s">
        <x:v>6071</x:v>
      </x:c>
      <x:c r="E643" s="1" t="s">
        <x:v>30</x:v>
      </x:c>
      <x:c r="F643" s="1" t="s">
        <x:v>6086</x:v>
      </x:c>
      <x:c r="G643" s="1" t="s">
        <x:v>5060</x:v>
      </x:c>
    </x:row>
    <x:row r="644" ht="15" hidden="0" customHeight="1">
      <x:c r="A644" s="1" t="s">
        <x:v>5060</x:v>
      </x:c>
      <x:c r="B644" s="1" t="s">
        <x:v>6178</x:v>
      </x:c>
      <x:c r="C644" s="1" t="s">
        <x:v>5111</x:v>
      </x:c>
      <x:c r="D644" s="1" t="s">
        <x:v>6072</x:v>
      </x:c>
      <x:c r="E644" s="1" t="s">
        <x:v>883</x:v>
      </x:c>
      <x:c r="F644" s="1" t="s">
        <x:v>20</x:v>
      </x:c>
      <x:c r="G644" s="1" t="s">
        <x:v>5060</x:v>
      </x:c>
    </x:row>
    <x:row r="645" ht="15" hidden="0" customHeight="1">
      <x:c r="A645" s="1" t="s">
        <x:v>5060</x:v>
      </x:c>
      <x:c r="B645" s="1" t="s">
        <x:v>6178</x:v>
      </x:c>
      <x:c r="C645" s="1" t="s">
        <x:v>5111</x:v>
      </x:c>
      <x:c r="D645" s="1" t="s">
        <x:v>6073</x:v>
      </x:c>
      <x:c r="E645" s="1" t="s">
        <x:v>6078</x:v>
      </x:c>
      <x:c r="F645" s="1" t="s">
        <x:v>6087</x:v>
      </x:c>
      <x:c r="G645" s="1" t="s">
        <x:v>5060</x:v>
      </x:c>
    </x:row>
    <x:row r="646" ht="15" hidden="0" customHeight="1">
      <x:c r="A646" s="1" t="s">
        <x:v>5060</x:v>
      </x:c>
      <x:c r="B646" s="1" t="s">
        <x:v>6178</x:v>
      </x:c>
      <x:c r="C646" s="1" t="s">
        <x:v>5123</x:v>
      </x:c>
      <x:c r="D646" s="1" t="s">
        <x:v>6067</x:v>
      </x:c>
      <x:c r="E646" s="1" t="s">
        <x:v>6075</x:v>
      </x:c>
      <x:c r="F646" s="1" t="s">
        <x:v>52</x:v>
      </x:c>
      <x:c r="G646" s="1" t="s">
        <x:v>6582</x:v>
      </x:c>
    </x:row>
    <x:row r="647" ht="15" hidden="0" customHeight="1">
      <x:c r="A647" s="1" t="s">
        <x:v>5060</x:v>
      </x:c>
      <x:c r="B647" s="1" t="s">
        <x:v>6178</x:v>
      </x:c>
      <x:c r="C647" s="1" t="s">
        <x:v>5123</x:v>
      </x:c>
      <x:c r="D647" s="1" t="s">
        <x:v>6071</x:v>
      </x:c>
      <x:c r="E647" s="1" t="s">
        <x:v>30</x:v>
      </x:c>
      <x:c r="F647" s="1" t="s">
        <x:v>6086</x:v>
      </x:c>
      <x:c r="G647" s="1" t="s">
        <x:v>5060</x:v>
      </x:c>
    </x:row>
    <x:row r="648" ht="15" hidden="0" customHeight="1">
      <x:c r="A648" s="1" t="s">
        <x:v>5060</x:v>
      </x:c>
      <x:c r="B648" s="1" t="s">
        <x:v>6178</x:v>
      </x:c>
      <x:c r="C648" s="1" t="s">
        <x:v>5123</x:v>
      </x:c>
      <x:c r="D648" s="1" t="s">
        <x:v>6072</x:v>
      </x:c>
      <x:c r="E648" s="1" t="s">
        <x:v>883</x:v>
      </x:c>
      <x:c r="F648" s="1" t="s">
        <x:v>20</x:v>
      </x:c>
      <x:c r="G648" s="1" t="s">
        <x:v>5060</x:v>
      </x:c>
    </x:row>
    <x:row r="649" ht="15" hidden="0" customHeight="1">
      <x:c r="A649" s="1" t="s">
        <x:v>5060</x:v>
      </x:c>
      <x:c r="B649" s="1" t="s">
        <x:v>6178</x:v>
      </x:c>
      <x:c r="C649" s="1" t="s">
        <x:v>5123</x:v>
      </x:c>
      <x:c r="D649" s="1" t="s">
        <x:v>6073</x:v>
      </x:c>
      <x:c r="E649" s="1" t="s">
        <x:v>6078</x:v>
      </x:c>
      <x:c r="F649" s="1" t="s">
        <x:v>6087</x:v>
      </x:c>
      <x:c r="G649" s="1" t="s">
        <x:v>5060</x:v>
      </x:c>
    </x:row>
    <x:row r="650" ht="15" hidden="0" customHeight="1">
      <x:c r="A650" s="1" t="s">
        <x:v>5060</x:v>
      </x:c>
      <x:c r="B650" s="1" t="s">
        <x:v>6178</x:v>
      </x:c>
      <x:c r="C650" s="1" t="s">
        <x:v>5134</x:v>
      </x:c>
      <x:c r="D650" s="1" t="s">
        <x:v>6067</x:v>
      </x:c>
      <x:c r="E650" s="1" t="s">
        <x:v>6075</x:v>
      </x:c>
      <x:c r="F650" s="1" t="s">
        <x:v>52</x:v>
      </x:c>
      <x:c r="G650" s="1" t="s">
        <x:v>6582</x:v>
      </x:c>
    </x:row>
    <x:row r="651" ht="15" hidden="0" customHeight="1">
      <x:c r="A651" s="1" t="s">
        <x:v>5060</x:v>
      </x:c>
      <x:c r="B651" s="1" t="s">
        <x:v>6178</x:v>
      </x:c>
      <x:c r="C651" s="1" t="s">
        <x:v>5134</x:v>
      </x:c>
      <x:c r="D651" s="1" t="s">
        <x:v>6071</x:v>
      </x:c>
      <x:c r="E651" s="1" t="s">
        <x:v>30</x:v>
      </x:c>
      <x:c r="F651" s="1" t="s">
        <x:v>6086</x:v>
      </x:c>
      <x:c r="G651" s="1" t="s">
        <x:v>5060</x:v>
      </x:c>
    </x:row>
    <x:row r="652" ht="15" hidden="0" customHeight="1">
      <x:c r="A652" s="1" t="s">
        <x:v>5060</x:v>
      </x:c>
      <x:c r="B652" s="1" t="s">
        <x:v>6178</x:v>
      </x:c>
      <x:c r="C652" s="1" t="s">
        <x:v>5134</x:v>
      </x:c>
      <x:c r="D652" s="1" t="s">
        <x:v>6072</x:v>
      </x:c>
      <x:c r="E652" s="1" t="s">
        <x:v>883</x:v>
      </x:c>
      <x:c r="F652" s="1" t="s">
        <x:v>20</x:v>
      </x:c>
      <x:c r="G652" s="1" t="s">
        <x:v>5060</x:v>
      </x:c>
    </x:row>
    <x:row r="653" ht="15" hidden="0" customHeight="1">
      <x:c r="A653" s="1" t="s">
        <x:v>5060</x:v>
      </x:c>
      <x:c r="B653" s="1" t="s">
        <x:v>6178</x:v>
      </x:c>
      <x:c r="C653" s="1" t="s">
        <x:v>5134</x:v>
      </x:c>
      <x:c r="D653" s="1" t="s">
        <x:v>6073</x:v>
      </x:c>
      <x:c r="E653" s="1" t="s">
        <x:v>6078</x:v>
      </x:c>
      <x:c r="F653" s="1" t="s">
        <x:v>6087</x:v>
      </x:c>
      <x:c r="G653" s="1" t="s">
        <x:v>5060</x:v>
      </x:c>
    </x:row>
    <x:row r="654" ht="15" hidden="0" customHeight="1">
      <x:c r="A654" s="1" t="s">
        <x:v>5060</x:v>
      </x:c>
      <x:c r="B654" s="1" t="s">
        <x:v>6178</x:v>
      </x:c>
      <x:c r="C654" s="1" t="s">
        <x:v>5160</x:v>
      </x:c>
      <x:c r="D654" s="1" t="s">
        <x:v>6067</x:v>
      </x:c>
      <x:c r="E654" s="1" t="s">
        <x:v>6075</x:v>
      </x:c>
      <x:c r="F654" s="1" t="s">
        <x:v>52</x:v>
      </x:c>
      <x:c r="G654" s="1" t="s">
        <x:v>6582</x:v>
      </x:c>
    </x:row>
    <x:row r="655" ht="15" hidden="0" customHeight="1">
      <x:c r="A655" s="1" t="s">
        <x:v>5060</x:v>
      </x:c>
      <x:c r="B655" s="1" t="s">
        <x:v>6178</x:v>
      </x:c>
      <x:c r="C655" s="1" t="s">
        <x:v>5160</x:v>
      </x:c>
      <x:c r="D655" s="1" t="s">
        <x:v>6071</x:v>
      </x:c>
      <x:c r="E655" s="1" t="s">
        <x:v>30</x:v>
      </x:c>
      <x:c r="F655" s="1" t="s">
        <x:v>6086</x:v>
      </x:c>
      <x:c r="G655" s="1" t="s">
        <x:v>5060</x:v>
      </x:c>
    </x:row>
    <x:row r="656" ht="15" hidden="0" customHeight="1">
      <x:c r="A656" s="1" t="s">
        <x:v>5060</x:v>
      </x:c>
      <x:c r="B656" s="1" t="s">
        <x:v>6178</x:v>
      </x:c>
      <x:c r="C656" s="1" t="s">
        <x:v>5160</x:v>
      </x:c>
      <x:c r="D656" s="1" t="s">
        <x:v>6072</x:v>
      </x:c>
      <x:c r="E656" s="1" t="s">
        <x:v>883</x:v>
      </x:c>
      <x:c r="F656" s="1" t="s">
        <x:v>20</x:v>
      </x:c>
      <x:c r="G656" s="1" t="s">
        <x:v>5060</x:v>
      </x:c>
    </x:row>
    <x:row r="657" ht="15" hidden="0" customHeight="1">
      <x:c r="A657" s="1" t="s">
        <x:v>5060</x:v>
      </x:c>
      <x:c r="B657" s="1" t="s">
        <x:v>6178</x:v>
      </x:c>
      <x:c r="C657" s="1" t="s">
        <x:v>5160</x:v>
      </x:c>
      <x:c r="D657" s="1" t="s">
        <x:v>6073</x:v>
      </x:c>
      <x:c r="E657" s="1" t="s">
        <x:v>6078</x:v>
      </x:c>
      <x:c r="F657" s="1" t="s">
        <x:v>6087</x:v>
      </x:c>
      <x:c r="G657" s="1" t="s">
        <x:v>5060</x:v>
      </x:c>
    </x:row>
    <x:row r="658" ht="15" hidden="0" customHeight="1">
      <x:c r="A658" s="1" t="s">
        <x:v>5060</x:v>
      </x:c>
      <x:c r="B658" s="1" t="s">
        <x:v>6178</x:v>
      </x:c>
      <x:c r="C658" s="1" t="s">
        <x:v>5142</x:v>
      </x:c>
      <x:c r="D658" s="1" t="s">
        <x:v>6067</x:v>
      </x:c>
      <x:c r="E658" s="1" t="s">
        <x:v>6075</x:v>
      </x:c>
      <x:c r="F658" s="1" t="s">
        <x:v>52</x:v>
      </x:c>
      <x:c r="G658" s="1" t="s">
        <x:v>6582</x:v>
      </x:c>
    </x:row>
    <x:row r="659" ht="15" hidden="0" customHeight="1">
      <x:c r="A659" s="1" t="s">
        <x:v>5060</x:v>
      </x:c>
      <x:c r="B659" s="1" t="s">
        <x:v>6178</x:v>
      </x:c>
      <x:c r="C659" s="1" t="s">
        <x:v>5142</x:v>
      </x:c>
      <x:c r="D659" s="1" t="s">
        <x:v>6071</x:v>
      </x:c>
      <x:c r="E659" s="1" t="s">
        <x:v>30</x:v>
      </x:c>
      <x:c r="F659" s="1" t="s">
        <x:v>6086</x:v>
      </x:c>
      <x:c r="G659" s="1" t="s">
        <x:v>5060</x:v>
      </x:c>
    </x:row>
    <x:row r="660" ht="15" hidden="0" customHeight="1">
      <x:c r="A660" s="1" t="s">
        <x:v>5060</x:v>
      </x:c>
      <x:c r="B660" s="1" t="s">
        <x:v>6178</x:v>
      </x:c>
      <x:c r="C660" s="1" t="s">
        <x:v>5142</x:v>
      </x:c>
      <x:c r="D660" s="1" t="s">
        <x:v>6072</x:v>
      </x:c>
      <x:c r="E660" s="1" t="s">
        <x:v>883</x:v>
      </x:c>
      <x:c r="F660" s="1" t="s">
        <x:v>20</x:v>
      </x:c>
      <x:c r="G660" s="1" t="s">
        <x:v>5060</x:v>
      </x:c>
    </x:row>
    <x:row r="661" ht="15" hidden="0" customHeight="1">
      <x:c r="A661" s="1" t="s">
        <x:v>5060</x:v>
      </x:c>
      <x:c r="B661" s="1" t="s">
        <x:v>6178</x:v>
      </x:c>
      <x:c r="C661" s="1" t="s">
        <x:v>5142</x:v>
      </x:c>
      <x:c r="D661" s="1" t="s">
        <x:v>6073</x:v>
      </x:c>
      <x:c r="E661" s="1" t="s">
        <x:v>6078</x:v>
      </x:c>
      <x:c r="F661" s="1" t="s">
        <x:v>6087</x:v>
      </x:c>
      <x:c r="G661" s="1" t="s">
        <x:v>5060</x:v>
      </x:c>
    </x:row>
    <x:row r="662" ht="15" hidden="0" customHeight="1">
      <x:c r="A662" s="1" t="s">
        <x:v>5060</x:v>
      </x:c>
      <x:c r="B662" s="1" t="s">
        <x:v>6178</x:v>
      </x:c>
      <x:c r="C662" s="1" t="s">
        <x:v>5171</x:v>
      </x:c>
      <x:c r="D662" s="1" t="s">
        <x:v>6067</x:v>
      </x:c>
      <x:c r="E662" s="1" t="s">
        <x:v>6075</x:v>
      </x:c>
      <x:c r="F662" s="1" t="s">
        <x:v>52</x:v>
      </x:c>
      <x:c r="G662" s="1" t="s">
        <x:v>6582</x:v>
      </x:c>
    </x:row>
    <x:row r="663" ht="15" hidden="0" customHeight="1">
      <x:c r="A663" s="1" t="s">
        <x:v>5060</x:v>
      </x:c>
      <x:c r="B663" s="1" t="s">
        <x:v>6178</x:v>
      </x:c>
      <x:c r="C663" s="1" t="s">
        <x:v>5171</x:v>
      </x:c>
      <x:c r="D663" s="1" t="s">
        <x:v>6071</x:v>
      </x:c>
      <x:c r="E663" s="1" t="s">
        <x:v>30</x:v>
      </x:c>
      <x:c r="F663" s="1" t="s">
        <x:v>6086</x:v>
      </x:c>
      <x:c r="G663" s="1" t="s">
        <x:v>5060</x:v>
      </x:c>
    </x:row>
    <x:row r="664" ht="15" hidden="0" customHeight="1">
      <x:c r="A664" s="1" t="s">
        <x:v>5060</x:v>
      </x:c>
      <x:c r="B664" s="1" t="s">
        <x:v>6178</x:v>
      </x:c>
      <x:c r="C664" s="1" t="s">
        <x:v>5171</x:v>
      </x:c>
      <x:c r="D664" s="1" t="s">
        <x:v>6072</x:v>
      </x:c>
      <x:c r="E664" s="1" t="s">
        <x:v>883</x:v>
      </x:c>
      <x:c r="F664" s="1" t="s">
        <x:v>20</x:v>
      </x:c>
      <x:c r="G664" s="1" t="s">
        <x:v>5060</x:v>
      </x:c>
    </x:row>
    <x:row r="665" ht="15" hidden="0" customHeight="1">
      <x:c r="A665" s="1" t="s">
        <x:v>5060</x:v>
      </x:c>
      <x:c r="B665" s="1" t="s">
        <x:v>6178</x:v>
      </x:c>
      <x:c r="C665" s="1" t="s">
        <x:v>5171</x:v>
      </x:c>
      <x:c r="D665" s="1" t="s">
        <x:v>6073</x:v>
      </x:c>
      <x:c r="E665" s="1" t="s">
        <x:v>6078</x:v>
      </x:c>
      <x:c r="F665" s="1" t="s">
        <x:v>6087</x:v>
      </x:c>
      <x:c r="G665" s="1" t="s">
        <x:v>5060</x:v>
      </x:c>
    </x:row>
    <x:row r="666" ht="15" hidden="0" customHeight="1">
      <x:c r="A666" s="1" t="s">
        <x:v>5060</x:v>
      </x:c>
      <x:c r="B666" s="1" t="s">
        <x:v>6180</x:v>
      </x:c>
      <x:c r="C666" s="1"/>
      <x:c r="D666" s="1" t="s">
        <x:v>6186</x:v>
      </x:c>
      <x:c r="E666" s="1" t="n">
        <x:v>1671</x:v>
      </x:c>
      <x:c r="F666" s="1" t="n">
        <x:v>1704</x:v>
      </x:c>
      <x:c r="G666" s="1" t="s">
        <x:v>6583</x:v>
      </x:c>
    </x:row>
    <x:row r="667" ht="15" hidden="0" customHeight="1">
      <x:c r="A667" s="1" t="s">
        <x:v>5060</x:v>
      </x:c>
      <x:c r="B667" s="1" t="s">
        <x:v>6180</x:v>
      </x:c>
      <x:c r="C667" s="1"/>
      <x:c r="D667" s="1" t="s">
        <x:v>6188</x:v>
      </x:c>
      <x:c r="E667" s="1" t="n">
        <x:v>33</x:v>
      </x:c>
      <x:c r="F667" s="1" t="n">
        <x:v>36</x:v>
      </x:c>
      <x:c r="G667" s="1" t="s">
        <x:v>6584</x:v>
      </x:c>
    </x:row>
    <x:row r="668" ht="15" hidden="0" customHeight="1">
      <x:c r="A668" s="1" t="s">
        <x:v>5060</x:v>
      </x:c>
      <x:c r="B668" s="1" t="s">
        <x:v>6180</x:v>
      </x:c>
      <x:c r="C668" s="1"/>
      <x:c r="D668" s="1" t="s">
        <x:v>6190</x:v>
      </x:c>
      <x:c r="E668" s="1" t="s">
        <x:v>6455</x:v>
      </x:c>
      <x:c r="F668" s="1" t="s">
        <x:v>6585</x:v>
      </x:c>
      <x:c r="G668" s="1" t="s">
        <x:v>5060</x:v>
      </x:c>
    </x:row>
    <x:row r="669" ht="15" hidden="0" customHeight="1">
      <x:c r="A669" s="1" t="s">
        <x:v>5060</x:v>
      </x:c>
      <x:c r="B669" s="1" t="s">
        <x:v>6180</x:v>
      </x:c>
      <x:c r="C669" s="1"/>
      <x:c r="D669" s="1" t="s">
        <x:v>6193</x:v>
      </x:c>
      <x:c r="E669" s="1" t="s">
        <x:v>6456</x:v>
      </x:c>
      <x:c r="F669" s="1" t="s">
        <x:v>6586</x:v>
      </x:c>
      <x:c r="G669" s="1" t="s">
        <x:v>5060</x:v>
      </x:c>
    </x:row>
    <x:row r="670" ht="15" hidden="0" customHeight="1">
      <x:c r="A670" s="1" t="s">
        <x:v>5060</x:v>
      </x:c>
      <x:c r="B670" s="1" t="s">
        <x:v>6180</x:v>
      </x:c>
      <x:c r="C670" s="1"/>
      <x:c r="D670" s="1" t="s">
        <x:v>6198</x:v>
      </x:c>
      <x:c r="E670" s="1" t="s">
        <x:v>6457</x:v>
      </x:c>
      <x:c r="F670" s="1" t="s">
        <x:v>43</x:v>
      </x:c>
      <x:c r="G670" s="1" t="s">
        <x:v>5060</x:v>
      </x:c>
    </x:row>
    <x:row r="671" ht="15" hidden="0" customHeight="1">
      <x:c r="A671" s="1" t="s">
        <x:v>5060</x:v>
      </x:c>
      <x:c r="B671" s="1" t="s">
        <x:v>6587</x:v>
      </x:c>
      <x:c r="C671" s="1" t="s">
        <x:v>2181</x:v>
      </x:c>
      <x:c r="D671" s="1" t="s">
        <x:v>6588</x:v>
      </x:c>
      <x:c r="E671" s="1" t="s">
        <x:v>2181</x:v>
      </x:c>
      <x:c r="F671" s="1" t="s">
        <x:v>2747</x:v>
      </x:c>
      <x:c r="G671" s="1" t="s">
        <x:v>6589</x:v>
      </x:c>
    </x:row>
    <x:row r="672" ht="15" hidden="0" customHeight="1">
      <x:c r="A672" s="1" t="s">
        <x:v>5060</x:v>
      </x:c>
      <x:c r="B672" s="1" t="s">
        <x:v>6587</x:v>
      </x:c>
      <x:c r="C672" s="1" t="s">
        <x:v>2181</x:v>
      </x:c>
      <x:c r="D672" s="1" t="s">
        <x:v>6590</x:v>
      </x:c>
      <x:c r="E672" s="1" t="s">
        <x:v>2747</x:v>
      </x:c>
      <x:c r="F672" s="1" t="s">
        <x:v>2181</x:v>
      </x:c>
      <x:c r="G672" s="1" t="s">
        <x:v>6589</x:v>
      </x:c>
    </x:row>
    <x:row r="673" ht="15" hidden="0" customHeight="1">
      <x:c r="A673" s="1" t="s">
        <x:v>5060</x:v>
      </x:c>
      <x:c r="B673" s="1" t="s">
        <x:v>6587</x:v>
      </x:c>
      <x:c r="C673" s="1" t="s">
        <x:v>1871</x:v>
      </x:c>
      <x:c r="D673" s="1" t="s">
        <x:v>6591</x:v>
      </x:c>
      <x:c r="E673" s="1" t="s">
        <x:v>1871</x:v>
      </x:c>
      <x:c r="F673" s="1" t="s">
        <x:v>2752</x:v>
      </x:c>
      <x:c r="G673" s="1" t="s">
        <x:v>6589</x:v>
      </x:c>
    </x:row>
    <x:row r="674" ht="15" hidden="0" customHeight="1">
      <x:c r="A674" s="1" t="s">
        <x:v>5060</x:v>
      </x:c>
      <x:c r="B674" s="1" t="s">
        <x:v>6587</x:v>
      </x:c>
      <x:c r="C674" s="1" t="s">
        <x:v>1871</x:v>
      </x:c>
      <x:c r="D674" s="1" t="s">
        <x:v>6592</x:v>
      </x:c>
      <x:c r="E674" s="1" t="s">
        <x:v>2752</x:v>
      </x:c>
      <x:c r="F674" s="1" t="s">
        <x:v>1871</x:v>
      </x:c>
      <x:c r="G674" s="1" t="s">
        <x:v>6589</x:v>
      </x:c>
    </x:row>
    <x:row r="675" ht="15" hidden="0" customHeight="1">
      <x:c r="A675" s="1" t="s">
        <x:v>5060</x:v>
      </x:c>
      <x:c r="B675" s="1" t="s">
        <x:v>6587</x:v>
      </x:c>
      <x:c r="C675" s="1" t="s">
        <x:v>2390</x:v>
      </x:c>
      <x:c r="D675" s="1" t="s">
        <x:v>6593</x:v>
      </x:c>
      <x:c r="E675" s="1" t="s">
        <x:v>2390</x:v>
      </x:c>
      <x:c r="F675" s="1" t="s">
        <x:v>2755</x:v>
      </x:c>
      <x:c r="G675" s="1" t="s">
        <x:v>6589</x:v>
      </x:c>
    </x:row>
    <x:row r="676" ht="15" hidden="0" customHeight="1">
      <x:c r="A676" s="1" t="s">
        <x:v>5060</x:v>
      </x:c>
      <x:c r="B676" s="1" t="s">
        <x:v>6587</x:v>
      </x:c>
      <x:c r="C676" s="1" t="s">
        <x:v>2390</x:v>
      </x:c>
      <x:c r="D676" s="1" t="s">
        <x:v>6594</x:v>
      </x:c>
      <x:c r="E676" s="1" t="s">
        <x:v>2755</x:v>
      </x:c>
      <x:c r="F676" s="1" t="s">
        <x:v>2390</x:v>
      </x:c>
      <x:c r="G676" s="1" t="s">
        <x:v>6589</x:v>
      </x:c>
    </x:row>
    <x:row r="677" ht="15" hidden="0" customHeight="1">
      <x:c r="A677" s="1" t="s">
        <x:v>5060</x:v>
      </x:c>
      <x:c r="B677" s="1" t="s">
        <x:v>6587</x:v>
      </x:c>
      <x:c r="C677" s="1" t="s">
        <x:v>2598</x:v>
      </x:c>
      <x:c r="D677" s="1" t="s">
        <x:v>6595</x:v>
      </x:c>
      <x:c r="E677" s="1" t="s">
        <x:v>2598</x:v>
      </x:c>
      <x:c r="F677" s="1" t="s">
        <x:v>2758</x:v>
      </x:c>
      <x:c r="G677" s="1" t="s">
        <x:v>6589</x:v>
      </x:c>
    </x:row>
    <x:row r="678" ht="15" hidden="0" customHeight="1">
      <x:c r="A678" s="1" t="s">
        <x:v>5060</x:v>
      </x:c>
      <x:c r="B678" s="1" t="s">
        <x:v>6587</x:v>
      </x:c>
      <x:c r="C678" s="1" t="s">
        <x:v>2598</x:v>
      </x:c>
      <x:c r="D678" s="1" t="s">
        <x:v>6596</x:v>
      </x:c>
      <x:c r="E678" s="1" t="s">
        <x:v>2758</x:v>
      </x:c>
      <x:c r="F678" s="1" t="s">
        <x:v>2598</x:v>
      </x:c>
      <x:c r="G678" s="1" t="s">
        <x:v>6589</x:v>
      </x:c>
    </x:row>
    <x:row r="679" ht="15" hidden="0" customHeight="1">
      <x:c r="A679" s="1" t="s">
        <x:v>5060</x:v>
      </x:c>
      <x:c r="B679" s="1" t="s">
        <x:v>6587</x:v>
      </x:c>
      <x:c r="C679" s="1" t="s">
        <x:v>4336</x:v>
      </x:c>
      <x:c r="D679" s="1" t="s">
        <x:v>6597</x:v>
      </x:c>
      <x:c r="F679" s="1" t="s">
        <x:v>4476</x:v>
      </x:c>
      <x:c r="G679" s="1" t="s">
        <x:v>6598</x:v>
      </x:c>
    </x:row>
    <x:row r="680" ht="15" hidden="0" customHeight="1">
      <x:c r="A680" s="1" t="s">
        <x:v>5060</x:v>
      </x:c>
      <x:c r="B680" s="1" t="s">
        <x:v>6587</x:v>
      </x:c>
      <x:c r="C680" s="1" t="s">
        <x:v>4786</x:v>
      </x:c>
      <x:c r="D680" s="1" t="s">
        <x:v>6597</x:v>
      </x:c>
      <x:c r="F680" s="1" t="s">
        <x:v>4829</x:v>
      </x:c>
      <x:c r="G680" s="1" t="s">
        <x:v>6598</x:v>
      </x:c>
    </x:row>
    <x:row r="681" ht="15" hidden="0" customHeight="1">
      <x:c r="A681" s="1" t="s">
        <x:v>5060</x:v>
      </x:c>
      <x:c r="B681" s="1" t="s">
        <x:v>6587</x:v>
      </x:c>
      <x:c r="C681" s="1" t="s">
        <x:v>4916</x:v>
      </x:c>
      <x:c r="D681" s="1" t="s">
        <x:v>6597</x:v>
      </x:c>
      <x:c r="F681" s="1" t="s">
        <x:v>4947</x:v>
      </x:c>
      <x:c r="G681" s="1" t="s">
        <x:v>6598</x:v>
      </x:c>
    </x:row>
    <x:row r="682" ht="15" hidden="0" customHeight="1">
      <x:c r="A682" s="1" t="s">
        <x:v>5218</x:v>
      </x:c>
      <x:c r="B682" s="1" t="s">
        <x:v>35</x:v>
      </x:c>
      <x:c r="C682" s="1" t="s">
        <x:v>4707</x:v>
      </x:c>
      <x:c r="D682" s="1" t="s">
        <x:v>6132</x:v>
      </x:c>
      <x:c r="E682" s="1" t="s">
        <x:v>32</x:v>
      </x:c>
      <x:c r="F682" s="1" t="s">
        <x:v>6159</x:v>
      </x:c>
      <x:c r="G682" s="1" t="s">
        <x:v>6599</x:v>
      </x:c>
    </x:row>
    <x:row r="683" ht="15" hidden="0" customHeight="1">
      <x:c r="A683" s="1" t="s">
        <x:v>5218</x:v>
      </x:c>
      <x:c r="B683" s="1" t="s">
        <x:v>35</x:v>
      </x:c>
      <x:c r="C683" s="1" t="s">
        <x:v>4707</x:v>
      </x:c>
      <x:c r="D683" s="1" t="s">
        <x:v>6133</x:v>
      </x:c>
      <x:c r="E683" s="1" t="s">
        <x:v>30</x:v>
      </x:c>
      <x:c r="F683" s="1" t="s">
        <x:v>6159</x:v>
      </x:c>
      <x:c r="G683" s="1" t="s">
        <x:v>6599</x:v>
      </x:c>
    </x:row>
    <x:row r="684" ht="15" hidden="0" customHeight="1">
      <x:c r="A684" s="1" t="s">
        <x:v>5218</x:v>
      </x:c>
      <x:c r="B684" s="1" t="s">
        <x:v>35</x:v>
      </x:c>
      <x:c r="C684" s="1" t="s">
        <x:v>4707</x:v>
      </x:c>
      <x:c r="D684" s="1" t="s">
        <x:v>6136</x:v>
      </x:c>
      <x:c r="E684" s="1" t="s">
        <x:v>30</x:v>
      </x:c>
      <x:c r="F684" s="1" t="s">
        <x:v>6159</x:v>
      </x:c>
      <x:c r="G684" s="1" t="s">
        <x:v>6599</x:v>
      </x:c>
    </x:row>
    <x:row r="685" ht="15" hidden="0" customHeight="1">
      <x:c r="A685" s="1" t="s">
        <x:v>5218</x:v>
      </x:c>
      <x:c r="B685" s="1" t="s">
        <x:v>6167</x:v>
      </x:c>
      <x:c r="C685" s="1" t="s">
        <x:v>4707</x:v>
      </x:c>
      <x:c r="D685" s="1" t="s">
        <x:v>5466</x:v>
      </x:c>
      <x:c r="E685" s="1" t="s">
        <x:v>4637</x:v>
      </x:c>
      <x:c r="F685" s="1" t="s">
        <x:v>5218</x:v>
      </x:c>
      <x:c r="G685" s="1" t="s">
        <x:v>5218</x:v>
      </x:c>
    </x:row>
    <x:row r="686" ht="15" hidden="0" customHeight="1">
      <x:c r="A686" s="1" t="s">
        <x:v>5218</x:v>
      </x:c>
      <x:c r="B686" s="1" t="s">
        <x:v>6167</x:v>
      </x:c>
      <x:c r="C686" s="1" t="s">
        <x:v>4707</x:v>
      </x:c>
      <x:c r="D686" s="1" t="s">
        <x:v>5467</x:v>
      </x:c>
      <x:c r="E686" s="1" t="s">
        <x:v>6206</x:v>
      </x:c>
      <x:c r="F686" s="1" t="s">
        <x:v>5628</x:v>
      </x:c>
      <x:c r="G686" s="1" t="s">
        <x:v>5218</x:v>
      </x:c>
    </x:row>
    <x:row r="687" ht="15" hidden="0" customHeight="1">
      <x:c r="A687" s="1" t="s">
        <x:v>5218</x:v>
      </x:c>
      <x:c r="B687" s="1" t="s">
        <x:v>6174</x:v>
      </x:c>
      <x:c r="C687" s="1" t="s">
        <x:v>4707</x:v>
      </x:c>
      <x:c r="D687" s="1" t="s">
        <x:v>98</x:v>
      </x:c>
      <x:c r="E687" s="1" t="s">
        <x:v>6211</x:v>
      </x:c>
      <x:c r="F687" s="1" t="s">
        <x:v>5951</x:v>
      </x:c>
      <x:c r="G687" s="1" t="s">
        <x:v>6600</x:v>
      </x:c>
    </x:row>
    <x:row r="688" ht="15" hidden="0" customHeight="1">
      <x:c r="A688" s="1" t="s">
        <x:v>5218</x:v>
      </x:c>
      <x:c r="B688" s="1" t="s">
        <x:v>6180</x:v>
      </x:c>
      <x:c r="C688" s="1"/>
      <x:c r="D688" s="1" t="s">
        <x:v>6186</x:v>
      </x:c>
      <x:c r="E688" s="1" t="n">
        <x:v>1704</x:v>
      </x:c>
      <x:c r="F688" s="1" t="n">
        <x:v>1740</x:v>
      </x:c>
      <x:c r="G688" s="1" t="s">
        <x:v>6601</x:v>
      </x:c>
    </x:row>
    <x:row r="689" ht="15" hidden="0" customHeight="1">
      <x:c r="A689" s="1" t="s">
        <x:v>5218</x:v>
      </x:c>
      <x:c r="B689" s="1" t="s">
        <x:v>6180</x:v>
      </x:c>
      <x:c r="C689" s="1"/>
      <x:c r="D689" s="1" t="s">
        <x:v>6188</x:v>
      </x:c>
      <x:c r="E689" s="1" t="n">
        <x:v>36</x:v>
      </x:c>
      <x:c r="F689" s="1" t="n">
        <x:v>7</x:v>
      </x:c>
      <x:c r="G689" s="1" t="s">
        <x:v>6602</x:v>
      </x:c>
    </x:row>
    <x:row r="690" ht="15" hidden="0" customHeight="1">
      <x:c r="A690" s="1" t="s">
        <x:v>5218</x:v>
      </x:c>
      <x:c r="B690" s="1" t="s">
        <x:v>6180</x:v>
      </x:c>
      <x:c r="C690" s="1"/>
      <x:c r="D690" s="1" t="s">
        <x:v>6190</x:v>
      </x:c>
      <x:c r="E690" s="1" t="s">
        <x:v>6585</x:v>
      </x:c>
      <x:c r="F690" s="1" t="s">
        <x:v>6603</x:v>
      </x:c>
      <x:c r="G690" s="1" t="s">
        <x:v>5218</x:v>
      </x:c>
    </x:row>
    <x:row r="691" ht="15" hidden="0" customHeight="1">
      <x:c r="A691" s="1" t="s">
        <x:v>5218</x:v>
      </x:c>
      <x:c r="B691" s="1" t="s">
        <x:v>6180</x:v>
      </x:c>
      <x:c r="C691" s="1"/>
      <x:c r="D691" s="1" t="s">
        <x:v>6193</x:v>
      </x:c>
      <x:c r="E691" s="1" t="s">
        <x:v>6586</x:v>
      </x:c>
      <x:c r="F691" s="1" t="s">
        <x:v>6604</x:v>
      </x:c>
      <x:c r="G691" s="1" t="s">
        <x:v>5218</x:v>
      </x:c>
    </x:row>
    <x:row r="692" ht="15" hidden="0" customHeight="1">
      <x:c r="A692" s="1" t="s">
        <x:v>5218</x:v>
      </x:c>
      <x:c r="B692" s="1" t="s">
        <x:v>6605</x:v>
      </x:c>
      <x:c r="D692" s="1" t="s">
        <x:v>6160</x:v>
      </x:c>
      <x:c r="E692" s="1" t="s">
        <x:v>6606</x:v>
      </x:c>
      <x:c r="F692" s="1" t="s">
        <x:v>6607</x:v>
      </x:c>
      <x:c r="G692" s="1" t="s">
        <x:v>6608</x:v>
      </x:c>
    </x:row>
    <x:row r="693" ht="15" hidden="0" customHeight="1">
      <x:c r="A693" s="1" t="s">
        <x:v>5247</x:v>
      </x:c>
      <x:c r="B693" s="1" t="s">
        <x:v>35</x:v>
      </x:c>
      <x:c r="C693" s="1" t="s">
        <x:v>4786</x:v>
      </x:c>
      <x:c r="D693" s="1" t="s">
        <x:v>6123</x:v>
      </x:c>
      <x:c r="E693" s="1" t="s">
        <x:v>30</x:v>
      </x:c>
      <x:c r="F693" s="1" t="s">
        <x:v>6159</x:v>
      </x:c>
      <x:c r="G693" s="1" t="s">
        <x:v>6609</x:v>
      </x:c>
    </x:row>
    <x:row r="694" ht="15" hidden="0" customHeight="1">
      <x:c r="A694" s="1" t="s">
        <x:v>5247</x:v>
      </x:c>
      <x:c r="B694" s="1" t="s">
        <x:v>6167</x:v>
      </x:c>
      <x:c r="C694" s="1" t="s">
        <x:v>4916</x:v>
      </x:c>
      <x:c r="D694" s="1" t="s">
        <x:v>5466</x:v>
      </x:c>
      <x:c r="E694" s="1" t="s">
        <x:v>4904</x:v>
      </x:c>
      <x:c r="F694" s="1" t="s">
        <x:v>5247</x:v>
      </x:c>
      <x:c r="G694" s="1" t="s">
        <x:v>5247</x:v>
      </x:c>
    </x:row>
    <x:row r="695" ht="15" hidden="0" customHeight="1">
      <x:c r="A695" s="1" t="s">
        <x:v>5247</x:v>
      </x:c>
      <x:c r="B695" s="1" t="s">
        <x:v>6167</x:v>
      </x:c>
      <x:c r="C695" s="1" t="s">
        <x:v>781</x:v>
      </x:c>
      <x:c r="D695" s="1" t="s">
        <x:v>5466</x:v>
      </x:c>
      <x:c r="F695" s="1" t="s">
        <x:v>5247</x:v>
      </x:c>
      <x:c r="G695" s="1" t="s">
        <x:v>5247</x:v>
      </x:c>
    </x:row>
    <x:row r="696" ht="15" hidden="0" customHeight="1">
      <x:c r="A696" s="1" t="s">
        <x:v>5247</x:v>
      </x:c>
      <x:c r="B696" s="1" t="s">
        <x:v>6167</x:v>
      </x:c>
      <x:c r="C696" s="1" t="s">
        <x:v>4833</x:v>
      </x:c>
      <x:c r="D696" s="1" t="s">
        <x:v>5466</x:v>
      </x:c>
      <x:c r="E696" s="1" t="s">
        <x:v>5060</x:v>
      </x:c>
      <x:c r="F696" s="1" t="s">
        <x:v>5247</x:v>
      </x:c>
      <x:c r="G696" s="1" t="s">
        <x:v>5247</x:v>
      </x:c>
    </x:row>
    <x:row r="697" ht="15" hidden="0" customHeight="1">
      <x:c r="A697" s="1" t="s">
        <x:v>5247</x:v>
      </x:c>
      <x:c r="B697" s="1" t="s">
        <x:v>6167</x:v>
      </x:c>
      <x:c r="C697" s="1" t="s">
        <x:v>4482</x:v>
      </x:c>
      <x:c r="D697" s="1" t="s">
        <x:v>5466</x:v>
      </x:c>
      <x:c r="E697" s="1" t="s">
        <x:v>4342</x:v>
      </x:c>
      <x:c r="F697" s="1" t="s">
        <x:v>5247</x:v>
      </x:c>
      <x:c r="G697" s="1" t="s">
        <x:v>5247</x:v>
      </x:c>
    </x:row>
    <x:row r="698" ht="15" hidden="0" customHeight="1">
      <x:c r="A698" s="1" t="s">
        <x:v>5247</x:v>
      </x:c>
      <x:c r="B698" s="1" t="s">
        <x:v>6167</x:v>
      </x:c>
      <x:c r="C698" s="1" t="s">
        <x:v>4482</x:v>
      </x:c>
      <x:c r="D698" s="1" t="s">
        <x:v>5467</x:v>
      </x:c>
      <x:c r="E698" s="1" t="s">
        <x:v>6171</x:v>
      </x:c>
      <x:c r="F698" s="1" t="s">
        <x:v>5618</x:v>
      </x:c>
      <x:c r="G698" s="1" t="s">
        <x:v>5247</x:v>
      </x:c>
    </x:row>
    <x:row r="699" ht="15" hidden="0" customHeight="1">
      <x:c r="A699" s="1" t="s">
        <x:v>5247</x:v>
      </x:c>
      <x:c r="B699" s="1" t="s">
        <x:v>6167</x:v>
      </x:c>
      <x:c r="C699" s="1" t="s">
        <x:v>4336</x:v>
      </x:c>
      <x:c r="D699" s="1" t="s">
        <x:v>5466</x:v>
      </x:c>
      <x:c r="E699" s="1" t="s">
        <x:v>4342</x:v>
      </x:c>
      <x:c r="F699" s="1" t="s">
        <x:v>5247</x:v>
      </x:c>
      <x:c r="G699" s="1" t="s">
        <x:v>5247</x:v>
      </x:c>
    </x:row>
    <x:row r="700" ht="15" hidden="0" customHeight="1">
      <x:c r="A700" s="1" t="s">
        <x:v>5247</x:v>
      </x:c>
      <x:c r="B700" s="1" t="s">
        <x:v>6167</x:v>
      </x:c>
      <x:c r="C700" s="1" t="s">
        <x:v>4336</x:v>
      </x:c>
      <x:c r="D700" s="1" t="s">
        <x:v>5467</x:v>
      </x:c>
      <x:c r="E700" s="1" t="s">
        <x:v>6172</x:v>
      </x:c>
      <x:c r="F700" s="1" t="s">
        <x:v>5621</x:v>
      </x:c>
      <x:c r="G700" s="1" t="s">
        <x:v>5247</x:v>
      </x:c>
    </x:row>
    <x:row r="701" ht="15" hidden="0" customHeight="1">
      <x:c r="A701" s="1" t="s">
        <x:v>5247</x:v>
      </x:c>
      <x:c r="B701" s="1" t="s">
        <x:v>6167</x:v>
      </x:c>
      <x:c r="C701" s="1" t="s">
        <x:v>4786</x:v>
      </x:c>
      <x:c r="D701" s="1" t="s">
        <x:v>5466</x:v>
      </x:c>
      <x:c r="E701" s="1" t="s">
        <x:v>4637</x:v>
      </x:c>
      <x:c r="F701" s="1" t="s">
        <x:v>5247</x:v>
      </x:c>
      <x:c r="G701" s="1" t="s">
        <x:v>5247</x:v>
      </x:c>
    </x:row>
    <x:row r="702" ht="15" hidden="0" customHeight="1">
      <x:c r="A702" s="1" t="s">
        <x:v>5247</x:v>
      </x:c>
      <x:c r="B702" s="1" t="s">
        <x:v>6174</x:v>
      </x:c>
      <x:c r="C702" s="1" t="s">
        <x:v>4916</x:v>
      </x:c>
      <x:c r="D702" s="1" t="s">
        <x:v>98</x:v>
      </x:c>
      <x:c r="E702" s="1" t="s">
        <x:v>6235</x:v>
      </x:c>
      <x:c r="F702" s="1" t="s">
        <x:v>5739</x:v>
      </x:c>
      <x:c r="G702" s="1" t="s">
        <x:v>6610</x:v>
      </x:c>
    </x:row>
    <x:row r="703" ht="15" hidden="0" customHeight="1">
      <x:c r="A703" s="1" t="s">
        <x:v>5247</x:v>
      </x:c>
      <x:c r="B703" s="1" t="s">
        <x:v>6174</x:v>
      </x:c>
      <x:c r="C703" s="1" t="s">
        <x:v>781</x:v>
      </x:c>
      <x:c r="D703" s="1" t="s">
        <x:v>5661</x:v>
      </x:c>
      <x:c r="E703" s="1" t="s">
        <x:v>30</x:v>
      </x:c>
      <x:c r="F703" s="1" t="s">
        <x:v>5688</x:v>
      </x:c>
      <x:c r="G703" s="1" t="s">
        <x:v>5247</x:v>
      </x:c>
    </x:row>
    <x:row r="704" ht="15" hidden="0" customHeight="1">
      <x:c r="A704" s="1" t="s">
        <x:v>5247</x:v>
      </x:c>
      <x:c r="B704" s="1" t="s">
        <x:v>6174</x:v>
      </x:c>
      <x:c r="C704" s="1" t="s">
        <x:v>781</x:v>
      </x:c>
      <x:c r="D704" s="1" t="s">
        <x:v>98</x:v>
      </x:c>
      <x:c r="E704" s="1" t="s">
        <x:v>5680</x:v>
      </x:c>
      <x:c r="F704" s="1" t="s">
        <x:v>5858</x:v>
      </x:c>
      <x:c r="G704" s="1" t="s">
        <x:v>6610</x:v>
      </x:c>
    </x:row>
    <x:row r="705" ht="15" hidden="0" customHeight="1">
      <x:c r="A705" s="1" t="s">
        <x:v>5247</x:v>
      </x:c>
      <x:c r="B705" s="1" t="s">
        <x:v>6174</x:v>
      </x:c>
      <x:c r="C705" s="1" t="s">
        <x:v>4833</x:v>
      </x:c>
      <x:c r="D705" s="1" t="s">
        <x:v>98</x:v>
      </x:c>
      <x:c r="E705" s="1" t="s">
        <x:v>6581</x:v>
      </x:c>
      <x:c r="F705" s="1" t="s">
        <x:v>5894</x:v>
      </x:c>
      <x:c r="G705" s="1" t="s">
        <x:v>6610</x:v>
      </x:c>
    </x:row>
    <x:row r="706" ht="15" hidden="0" customHeight="1">
      <x:c r="A706" s="1" t="s">
        <x:v>5247</x:v>
      </x:c>
      <x:c r="B706" s="1" t="s">
        <x:v>6174</x:v>
      </x:c>
      <x:c r="C706" s="1" t="s">
        <x:v>4482</x:v>
      </x:c>
      <x:c r="D706" s="1" t="s">
        <x:v>98</x:v>
      </x:c>
      <x:c r="E706" s="1" t="s">
        <x:v>6176</x:v>
      </x:c>
      <x:c r="F706" s="1" t="s">
        <x:v>5929</x:v>
      </x:c>
      <x:c r="G706" s="1" t="s">
        <x:v>6610</x:v>
      </x:c>
    </x:row>
    <x:row r="707" ht="15" hidden="0" customHeight="1">
      <x:c r="A707" s="1" t="s">
        <x:v>5247</x:v>
      </x:c>
      <x:c r="B707" s="1" t="s">
        <x:v>6174</x:v>
      </x:c>
      <x:c r="C707" s="1" t="s">
        <x:v>4336</x:v>
      </x:c>
      <x:c r="D707" s="1" t="s">
        <x:v>98</x:v>
      </x:c>
      <x:c r="E707" s="1" t="s">
        <x:v>6177</x:v>
      </x:c>
      <x:c r="F707" s="1" t="s">
        <x:v>5935</x:v>
      </x:c>
      <x:c r="G707" s="1" t="s">
        <x:v>6610</x:v>
      </x:c>
    </x:row>
    <x:row r="708" ht="15" hidden="0" customHeight="1">
      <x:c r="A708" s="1" t="s">
        <x:v>5247</x:v>
      </x:c>
      <x:c r="B708" s="1" t="s">
        <x:v>6174</x:v>
      </x:c>
      <x:c r="C708" s="1" t="s">
        <x:v>4786</x:v>
      </x:c>
      <x:c r="D708" s="1" t="s">
        <x:v>98</x:v>
      </x:c>
      <x:c r="E708" s="1" t="s">
        <x:v>6210</x:v>
      </x:c>
      <x:c r="F708" s="1" t="s">
        <x:v>5947</x:v>
      </x:c>
      <x:c r="G708" s="1" t="s">
        <x:v>6610</x:v>
      </x:c>
    </x:row>
    <x:row r="709" ht="15" hidden="0" customHeight="1">
      <x:c r="A709" s="1" t="s">
        <x:v>5247</x:v>
      </x:c>
      <x:c r="B709" s="1" t="s">
        <x:v>6180</x:v>
      </x:c>
      <x:c r="C709" s="1"/>
      <x:c r="D709" s="1" t="s">
        <x:v>6186</x:v>
      </x:c>
      <x:c r="E709" s="1" t="n">
        <x:v>1740</x:v>
      </x:c>
      <x:c r="F709" s="1" t="n">
        <x:v>1747</x:v>
      </x:c>
      <x:c r="G709" s="1" t="s">
        <x:v>6611</x:v>
      </x:c>
    </x:row>
    <x:row r="710" ht="15" hidden="0" customHeight="1">
      <x:c r="A710" s="1" t="s">
        <x:v>5247</x:v>
      </x:c>
      <x:c r="B710" s="1" t="s">
        <x:v>6180</x:v>
      </x:c>
      <x:c r="C710" s="1"/>
      <x:c r="D710" s="1" t="s">
        <x:v>6188</x:v>
      </x:c>
      <x:c r="E710" s="1" t="n">
        <x:v>7</x:v>
      </x:c>
      <x:c r="F710" s="1" t="n">
        <x:v>15</x:v>
      </x:c>
      <x:c r="G710" s="1" t="s">
        <x:v>6612</x:v>
      </x:c>
    </x:row>
    <x:row r="711" ht="15" hidden="0" customHeight="1">
      <x:c r="A711" s="1" t="s">
        <x:v>5247</x:v>
      </x:c>
      <x:c r="B711" s="1" t="s">
        <x:v>6180</x:v>
      </x:c>
      <x:c r="C711" s="1"/>
      <x:c r="D711" s="1" t="s">
        <x:v>6190</x:v>
      </x:c>
      <x:c r="E711" s="1" t="s">
        <x:v>6603</x:v>
      </x:c>
      <x:c r="F711" s="1" t="s">
        <x:v>6613</x:v>
      </x:c>
      <x:c r="G711" s="1" t="s">
        <x:v>5247</x:v>
      </x:c>
    </x:row>
    <x:row r="712" ht="15" hidden="0" customHeight="1">
      <x:c r="A712" s="1" t="s">
        <x:v>5247</x:v>
      </x:c>
      <x:c r="B712" s="1" t="s">
        <x:v>6180</x:v>
      </x:c>
      <x:c r="C712" s="1"/>
      <x:c r="D712" s="1" t="s">
        <x:v>6193</x:v>
      </x:c>
      <x:c r="E712" s="1" t="s">
        <x:v>6604</x:v>
      </x:c>
      <x:c r="F712" s="1" t="s">
        <x:v>6614</x:v>
      </x:c>
      <x:c r="G712" s="1" t="s">
        <x:v>5247</x:v>
      </x:c>
    </x:row>
    <x:row r="713" ht="15" hidden="0" customHeight="1">
      <x:c r="A713" s="1" t="s">
        <x:v>5320</x:v>
      </x:c>
      <x:c r="B713" s="1" t="s">
        <x:v>6167</x:v>
      </x:c>
      <x:c r="C713" s="1" t="s">
        <x:v>554</x:v>
      </x:c>
      <x:c r="D713" s="1" t="s">
        <x:v>5466</x:v>
      </x:c>
      <x:c r="F713" s="1" t="s">
        <x:v>5320</x:v>
      </x:c>
      <x:c r="G713" s="1" t="s">
        <x:v>5320</x:v>
      </x:c>
    </x:row>
    <x:row r="714" ht="15" hidden="0" customHeight="1">
      <x:c r="A714" s="1" t="s">
        <x:v>5320</x:v>
      </x:c>
      <x:c r="B714" s="1" t="s">
        <x:v>6167</x:v>
      </x:c>
      <x:c r="C714" s="1" t="s">
        <x:v>628</x:v>
      </x:c>
      <x:c r="D714" s="1" t="s">
        <x:v>5466</x:v>
      </x:c>
      <x:c r="F714" s="1" t="s">
        <x:v>5320</x:v>
      </x:c>
      <x:c r="G714" s="1" t="s">
        <x:v>5320</x:v>
      </x:c>
    </x:row>
    <x:row r="715" ht="15" hidden="0" customHeight="1">
      <x:c r="A715" s="1" t="s">
        <x:v>5320</x:v>
      </x:c>
      <x:c r="B715" s="1" t="s">
        <x:v>6167</x:v>
      </x:c>
      <x:c r="C715" s="1" t="s">
        <x:v>628</x:v>
      </x:c>
      <x:c r="D715" s="1" t="s">
        <x:v>5467</x:v>
      </x:c>
      <x:c r="F715" s="1" t="s">
        <x:v>5526</x:v>
      </x:c>
      <x:c r="G715" s="1" t="s">
        <x:v>5320</x:v>
      </x:c>
    </x:row>
    <x:row r="716" ht="15" hidden="0" customHeight="1">
      <x:c r="A716" s="1" t="s">
        <x:v>5320</x:v>
      </x:c>
      <x:c r="B716" s="1" t="s">
        <x:v>6174</x:v>
      </x:c>
      <x:c r="C716" s="1" t="s">
        <x:v>554</x:v>
      </x:c>
      <x:c r="D716" s="1" t="s">
        <x:v>5661</x:v>
      </x:c>
      <x:c r="E716" s="1" t="s">
        <x:v>30</x:v>
      </x:c>
      <x:c r="F716" s="1" t="s">
        <x:v>5688</x:v>
      </x:c>
      <x:c r="G716" s="1" t="s">
        <x:v>5320</x:v>
      </x:c>
    </x:row>
    <x:row r="717" ht="15" hidden="0" customHeight="1">
      <x:c r="A717" s="1" t="s">
        <x:v>5320</x:v>
      </x:c>
      <x:c r="B717" s="1" t="s">
        <x:v>6174</x:v>
      </x:c>
      <x:c r="C717" s="1" t="s">
        <x:v>554</x:v>
      </x:c>
      <x:c r="D717" s="1" t="s">
        <x:v>98</x:v>
      </x:c>
      <x:c r="E717" s="1" t="s">
        <x:v>5680</x:v>
      </x:c>
      <x:c r="F717" s="1" t="s">
        <x:v>5689</x:v>
      </x:c>
      <x:c r="G717" s="1" t="s">
        <x:v>6615</x:v>
      </x:c>
    </x:row>
    <x:row r="718" ht="15" hidden="0" customHeight="1">
      <x:c r="A718" s="1" t="s">
        <x:v>5320</x:v>
      </x:c>
      <x:c r="B718" s="1" t="s">
        <x:v>6174</x:v>
      </x:c>
      <x:c r="C718" s="1" t="s">
        <x:v>628</x:v>
      </x:c>
      <x:c r="D718" s="1" t="s">
        <x:v>5661</x:v>
      </x:c>
      <x:c r="E718" s="1" t="s">
        <x:v>30</x:v>
      </x:c>
      <x:c r="F718" s="1" t="s">
        <x:v>5688</x:v>
      </x:c>
      <x:c r="G718" s="1" t="s">
        <x:v>5320</x:v>
      </x:c>
    </x:row>
    <x:row r="719" ht="15" hidden="0" customHeight="1">
      <x:c r="A719" s="1" t="s">
        <x:v>5320</x:v>
      </x:c>
      <x:c r="B719" s="1" t="s">
        <x:v>6174</x:v>
      </x:c>
      <x:c r="C719" s="1" t="s">
        <x:v>628</x:v>
      </x:c>
      <x:c r="D719" s="1" t="s">
        <x:v>98</x:v>
      </x:c>
      <x:c r="E719" s="1" t="s">
        <x:v>5680</x:v>
      </x:c>
      <x:c r="F719" s="1" t="s">
        <x:v>5762</x:v>
      </x:c>
      <x:c r="G719" s="1" t="s">
        <x:v>6615</x:v>
      </x:c>
    </x:row>
    <x:row r="720" ht="15" hidden="0" customHeight="1">
      <x:c r="A720" s="1" t="s">
        <x:v>5320</x:v>
      </x:c>
      <x:c r="B720" s="1" t="s">
        <x:v>6180</x:v>
      </x:c>
      <x:c r="C720" s="1"/>
      <x:c r="D720" s="1" t="s">
        <x:v>6186</x:v>
      </x:c>
      <x:c r="E720" s="1" t="n">
        <x:v>1747</x:v>
      </x:c>
      <x:c r="F720" s="1" t="n">
        <x:v>1762</x:v>
      </x:c>
      <x:c r="G720" s="1" t="s">
        <x:v>6616</x:v>
      </x:c>
    </x:row>
    <x:row r="721" ht="15" hidden="0" customHeight="1">
      <x:c r="A721" s="1" t="s">
        <x:v>5320</x:v>
      </x:c>
      <x:c r="B721" s="1" t="s">
        <x:v>6180</x:v>
      </x:c>
      <x:c r="C721" s="1"/>
      <x:c r="D721" s="1" t="s">
        <x:v>6188</x:v>
      </x:c>
      <x:c r="E721" s="1" t="n">
        <x:v>15</x:v>
      </x:c>
      <x:c r="F721" s="1" t="n">
        <x:v>53</x:v>
      </x:c>
      <x:c r="G721" s="1" t="s">
        <x:v>6617</x:v>
      </x:c>
    </x:row>
    <x:row r="722" ht="15" hidden="0" customHeight="1">
      <x:c r="A722" s="1" t="s">
        <x:v>5320</x:v>
      </x:c>
      <x:c r="B722" s="1" t="s">
        <x:v>6180</x:v>
      </x:c>
      <x:c r="C722" s="1"/>
      <x:c r="D722" s="1" t="s">
        <x:v>6190</x:v>
      </x:c>
      <x:c r="E722" s="1" t="s">
        <x:v>6613</x:v>
      </x:c>
      <x:c r="F722" s="1" t="s">
        <x:v>6618</x:v>
      </x:c>
      <x:c r="G722" s="1" t="s">
        <x:v>5320</x:v>
      </x:c>
    </x:row>
    <x:row r="723" ht="15" hidden="0" customHeight="1">
      <x:c r="A723" s="1" t="s">
        <x:v>5320</x:v>
      </x:c>
      <x:c r="B723" s="1" t="s">
        <x:v>6180</x:v>
      </x:c>
      <x:c r="C723" s="1"/>
      <x:c r="D723" s="1" t="s">
        <x:v>6193</x:v>
      </x:c>
      <x:c r="E723" s="1" t="s">
        <x:v>6614</x:v>
      </x:c>
      <x:c r="F723" s="1" t="s">
        <x:v>6619</x:v>
      </x:c>
      <x:c r="G723" s="1" t="s">
        <x:v>5320</x:v>
      </x:c>
    </x:row>
    <x:row r="724" ht="15" hidden="0" customHeight="1">
      <x:c r="A724" s="1" t="s">
        <x:v>5320</x:v>
      </x:c>
      <x:c r="B724" s="1" t="s">
        <x:v>6167</x:v>
      </x:c>
      <x:c r="C724" s="1" t="s">
        <x:v>4585</x:v>
      </x:c>
      <x:c r="D724" s="1" t="s">
        <x:v>5463</x:v>
      </x:c>
      <x:c r="E724" s="1" t="s">
        <x:v>50</x:v>
      </x:c>
      <x:c r="F724" s="1" t="s">
        <x:v>52</x:v>
      </x:c>
      <x:c r="G724" s="1" t="s">
        <x:v>6620</x:v>
      </x:c>
    </x:row>
    <x:row r="725" ht="15" hidden="0" customHeight="1">
      <x:c r="A725" s="1" t="s">
        <x:v>5320</x:v>
      </x:c>
      <x:c r="B725" s="1" t="s">
        <x:v>6167</x:v>
      </x:c>
      <x:c r="C725" s="1" t="s">
        <x:v>4585</x:v>
      </x:c>
      <x:c r="D725" s="1" t="s">
        <x:v>5467</x:v>
      </x:c>
      <x:c r="E725" s="1" t="s">
        <x:v>6170</x:v>
      </x:c>
      <x:c r="F725" s="1" t="s">
        <x:v>5566</x:v>
      </x:c>
      <x:c r="G725" s="1" t="s">
        <x:v>6621</x:v>
      </x:c>
    </x:row>
    <x:row r="726" ht="15" hidden="0" customHeight="1">
      <x:c r="A726" s="1" t="s">
        <x:v>5320</x:v>
      </x:c>
      <x:c r="B726" s="1" t="s">
        <x:v>6167</x:v>
      </x:c>
      <x:c r="C726" s="1" t="s">
        <x:v>4614</x:v>
      </x:c>
      <x:c r="D726" s="1" t="s">
        <x:v>5463</x:v>
      </x:c>
      <x:c r="E726" s="1" t="s">
        <x:v>50</x:v>
      </x:c>
      <x:c r="F726" s="1" t="s">
        <x:v>52</x:v>
      </x:c>
      <x:c r="G726" s="1" t="s">
        <x:v>6622</x:v>
      </x:c>
    </x:row>
    <x:row r="727" ht="15" hidden="0" customHeight="1">
      <x:c r="A727" s="1" t="s">
        <x:v>5320</x:v>
      </x:c>
      <x:c r="B727" s="1" t="s">
        <x:v>6167</x:v>
      </x:c>
      <x:c r="C727" s="1" t="s">
        <x:v>4614</x:v>
      </x:c>
      <x:c r="D727" s="1" t="s">
        <x:v>5467</x:v>
      </x:c>
      <x:c r="E727" s="1" t="s">
        <x:v>6173</x:v>
      </x:c>
      <x:c r="F727" s="1" t="s">
        <x:v>5644</x:v>
      </x:c>
      <x:c r="G727" s="1" t="s">
        <x:v>6621</x:v>
      </x:c>
    </x:row>
    <x:row r="728" ht="15" hidden="0" customHeight="1">
      <x:c r="A728" s="1" t="s">
        <x:v>5320</x:v>
      </x:c>
      <x:c r="B728" s="1" t="s">
        <x:v>6167</x:v>
      </x:c>
      <x:c r="C728" s="1" t="s">
        <x:v>538</x:v>
      </x:c>
      <x:c r="D728" s="1" t="s">
        <x:v>5463</x:v>
      </x:c>
      <x:c r="E728" s="1" t="s">
        <x:v>48</x:v>
      </x:c>
      <x:c r="F728" s="1" t="s">
        <x:v>52</x:v>
      </x:c>
      <x:c r="G728" s="1" t="s">
        <x:v>6623</x:v>
      </x:c>
    </x:row>
    <x:row r="729" ht="15" hidden="0" customHeight="1">
      <x:c r="A729" s="1" t="s">
        <x:v>5320</x:v>
      </x:c>
      <x:c r="B729" s="1" t="s">
        <x:v>6167</x:v>
      </x:c>
      <x:c r="C729" s="1" t="s">
        <x:v>538</x:v>
      </x:c>
      <x:c r="D729" s="1" t="s">
        <x:v>5467</x:v>
      </x:c>
      <x:c r="F729" s="1" t="s">
        <x:v>5649</x:v>
      </x:c>
      <x:c r="G729" s="1" t="s">
        <x:v>6621</x:v>
      </x:c>
    </x:row>
    <x:row r="730" ht="15" hidden="0">
      <x:c r="A730" t="s">
        <x:v>5320</x:v>
      </x:c>
      <x:c r="B730" t="s">
        <x:v>6605</x:v>
      </x:c>
      <x:c r="D730" t="s">
        <x:v>6160</x:v>
      </x:c>
      <x:c r="E730" t="s">
        <x:v>6607</x:v>
      </x:c>
      <x:c r="F730" t="s">
        <x:v>6624</x:v>
      </x:c>
      <x:c r="G730" t="s">
        <x:v>6625</x:v>
      </x:c>
    </x:row>
    <x:row r="731" ht="65" customHeight="1">
      <x:c r="A731" s="14" t="str">
        <x:v>B16</x:v>
      </x:c>
      <x:c r="B731" s="14" t="str">
        <x:v>START_HERE</x:v>
      </x:c>
      <x:c r="C731" s="14" t="str"/>
      <x:c r="D731" s="14" t="str">
        <x:v>R16C2</x:v>
      </x:c>
      <x:c r="E731" s="14" t="n">
        <x:f>COUNTA(SCIENTIFIC_CLAIMS!A2:A1816)</x:f>
        <x:v>1815</x:v>
      </x:c>
      <x:c r="F731" s="14" t="n">
        <x:f>COUNTA(SCIENTIFIC_CLAIMS!A2:A1937)</x:f>
        <x:v>1936</x:v>
      </x:c>
      <x:c r="G731" s="14" t="str">
        <x:v>Extend claim source range</x:v>
      </x:c>
    </x:row>
    <x:row r="732" ht="65" customHeight="1">
      <x:c r="A732" s="14" t="str">
        <x:v>B16</x:v>
      </x:c>
      <x:c r="B732" s="14" t="str">
        <x:v>COVERAGE</x:v>
      </x:c>
      <x:c r="C732" s="14" t="str"/>
      <x:c r="D732" s="14" t="str">
        <x:v>R2C4</x:v>
      </x:c>
      <x:c r="E732" s="14" t="n">
        <x:f>COUNTIF(SCIENTIFIC_CLAIMS!$B$2:$B$1816,A2)</x:f>
        <x:v>0</x:v>
      </x:c>
      <x:c r="F732" s="14" t="n">
        <x:f>COUNTIF(SCIENTIFIC_CLAIMS!$B$2:$B$1937,A2)</x:f>
        <x:v>0</x:v>
      </x:c>
      <x:c r="G732" s="14" t="str">
        <x:v>Extend claim source range</x:v>
      </x:c>
    </x:row>
    <x:row r="733" ht="65" customHeight="1">
      <x:c r="A733" s="14" t="str">
        <x:v>B16</x:v>
      </x:c>
      <x:c r="B733" s="14" t="str">
        <x:v>COVERAGE</x:v>
      </x:c>
      <x:c r="C733" s="14" t="str"/>
      <x:c r="D733" s="14" t="str">
        <x:v>R3C4</x:v>
      </x:c>
      <x:c r="E733" s="14" t="n">
        <x:f>COUNTIF(SCIENTIFIC_CLAIMS!$B$2:$B$1816,A3)</x:f>
        <x:v>0</x:v>
      </x:c>
      <x:c r="F733" s="14" t="n">
        <x:f>COUNTIF(SCIENTIFIC_CLAIMS!$B$2:$B$1937,A3)</x:f>
        <x:v>0</x:v>
      </x:c>
      <x:c r="G733" s="14" t="str">
        <x:v>Extend claim source range</x:v>
      </x:c>
    </x:row>
    <x:row r="734" ht="65" customHeight="1">
      <x:c r="A734" s="14" t="str">
        <x:v>B16</x:v>
      </x:c>
      <x:c r="B734" s="14" t="str">
        <x:v>COVERAGE</x:v>
      </x:c>
      <x:c r="C734" s="14" t="str"/>
      <x:c r="D734" s="14" t="str">
        <x:v>R4C4</x:v>
      </x:c>
      <x:c r="E734" s="14" t="n">
        <x:f>COUNTIF(SCIENTIFIC_CLAIMS!$B$2:$B$1816,A4)</x:f>
        <x:v>0</x:v>
      </x:c>
      <x:c r="F734" s="14" t="n">
        <x:f>COUNTIF(SCIENTIFIC_CLAIMS!$B$2:$B$1937,A4)</x:f>
        <x:v>0</x:v>
      </x:c>
      <x:c r="G734" s="14" t="str">
        <x:v>Extend claim source range</x:v>
      </x:c>
    </x:row>
    <x:row r="735" ht="65" customHeight="1">
      <x:c r="A735" s="14" t="str">
        <x:v>B16</x:v>
      </x:c>
      <x:c r="B735" s="14" t="str">
        <x:v>COVERAGE</x:v>
      </x:c>
      <x:c r="C735" s="14" t="str"/>
      <x:c r="D735" s="14" t="str">
        <x:v>R5C4</x:v>
      </x:c>
      <x:c r="E735" s="14" t="n">
        <x:f>COUNTIF(SCIENTIFIC_CLAIMS!$B$2:$B$1816,A5)</x:f>
        <x:v>0</x:v>
      </x:c>
      <x:c r="F735" s="14" t="n">
        <x:f>COUNTIF(SCIENTIFIC_CLAIMS!$B$2:$B$1937,A5)</x:f>
        <x:v>0</x:v>
      </x:c>
      <x:c r="G735" s="14" t="str">
        <x:v>Extend claim source range</x:v>
      </x:c>
    </x:row>
    <x:row r="736" ht="65" customHeight="1">
      <x:c r="A736" s="14" t="str">
        <x:v>B16</x:v>
      </x:c>
      <x:c r="B736" s="14" t="str">
        <x:v>COVERAGE</x:v>
      </x:c>
      <x:c r="C736" s="14" t="str"/>
      <x:c r="D736" s="14" t="str">
        <x:v>R6C4</x:v>
      </x:c>
      <x:c r="E736" s="14" t="n">
        <x:f>COUNTIF(SCIENTIFIC_CLAIMS!$B$2:$B$1816,A6)</x:f>
        <x:v>0</x:v>
      </x:c>
      <x:c r="F736" s="14" t="n">
        <x:f>COUNTIF(SCIENTIFIC_CLAIMS!$B$2:$B$1937,A6)</x:f>
        <x:v>0</x:v>
      </x:c>
      <x:c r="G736" s="14" t="str">
        <x:v>Extend claim source range</x:v>
      </x:c>
    </x:row>
    <x:row r="737" ht="65" customHeight="1">
      <x:c r="A737" s="14" t="str">
        <x:v>B16</x:v>
      </x:c>
      <x:c r="B737" s="14" t="str">
        <x:v>COVERAGE</x:v>
      </x:c>
      <x:c r="C737" s="14" t="str"/>
      <x:c r="D737" s="14" t="str">
        <x:v>R7C4</x:v>
      </x:c>
      <x:c r="E737" s="14" t="n">
        <x:f>COUNTIF(SCIENTIFIC_CLAIMS!$B$2:$B$1816,A7)</x:f>
        <x:v>0</x:v>
      </x:c>
      <x:c r="F737" s="14" t="n">
        <x:f>COUNTIF(SCIENTIFIC_CLAIMS!$B$2:$B$1937,A7)</x:f>
        <x:v>0</x:v>
      </x:c>
      <x:c r="G737" s="14" t="str">
        <x:v>Extend claim source range</x:v>
      </x:c>
    </x:row>
    <x:row r="738" ht="65" customHeight="1">
      <x:c r="A738" s="14" t="str">
        <x:v>B16</x:v>
      </x:c>
      <x:c r="B738" s="14" t="str">
        <x:v>COVERAGE</x:v>
      </x:c>
      <x:c r="C738" s="14" t="str"/>
      <x:c r="D738" s="14" t="str">
        <x:v>R8C4</x:v>
      </x:c>
      <x:c r="E738" s="14" t="n">
        <x:f>COUNTIF(SCIENTIFIC_CLAIMS!$B$2:$B$1816,A8)</x:f>
        <x:v>0</x:v>
      </x:c>
      <x:c r="F738" s="14" t="n">
        <x:f>COUNTIF(SCIENTIFIC_CLAIMS!$B$2:$B$1937,A8)</x:f>
        <x:v>0</x:v>
      </x:c>
      <x:c r="G738" s="14" t="str">
        <x:v>Extend claim source range</x:v>
      </x:c>
    </x:row>
    <x:row r="739" ht="65" customHeight="1">
      <x:c r="A739" s="14" t="str">
        <x:v>B16</x:v>
      </x:c>
      <x:c r="B739" s="14" t="str">
        <x:v>COVERAGE</x:v>
      </x:c>
      <x:c r="C739" s="14" t="str"/>
      <x:c r="D739" s="14" t="str">
        <x:v>R9C4</x:v>
      </x:c>
      <x:c r="E739" s="14" t="n">
        <x:f>COUNTIF(SCIENTIFIC_CLAIMS!$B$2:$B$1816,A9)</x:f>
        <x:v>0</x:v>
      </x:c>
      <x:c r="F739" s="14" t="n">
        <x:f>COUNTIF(SCIENTIFIC_CLAIMS!$B$2:$B$1937,A9)</x:f>
        <x:v>0</x:v>
      </x:c>
      <x:c r="G739" s="14" t="str">
        <x:v>Extend claim source range</x:v>
      </x:c>
    </x:row>
    <x:row r="740" ht="65" customHeight="1">
      <x:c r="A740" s="14" t="str">
        <x:v>B16</x:v>
      </x:c>
      <x:c r="B740" s="14" t="str">
        <x:v>COVERAGE</x:v>
      </x:c>
      <x:c r="C740" s="14" t="str"/>
      <x:c r="D740" s="14" t="str">
        <x:v>R10C4</x:v>
      </x:c>
      <x:c r="E740" s="14" t="n">
        <x:f>COUNTIF(SCIENTIFIC_CLAIMS!$B$2:$B$1816,A10)</x:f>
        <x:v>0</x:v>
      </x:c>
      <x:c r="F740" s="14" t="n">
        <x:f>COUNTIF(SCIENTIFIC_CLAIMS!$B$2:$B$1937,A10)</x:f>
        <x:v>0</x:v>
      </x:c>
      <x:c r="G740" s="14" t="str">
        <x:v>Extend claim source range</x:v>
      </x:c>
    </x:row>
    <x:row r="741" ht="65" customHeight="1">
      <x:c r="A741" s="14" t="str">
        <x:v>B16</x:v>
      </x:c>
      <x:c r="B741" s="14" t="str">
        <x:v>COVERAGE</x:v>
      </x:c>
      <x:c r="C741" s="14" t="str"/>
      <x:c r="D741" s="14" t="str">
        <x:v>R11C4</x:v>
      </x:c>
      <x:c r="E741" s="14" t="n">
        <x:f>COUNTIF(SCIENTIFIC_CLAIMS!$B$2:$B$1816,A11)</x:f>
        <x:v>0</x:v>
      </x:c>
      <x:c r="F741" s="14" t="n">
        <x:f>COUNTIF(SCIENTIFIC_CLAIMS!$B$2:$B$1937,A11)</x:f>
        <x:v>0</x:v>
      </x:c>
      <x:c r="G741" s="14" t="str">
        <x:v>Extend claim source range</x:v>
      </x:c>
    </x:row>
    <x:row r="742" ht="65" customHeight="1">
      <x:c r="A742" s="14" t="str">
        <x:v>B16</x:v>
      </x:c>
      <x:c r="B742" s="14" t="str">
        <x:v>COVERAGE</x:v>
      </x:c>
      <x:c r="C742" s="14" t="str"/>
      <x:c r="D742" s="14" t="str">
        <x:v>R12C4</x:v>
      </x:c>
      <x:c r="E742" s="14" t="n">
        <x:f>COUNTIF(SCIENTIFIC_CLAIMS!$B$2:$B$1816,A12)</x:f>
        <x:v>0</x:v>
      </x:c>
      <x:c r="F742" s="14" t="n">
        <x:f>COUNTIF(SCIENTIFIC_CLAIMS!$B$2:$B$1937,A12)</x:f>
        <x:v>0</x:v>
      </x:c>
      <x:c r="G742" s="14" t="str">
        <x:v>Extend claim source range</x:v>
      </x:c>
    </x:row>
    <x:row r="743" ht="65" customHeight="1">
      <x:c r="A743" s="14" t="str">
        <x:v>B16</x:v>
      </x:c>
      <x:c r="B743" s="14" t="str">
        <x:v>COVERAGE</x:v>
      </x:c>
      <x:c r="C743" s="14" t="str"/>
      <x:c r="D743" s="14" t="str">
        <x:v>R13C4</x:v>
      </x:c>
      <x:c r="E743" s="14" t="n">
        <x:f>COUNTIF(SCIENTIFIC_CLAIMS!$B$2:$B$1816,A13)</x:f>
        <x:v>0</x:v>
      </x:c>
      <x:c r="F743" s="14" t="n">
        <x:f>COUNTIF(SCIENTIFIC_CLAIMS!$B$2:$B$1937,A13)</x:f>
        <x:v>0</x:v>
      </x:c>
      <x:c r="G743" s="14" t="str">
        <x:v>Extend claim source range</x:v>
      </x:c>
    </x:row>
    <x:row r="744" ht="65" customHeight="1">
      <x:c r="A744" s="14" t="str">
        <x:v>B16</x:v>
      </x:c>
      <x:c r="B744" s="14" t="str">
        <x:v>COVERAGE</x:v>
      </x:c>
      <x:c r="C744" s="14" t="str"/>
      <x:c r="D744" s="14" t="str">
        <x:v>R14C4</x:v>
      </x:c>
      <x:c r="E744" s="14" t="n">
        <x:f>COUNTIF(SCIENTIFIC_CLAIMS!$B$2:$B$1816,A14)</x:f>
        <x:v>0</x:v>
      </x:c>
      <x:c r="F744" s="14" t="n">
        <x:f>COUNTIF(SCIENTIFIC_CLAIMS!$B$2:$B$1937,A14)</x:f>
        <x:v>0</x:v>
      </x:c>
      <x:c r="G744" s="14" t="str">
        <x:v>Extend claim source range</x:v>
      </x:c>
    </x:row>
    <x:row r="745" ht="65" customHeight="1">
      <x:c r="A745" s="14" t="str">
        <x:v>B16</x:v>
      </x:c>
      <x:c r="B745" s="14" t="str">
        <x:v>COVERAGE</x:v>
      </x:c>
      <x:c r="C745" s="14" t="str"/>
      <x:c r="D745" s="14" t="str">
        <x:v>R15C4</x:v>
      </x:c>
      <x:c r="E745" s="14" t="n">
        <x:f>COUNTIF(SCIENTIFIC_CLAIMS!$B$2:$B$1816,A15)</x:f>
        <x:v>0</x:v>
      </x:c>
      <x:c r="F745" s="14" t="n">
        <x:f>COUNTIF(SCIENTIFIC_CLAIMS!$B$2:$B$1937,A15)</x:f>
        <x:v>0</x:v>
      </x:c>
      <x:c r="G745" s="14" t="str">
        <x:v>Extend claim source range</x:v>
      </x:c>
    </x:row>
    <x:row r="746" ht="65" customHeight="1">
      <x:c r="A746" s="14" t="str">
        <x:v>B16</x:v>
      </x:c>
      <x:c r="B746" s="14" t="str">
        <x:v>COVERAGE</x:v>
      </x:c>
      <x:c r="C746" s="14" t="str"/>
      <x:c r="D746" s="14" t="str">
        <x:v>R16C4</x:v>
      </x:c>
      <x:c r="E746" s="14" t="n">
        <x:f>COUNTIF(SCIENTIFIC_CLAIMS!$B$2:$B$1816,A16)</x:f>
        <x:v>0</x:v>
      </x:c>
      <x:c r="F746" s="14" t="n">
        <x:f>COUNTIF(SCIENTIFIC_CLAIMS!$B$2:$B$1937,A16)</x:f>
        <x:v>0</x:v>
      </x:c>
      <x:c r="G746" s="14" t="str">
        <x:v>Extend claim source range</x:v>
      </x:c>
    </x:row>
    <x:row r="747" ht="65" customHeight="1">
      <x:c r="A747" s="14" t="str">
        <x:v>B16</x:v>
      </x:c>
      <x:c r="B747" s="14" t="str">
        <x:v>COVERAGE</x:v>
      </x:c>
      <x:c r="C747" s="14" t="str"/>
      <x:c r="D747" s="14" t="str">
        <x:v>R17C4</x:v>
      </x:c>
      <x:c r="E747" s="14" t="n">
        <x:f>COUNTIF(SCIENTIFIC_CLAIMS!$B$2:$B$1816,A17)</x:f>
        <x:v>0</x:v>
      </x:c>
      <x:c r="F747" s="14" t="n">
        <x:f>COUNTIF(SCIENTIFIC_CLAIMS!$B$2:$B$1937,A17)</x:f>
        <x:v>0</x:v>
      </x:c>
      <x:c r="G747" s="14" t="str">
        <x:v>Extend claim source range</x:v>
      </x:c>
    </x:row>
    <x:row r="748" ht="65" customHeight="1">
      <x:c r="A748" s="14" t="str">
        <x:v>B16</x:v>
      </x:c>
      <x:c r="B748" s="14" t="str">
        <x:v>COVERAGE</x:v>
      </x:c>
      <x:c r="C748" s="14" t="str"/>
      <x:c r="D748" s="14" t="str">
        <x:v>R18C4</x:v>
      </x:c>
      <x:c r="E748" s="14" t="n">
        <x:f>COUNTIF(SCIENTIFIC_CLAIMS!$B$2:$B$1816,A18)</x:f>
        <x:v>0</x:v>
      </x:c>
      <x:c r="F748" s="14" t="n">
        <x:f>COUNTIF(SCIENTIFIC_CLAIMS!$B$2:$B$1937,A18)</x:f>
        <x:v>0</x:v>
      </x:c>
      <x:c r="G748" s="14" t="str">
        <x:v>Extend claim source range</x:v>
      </x:c>
    </x:row>
    <x:row r="749" ht="65" customHeight="1">
      <x:c r="A749" s="14" t="str">
        <x:v>B16</x:v>
      </x:c>
      <x:c r="B749" s="14" t="str">
        <x:v>COVERAGE</x:v>
      </x:c>
      <x:c r="C749" s="14" t="str"/>
      <x:c r="D749" s="14" t="str">
        <x:v>R19C4</x:v>
      </x:c>
      <x:c r="E749" s="14" t="n">
        <x:f>COUNTIF(SCIENTIFIC_CLAIMS!$B$2:$B$1816,A19)</x:f>
        <x:v>0</x:v>
      </x:c>
      <x:c r="F749" s="14" t="n">
        <x:f>COUNTIF(SCIENTIFIC_CLAIMS!$B$2:$B$1937,A19)</x:f>
        <x:v>0</x:v>
      </x:c>
      <x:c r="G749" s="14" t="str">
        <x:v>Extend claim source range</x:v>
      </x:c>
    </x:row>
    <x:row r="750" ht="65" customHeight="1">
      <x:c r="A750" s="14" t="str">
        <x:v>B16</x:v>
      </x:c>
      <x:c r="B750" s="14" t="str">
        <x:v>COVERAGE</x:v>
      </x:c>
      <x:c r="C750" s="14" t="str"/>
      <x:c r="D750" s="14" t="str">
        <x:v>R20C4</x:v>
      </x:c>
      <x:c r="E750" s="14" t="n">
        <x:f>COUNTIF(SCIENTIFIC_CLAIMS!$B$2:$B$1816,A20)</x:f>
        <x:v>0</x:v>
      </x:c>
      <x:c r="F750" s="14" t="n">
        <x:f>COUNTIF(SCIENTIFIC_CLAIMS!$B$2:$B$1937,A20)</x:f>
        <x:v>0</x:v>
      </x:c>
      <x:c r="G750" s="14" t="str">
        <x:v>Extend claim source range</x:v>
      </x:c>
    </x:row>
    <x:row r="751" ht="65" customHeight="1">
      <x:c r="A751" s="14" t="str">
        <x:v>B16</x:v>
      </x:c>
      <x:c r="B751" s="14" t="str">
        <x:v>COVERAGE</x:v>
      </x:c>
      <x:c r="C751" s="14" t="str"/>
      <x:c r="D751" s="14" t="str">
        <x:v>R21C4</x:v>
      </x:c>
      <x:c r="E751" s="14" t="n">
        <x:f>COUNTIF(SCIENTIFIC_CLAIMS!$B$2:$B$1816,A21)</x:f>
        <x:v>0</x:v>
      </x:c>
      <x:c r="F751" s="14" t="n">
        <x:f>COUNTIF(SCIENTIFIC_CLAIMS!$B$2:$B$1937,A21)</x:f>
        <x:v>0</x:v>
      </x:c>
      <x:c r="G751" s="14" t="str">
        <x:v>Extend claim source range</x:v>
      </x:c>
    </x:row>
    <x:row r="752" ht="65" customHeight="1">
      <x:c r="A752" s="14" t="str">
        <x:v>B16</x:v>
      </x:c>
      <x:c r="B752" s="14" t="str">
        <x:v>COVERAGE</x:v>
      </x:c>
      <x:c r="C752" s="14" t="str"/>
      <x:c r="D752" s="14" t="str">
        <x:v>R22C4</x:v>
      </x:c>
      <x:c r="E752" s="14" t="n">
        <x:f>COUNTIF(SCIENTIFIC_CLAIMS!$B$2:$B$1816,A22)</x:f>
        <x:v>0</x:v>
      </x:c>
      <x:c r="F752" s="14" t="n">
        <x:f>COUNTIF(SCIENTIFIC_CLAIMS!$B$2:$B$1937,A22)</x:f>
        <x:v>0</x:v>
      </x:c>
      <x:c r="G752" s="14" t="str">
        <x:v>Extend claim source range</x:v>
      </x:c>
    </x:row>
    <x:row r="753" ht="65" customHeight="1">
      <x:c r="A753" s="14" t="str">
        <x:v>B16</x:v>
      </x:c>
      <x:c r="B753" s="14" t="str">
        <x:v>COVERAGE</x:v>
      </x:c>
      <x:c r="C753" s="14" t="str"/>
      <x:c r="D753" s="14" t="str">
        <x:v>R23C4</x:v>
      </x:c>
      <x:c r="E753" s="14" t="n">
        <x:f>COUNTIF(SCIENTIFIC_CLAIMS!$B$2:$B$1816,A23)</x:f>
        <x:v>0</x:v>
      </x:c>
      <x:c r="F753" s="14" t="n">
        <x:f>COUNTIF(SCIENTIFIC_CLAIMS!$B$2:$B$1937,A23)</x:f>
        <x:v>0</x:v>
      </x:c>
      <x:c r="G753" s="14" t="str">
        <x:v>Extend claim source range</x:v>
      </x:c>
    </x:row>
    <x:row r="754" ht="65" customHeight="1">
      <x:c r="A754" s="14" t="str">
        <x:v>B16</x:v>
      </x:c>
      <x:c r="B754" s="14" t="str">
        <x:v>COVERAGE</x:v>
      </x:c>
      <x:c r="C754" s="14" t="str"/>
      <x:c r="D754" s="14" t="str">
        <x:v>R24C4</x:v>
      </x:c>
      <x:c r="E754" s="14" t="n">
        <x:f>COUNTIF(SCIENTIFIC_CLAIMS!$B$2:$B$1816,A24)</x:f>
        <x:v>0</x:v>
      </x:c>
      <x:c r="F754" s="14" t="n">
        <x:f>COUNTIF(SCIENTIFIC_CLAIMS!$B$2:$B$1937,A24)</x:f>
        <x:v>0</x:v>
      </x:c>
      <x:c r="G754" s="14" t="str">
        <x:v>Extend claim source range</x:v>
      </x:c>
    </x:row>
    <x:row r="755" ht="65" customHeight="1">
      <x:c r="A755" s="14" t="str">
        <x:v>B16</x:v>
      </x:c>
      <x:c r="B755" s="14" t="str">
        <x:v>COVERAGE</x:v>
      </x:c>
      <x:c r="C755" s="14" t="str"/>
      <x:c r="D755" s="14" t="str">
        <x:v>R25C4</x:v>
      </x:c>
      <x:c r="E755" s="14" t="n">
        <x:f>COUNTIF(SCIENTIFIC_CLAIMS!$B$2:$B$1816,A25)</x:f>
        <x:v>0</x:v>
      </x:c>
      <x:c r="F755" s="14" t="n">
        <x:f>COUNTIF(SCIENTIFIC_CLAIMS!$B$2:$B$1937,A25)</x:f>
        <x:v>0</x:v>
      </x:c>
      <x:c r="G755" s="14" t="str">
        <x:v>Extend claim source range</x:v>
      </x:c>
    </x:row>
    <x:row r="756" ht="65" customHeight="1">
      <x:c r="A756" s="14" t="str">
        <x:v>B16</x:v>
      </x:c>
      <x:c r="B756" s="14" t="str">
        <x:v>COVERAGE</x:v>
      </x:c>
      <x:c r="C756" s="14" t="str"/>
      <x:c r="D756" s="14" t="str">
        <x:v>R26C4</x:v>
      </x:c>
      <x:c r="E756" s="14" t="n">
        <x:f>COUNTIF(SCIENTIFIC_CLAIMS!$B$2:$B$1816,A26)</x:f>
        <x:v>0</x:v>
      </x:c>
      <x:c r="F756" s="14" t="n">
        <x:f>COUNTIF(SCIENTIFIC_CLAIMS!$B$2:$B$1937,A26)</x:f>
        <x:v>0</x:v>
      </x:c>
      <x:c r="G756" s="14" t="str">
        <x:v>Extend claim source range</x:v>
      </x:c>
    </x:row>
    <x:row r="757" ht="65" customHeight="1">
      <x:c r="A757" s="14" t="str">
        <x:v>B16</x:v>
      </x:c>
      <x:c r="B757" s="14" t="str">
        <x:v>COVERAGE</x:v>
      </x:c>
      <x:c r="C757" s="14" t="str"/>
      <x:c r="D757" s="14" t="str">
        <x:v>R27C4</x:v>
      </x:c>
      <x:c r="E757" s="14" t="n">
        <x:f>COUNTIF(SCIENTIFIC_CLAIMS!$B$2:$B$1816,A27)</x:f>
        <x:v>0</x:v>
      </x:c>
      <x:c r="F757" s="14" t="n">
        <x:f>COUNTIF(SCIENTIFIC_CLAIMS!$B$2:$B$1937,A27)</x:f>
        <x:v>0</x:v>
      </x:c>
      <x:c r="G757" s="14" t="str">
        <x:v>Extend claim source range</x:v>
      </x:c>
    </x:row>
    <x:row r="758" ht="65" customHeight="1">
      <x:c r="A758" s="14" t="str">
        <x:v>B16</x:v>
      </x:c>
      <x:c r="B758" s="14" t="str">
        <x:v>COVERAGE</x:v>
      </x:c>
      <x:c r="C758" s="14" t="str"/>
      <x:c r="D758" s="14" t="str">
        <x:v>R28C4</x:v>
      </x:c>
      <x:c r="E758" s="14" t="n">
        <x:f>COUNTIF(SCIENTIFIC_CLAIMS!$B$2:$B$1816,A28)</x:f>
        <x:v>0</x:v>
      </x:c>
      <x:c r="F758" s="14" t="n">
        <x:f>COUNTIF(SCIENTIFIC_CLAIMS!$B$2:$B$1937,A28)</x:f>
        <x:v>0</x:v>
      </x:c>
      <x:c r="G758" s="14" t="str">
        <x:v>Extend claim source range</x:v>
      </x:c>
    </x:row>
    <x:row r="759" ht="65" customHeight="1">
      <x:c r="A759" s="14" t="str">
        <x:v>B16</x:v>
      </x:c>
      <x:c r="B759" s="14" t="str">
        <x:v>COVERAGE</x:v>
      </x:c>
      <x:c r="C759" s="14" t="str"/>
      <x:c r="D759" s="14" t="str">
        <x:v>R29C4</x:v>
      </x:c>
      <x:c r="E759" s="14" t="n">
        <x:f>COUNTIF(SCIENTIFIC_CLAIMS!$B$2:$B$1816,A29)</x:f>
        <x:v>0</x:v>
      </x:c>
      <x:c r="F759" s="14" t="n">
        <x:f>COUNTIF(SCIENTIFIC_CLAIMS!$B$2:$B$1937,A29)</x:f>
        <x:v>0</x:v>
      </x:c>
      <x:c r="G759" s="14" t="str">
        <x:v>Extend claim source range</x:v>
      </x:c>
    </x:row>
    <x:row r="760" ht="65" customHeight="1">
      <x:c r="A760" s="14" t="str">
        <x:v>B16</x:v>
      </x:c>
      <x:c r="B760" s="14" t="str">
        <x:v>COVERAGE</x:v>
      </x:c>
      <x:c r="C760" s="14" t="str"/>
      <x:c r="D760" s="14" t="str">
        <x:v>R30C4</x:v>
      </x:c>
      <x:c r="E760" s="14" t="n">
        <x:f>COUNTIF(SCIENTIFIC_CLAIMS!$B$2:$B$1816,A30)</x:f>
        <x:v>0</x:v>
      </x:c>
      <x:c r="F760" s="14" t="n">
        <x:f>COUNTIF(SCIENTIFIC_CLAIMS!$B$2:$B$1937,A30)</x:f>
        <x:v>0</x:v>
      </x:c>
      <x:c r="G760" s="14" t="str">
        <x:v>Extend claim source range</x:v>
      </x:c>
    </x:row>
    <x:row r="761" ht="65" customHeight="1">
      <x:c r="A761" s="14" t="str">
        <x:v>B16</x:v>
      </x:c>
      <x:c r="B761" s="14" t="str">
        <x:v>COVERAGE</x:v>
      </x:c>
      <x:c r="C761" s="14" t="str"/>
      <x:c r="D761" s="14" t="str">
        <x:v>R31C4</x:v>
      </x:c>
      <x:c r="E761" s="14" t="n">
        <x:f>COUNTIF(SCIENTIFIC_CLAIMS!$B$2:$B$1816,A31)</x:f>
        <x:v>0</x:v>
      </x:c>
      <x:c r="F761" s="14" t="n">
        <x:f>COUNTIF(SCIENTIFIC_CLAIMS!$B$2:$B$1937,A31)</x:f>
        <x:v>0</x:v>
      </x:c>
      <x:c r="G761" s="14" t="str">
        <x:v>Extend claim source range</x:v>
      </x:c>
    </x:row>
    <x:row r="762" ht="65" customHeight="1">
      <x:c r="A762" s="14" t="str">
        <x:v>B16</x:v>
      </x:c>
      <x:c r="B762" s="14" t="str">
        <x:v>COVERAGE</x:v>
      </x:c>
      <x:c r="C762" s="14" t="str"/>
      <x:c r="D762" s="14" t="str">
        <x:v>R32C4</x:v>
      </x:c>
      <x:c r="E762" s="14" t="n">
        <x:f>COUNTIF(SCIENTIFIC_CLAIMS!$B$2:$B$1816,A32)</x:f>
        <x:v>0</x:v>
      </x:c>
      <x:c r="F762" s="14" t="n">
        <x:f>COUNTIF(SCIENTIFIC_CLAIMS!$B$2:$B$1937,A32)</x:f>
        <x:v>0</x:v>
      </x:c>
      <x:c r="G762" s="14" t="str">
        <x:v>Extend claim source range</x:v>
      </x:c>
    </x:row>
    <x:row r="763" ht="65" customHeight="1">
      <x:c r="A763" s="14" t="str">
        <x:v>B16</x:v>
      </x:c>
      <x:c r="B763" s="14" t="str">
        <x:v>COVERAGE</x:v>
      </x:c>
      <x:c r="C763" s="14" t="str"/>
      <x:c r="D763" s="14" t="str">
        <x:v>R33C4</x:v>
      </x:c>
      <x:c r="E763" s="14" t="n">
        <x:f>COUNTIF(SCIENTIFIC_CLAIMS!$B$2:$B$1816,A33)</x:f>
        <x:v>0</x:v>
      </x:c>
      <x:c r="F763" s="14" t="n">
        <x:f>COUNTIF(SCIENTIFIC_CLAIMS!$B$2:$B$1937,A33)</x:f>
        <x:v>0</x:v>
      </x:c>
      <x:c r="G763" s="14" t="str">
        <x:v>Extend claim source range</x:v>
      </x:c>
    </x:row>
    <x:row r="764" ht="65" customHeight="1">
      <x:c r="A764" s="14" t="str">
        <x:v>B16</x:v>
      </x:c>
      <x:c r="B764" s="14" t="str">
        <x:v>COVERAGE</x:v>
      </x:c>
      <x:c r="C764" s="14" t="str"/>
      <x:c r="D764" s="14" t="str">
        <x:v>R34C4</x:v>
      </x:c>
      <x:c r="E764" s="14" t="n">
        <x:f>COUNTIF(SCIENTIFIC_CLAIMS!$B$2:$B$1816,A34)</x:f>
        <x:v>0</x:v>
      </x:c>
      <x:c r="F764" s="14" t="n">
        <x:f>COUNTIF(SCIENTIFIC_CLAIMS!$B$2:$B$1937,A34)</x:f>
        <x:v>0</x:v>
      </x:c>
      <x:c r="G764" s="14" t="str">
        <x:v>Extend claim source range</x:v>
      </x:c>
    </x:row>
    <x:row r="765" ht="65" customHeight="1">
      <x:c r="A765" s="14" t="str">
        <x:v>B16</x:v>
      </x:c>
      <x:c r="B765" s="14" t="str">
        <x:v>COVERAGE</x:v>
      </x:c>
      <x:c r="C765" s="14" t="str"/>
      <x:c r="D765" s="14" t="str">
        <x:v>R35C4</x:v>
      </x:c>
      <x:c r="E765" s="14" t="n">
        <x:f>COUNTIF(SCIENTIFIC_CLAIMS!$B$2:$B$1816,A35)</x:f>
        <x:v>0</x:v>
      </x:c>
      <x:c r="F765" s="14" t="n">
        <x:f>COUNTIF(SCIENTIFIC_CLAIMS!$B$2:$B$1937,A35)</x:f>
        <x:v>0</x:v>
      </x:c>
      <x:c r="G765" s="14" t="str">
        <x:v>Extend claim source range</x:v>
      </x:c>
    </x:row>
    <x:row r="766" ht="65" customHeight="1">
      <x:c r="A766" s="14" t="str">
        <x:v>B16</x:v>
      </x:c>
      <x:c r="B766" s="14" t="str">
        <x:v>COVERAGE</x:v>
      </x:c>
      <x:c r="C766" s="14" t="str"/>
      <x:c r="D766" s="14" t="str">
        <x:v>R36C4</x:v>
      </x:c>
      <x:c r="E766" s="14" t="n">
        <x:f>COUNTIF(SCIENTIFIC_CLAIMS!$B$2:$B$1816,A36)</x:f>
        <x:v>0</x:v>
      </x:c>
      <x:c r="F766" s="14" t="n">
        <x:f>COUNTIF(SCIENTIFIC_CLAIMS!$B$2:$B$1937,A36)</x:f>
        <x:v>0</x:v>
      </x:c>
      <x:c r="G766" s="14" t="str">
        <x:v>Extend claim source range</x:v>
      </x:c>
    </x:row>
    <x:row r="767" ht="65" customHeight="1">
      <x:c r="A767" s="14" t="str">
        <x:v>B16</x:v>
      </x:c>
      <x:c r="B767" s="14" t="str">
        <x:v>COVERAGE</x:v>
      </x:c>
      <x:c r="C767" s="14" t="str"/>
      <x:c r="D767" s="14" t="str">
        <x:v>R37C4</x:v>
      </x:c>
      <x:c r="E767" s="14" t="n">
        <x:f>COUNTIF(SCIENTIFIC_CLAIMS!$B$2:$B$1816,A37)</x:f>
        <x:v>0</x:v>
      </x:c>
      <x:c r="F767" s="14" t="n">
        <x:f>COUNTIF(SCIENTIFIC_CLAIMS!$B$2:$B$1937,A37)</x:f>
        <x:v>0</x:v>
      </x:c>
      <x:c r="G767" s="14" t="str">
        <x:v>Extend claim source range</x:v>
      </x:c>
    </x:row>
    <x:row r="768" ht="65" customHeight="1">
      <x:c r="A768" s="14" t="str">
        <x:v>B16</x:v>
      </x:c>
      <x:c r="B768" s="14" t="str">
        <x:v>COVERAGE</x:v>
      </x:c>
      <x:c r="C768" s="14" t="str"/>
      <x:c r="D768" s="14" t="str">
        <x:v>R38C4</x:v>
      </x:c>
      <x:c r="E768" s="14" t="n">
        <x:f>COUNTIF(SCIENTIFIC_CLAIMS!$B$2:$B$1816,A38)</x:f>
        <x:v>0</x:v>
      </x:c>
      <x:c r="F768" s="14" t="n">
        <x:f>COUNTIF(SCIENTIFIC_CLAIMS!$B$2:$B$1937,A38)</x:f>
        <x:v>0</x:v>
      </x:c>
      <x:c r="G768" s="14" t="str">
        <x:v>Extend claim source range</x:v>
      </x:c>
    </x:row>
    <x:row r="769" ht="65" customHeight="1">
      <x:c r="A769" s="14" t="str">
        <x:v>B16</x:v>
      </x:c>
      <x:c r="B769" s="14" t="str">
        <x:v>COVERAGE</x:v>
      </x:c>
      <x:c r="C769" s="14" t="str"/>
      <x:c r="D769" s="14" t="str">
        <x:v>R39C4</x:v>
      </x:c>
      <x:c r="E769" s="14" t="n">
        <x:f>COUNTIF(SCIENTIFIC_CLAIMS!$B$2:$B$1816,A39)</x:f>
        <x:v>0</x:v>
      </x:c>
      <x:c r="F769" s="14" t="n">
        <x:f>COUNTIF(SCIENTIFIC_CLAIMS!$B$2:$B$1937,A39)</x:f>
        <x:v>0</x:v>
      </x:c>
      <x:c r="G769" s="14" t="str">
        <x:v>Extend claim source range</x:v>
      </x:c>
    </x:row>
    <x:row r="770" ht="65" customHeight="1">
      <x:c r="A770" s="14" t="str">
        <x:v>B16</x:v>
      </x:c>
      <x:c r="B770" s="14" t="str">
        <x:v>COVERAGE</x:v>
      </x:c>
      <x:c r="C770" s="14" t="str"/>
      <x:c r="D770" s="14" t="str">
        <x:v>R40C4</x:v>
      </x:c>
      <x:c r="E770" s="14" t="n">
        <x:f>COUNTIF(SCIENTIFIC_CLAIMS!$B$2:$B$1816,A40)</x:f>
        <x:v>0</x:v>
      </x:c>
      <x:c r="F770" s="14" t="n">
        <x:f>COUNTIF(SCIENTIFIC_CLAIMS!$B$2:$B$1937,A40)</x:f>
        <x:v>0</x:v>
      </x:c>
      <x:c r="G770" s="14" t="str">
        <x:v>Extend claim source range</x:v>
      </x:c>
    </x:row>
    <x:row r="771" ht="65" customHeight="1">
      <x:c r="A771" s="14" t="str">
        <x:v>B16</x:v>
      </x:c>
      <x:c r="B771" s="14" t="str">
        <x:v>COVERAGE</x:v>
      </x:c>
      <x:c r="C771" s="14" t="str"/>
      <x:c r="D771" s="14" t="str">
        <x:v>R41C4</x:v>
      </x:c>
      <x:c r="E771" s="14" t="n">
        <x:f>COUNTIF(SCIENTIFIC_CLAIMS!$B$2:$B$1816,A41)</x:f>
        <x:v>0</x:v>
      </x:c>
      <x:c r="F771" s="14" t="n">
        <x:f>COUNTIF(SCIENTIFIC_CLAIMS!$B$2:$B$1937,A41)</x:f>
        <x:v>0</x:v>
      </x:c>
      <x:c r="G771" s="14" t="str">
        <x:v>Extend claim source range</x:v>
      </x:c>
    </x:row>
    <x:row r="772" ht="65" customHeight="1">
      <x:c r="A772" s="14" t="str">
        <x:v>B16</x:v>
      </x:c>
      <x:c r="B772" s="14" t="str">
        <x:v>COVERAGE</x:v>
      </x:c>
      <x:c r="C772" s="14" t="str"/>
      <x:c r="D772" s="14" t="str">
        <x:v>R42C4</x:v>
      </x:c>
      <x:c r="E772" s="14" t="n">
        <x:f>COUNTIF(SCIENTIFIC_CLAIMS!$B$2:$B$1816,A42)</x:f>
        <x:v>0</x:v>
      </x:c>
      <x:c r="F772" s="14" t="n">
        <x:f>COUNTIF(SCIENTIFIC_CLAIMS!$B$2:$B$1937,A42)</x:f>
        <x:v>0</x:v>
      </x:c>
      <x:c r="G772" s="14" t="str">
        <x:v>Extend claim source range</x:v>
      </x:c>
    </x:row>
    <x:row r="773" ht="65" customHeight="1">
      <x:c r="A773" s="14" t="str">
        <x:v>B16</x:v>
      </x:c>
      <x:c r="B773" s="14" t="str">
        <x:v>COVERAGE</x:v>
      </x:c>
      <x:c r="C773" s="14" t="str"/>
      <x:c r="D773" s="14" t="str">
        <x:v>R43C4</x:v>
      </x:c>
      <x:c r="E773" s="14" t="n">
        <x:f>COUNTIF(SCIENTIFIC_CLAIMS!$B$2:$B$1816,A43)</x:f>
        <x:v>0</x:v>
      </x:c>
      <x:c r="F773" s="14" t="n">
        <x:f>COUNTIF(SCIENTIFIC_CLAIMS!$B$2:$B$1937,A43)</x:f>
        <x:v>0</x:v>
      </x:c>
      <x:c r="G773" s="14" t="str">
        <x:v>Extend claim source range</x:v>
      </x:c>
    </x:row>
    <x:row r="774" ht="65" customHeight="1">
      <x:c r="A774" s="14" t="str">
        <x:v>B16</x:v>
      </x:c>
      <x:c r="B774" s="14" t="str">
        <x:v>COVERAGE</x:v>
      </x:c>
      <x:c r="C774" s="14" t="str"/>
      <x:c r="D774" s="14" t="str">
        <x:v>R44C4</x:v>
      </x:c>
      <x:c r="E774" s="14" t="n">
        <x:f>COUNTIF(SCIENTIFIC_CLAIMS!$B$2:$B$1816,A44)</x:f>
        <x:v>0</x:v>
      </x:c>
      <x:c r="F774" s="14" t="n">
        <x:f>COUNTIF(SCIENTIFIC_CLAIMS!$B$2:$B$1937,A44)</x:f>
        <x:v>0</x:v>
      </x:c>
      <x:c r="G774" s="14" t="str">
        <x:v>Extend claim source range</x:v>
      </x:c>
    </x:row>
    <x:row r="775" ht="65" customHeight="1">
      <x:c r="A775" s="14" t="str">
        <x:v>B16</x:v>
      </x:c>
      <x:c r="B775" s="14" t="str">
        <x:v>COVERAGE</x:v>
      </x:c>
      <x:c r="C775" s="14" t="str"/>
      <x:c r="D775" s="14" t="str">
        <x:v>R45C4</x:v>
      </x:c>
      <x:c r="E775" s="14" t="n">
        <x:f>COUNTIF(SCIENTIFIC_CLAIMS!$B$2:$B$1816,A45)</x:f>
        <x:v>0</x:v>
      </x:c>
      <x:c r="F775" s="14" t="n">
        <x:f>COUNTIF(SCIENTIFIC_CLAIMS!$B$2:$B$1937,A45)</x:f>
        <x:v>0</x:v>
      </x:c>
      <x:c r="G775" s="14" t="str">
        <x:v>Extend claim source range</x:v>
      </x:c>
    </x:row>
    <x:row r="776" ht="65" customHeight="1">
      <x:c r="A776" s="14" t="str">
        <x:v>B16</x:v>
      </x:c>
      <x:c r="B776" s="14" t="str">
        <x:v>COVERAGE</x:v>
      </x:c>
      <x:c r="C776" s="14" t="str"/>
      <x:c r="D776" s="14" t="str">
        <x:v>R46C4</x:v>
      </x:c>
      <x:c r="E776" s="14" t="n">
        <x:f>COUNTIF(SCIENTIFIC_CLAIMS!$B$2:$B$1816,A46)</x:f>
        <x:v>0</x:v>
      </x:c>
      <x:c r="F776" s="14" t="n">
        <x:f>COUNTIF(SCIENTIFIC_CLAIMS!$B$2:$B$1937,A46)</x:f>
        <x:v>0</x:v>
      </x:c>
      <x:c r="G776" s="14" t="str">
        <x:v>Extend claim source range</x:v>
      </x:c>
    </x:row>
    <x:row r="777" ht="65" customHeight="1">
      <x:c r="A777" s="14" t="str">
        <x:v>B16</x:v>
      </x:c>
      <x:c r="B777" s="14" t="str">
        <x:v>COVERAGE</x:v>
      </x:c>
      <x:c r="C777" s="14" t="str"/>
      <x:c r="D777" s="14" t="str">
        <x:v>R47C4</x:v>
      </x:c>
      <x:c r="E777" s="14" t="n">
        <x:f>COUNTIF(SCIENTIFIC_CLAIMS!$B$2:$B$1816,A47)</x:f>
        <x:v>0</x:v>
      </x:c>
      <x:c r="F777" s="14" t="n">
        <x:f>COUNTIF(SCIENTIFIC_CLAIMS!$B$2:$B$1937,A47)</x:f>
        <x:v>0</x:v>
      </x:c>
      <x:c r="G777" s="14" t="str">
        <x:v>Extend claim source range</x:v>
      </x:c>
    </x:row>
    <x:row r="778" ht="65" customHeight="1">
      <x:c r="A778" s="14" t="str">
        <x:v>B16</x:v>
      </x:c>
      <x:c r="B778" s="14" t="str">
        <x:v>COVERAGE</x:v>
      </x:c>
      <x:c r="C778" s="14" t="str"/>
      <x:c r="D778" s="14" t="str">
        <x:v>R48C4</x:v>
      </x:c>
      <x:c r="E778" s="14" t="n">
        <x:f>COUNTIF(SCIENTIFIC_CLAIMS!$B$2:$B$1816,A48)</x:f>
        <x:v>0</x:v>
      </x:c>
      <x:c r="F778" s="14" t="n">
        <x:f>COUNTIF(SCIENTIFIC_CLAIMS!$B$2:$B$1937,A48)</x:f>
        <x:v>0</x:v>
      </x:c>
      <x:c r="G778" s="14" t="str">
        <x:v>Extend claim source range</x:v>
      </x:c>
    </x:row>
    <x:row r="779" ht="65" customHeight="1">
      <x:c r="A779" s="14" t="str">
        <x:v>B16</x:v>
      </x:c>
      <x:c r="B779" s="14" t="str">
        <x:v>COVERAGE</x:v>
      </x:c>
      <x:c r="C779" s="14" t="str"/>
      <x:c r="D779" s="14" t="str">
        <x:v>R49C4</x:v>
      </x:c>
      <x:c r="E779" s="14" t="n">
        <x:f>COUNTIF(SCIENTIFIC_CLAIMS!$B$2:$B$1816,A49)</x:f>
        <x:v>0</x:v>
      </x:c>
      <x:c r="F779" s="14" t="n">
        <x:f>COUNTIF(SCIENTIFIC_CLAIMS!$B$2:$B$1937,A49)</x:f>
        <x:v>0</x:v>
      </x:c>
      <x:c r="G779" s="14" t="str">
        <x:v>Extend claim source range</x:v>
      </x:c>
    </x:row>
    <x:row r="780" ht="65" customHeight="1">
      <x:c r="A780" s="14" t="str">
        <x:v>B16</x:v>
      </x:c>
      <x:c r="B780" s="14" t="str">
        <x:v>COVERAGE</x:v>
      </x:c>
      <x:c r="C780" s="14" t="str"/>
      <x:c r="D780" s="14" t="str">
        <x:v>R50C4</x:v>
      </x:c>
      <x:c r="E780" s="14" t="n">
        <x:f>COUNTIF(SCIENTIFIC_CLAIMS!$B$2:$B$1816,A50)</x:f>
        <x:v>0</x:v>
      </x:c>
      <x:c r="F780" s="14" t="n">
        <x:f>COUNTIF(SCIENTIFIC_CLAIMS!$B$2:$B$1937,A50)</x:f>
        <x:v>0</x:v>
      </x:c>
      <x:c r="G780" s="14" t="str">
        <x:v>Extend claim source range</x:v>
      </x:c>
    </x:row>
    <x:row r="781" ht="65" customHeight="1">
      <x:c r="A781" s="14" t="str">
        <x:v>B16</x:v>
      </x:c>
      <x:c r="B781" s="14" t="str">
        <x:v>COVERAGE</x:v>
      </x:c>
      <x:c r="C781" s="14" t="str"/>
      <x:c r="D781" s="14" t="str">
        <x:v>R51C4</x:v>
      </x:c>
      <x:c r="E781" s="14" t="n">
        <x:f>COUNTIF(SCIENTIFIC_CLAIMS!$B$2:$B$1816,A51)</x:f>
        <x:v>0</x:v>
      </x:c>
      <x:c r="F781" s="14" t="n">
        <x:f>COUNTIF(SCIENTIFIC_CLAIMS!$B$2:$B$1937,A51)</x:f>
        <x:v>0</x:v>
      </x:c>
      <x:c r="G781" s="14" t="str">
        <x:v>Extend claim source range</x:v>
      </x:c>
    </x:row>
    <x:row r="782" ht="65" customHeight="1">
      <x:c r="A782" s="14" t="str">
        <x:v>B16</x:v>
      </x:c>
      <x:c r="B782" s="14" t="str">
        <x:v>COVERAGE</x:v>
      </x:c>
      <x:c r="C782" s="14" t="str"/>
      <x:c r="D782" s="14" t="str">
        <x:v>R52C4</x:v>
      </x:c>
      <x:c r="E782" s="14" t="n">
        <x:f>COUNTIF(SCIENTIFIC_CLAIMS!$B$2:$B$1816,A52)</x:f>
        <x:v>0</x:v>
      </x:c>
      <x:c r="F782" s="14" t="n">
        <x:f>COUNTIF(SCIENTIFIC_CLAIMS!$B$2:$B$1937,A52)</x:f>
        <x:v>0</x:v>
      </x:c>
      <x:c r="G782" s="14" t="str">
        <x:v>Extend claim source range</x:v>
      </x:c>
    </x:row>
    <x:row r="783" ht="65" customHeight="1">
      <x:c r="A783" s="14" t="str">
        <x:v>B16</x:v>
      </x:c>
      <x:c r="B783" s="14" t="str">
        <x:v>COVERAGE</x:v>
      </x:c>
      <x:c r="C783" s="14" t="str"/>
      <x:c r="D783" s="14" t="str">
        <x:v>R53C4</x:v>
      </x:c>
      <x:c r="E783" s="14" t="n">
        <x:f>COUNTIF(SCIENTIFIC_CLAIMS!$B$2:$B$1816,A53)</x:f>
        <x:v>0</x:v>
      </x:c>
      <x:c r="F783" s="14" t="n">
        <x:f>COUNTIF(SCIENTIFIC_CLAIMS!$B$2:$B$1937,A53)</x:f>
        <x:v>0</x:v>
      </x:c>
      <x:c r="G783" s="14" t="str">
        <x:v>Extend claim source range</x:v>
      </x:c>
    </x:row>
    <x:row r="784" ht="65" customHeight="1">
      <x:c r="A784" s="14" t="str">
        <x:v>B16</x:v>
      </x:c>
      <x:c r="B784" s="14" t="str">
        <x:v>COVERAGE</x:v>
      </x:c>
      <x:c r="C784" s="14" t="str"/>
      <x:c r="D784" s="14" t="str">
        <x:v>R54C4</x:v>
      </x:c>
      <x:c r="E784" s="14" t="n">
        <x:f>COUNTIF(SCIENTIFIC_CLAIMS!$B$2:$B$1816,A54)</x:f>
        <x:v>0</x:v>
      </x:c>
      <x:c r="F784" s="14" t="n">
        <x:f>COUNTIF(SCIENTIFIC_CLAIMS!$B$2:$B$1937,A54)</x:f>
        <x:v>0</x:v>
      </x:c>
      <x:c r="G784" s="14" t="str">
        <x:v>Extend claim source range</x:v>
      </x:c>
    </x:row>
    <x:row r="785" ht="65" customHeight="1">
      <x:c r="A785" s="14" t="str">
        <x:v>B16</x:v>
      </x:c>
      <x:c r="B785" s="14" t="str">
        <x:v>COVERAGE</x:v>
      </x:c>
      <x:c r="C785" s="14" t="str"/>
      <x:c r="D785" s="14" t="str">
        <x:v>R55C4</x:v>
      </x:c>
      <x:c r="E785" s="14" t="n">
        <x:f>COUNTIF(SCIENTIFIC_CLAIMS!$B$2:$B$1816,A55)</x:f>
        <x:v>0</x:v>
      </x:c>
      <x:c r="F785" s="14" t="n">
        <x:f>COUNTIF(SCIENTIFIC_CLAIMS!$B$2:$B$1937,A55)</x:f>
        <x:v>0</x:v>
      </x:c>
      <x:c r="G785" s="14" t="str">
        <x:v>Extend claim source range</x:v>
      </x:c>
    </x:row>
    <x:row r="786" ht="65" customHeight="1">
      <x:c r="A786" s="14" t="str">
        <x:v>B16</x:v>
      </x:c>
      <x:c r="B786" s="14" t="str">
        <x:v>COVERAGE</x:v>
      </x:c>
      <x:c r="C786" s="14" t="str"/>
      <x:c r="D786" s="14" t="str">
        <x:v>R56C4</x:v>
      </x:c>
      <x:c r="E786" s="14" t="n">
        <x:f>COUNTIF(SCIENTIFIC_CLAIMS!$B$2:$B$1816,A56)</x:f>
        <x:v>0</x:v>
      </x:c>
      <x:c r="F786" s="14" t="n">
        <x:f>COUNTIF(SCIENTIFIC_CLAIMS!$B$2:$B$1937,A56)</x:f>
        <x:v>0</x:v>
      </x:c>
      <x:c r="G786" s="14" t="str">
        <x:v>Extend claim source range</x:v>
      </x:c>
    </x:row>
    <x:row r="787" ht="65" customHeight="1">
      <x:c r="A787" s="14" t="str">
        <x:v>B16</x:v>
      </x:c>
      <x:c r="B787" s="14" t="str">
        <x:v>COVERAGE</x:v>
      </x:c>
      <x:c r="C787" s="14" t="str"/>
      <x:c r="D787" s="14" t="str">
        <x:v>R57C4</x:v>
      </x:c>
      <x:c r="E787" s="14" t="n">
        <x:f>COUNTIF(SCIENTIFIC_CLAIMS!$B$2:$B$1816,A57)</x:f>
        <x:v>0</x:v>
      </x:c>
      <x:c r="F787" s="14" t="n">
        <x:f>COUNTIF(SCIENTIFIC_CLAIMS!$B$2:$B$1937,A57)</x:f>
        <x:v>0</x:v>
      </x:c>
      <x:c r="G787" s="14" t="str">
        <x:v>Extend claim source range</x:v>
      </x:c>
    </x:row>
    <x:row r="788" ht="65" customHeight="1">
      <x:c r="A788" s="14" t="str">
        <x:v>B16</x:v>
      </x:c>
      <x:c r="B788" s="14" t="str">
        <x:v>COVERAGE</x:v>
      </x:c>
      <x:c r="C788" s="14" t="str"/>
      <x:c r="D788" s="14" t="str">
        <x:v>R58C4</x:v>
      </x:c>
      <x:c r="E788" s="14" t="n">
        <x:f>COUNTIF(SCIENTIFIC_CLAIMS!$B$2:$B$1816,A58)</x:f>
        <x:v>0</x:v>
      </x:c>
      <x:c r="F788" s="14" t="n">
        <x:f>COUNTIF(SCIENTIFIC_CLAIMS!$B$2:$B$1937,A58)</x:f>
        <x:v>0</x:v>
      </x:c>
      <x:c r="G788" s="14" t="str">
        <x:v>Extend claim source range</x:v>
      </x:c>
    </x:row>
    <x:row r="789" ht="65" customHeight="1">
      <x:c r="A789" s="14" t="str">
        <x:v>B16</x:v>
      </x:c>
      <x:c r="B789" s="14" t="str">
        <x:v>COVERAGE</x:v>
      </x:c>
      <x:c r="C789" s="14" t="str"/>
      <x:c r="D789" s="14" t="str">
        <x:v>R59C4</x:v>
      </x:c>
      <x:c r="E789" s="14" t="n">
        <x:f>COUNTIF(SCIENTIFIC_CLAIMS!$B$2:$B$1816,A59)</x:f>
        <x:v>0</x:v>
      </x:c>
      <x:c r="F789" s="14" t="n">
        <x:f>COUNTIF(SCIENTIFIC_CLAIMS!$B$2:$B$1937,A59)</x:f>
        <x:v>0</x:v>
      </x:c>
      <x:c r="G789" s="14" t="str">
        <x:v>Extend claim source range</x:v>
      </x:c>
    </x:row>
    <x:row r="790" ht="65" customHeight="1">
      <x:c r="A790" s="14" t="str">
        <x:v>B16</x:v>
      </x:c>
      <x:c r="B790" s="14" t="str">
        <x:v>COVERAGE</x:v>
      </x:c>
      <x:c r="C790" s="14" t="str"/>
      <x:c r="D790" s="14" t="str">
        <x:v>R60C4</x:v>
      </x:c>
      <x:c r="E790" s="14" t="n">
        <x:f>COUNTIF(SCIENTIFIC_CLAIMS!$B$2:$B$1816,A60)</x:f>
        <x:v>0</x:v>
      </x:c>
      <x:c r="F790" s="14" t="n">
        <x:f>COUNTIF(SCIENTIFIC_CLAIMS!$B$2:$B$1937,A60)</x:f>
        <x:v>0</x:v>
      </x:c>
      <x:c r="G790" s="14" t="str">
        <x:v>Extend claim source range</x:v>
      </x:c>
    </x:row>
    <x:row r="791" ht="65" customHeight="1">
      <x:c r="A791" s="14" t="str">
        <x:v>B16</x:v>
      </x:c>
      <x:c r="B791" s="14" t="str">
        <x:v>COVERAGE</x:v>
      </x:c>
      <x:c r="C791" s="14" t="str"/>
      <x:c r="D791" s="14" t="str">
        <x:v>R61C4</x:v>
      </x:c>
      <x:c r="E791" s="14" t="n">
        <x:f>COUNTIF(SCIENTIFIC_CLAIMS!$B$2:$B$1816,A61)</x:f>
        <x:v>0</x:v>
      </x:c>
      <x:c r="F791" s="14" t="n">
        <x:f>COUNTIF(SCIENTIFIC_CLAIMS!$B$2:$B$1937,A61)</x:f>
        <x:v>0</x:v>
      </x:c>
      <x:c r="G791" s="14" t="str">
        <x:v>Extend claim source range</x:v>
      </x:c>
    </x:row>
    <x:row r="792" ht="65" customHeight="1">
      <x:c r="A792" s="14" t="str">
        <x:v>B16</x:v>
      </x:c>
      <x:c r="B792" s="14" t="str">
        <x:v>COVERAGE</x:v>
      </x:c>
      <x:c r="C792" s="14" t="str"/>
      <x:c r="D792" s="14" t="str">
        <x:v>R62C4</x:v>
      </x:c>
      <x:c r="E792" s="14" t="n">
        <x:f>COUNTIF(SCIENTIFIC_CLAIMS!$B$2:$B$1816,A62)</x:f>
        <x:v>0</x:v>
      </x:c>
      <x:c r="F792" s="14" t="n">
        <x:f>COUNTIF(SCIENTIFIC_CLAIMS!$B$2:$B$1937,A62)</x:f>
        <x:v>0</x:v>
      </x:c>
      <x:c r="G792" s="14" t="str">
        <x:v>Extend claim source range</x:v>
      </x:c>
    </x:row>
    <x:row r="793" ht="65" customHeight="1">
      <x:c r="A793" s="14" t="str">
        <x:v>B16</x:v>
      </x:c>
      <x:c r="B793" s="14" t="str">
        <x:v>COVERAGE</x:v>
      </x:c>
      <x:c r="C793" s="14" t="str"/>
      <x:c r="D793" s="14" t="str">
        <x:v>R63C4</x:v>
      </x:c>
      <x:c r="E793" s="14" t="n">
        <x:f>COUNTIF(SCIENTIFIC_CLAIMS!$B$2:$B$1816,A63)</x:f>
        <x:v>0</x:v>
      </x:c>
      <x:c r="F793" s="14" t="n">
        <x:f>COUNTIF(SCIENTIFIC_CLAIMS!$B$2:$B$1937,A63)</x:f>
        <x:v>0</x:v>
      </x:c>
      <x:c r="G793" s="14" t="str">
        <x:v>Extend claim source range</x:v>
      </x:c>
    </x:row>
    <x:row r="794" ht="65" customHeight="1">
      <x:c r="A794" s="14" t="str">
        <x:v>B16</x:v>
      </x:c>
      <x:c r="B794" s="14" t="str">
        <x:v>COVERAGE</x:v>
      </x:c>
      <x:c r="C794" s="14" t="str"/>
      <x:c r="D794" s="14" t="str">
        <x:v>R64C4</x:v>
      </x:c>
      <x:c r="E794" s="14" t="n">
        <x:f>COUNTIF(SCIENTIFIC_CLAIMS!$B$2:$B$1816,A64)</x:f>
        <x:v>0</x:v>
      </x:c>
      <x:c r="F794" s="14" t="n">
        <x:f>COUNTIF(SCIENTIFIC_CLAIMS!$B$2:$B$1937,A64)</x:f>
        <x:v>0</x:v>
      </x:c>
      <x:c r="G794" s="14" t="str">
        <x:v>Extend claim source range</x:v>
      </x:c>
    </x:row>
    <x:row r="795" ht="65" customHeight="1">
      <x:c r="A795" s="14" t="str">
        <x:v>B16</x:v>
      </x:c>
      <x:c r="B795" s="14" t="str">
        <x:v>COVERAGE</x:v>
      </x:c>
      <x:c r="C795" s="14" t="str"/>
      <x:c r="D795" s="14" t="str">
        <x:v>R65C4</x:v>
      </x:c>
      <x:c r="E795" s="14" t="n">
        <x:f>COUNTIF(SCIENTIFIC_CLAIMS!$B$2:$B$1816,A65)</x:f>
        <x:v>0</x:v>
      </x:c>
      <x:c r="F795" s="14" t="n">
        <x:f>COUNTIF(SCIENTIFIC_CLAIMS!$B$2:$B$1937,A65)</x:f>
        <x:v>0</x:v>
      </x:c>
      <x:c r="G795" s="14" t="str">
        <x:v>Extend claim source range</x:v>
      </x:c>
    </x:row>
    <x:row r="796" ht="65" customHeight="1">
      <x:c r="A796" s="14" t="str">
        <x:v>B16</x:v>
      </x:c>
      <x:c r="B796" s="14" t="str">
        <x:v>COVERAGE</x:v>
      </x:c>
      <x:c r="C796" s="14" t="str"/>
      <x:c r="D796" s="14" t="str">
        <x:v>R66C4</x:v>
      </x:c>
      <x:c r="E796" s="14" t="n">
        <x:f>COUNTIF(SCIENTIFIC_CLAIMS!$B$2:$B$1816,A66)</x:f>
        <x:v>0</x:v>
      </x:c>
      <x:c r="F796" s="14" t="n">
        <x:f>COUNTIF(SCIENTIFIC_CLAIMS!$B$2:$B$1937,A66)</x:f>
        <x:v>0</x:v>
      </x:c>
      <x:c r="G796" s="14" t="str">
        <x:v>Extend claim source range</x:v>
      </x:c>
    </x:row>
    <x:row r="797" ht="65" customHeight="1">
      <x:c r="A797" s="14" t="str">
        <x:v>B16</x:v>
      </x:c>
      <x:c r="B797" s="14" t="str">
        <x:v>COVERAGE</x:v>
      </x:c>
      <x:c r="C797" s="14" t="str"/>
      <x:c r="D797" s="14" t="str">
        <x:v>R67C4</x:v>
      </x:c>
      <x:c r="E797" s="14" t="n">
        <x:f>COUNTIF(SCIENTIFIC_CLAIMS!$B$2:$B$1816,A67)</x:f>
        <x:v>0</x:v>
      </x:c>
      <x:c r="F797" s="14" t="n">
        <x:f>COUNTIF(SCIENTIFIC_CLAIMS!$B$2:$B$1937,A67)</x:f>
        <x:v>0</x:v>
      </x:c>
      <x:c r="G797" s="14" t="str">
        <x:v>Extend claim source range</x:v>
      </x:c>
    </x:row>
    <x:row r="798" ht="65" customHeight="1">
      <x:c r="A798" s="14" t="str">
        <x:v>B16</x:v>
      </x:c>
      <x:c r="B798" s="14" t="str">
        <x:v>COVERAGE</x:v>
      </x:c>
      <x:c r="C798" s="14" t="str"/>
      <x:c r="D798" s="14" t="str">
        <x:v>R68C4</x:v>
      </x:c>
      <x:c r="E798" s="14" t="n">
        <x:f>COUNTIF(SCIENTIFIC_CLAIMS!$B$2:$B$1816,A68)</x:f>
        <x:v>0</x:v>
      </x:c>
      <x:c r="F798" s="14" t="n">
        <x:f>COUNTIF(SCIENTIFIC_CLAIMS!$B$2:$B$1937,A68)</x:f>
        <x:v>0</x:v>
      </x:c>
      <x:c r="G798" s="14" t="str">
        <x:v>Extend claim source range</x:v>
      </x:c>
    </x:row>
    <x:row r="799" ht="65" customHeight="1">
      <x:c r="A799" s="14" t="str">
        <x:v>B16</x:v>
      </x:c>
      <x:c r="B799" s="14" t="str">
        <x:v>COVERAGE</x:v>
      </x:c>
      <x:c r="C799" s="14" t="str"/>
      <x:c r="D799" s="14" t="str">
        <x:v>R69C4</x:v>
      </x:c>
      <x:c r="E799" s="14" t="n">
        <x:f>COUNTIF(SCIENTIFIC_CLAIMS!$B$2:$B$1816,A69)</x:f>
        <x:v>0</x:v>
      </x:c>
      <x:c r="F799" s="14" t="n">
        <x:f>COUNTIF(SCIENTIFIC_CLAIMS!$B$2:$B$1937,A69)</x:f>
        <x:v>0</x:v>
      </x:c>
      <x:c r="G799" s="14" t="str">
        <x:v>Extend claim source range</x:v>
      </x:c>
    </x:row>
    <x:row r="800" ht="65" customHeight="1">
      <x:c r="A800" s="14" t="str">
        <x:v>B16</x:v>
      </x:c>
      <x:c r="B800" s="14" t="str">
        <x:v>COVERAGE</x:v>
      </x:c>
      <x:c r="C800" s="14" t="str"/>
      <x:c r="D800" s="14" t="str">
        <x:v>R70C4</x:v>
      </x:c>
      <x:c r="E800" s="14" t="n">
        <x:f>COUNTIF(SCIENTIFIC_CLAIMS!$B$2:$B$1816,A70)</x:f>
        <x:v>0</x:v>
      </x:c>
      <x:c r="F800" s="14" t="n">
        <x:f>COUNTIF(SCIENTIFIC_CLAIMS!$B$2:$B$1937,A70)</x:f>
        <x:v>0</x:v>
      </x:c>
      <x:c r="G800" s="14" t="str">
        <x:v>Extend claim source range</x:v>
      </x:c>
    </x:row>
    <x:row r="801" ht="65" customHeight="1">
      <x:c r="A801" s="14" t="str">
        <x:v>B16</x:v>
      </x:c>
      <x:c r="B801" s="14" t="str">
        <x:v>COVERAGE</x:v>
      </x:c>
      <x:c r="C801" s="14" t="str"/>
      <x:c r="D801" s="14" t="str">
        <x:v>R71C4</x:v>
      </x:c>
      <x:c r="E801" s="14" t="n">
        <x:f>COUNTIF(SCIENTIFIC_CLAIMS!$B$2:$B$1816,A71)</x:f>
        <x:v>0</x:v>
      </x:c>
      <x:c r="F801" s="14" t="n">
        <x:f>COUNTIF(SCIENTIFIC_CLAIMS!$B$2:$B$1937,A71)</x:f>
        <x:v>0</x:v>
      </x:c>
      <x:c r="G801" s="14" t="str">
        <x:v>Extend claim source range</x:v>
      </x:c>
    </x:row>
    <x:row r="802" ht="65" customHeight="1">
      <x:c r="A802" s="14" t="str">
        <x:v>B16</x:v>
      </x:c>
      <x:c r="B802" s="14" t="str">
        <x:v>COVERAGE</x:v>
      </x:c>
      <x:c r="C802" s="14" t="str"/>
      <x:c r="D802" s="14" t="str">
        <x:v>R72C4</x:v>
      </x:c>
      <x:c r="E802" s="14" t="n">
        <x:f>COUNTIF(SCIENTIFIC_CLAIMS!$B$2:$B$1816,A72)</x:f>
        <x:v>0</x:v>
      </x:c>
      <x:c r="F802" s="14" t="n">
        <x:f>COUNTIF(SCIENTIFIC_CLAIMS!$B$2:$B$1937,A72)</x:f>
        <x:v>0</x:v>
      </x:c>
      <x:c r="G802" s="14" t="str">
        <x:v>Extend claim source range</x:v>
      </x:c>
    </x:row>
    <x:row r="803" ht="65" customHeight="1">
      <x:c r="A803" s="14" t="str">
        <x:v>B16</x:v>
      </x:c>
      <x:c r="B803" s="14" t="str">
        <x:v>COVERAGE</x:v>
      </x:c>
      <x:c r="C803" s="14" t="str"/>
      <x:c r="D803" s="14" t="str">
        <x:v>R73C4</x:v>
      </x:c>
      <x:c r="E803" s="14" t="n">
        <x:f>COUNTIF(SCIENTIFIC_CLAIMS!$B$2:$B$1816,A73)</x:f>
        <x:v>0</x:v>
      </x:c>
      <x:c r="F803" s="14" t="n">
        <x:f>COUNTIF(SCIENTIFIC_CLAIMS!$B$2:$B$1937,A73)</x:f>
        <x:v>0</x:v>
      </x:c>
      <x:c r="G803" s="14" t="str">
        <x:v>Extend claim source range</x:v>
      </x:c>
    </x:row>
    <x:row r="804" ht="65" customHeight="1">
      <x:c r="A804" s="14" t="str">
        <x:v>B16</x:v>
      </x:c>
      <x:c r="B804" s="14" t="str">
        <x:v>COVERAGE</x:v>
      </x:c>
      <x:c r="C804" s="14" t="str"/>
      <x:c r="D804" s="14" t="str">
        <x:v>R74C4</x:v>
      </x:c>
      <x:c r="E804" s="14" t="n">
        <x:f>COUNTIF(SCIENTIFIC_CLAIMS!$B$2:$B$1816,A74)</x:f>
        <x:v>0</x:v>
      </x:c>
      <x:c r="F804" s="14" t="n">
        <x:f>COUNTIF(SCIENTIFIC_CLAIMS!$B$2:$B$1937,A74)</x:f>
        <x:v>0</x:v>
      </x:c>
      <x:c r="G804" s="14" t="str">
        <x:v>Extend claim source range</x:v>
      </x:c>
    </x:row>
    <x:row r="805" ht="65" customHeight="1">
      <x:c r="A805" s="14" t="str">
        <x:v>B16</x:v>
      </x:c>
      <x:c r="B805" s="14" t="str">
        <x:v>COVERAGE</x:v>
      </x:c>
      <x:c r="C805" s="14" t="str"/>
      <x:c r="D805" s="14" t="str">
        <x:v>R75C4</x:v>
      </x:c>
      <x:c r="E805" s="14" t="n">
        <x:f>COUNTIF(SCIENTIFIC_CLAIMS!$B$2:$B$1816,A75)</x:f>
        <x:v>0</x:v>
      </x:c>
      <x:c r="F805" s="14" t="n">
        <x:f>COUNTIF(SCIENTIFIC_CLAIMS!$B$2:$B$1937,A75)</x:f>
        <x:v>0</x:v>
      </x:c>
      <x:c r="G805" s="14" t="str">
        <x:v>Extend claim source range</x:v>
      </x:c>
    </x:row>
    <x:row r="806" ht="65" customHeight="1">
      <x:c r="A806" s="14" t="str">
        <x:v>B16</x:v>
      </x:c>
      <x:c r="B806" s="14" t="str">
        <x:v>COVERAGE</x:v>
      </x:c>
      <x:c r="C806" s="14" t="str"/>
      <x:c r="D806" s="14" t="str">
        <x:v>R76C4</x:v>
      </x:c>
      <x:c r="E806" s="14" t="n">
        <x:f>COUNTIF(SCIENTIFIC_CLAIMS!$B$2:$B$1816,A76)</x:f>
        <x:v>0</x:v>
      </x:c>
      <x:c r="F806" s="14" t="n">
        <x:f>COUNTIF(SCIENTIFIC_CLAIMS!$B$2:$B$1937,A76)</x:f>
        <x:v>0</x:v>
      </x:c>
      <x:c r="G806" s="14" t="str">
        <x:v>Extend claim source range</x:v>
      </x:c>
    </x:row>
    <x:row r="807" ht="65" customHeight="1">
      <x:c r="A807" s="14" t="str">
        <x:v>B16</x:v>
      </x:c>
      <x:c r="B807" s="14" t="str">
        <x:v>COVERAGE</x:v>
      </x:c>
      <x:c r="C807" s="14" t="str"/>
      <x:c r="D807" s="14" t="str">
        <x:v>R77C4</x:v>
      </x:c>
      <x:c r="E807" s="14" t="n">
        <x:f>COUNTIF(SCIENTIFIC_CLAIMS!$B$2:$B$1816,A77)</x:f>
        <x:v>0</x:v>
      </x:c>
      <x:c r="F807" s="14" t="n">
        <x:f>COUNTIF(SCIENTIFIC_CLAIMS!$B$2:$B$1937,A77)</x:f>
        <x:v>0</x:v>
      </x:c>
      <x:c r="G807" s="14" t="str">
        <x:v>Extend claim source range</x:v>
      </x:c>
    </x:row>
    <x:row r="808" ht="65" customHeight="1">
      <x:c r="A808" s="14" t="str">
        <x:v>B16</x:v>
      </x:c>
      <x:c r="B808" s="14" t="str">
        <x:v>COVERAGE</x:v>
      </x:c>
      <x:c r="C808" s="14" t="str"/>
      <x:c r="D808" s="14" t="str">
        <x:v>R78C4</x:v>
      </x:c>
      <x:c r="E808" s="14" t="n">
        <x:f>COUNTIF(SCIENTIFIC_CLAIMS!$B$2:$B$1816,A78)</x:f>
        <x:v>0</x:v>
      </x:c>
      <x:c r="F808" s="14" t="n">
        <x:f>COUNTIF(SCIENTIFIC_CLAIMS!$B$2:$B$1937,A78)</x:f>
        <x:v>0</x:v>
      </x:c>
      <x:c r="G808" s="14" t="str">
        <x:v>Extend claim source range</x:v>
      </x:c>
    </x:row>
    <x:row r="809" ht="65" customHeight="1">
      <x:c r="A809" s="14" t="str">
        <x:v>B16</x:v>
      </x:c>
      <x:c r="B809" s="14" t="str">
        <x:v>COVERAGE</x:v>
      </x:c>
      <x:c r="C809" s="14" t="str"/>
      <x:c r="D809" s="14" t="str">
        <x:v>R79C4</x:v>
      </x:c>
      <x:c r="E809" s="14" t="n">
        <x:f>COUNTIF(SCIENTIFIC_CLAIMS!$B$2:$B$1816,A79)</x:f>
        <x:v>0</x:v>
      </x:c>
      <x:c r="F809" s="14" t="n">
        <x:f>COUNTIF(SCIENTIFIC_CLAIMS!$B$2:$B$1937,A79)</x:f>
        <x:v>0</x:v>
      </x:c>
      <x:c r="G809" s="14" t="str">
        <x:v>Extend claim source range</x:v>
      </x:c>
    </x:row>
    <x:row r="810" ht="65" customHeight="1">
      <x:c r="A810" s="14" t="str">
        <x:v>B16</x:v>
      </x:c>
      <x:c r="B810" s="14" t="str">
        <x:v>COVERAGE</x:v>
      </x:c>
      <x:c r="C810" s="14" t="str"/>
      <x:c r="D810" s="14" t="str">
        <x:v>R80C4</x:v>
      </x:c>
      <x:c r="E810" s="14" t="n">
        <x:f>COUNTIF(SCIENTIFIC_CLAIMS!$B$2:$B$1816,A80)</x:f>
        <x:v>0</x:v>
      </x:c>
      <x:c r="F810" s="14" t="n">
        <x:f>COUNTIF(SCIENTIFIC_CLAIMS!$B$2:$B$1937,A80)</x:f>
        <x:v>0</x:v>
      </x:c>
      <x:c r="G810" s="14" t="str">
        <x:v>Extend claim source range</x:v>
      </x:c>
    </x:row>
    <x:row r="811" ht="65" customHeight="1">
      <x:c r="A811" s="14" t="str">
        <x:v>B16</x:v>
      </x:c>
      <x:c r="B811" s="14" t="str">
        <x:v>COVERAGE</x:v>
      </x:c>
      <x:c r="C811" s="14" t="str"/>
      <x:c r="D811" s="14" t="str">
        <x:v>R81C4</x:v>
      </x:c>
      <x:c r="E811" s="14" t="n">
        <x:f>COUNTIF(SCIENTIFIC_CLAIMS!$B$2:$B$1816,A81)</x:f>
        <x:v>0</x:v>
      </x:c>
      <x:c r="F811" s="14" t="n">
        <x:f>COUNTIF(SCIENTIFIC_CLAIMS!$B$2:$B$1937,A81)</x:f>
        <x:v>0</x:v>
      </x:c>
      <x:c r="G811" s="14" t="str">
        <x:v>Extend claim source range</x:v>
      </x:c>
    </x:row>
    <x:row r="812" ht="65" customHeight="1">
      <x:c r="A812" s="14" t="str">
        <x:v>B16</x:v>
      </x:c>
      <x:c r="B812" s="14" t="str">
        <x:v>COVERAGE</x:v>
      </x:c>
      <x:c r="C812" s="14" t="str"/>
      <x:c r="D812" s="14" t="str">
        <x:v>R82C4</x:v>
      </x:c>
      <x:c r="E812" s="14" t="n">
        <x:f>COUNTIF(SCIENTIFIC_CLAIMS!$B$2:$B$1816,A82)</x:f>
        <x:v>0</x:v>
      </x:c>
      <x:c r="F812" s="14" t="n">
        <x:f>COUNTIF(SCIENTIFIC_CLAIMS!$B$2:$B$1937,A82)</x:f>
        <x:v>0</x:v>
      </x:c>
      <x:c r="G812" s="14" t="str">
        <x:v>Extend claim source range</x:v>
      </x:c>
    </x:row>
    <x:row r="813" ht="65" customHeight="1">
      <x:c r="A813" s="14" t="str">
        <x:v>B16</x:v>
      </x:c>
      <x:c r="B813" s="14" t="str">
        <x:v>COVERAGE</x:v>
      </x:c>
      <x:c r="C813" s="14" t="str"/>
      <x:c r="D813" s="14" t="str">
        <x:v>R83C4</x:v>
      </x:c>
      <x:c r="E813" s="14" t="n">
        <x:f>COUNTIF(SCIENTIFIC_CLAIMS!$B$2:$B$1816,A83)</x:f>
        <x:v>0</x:v>
      </x:c>
      <x:c r="F813" s="14" t="n">
        <x:f>COUNTIF(SCIENTIFIC_CLAIMS!$B$2:$B$1937,A83)</x:f>
        <x:v>0</x:v>
      </x:c>
      <x:c r="G813" s="14" t="str">
        <x:v>Extend claim source range</x:v>
      </x:c>
    </x:row>
    <x:row r="814" ht="65" customHeight="1">
      <x:c r="A814" s="14" t="str">
        <x:v>B16</x:v>
      </x:c>
      <x:c r="B814" s="14" t="str">
        <x:v>COVERAGE</x:v>
      </x:c>
      <x:c r="C814" s="14" t="str"/>
      <x:c r="D814" s="14" t="str">
        <x:v>R84C4</x:v>
      </x:c>
      <x:c r="E814" s="14" t="n">
        <x:f>COUNTIF(SCIENTIFIC_CLAIMS!$B$2:$B$1816,A84)</x:f>
        <x:v>0</x:v>
      </x:c>
      <x:c r="F814" s="14" t="n">
        <x:f>COUNTIF(SCIENTIFIC_CLAIMS!$B$2:$B$1937,A84)</x:f>
        <x:v>0</x:v>
      </x:c>
      <x:c r="G814" s="14" t="str">
        <x:v>Extend claim source range</x:v>
      </x:c>
    </x:row>
    <x:row r="815" ht="65" customHeight="1">
      <x:c r="A815" s="14" t="str">
        <x:v>B16</x:v>
      </x:c>
      <x:c r="B815" s="14" t="str">
        <x:v>COVERAGE</x:v>
      </x:c>
      <x:c r="C815" s="14" t="str"/>
      <x:c r="D815" s="14" t="str">
        <x:v>R85C4</x:v>
      </x:c>
      <x:c r="E815" s="14" t="n">
        <x:f>COUNTIF(SCIENTIFIC_CLAIMS!$B$2:$B$1816,A85)</x:f>
        <x:v>0</x:v>
      </x:c>
      <x:c r="F815" s="14" t="n">
        <x:f>COUNTIF(SCIENTIFIC_CLAIMS!$B$2:$B$1937,A85)</x:f>
        <x:v>0</x:v>
      </x:c>
      <x:c r="G815" s="14" t="str">
        <x:v>Extend claim source range</x:v>
      </x:c>
    </x:row>
    <x:row r="816" ht="65" customHeight="1">
      <x:c r="A816" s="14" t="str">
        <x:v>B16</x:v>
      </x:c>
      <x:c r="B816" s="14" t="str">
        <x:v>COVERAGE</x:v>
      </x:c>
      <x:c r="C816" s="14" t="str"/>
      <x:c r="D816" s="14" t="str">
        <x:v>R86C4</x:v>
      </x:c>
      <x:c r="E816" s="14" t="n">
        <x:f>COUNTIF(SCIENTIFIC_CLAIMS!$B$2:$B$1816,A86)</x:f>
        <x:v>0</x:v>
      </x:c>
      <x:c r="F816" s="14" t="n">
        <x:f>COUNTIF(SCIENTIFIC_CLAIMS!$B$2:$B$1937,A86)</x:f>
        <x:v>0</x:v>
      </x:c>
      <x:c r="G816" s="14" t="str">
        <x:v>Extend claim source range</x:v>
      </x:c>
    </x:row>
    <x:row r="817" ht="65" customHeight="1">
      <x:c r="A817" s="14" t="str">
        <x:v>B16</x:v>
      </x:c>
      <x:c r="B817" s="14" t="str">
        <x:v>COVERAGE</x:v>
      </x:c>
      <x:c r="C817" s="14" t="str"/>
      <x:c r="D817" s="14" t="str">
        <x:v>R87C4</x:v>
      </x:c>
      <x:c r="E817" s="14" t="n">
        <x:f>COUNTIF(SCIENTIFIC_CLAIMS!$B$2:$B$1816,A87)</x:f>
        <x:v>0</x:v>
      </x:c>
      <x:c r="F817" s="14" t="n">
        <x:f>COUNTIF(SCIENTIFIC_CLAIMS!$B$2:$B$1937,A87)</x:f>
        <x:v>0</x:v>
      </x:c>
      <x:c r="G817" s="14" t="str">
        <x:v>Extend claim source range</x:v>
      </x:c>
    </x:row>
    <x:row r="818" ht="65" customHeight="1">
      <x:c r="A818" s="14" t="str">
        <x:v>B16</x:v>
      </x:c>
      <x:c r="B818" s="14" t="str">
        <x:v>COVERAGE</x:v>
      </x:c>
      <x:c r="C818" s="14" t="str"/>
      <x:c r="D818" s="14" t="str">
        <x:v>R88C4</x:v>
      </x:c>
      <x:c r="E818" s="14" t="n">
        <x:f>COUNTIF(SCIENTIFIC_CLAIMS!$B$2:$B$1816,A88)</x:f>
        <x:v>0</x:v>
      </x:c>
      <x:c r="F818" s="14" t="n">
        <x:f>COUNTIF(SCIENTIFIC_CLAIMS!$B$2:$B$1937,A88)</x:f>
        <x:v>0</x:v>
      </x:c>
      <x:c r="G818" s="14" t="str">
        <x:v>Extend claim source range</x:v>
      </x:c>
    </x:row>
    <x:row r="819" ht="65" customHeight="1">
      <x:c r="A819" s="14" t="str">
        <x:v>B16</x:v>
      </x:c>
      <x:c r="B819" s="14" t="str">
        <x:v>COVERAGE</x:v>
      </x:c>
      <x:c r="C819" s="14" t="str"/>
      <x:c r="D819" s="14" t="str">
        <x:v>R89C4</x:v>
      </x:c>
      <x:c r="E819" s="14" t="n">
        <x:f>COUNTIF(SCIENTIFIC_CLAIMS!$B$2:$B$1816,A89)</x:f>
        <x:v>0</x:v>
      </x:c>
      <x:c r="F819" s="14" t="n">
        <x:f>COUNTIF(SCIENTIFIC_CLAIMS!$B$2:$B$1937,A89)</x:f>
        <x:v>0</x:v>
      </x:c>
      <x:c r="G819" s="14" t="str">
        <x:v>Extend claim source range</x:v>
      </x:c>
    </x:row>
    <x:row r="820" ht="65" customHeight="1">
      <x:c r="A820" s="14" t="str">
        <x:v>B16</x:v>
      </x:c>
      <x:c r="B820" s="14" t="str">
        <x:v>COVERAGE</x:v>
      </x:c>
      <x:c r="C820" s="14" t="str"/>
      <x:c r="D820" s="14" t="str">
        <x:v>R90C4</x:v>
      </x:c>
      <x:c r="E820" s="14" t="n">
        <x:f>COUNTIF(SCIENTIFIC_CLAIMS!$B$2:$B$1816,A90)</x:f>
        <x:v>0</x:v>
      </x:c>
      <x:c r="F820" s="14" t="n">
        <x:f>COUNTIF(SCIENTIFIC_CLAIMS!$B$2:$B$1937,A90)</x:f>
        <x:v>0</x:v>
      </x:c>
      <x:c r="G820" s="14" t="str">
        <x:v>Extend claim source range</x:v>
      </x:c>
    </x:row>
    <x:row r="821" ht="65" customHeight="1">
      <x:c r="A821" s="14" t="str">
        <x:v>B16</x:v>
      </x:c>
      <x:c r="B821" s="14" t="str">
        <x:v>COVERAGE</x:v>
      </x:c>
      <x:c r="C821" s="14" t="str"/>
      <x:c r="D821" s="14" t="str">
        <x:v>R91C4</x:v>
      </x:c>
      <x:c r="E821" s="14" t="n">
        <x:f>COUNTIF(SCIENTIFIC_CLAIMS!$B$2:$B$1816,A91)</x:f>
        <x:v>0</x:v>
      </x:c>
      <x:c r="F821" s="14" t="n">
        <x:f>COUNTIF(SCIENTIFIC_CLAIMS!$B$2:$B$1937,A91)</x:f>
        <x:v>0</x:v>
      </x:c>
      <x:c r="G821" s="14" t="str">
        <x:v>Extend claim source range</x:v>
      </x:c>
    </x:row>
    <x:row r="822" ht="65" customHeight="1">
      <x:c r="A822" s="14" t="str">
        <x:v>B16</x:v>
      </x:c>
      <x:c r="B822" s="14" t="str">
        <x:v>COVERAGE</x:v>
      </x:c>
      <x:c r="C822" s="14" t="str"/>
      <x:c r="D822" s="14" t="str">
        <x:v>R92C4</x:v>
      </x:c>
      <x:c r="E822" s="14" t="n">
        <x:f>COUNTIF(SCIENTIFIC_CLAIMS!$B$2:$B$1816,A92)</x:f>
        <x:v>0</x:v>
      </x:c>
      <x:c r="F822" s="14" t="n">
        <x:f>COUNTIF(SCIENTIFIC_CLAIMS!$B$2:$B$1937,A92)</x:f>
        <x:v>0</x:v>
      </x:c>
      <x:c r="G822" s="14" t="str">
        <x:v>Extend claim source range</x:v>
      </x:c>
    </x:row>
    <x:row r="823" ht="65" customHeight="1">
      <x:c r="A823" s="14" t="str">
        <x:v>B16</x:v>
      </x:c>
      <x:c r="B823" s="14" t="str">
        <x:v>COVERAGE</x:v>
      </x:c>
      <x:c r="C823" s="14" t="str"/>
      <x:c r="D823" s="14" t="str">
        <x:v>R93C4</x:v>
      </x:c>
      <x:c r="E823" s="14" t="n">
        <x:f>COUNTIF(SCIENTIFIC_CLAIMS!$B$2:$B$1816,A93)</x:f>
        <x:v>0</x:v>
      </x:c>
      <x:c r="F823" s="14" t="n">
        <x:f>COUNTIF(SCIENTIFIC_CLAIMS!$B$2:$B$1937,A93)</x:f>
        <x:v>0</x:v>
      </x:c>
      <x:c r="G823" s="14" t="str">
        <x:v>Extend claim source range</x:v>
      </x:c>
    </x:row>
    <x:row r="824" ht="65" customHeight="1">
      <x:c r="A824" s="14" t="str">
        <x:v>B16</x:v>
      </x:c>
      <x:c r="B824" s="14" t="str">
        <x:v>COVERAGE</x:v>
      </x:c>
      <x:c r="C824" s="14" t="str"/>
      <x:c r="D824" s="14" t="str">
        <x:v>R94C4</x:v>
      </x:c>
      <x:c r="E824" s="14" t="n">
        <x:f>COUNTIF(SCIENTIFIC_CLAIMS!$B$2:$B$1816,A94)</x:f>
        <x:v>0</x:v>
      </x:c>
      <x:c r="F824" s="14" t="n">
        <x:f>COUNTIF(SCIENTIFIC_CLAIMS!$B$2:$B$1937,A94)</x:f>
        <x:v>0</x:v>
      </x:c>
      <x:c r="G824" s="14" t="str">
        <x:v>Extend claim source range</x:v>
      </x:c>
    </x:row>
    <x:row r="825" ht="65" customHeight="1">
      <x:c r="A825" s="14" t="str">
        <x:v>B16</x:v>
      </x:c>
      <x:c r="B825" s="14" t="str">
        <x:v>COVERAGE</x:v>
      </x:c>
      <x:c r="C825" s="14" t="str"/>
      <x:c r="D825" s="14" t="str">
        <x:v>R95C4</x:v>
      </x:c>
      <x:c r="E825" s="14" t="n">
        <x:f>COUNTIF(SCIENTIFIC_CLAIMS!$B$2:$B$1816,A95)</x:f>
        <x:v>0</x:v>
      </x:c>
      <x:c r="F825" s="14" t="n">
        <x:f>COUNTIF(SCIENTIFIC_CLAIMS!$B$2:$B$1937,A95)</x:f>
        <x:v>0</x:v>
      </x:c>
      <x:c r="G825" s="14" t="str">
        <x:v>Extend claim source range</x:v>
      </x:c>
    </x:row>
    <x:row r="826" ht="65" customHeight="1">
      <x:c r="A826" s="14" t="str">
        <x:v>B16</x:v>
      </x:c>
      <x:c r="B826" s="14" t="str">
        <x:v>COVERAGE</x:v>
      </x:c>
      <x:c r="C826" s="14" t="str"/>
      <x:c r="D826" s="14" t="str">
        <x:v>R96C4</x:v>
      </x:c>
      <x:c r="E826" s="14" t="n">
        <x:f>COUNTIF(SCIENTIFIC_CLAIMS!$B$2:$B$1816,A96)</x:f>
        <x:v>0</x:v>
      </x:c>
      <x:c r="F826" s="14" t="n">
        <x:f>COUNTIF(SCIENTIFIC_CLAIMS!$B$2:$B$1937,A96)</x:f>
        <x:v>0</x:v>
      </x:c>
      <x:c r="G826" s="14" t="str">
        <x:v>Extend claim source range</x:v>
      </x:c>
    </x:row>
    <x:row r="827" ht="65" customHeight="1">
      <x:c r="A827" s="14" t="str">
        <x:v>B16</x:v>
      </x:c>
      <x:c r="B827" s="14" t="str">
        <x:v>COVERAGE</x:v>
      </x:c>
      <x:c r="C827" s="14" t="str"/>
      <x:c r="D827" s="14" t="str">
        <x:v>R97C4</x:v>
      </x:c>
      <x:c r="E827" s="14" t="n">
        <x:f>COUNTIF(SCIENTIFIC_CLAIMS!$B$2:$B$1816,A97)</x:f>
        <x:v>0</x:v>
      </x:c>
      <x:c r="F827" s="14" t="n">
        <x:f>COUNTIF(SCIENTIFIC_CLAIMS!$B$2:$B$1937,A97)</x:f>
        <x:v>0</x:v>
      </x:c>
      <x:c r="G827" s="14" t="str">
        <x:v>Extend claim source range</x:v>
      </x:c>
    </x:row>
    <x:row r="828" ht="65" customHeight="1">
      <x:c r="A828" s="14" t="str">
        <x:v>B16</x:v>
      </x:c>
      <x:c r="B828" s="14" t="str">
        <x:v>COVERAGE</x:v>
      </x:c>
      <x:c r="C828" s="14" t="str"/>
      <x:c r="D828" s="14" t="str">
        <x:v>R98C4</x:v>
      </x:c>
      <x:c r="E828" s="14" t="n">
        <x:f>COUNTIF(SCIENTIFIC_CLAIMS!$B$2:$B$1816,A98)</x:f>
        <x:v>0</x:v>
      </x:c>
      <x:c r="F828" s="14" t="n">
        <x:f>COUNTIF(SCIENTIFIC_CLAIMS!$B$2:$B$1937,A98)</x:f>
        <x:v>0</x:v>
      </x:c>
      <x:c r="G828" s="14" t="str">
        <x:v>Extend claim source range</x:v>
      </x:c>
    </x:row>
    <x:row r="829" ht="65" customHeight="1">
      <x:c r="A829" s="14" t="str">
        <x:v>B16</x:v>
      </x:c>
      <x:c r="B829" s="14" t="str">
        <x:v>COVERAGE</x:v>
      </x:c>
      <x:c r="C829" s="14" t="str"/>
      <x:c r="D829" s="14" t="str">
        <x:v>R99C4</x:v>
      </x:c>
      <x:c r="E829" s="14" t="n">
        <x:f>COUNTIF(SCIENTIFIC_CLAIMS!$B$2:$B$1816,A99)</x:f>
        <x:v>0</x:v>
      </x:c>
      <x:c r="F829" s="14" t="n">
        <x:f>COUNTIF(SCIENTIFIC_CLAIMS!$B$2:$B$1937,A99)</x:f>
        <x:v>0</x:v>
      </x:c>
      <x:c r="G829" s="14" t="str">
        <x:v>Extend claim source range</x:v>
      </x:c>
    </x:row>
    <x:row r="830" ht="65" customHeight="1">
      <x:c r="A830" s="14" t="str">
        <x:v>B16</x:v>
      </x:c>
      <x:c r="B830" s="14" t="str">
        <x:v>COVERAGE</x:v>
      </x:c>
      <x:c r="C830" s="14" t="str"/>
      <x:c r="D830" s="14" t="str">
        <x:v>R100C4</x:v>
      </x:c>
      <x:c r="E830" s="14" t="n">
        <x:f>COUNTIF(SCIENTIFIC_CLAIMS!$B$2:$B$1816,A100)</x:f>
        <x:v>0</x:v>
      </x:c>
      <x:c r="F830" s="14" t="n">
        <x:f>COUNTIF(SCIENTIFIC_CLAIMS!$B$2:$B$1937,A100)</x:f>
        <x:v>0</x:v>
      </x:c>
      <x:c r="G830" s="14" t="str">
        <x:v>Extend claim source range</x:v>
      </x:c>
    </x:row>
    <x:row r="831" ht="65" customHeight="1">
      <x:c r="A831" s="14" t="str">
        <x:v>B16</x:v>
      </x:c>
      <x:c r="B831" s="14" t="str">
        <x:v>COVERAGE</x:v>
      </x:c>
      <x:c r="C831" s="14" t="str"/>
      <x:c r="D831" s="14" t="str">
        <x:v>R101C4</x:v>
      </x:c>
      <x:c r="E831" s="14" t="n">
        <x:f>COUNTIF(SCIENTIFIC_CLAIMS!$B$2:$B$1816,A101)</x:f>
        <x:v>0</x:v>
      </x:c>
      <x:c r="F831" s="14" t="n">
        <x:f>COUNTIF(SCIENTIFIC_CLAIMS!$B$2:$B$1937,A101)</x:f>
        <x:v>0</x:v>
      </x:c>
      <x:c r="G831" s="14" t="str">
        <x:v>Extend claim source range</x:v>
      </x:c>
    </x:row>
    <x:row r="832" ht="65" customHeight="1">
      <x:c r="A832" s="14" t="str">
        <x:v>B16</x:v>
      </x:c>
      <x:c r="B832" s="14" t="str">
        <x:v>COVERAGE</x:v>
      </x:c>
      <x:c r="C832" s="14" t="str"/>
      <x:c r="D832" s="14" t="str">
        <x:v>R102C4</x:v>
      </x:c>
      <x:c r="E832" s="14" t="n">
        <x:f>COUNTIF(SCIENTIFIC_CLAIMS!$B$2:$B$1816,A102)</x:f>
        <x:v>0</x:v>
      </x:c>
      <x:c r="F832" s="14" t="n">
        <x:f>COUNTIF(SCIENTIFIC_CLAIMS!$B$2:$B$1937,A102)</x:f>
        <x:v>0</x:v>
      </x:c>
      <x:c r="G832" s="14" t="str">
        <x:v>Extend claim source range</x:v>
      </x:c>
    </x:row>
    <x:row r="833" ht="65" customHeight="1">
      <x:c r="A833" s="14" t="str">
        <x:v>B16</x:v>
      </x:c>
      <x:c r="B833" s="14" t="str">
        <x:v>COVERAGE</x:v>
      </x:c>
      <x:c r="C833" s="14" t="str"/>
      <x:c r="D833" s="14" t="str">
        <x:v>R103C4</x:v>
      </x:c>
      <x:c r="E833" s="14" t="n">
        <x:f>COUNTIF(SCIENTIFIC_CLAIMS!$B$2:$B$1816,A103)</x:f>
        <x:v>0</x:v>
      </x:c>
      <x:c r="F833" s="14" t="n">
        <x:f>COUNTIF(SCIENTIFIC_CLAIMS!$B$2:$B$1937,A103)</x:f>
        <x:v>0</x:v>
      </x:c>
      <x:c r="G833" s="14" t="str">
        <x:v>Extend claim source range</x:v>
      </x:c>
    </x:row>
    <x:row r="834" ht="65" customHeight="1">
      <x:c r="A834" s="14" t="str">
        <x:v>B16</x:v>
      </x:c>
      <x:c r="B834" s="14" t="str">
        <x:v>COVERAGE</x:v>
      </x:c>
      <x:c r="C834" s="14" t="str"/>
      <x:c r="D834" s="14" t="str">
        <x:v>R104C4</x:v>
      </x:c>
      <x:c r="E834" s="14" t="n">
        <x:f>COUNTIF(SCIENTIFIC_CLAIMS!$B$2:$B$1816,A104)</x:f>
        <x:v>0</x:v>
      </x:c>
      <x:c r="F834" s="14" t="n">
        <x:f>COUNTIF(SCIENTIFIC_CLAIMS!$B$2:$B$1937,A104)</x:f>
        <x:v>0</x:v>
      </x:c>
      <x:c r="G834" s="14" t="str">
        <x:v>Extend claim source range</x:v>
      </x:c>
    </x:row>
    <x:row r="835" ht="65" customHeight="1">
      <x:c r="A835" s="14" t="str">
        <x:v>B16</x:v>
      </x:c>
      <x:c r="B835" s="14" t="str">
        <x:v>COVERAGE</x:v>
      </x:c>
      <x:c r="C835" s="14" t="str"/>
      <x:c r="D835" s="14" t="str">
        <x:v>R105C4</x:v>
      </x:c>
      <x:c r="E835" s="14" t="n">
        <x:f>COUNTIF(SCIENTIFIC_CLAIMS!$B$2:$B$1816,A105)</x:f>
        <x:v>0</x:v>
      </x:c>
      <x:c r="F835" s="14" t="n">
        <x:f>COUNTIF(SCIENTIFIC_CLAIMS!$B$2:$B$1937,A105)</x:f>
        <x:v>0</x:v>
      </x:c>
      <x:c r="G835" s="14" t="str">
        <x:v>Extend claim source range</x:v>
      </x:c>
    </x:row>
    <x:row r="836" ht="65" customHeight="1">
      <x:c r="A836" s="14" t="str">
        <x:v>B16</x:v>
      </x:c>
      <x:c r="B836" s="14" t="str">
        <x:v>COVERAGE</x:v>
      </x:c>
      <x:c r="C836" s="14" t="str"/>
      <x:c r="D836" s="14" t="str">
        <x:v>R106C4</x:v>
      </x:c>
      <x:c r="E836" s="14" t="n">
        <x:f>COUNTIF(SCIENTIFIC_CLAIMS!$B$2:$B$1816,A106)</x:f>
        <x:v>0</x:v>
      </x:c>
      <x:c r="F836" s="14" t="n">
        <x:f>COUNTIF(SCIENTIFIC_CLAIMS!$B$2:$B$1937,A106)</x:f>
        <x:v>0</x:v>
      </x:c>
      <x:c r="G836" s="14" t="str">
        <x:v>Extend claim source range</x:v>
      </x:c>
    </x:row>
    <x:row r="837" ht="65" customHeight="1">
      <x:c r="A837" s="14" t="str">
        <x:v>B16</x:v>
      </x:c>
      <x:c r="B837" s="14" t="str">
        <x:v>COVERAGE</x:v>
      </x:c>
      <x:c r="C837" s="14" t="str"/>
      <x:c r="D837" s="14" t="str">
        <x:v>R107C4</x:v>
      </x:c>
      <x:c r="E837" s="14" t="n">
        <x:f>COUNTIF(SCIENTIFIC_CLAIMS!$B$2:$B$1816,A107)</x:f>
        <x:v>0</x:v>
      </x:c>
      <x:c r="F837" s="14" t="n">
        <x:f>COUNTIF(SCIENTIFIC_CLAIMS!$B$2:$B$1937,A107)</x:f>
        <x:v>0</x:v>
      </x:c>
      <x:c r="G837" s="14" t="str">
        <x:v>Extend claim source range</x:v>
      </x:c>
    </x:row>
    <x:row r="838" ht="65" customHeight="1">
      <x:c r="A838" s="14" t="str">
        <x:v>B16</x:v>
      </x:c>
      <x:c r="B838" s="14" t="str">
        <x:v>COVERAGE</x:v>
      </x:c>
      <x:c r="C838" s="14" t="str"/>
      <x:c r="D838" s="14" t="str">
        <x:v>R108C4</x:v>
      </x:c>
      <x:c r="E838" s="14" t="n">
        <x:f>COUNTIF(SCIENTIFIC_CLAIMS!$B$2:$B$1816,A108)</x:f>
        <x:v>0</x:v>
      </x:c>
      <x:c r="F838" s="14" t="n">
        <x:f>COUNTIF(SCIENTIFIC_CLAIMS!$B$2:$B$1937,A108)</x:f>
        <x:v>0</x:v>
      </x:c>
      <x:c r="G838" s="14" t="str">
        <x:v>Extend claim source range</x:v>
      </x:c>
    </x:row>
    <x:row r="839" ht="65" customHeight="1">
      <x:c r="A839" s="14" t="str">
        <x:v>B16</x:v>
      </x:c>
      <x:c r="B839" s="14" t="str">
        <x:v>COVERAGE</x:v>
      </x:c>
      <x:c r="C839" s="14" t="str"/>
      <x:c r="D839" s="14" t="str">
        <x:v>R109C4</x:v>
      </x:c>
      <x:c r="E839" s="14" t="n">
        <x:f>COUNTIF(SCIENTIFIC_CLAIMS!$B$2:$B$1816,A109)</x:f>
        <x:v>0</x:v>
      </x:c>
      <x:c r="F839" s="14" t="n">
        <x:f>COUNTIF(SCIENTIFIC_CLAIMS!$B$2:$B$1937,A109)</x:f>
        <x:v>0</x:v>
      </x:c>
      <x:c r="G839" s="14" t="str">
        <x:v>Extend claim source range</x:v>
      </x:c>
    </x:row>
    <x:row r="840" ht="65" customHeight="1">
      <x:c r="A840" s="14" t="str">
        <x:v>B16</x:v>
      </x:c>
      <x:c r="B840" s="14" t="str">
        <x:v>COVERAGE</x:v>
      </x:c>
      <x:c r="C840" s="14" t="str"/>
      <x:c r="D840" s="14" t="str">
        <x:v>R110C4</x:v>
      </x:c>
      <x:c r="E840" s="14" t="n">
        <x:f>COUNTIF(SCIENTIFIC_CLAIMS!$B$2:$B$1816,A110)</x:f>
        <x:v>0</x:v>
      </x:c>
      <x:c r="F840" s="14" t="n">
        <x:f>COUNTIF(SCIENTIFIC_CLAIMS!$B$2:$B$1937,A110)</x:f>
        <x:v>0</x:v>
      </x:c>
      <x:c r="G840" s="14" t="str">
        <x:v>Extend claim source range</x:v>
      </x:c>
    </x:row>
    <x:row r="841" ht="65" customHeight="1">
      <x:c r="A841" s="14" t="str">
        <x:v>B16</x:v>
      </x:c>
      <x:c r="B841" s="14" t="str">
        <x:v>COVERAGE</x:v>
      </x:c>
      <x:c r="C841" s="14" t="str"/>
      <x:c r="D841" s="14" t="str">
        <x:v>R111C4</x:v>
      </x:c>
      <x:c r="E841" s="14" t="n">
        <x:f>COUNTIF(SCIENTIFIC_CLAIMS!$B$2:$B$1816,A111)</x:f>
        <x:v>0</x:v>
      </x:c>
      <x:c r="F841" s="14" t="n">
        <x:f>COUNTIF(SCIENTIFIC_CLAIMS!$B$2:$B$1937,A111)</x:f>
        <x:v>0</x:v>
      </x:c>
      <x:c r="G841" s="14" t="str">
        <x:v>Extend claim source range</x:v>
      </x:c>
    </x:row>
    <x:row r="842" ht="65" customHeight="1">
      <x:c r="A842" s="14" t="str">
        <x:v>B16</x:v>
      </x:c>
      <x:c r="B842" s="14" t="str">
        <x:v>COVERAGE</x:v>
      </x:c>
      <x:c r="C842" s="14" t="str"/>
      <x:c r="D842" s="14" t="str">
        <x:v>R112C4</x:v>
      </x:c>
      <x:c r="E842" s="14" t="n">
        <x:f>COUNTIF(SCIENTIFIC_CLAIMS!$B$2:$B$1816,A112)</x:f>
        <x:v>0</x:v>
      </x:c>
      <x:c r="F842" s="14" t="n">
        <x:f>COUNTIF(SCIENTIFIC_CLAIMS!$B$2:$B$1937,A112)</x:f>
        <x:v>0</x:v>
      </x:c>
      <x:c r="G842" s="14" t="str">
        <x:v>Extend claim source range</x:v>
      </x:c>
    </x:row>
    <x:row r="843" ht="65" customHeight="1">
      <x:c r="A843" s="14" t="str">
        <x:v>B16</x:v>
      </x:c>
      <x:c r="B843" s="14" t="str">
        <x:v>COVERAGE</x:v>
      </x:c>
      <x:c r="C843" s="14" t="str"/>
      <x:c r="D843" s="14" t="str">
        <x:v>R113C4</x:v>
      </x:c>
      <x:c r="E843" s="14" t="n">
        <x:f>COUNTIF(SCIENTIFIC_CLAIMS!$B$2:$B$1816,A113)</x:f>
        <x:v>0</x:v>
      </x:c>
      <x:c r="F843" s="14" t="n">
        <x:f>COUNTIF(SCIENTIFIC_CLAIMS!$B$2:$B$1937,A113)</x:f>
        <x:v>0</x:v>
      </x:c>
      <x:c r="G843" s="14" t="str">
        <x:v>Extend claim source range</x:v>
      </x:c>
    </x:row>
    <x:row r="844" ht="65" customHeight="1">
      <x:c r="A844" s="14" t="str">
        <x:v>B16</x:v>
      </x:c>
      <x:c r="B844" s="14" t="str">
        <x:v>COVERAGE</x:v>
      </x:c>
      <x:c r="C844" s="14" t="str"/>
      <x:c r="D844" s="14" t="str">
        <x:v>R114C4</x:v>
      </x:c>
      <x:c r="E844" s="14" t="n">
        <x:f>COUNTIF(SCIENTIFIC_CLAIMS!$B$2:$B$1816,A114)</x:f>
        <x:v>0</x:v>
      </x:c>
      <x:c r="F844" s="14" t="n">
        <x:f>COUNTIF(SCIENTIFIC_CLAIMS!$B$2:$B$1937,A114)</x:f>
        <x:v>0</x:v>
      </x:c>
      <x:c r="G844" s="14" t="str">
        <x:v>Extend claim source range</x:v>
      </x:c>
    </x:row>
    <x:row r="845" ht="65" customHeight="1">
      <x:c r="A845" s="14" t="str">
        <x:v>B16</x:v>
      </x:c>
      <x:c r="B845" s="14" t="str">
        <x:v>COVERAGE</x:v>
      </x:c>
      <x:c r="C845" s="14" t="str"/>
      <x:c r="D845" s="14" t="str">
        <x:v>R115C4</x:v>
      </x:c>
      <x:c r="E845" s="14" t="n">
        <x:f>COUNTIF(SCIENTIFIC_CLAIMS!$B$2:$B$1816,A115)</x:f>
        <x:v>0</x:v>
      </x:c>
      <x:c r="F845" s="14" t="n">
        <x:f>COUNTIF(SCIENTIFIC_CLAIMS!$B$2:$B$1937,A115)</x:f>
        <x:v>0</x:v>
      </x:c>
      <x:c r="G845" s="14" t="str">
        <x:v>Extend claim source range</x:v>
      </x:c>
    </x:row>
    <x:row r="846" ht="65" customHeight="1">
      <x:c r="A846" s="14" t="str">
        <x:v>B16</x:v>
      </x:c>
      <x:c r="B846" s="14" t="str">
        <x:v>COVERAGE</x:v>
      </x:c>
      <x:c r="C846" s="14" t="str"/>
      <x:c r="D846" s="14" t="str">
        <x:v>R116C4</x:v>
      </x:c>
      <x:c r="E846" s="14" t="n">
        <x:f>COUNTIF(SCIENTIFIC_CLAIMS!$B$2:$B$1816,A116)</x:f>
        <x:v>0</x:v>
      </x:c>
      <x:c r="F846" s="14" t="n">
        <x:f>COUNTIF(SCIENTIFIC_CLAIMS!$B$2:$B$1937,A116)</x:f>
        <x:v>0</x:v>
      </x:c>
      <x:c r="G846" s="14" t="str">
        <x:v>Extend claim source range</x:v>
      </x:c>
    </x:row>
    <x:row r="847" ht="65" customHeight="1">
      <x:c r="A847" s="14" t="str">
        <x:v>B16</x:v>
      </x:c>
      <x:c r="B847" s="14" t="str">
        <x:v>COVERAGE</x:v>
      </x:c>
      <x:c r="C847" s="14" t="str">
        <x:v>OAI-0001</x:v>
      </x:c>
      <x:c r="D847" s="14" t="str">
        <x:v>H2</x:v>
      </x:c>
      <x:c r="E847" s="14" t="str"/>
      <x:c r="F847" s="14" t="str">
        <x:v>B16</x:v>
      </x:c>
      <x:c r="G847" s="14" t="str">
        <x:v>Current review</x:v>
      </x:c>
    </x:row>
    <x:row r="848" ht="65" customHeight="1">
      <x:c r="A848" s="14" t="str">
        <x:v>B16</x:v>
      </x:c>
      <x:c r="B848" s="14" t="str">
        <x:v>COVERAGE</x:v>
      </x:c>
      <x:c r="C848" s="14" t="str">
        <x:v>OAI-0001</x:v>
      </x:c>
      <x:c r="D848" s="14" t="str">
        <x:v>Q2</x:v>
      </x:c>
      <x:c r="E848" s="14" t="str">
        <x:v>LEGACY_BATCH_ONLY</x:v>
      </x:c>
      <x:c r="F848" s="14" t="str">
        <x:v>YES</x:v>
      </x:c>
      <x:c r="G848" s="14" t="str">
        <x:v>Sections reviewed; not exhaustive</x:v>
      </x:c>
    </x:row>
    <x:row r="849" ht="65" customHeight="1">
      <x:c r="A849" s="14" t="str">
        <x:v>B16</x:v>
      </x:c>
      <x:c r="B849" s="14" t="str">
        <x:v>COVERAGE</x:v>
      </x:c>
      <x:c r="C849" s="14" t="str">
        <x:v>OAI-0001</x:v>
      </x:c>
      <x:c r="D849" s="14" t="str">
        <x:v>F2</x:v>
      </x:c>
      <x:c r="E849" s="14" t="str">
        <x:v>PDF_AUDIT_PENDING</x:v>
      </x:c>
      <x:c r="F849" s="14" t="str">
        <x:v>PENDING_INDEPENDENT_AUDIT</x:v>
      </x:c>
      <x:c r="G849" s="14" t="str">
        <x:v>No independent audit</x:v>
      </x:c>
    </x:row>
    <x:row r="850" ht="65" customHeight="1">
      <x:c r="A850" s="14" t="str">
        <x:v>B16</x:v>
      </x:c>
      <x:c r="B850" s="14" t="str">
        <x:v>COVERAGE</x:v>
      </x:c>
      <x:c r="C850" s="14" t="str">
        <x:v>OAI-0001</x:v>
      </x:c>
      <x:c r="D850" s="14" t="str">
        <x:v>J2</x:v>
      </x:c>
      <x:c r="E850" s="14" t="n">
        <x:v>19</x:v>
      </x:c>
      <x:c r="F850" s="14" t="n">
        <x:v>35</x:v>
      </x:c>
      <x:c r="G850" s="14" t="str">
        <x:v>New B16 rows</x:v>
      </x:c>
    </x:row>
    <x:row r="851" ht="65" customHeight="1">
      <x:c r="A851" s="14" t="str">
        <x:v>B16</x:v>
      </x:c>
      <x:c r="B851" s="14" t="str">
        <x:v>COVERAGE</x:v>
      </x:c>
      <x:c r="C851" s="14" t="str">
        <x:v>OAI-0001</x:v>
      </x:c>
      <x:c r="D851" s="14" t="str">
        <x:v>K2</x:v>
      </x:c>
      <x:c r="E851" s="14" t="n">
        <x:v>1</x:v>
      </x:c>
      <x:c r="F851" s="14" t="n">
        <x:v>3</x:v>
      </x:c>
      <x:c r="G851" s="14" t="str">
        <x:v>New B16 rows</x:v>
      </x:c>
    </x:row>
    <x:row r="852" ht="65" customHeight="1">
      <x:c r="A852" s="14" t="str">
        <x:v>B16</x:v>
      </x:c>
      <x:c r="B852" s="14" t="str">
        <x:v>COVERAGE</x:v>
      </x:c>
      <x:c r="C852" s="14" t="str">
        <x:v>OAI-0001</x:v>
      </x:c>
      <x:c r="D852" s="14" t="str">
        <x:v>L2</x:v>
      </x:c>
      <x:c r="E852" s="14" t="n">
        <x:v>1</x:v>
      </x:c>
      <x:c r="F852" s="14" t="n">
        <x:v>3</x:v>
      </x:c>
      <x:c r="G852" s="14" t="str">
        <x:v>New B16 rows</x:v>
      </x:c>
    </x:row>
    <x:row r="853" ht="65" customHeight="1">
      <x:c r="A853" s="14" t="str">
        <x:v>B16</x:v>
      </x:c>
      <x:c r="B853" s="14" t="str">
        <x:v>COVERAGE</x:v>
      </x:c>
      <x:c r="C853" s="14" t="str">
        <x:v>OAI-0001</x:v>
      </x:c>
      <x:c r="D853" s="14" t="str">
        <x:v>I2</x:v>
      </x:c>
      <x:c r="E853" s="14" t="str"/>
      <x:c r="F853" s="14" t="str">
        <x:v>Remaining widths, learning rate, code configuration and quantitative tables need review.</x:v>
      </x:c>
      <x:c r="G853" s="14" t="str">
        <x:v>Remaining work</x:v>
      </x:c>
    </x:row>
    <x:row r="854" ht="65" customHeight="1">
      <x:c r="A854" s="14" t="str">
        <x:v>B16</x:v>
      </x:c>
      <x:c r="B854" s="14" t="str">
        <x:v>PAPER_INDEX</x:v>
      </x:c>
      <x:c r="C854" s="14" t="str">
        <x:v>OAI-0001</x:v>
      </x:c>
      <x:c r="D854" s="14" t="str">
        <x:v>P2</x:v>
      </x:c>
      <x:c r="E854" s="14" t="str">
        <x:v>NOT_EXTRACTED</x:v>
      </x:c>
      <x:c r="F854" s="14" t="str">
        <x:v>PARTIALLY_EXTRACTED</x:v>
      </x:c>
      <x:c r="G854" s="14" t="str">
        <x:v>B16 source review</x:v>
      </x:c>
    </x:row>
    <x:row r="855" ht="65" customHeight="1">
      <x:c r="A855" s="14" t="str">
        <x:v>B16</x:v>
      </x:c>
      <x:c r="B855" s="14" t="str">
        <x:v>PAPER_INDEX</x:v>
      </x:c>
      <x:c r="C855" s="14" t="str">
        <x:v>OAI-0001</x:v>
      </x:c>
      <x:c r="D855" s="14" t="str">
        <x:v>U2</x:v>
      </x:c>
      <x:c r="E855" s="14" t="str">
        <x:v>Not a verified PaperRecord; no page-level PDF audit.</x:v>
      </x:c>
      <x:c r="F855" s="14" t="str">
        <x:v>Not a verified PaperRecord; no page-level PDF audit. | B16: Remaining widths, learning rate, code configuration and quantitative tables need review.</x:v>
      </x:c>
      <x:c r="G855" s="14" t="str">
        <x:v>Append review note</x:v>
      </x:c>
    </x:row>
    <x:row r="856" ht="65" customHeight="1">
      <x:c r="A856" s="14" t="str">
        <x:v>B16</x:v>
      </x:c>
      <x:c r="B856" s="14" t="str">
        <x:v>COVERAGE</x:v>
      </x:c>
      <x:c r="C856" s="14" t="str">
        <x:v>OAI-0003</x:v>
      </x:c>
      <x:c r="D856" s="14" t="str">
        <x:v>H4</x:v>
      </x:c>
      <x:c r="E856" s="14" t="str"/>
      <x:c r="F856" s="14" t="str">
        <x:v>B16</x:v>
      </x:c>
      <x:c r="G856" s="14" t="str">
        <x:v>Current review</x:v>
      </x:c>
    </x:row>
    <x:row r="857" ht="65" customHeight="1">
      <x:c r="A857" s="14" t="str">
        <x:v>B16</x:v>
      </x:c>
      <x:c r="B857" s="14" t="str">
        <x:v>COVERAGE</x:v>
      </x:c>
      <x:c r="C857" s="14" t="str">
        <x:v>OAI-0003</x:v>
      </x:c>
      <x:c r="D857" s="14" t="str">
        <x:v>Q4</x:v>
      </x:c>
      <x:c r="E857" s="14" t="str">
        <x:v>LEGACY_BATCH_ONLY</x:v>
      </x:c>
      <x:c r="F857" s="14" t="str">
        <x:v>YES</x:v>
      </x:c>
      <x:c r="G857" s="14" t="str">
        <x:v>Sections reviewed; not exhaustive</x:v>
      </x:c>
    </x:row>
    <x:row r="858" ht="65" customHeight="1">
      <x:c r="A858" s="14" t="str">
        <x:v>B16</x:v>
      </x:c>
      <x:c r="B858" s="14" t="str">
        <x:v>COVERAGE</x:v>
      </x:c>
      <x:c r="C858" s="14" t="str">
        <x:v>OAI-0003</x:v>
      </x:c>
      <x:c r="D858" s="14" t="str">
        <x:v>F4</x:v>
      </x:c>
      <x:c r="E858" s="14" t="str">
        <x:v>PDF_AUDIT_PENDING</x:v>
      </x:c>
      <x:c r="F858" s="14" t="str">
        <x:v>PENDING_INDEPENDENT_AUDIT</x:v>
      </x:c>
      <x:c r="G858" s="14" t="str">
        <x:v>No independent audit</x:v>
      </x:c>
    </x:row>
    <x:row r="859" ht="65" customHeight="1">
      <x:c r="A859" s="14" t="str">
        <x:v>B16</x:v>
      </x:c>
      <x:c r="B859" s="14" t="str">
        <x:v>COVERAGE</x:v>
      </x:c>
      <x:c r="C859" s="14" t="str">
        <x:v>OAI-0003</x:v>
      </x:c>
      <x:c r="D859" s="14" t="str">
        <x:v>J4</x:v>
      </x:c>
      <x:c r="E859" s="14" t="n">
        <x:v>23</x:v>
      </x:c>
      <x:c r="F859" s="14" t="n">
        <x:v>35</x:v>
      </x:c>
      <x:c r="G859" s="14" t="str">
        <x:v>New B16 rows</x:v>
      </x:c>
    </x:row>
    <x:row r="860" ht="65" customHeight="1">
      <x:c r="A860" s="14" t="str">
        <x:v>B16</x:v>
      </x:c>
      <x:c r="B860" s="14" t="str">
        <x:v>COVERAGE</x:v>
      </x:c>
      <x:c r="C860" s="14" t="str">
        <x:v>OAI-0003</x:v>
      </x:c>
      <x:c r="D860" s="14" t="str">
        <x:v>M4</x:v>
      </x:c>
      <x:c r="E860" s="14" t="n">
        <x:v>0</x:v>
      </x:c>
      <x:c r="F860" s="14" t="n">
        <x:v>2</x:v>
      </x:c>
      <x:c r="G860" s="14" t="str">
        <x:v>New B16 rows</x:v>
      </x:c>
    </x:row>
    <x:row r="861" ht="65" customHeight="1">
      <x:c r="A861" s="14" t="str">
        <x:v>B16</x:v>
      </x:c>
      <x:c r="B861" s="14" t="str">
        <x:v>COVERAGE</x:v>
      </x:c>
      <x:c r="C861" s="14" t="str">
        <x:v>OAI-0003</x:v>
      </x:c>
      <x:c r="D861" s="14" t="str">
        <x:v>I4</x:v>
      </x:c>
      <x:c r="E861" s="14" t="str"/>
      <x:c r="F861" s="14" t="str">
        <x:v>Reconcile legacy Transformer label with published FNO/CNN description; exact loss/code review pending.</x:v>
      </x:c>
      <x:c r="G861" s="14" t="str">
        <x:v>Remaining work</x:v>
      </x:c>
    </x:row>
    <x:row r="862" ht="65" customHeight="1">
      <x:c r="A862" s="14" t="str">
        <x:v>B16</x:v>
      </x:c>
      <x:c r="B862" s="14" t="str">
        <x:v>PAPER_INDEX</x:v>
      </x:c>
      <x:c r="C862" s="14" t="str">
        <x:v>OAI-0003</x:v>
      </x:c>
      <x:c r="D862" s="14" t="str">
        <x:v>P4</x:v>
      </x:c>
      <x:c r="E862" s="14" t="str">
        <x:v>NOT_EXTRACTED</x:v>
      </x:c>
      <x:c r="F862" s="14" t="str">
        <x:v>PARTIALLY_EXTRACTED</x:v>
      </x:c>
      <x:c r="G862" s="14" t="str">
        <x:v>B16 source review</x:v>
      </x:c>
    </x:row>
    <x:row r="863" ht="65" customHeight="1">
      <x:c r="A863" s="14" t="str">
        <x:v>B16</x:v>
      </x:c>
      <x:c r="B863" s="14" t="str">
        <x:v>PAPER_INDEX</x:v>
      </x:c>
      <x:c r="C863" s="14" t="str">
        <x:v>OAI-0003</x:v>
      </x:c>
      <x:c r="D863" s="14" t="str">
        <x:v>U4</x:v>
      </x:c>
      <x:c r="E863" s="14" t="str">
        <x:v>Not a verified PaperRecord; no page-level PDF audit.</x:v>
      </x:c>
      <x:c r="F863" s="14" t="str">
        <x:v>Not a verified PaperRecord; no page-level PDF audit. | B16: Reconcile legacy Transformer label with published FNO/CNN description; exact loss/code review pending.</x:v>
      </x:c>
      <x:c r="G863" s="14" t="str">
        <x:v>Append review note</x:v>
      </x:c>
    </x:row>
    <x:row r="864" ht="65" customHeight="1">
      <x:c r="A864" s="14" t="str">
        <x:v>B16</x:v>
      </x:c>
      <x:c r="B864" s="14" t="str">
        <x:v>COVERAGE</x:v>
      </x:c>
      <x:c r="C864" s="14" t="str">
        <x:v>OAI-0045</x:v>
      </x:c>
      <x:c r="D864" s="14" t="str">
        <x:v>H46</x:v>
      </x:c>
      <x:c r="E864" s="14" t="str">
        <x:v>B11</x:v>
      </x:c>
      <x:c r="F864" s="14" t="str">
        <x:v>B16</x:v>
      </x:c>
      <x:c r="G864" s="14" t="str">
        <x:v>Current review</x:v>
      </x:c>
    </x:row>
    <x:row r="865" ht="65" customHeight="1">
      <x:c r="A865" s="14" t="str">
        <x:v>B16</x:v>
      </x:c>
      <x:c r="B865" s="14" t="str">
        <x:v>COVERAGE</x:v>
      </x:c>
      <x:c r="C865" s="14" t="str">
        <x:v>OAI-0045</x:v>
      </x:c>
      <x:c r="D865" s="14" t="str">
        <x:v>J46</x:v>
      </x:c>
      <x:c r="E865" s="14" t="n">
        <x:v>19</x:v>
      </x:c>
      <x:c r="F865" s="14" t="n">
        <x:v>20</x:v>
      </x:c>
      <x:c r="G865" s="14" t="str">
        <x:v>New B16 rows</x:v>
      </x:c>
    </x:row>
    <x:row r="866" ht="65" customHeight="1">
      <x:c r="A866" s="14" t="str">
        <x:v>B16</x:v>
      </x:c>
      <x:c r="B866" s="14" t="str">
        <x:v>COVERAGE</x:v>
      </x:c>
      <x:c r="C866" s="14" t="str">
        <x:v>OAI-0045</x:v>
      </x:c>
      <x:c r="D866" s="14" t="str">
        <x:v>M46</x:v>
      </x:c>
      <x:c r="E866" s="14" t="n">
        <x:v>1</x:v>
      </x:c>
      <x:c r="F866" s="14" t="n">
        <x:v>2</x:v>
      </x:c>
      <x:c r="G866" s="14" t="str">
        <x:v>New B16 rows</x:v>
      </x:c>
    </x:row>
    <x:row r="867" ht="65" customHeight="1">
      <x:c r="A867" s="14" t="str">
        <x:v>B16</x:v>
      </x:c>
      <x:c r="B867" s="14" t="str">
        <x:v>COVERAGE</x:v>
      </x:c>
      <x:c r="C867" s="14" t="str">
        <x:v>OAI-0045</x:v>
      </x:c>
      <x:c r="D867" s="14" t="str">
        <x:v>I46</x:v>
      </x:c>
      <x:c r="E867" s="14" t="str">
        <x:v>Check supplementary for hyperparameters.</x:v>
      </x:c>
      <x:c r="F867" s="14" t="str">
        <x:v>Supplement not linked on inspected publisher page; existence unresolved.</x:v>
      </x:c>
      <x:c r="G867" s="14" t="str">
        <x:v>Remaining work</x:v>
      </x:c>
    </x:row>
    <x:row r="868" ht="65" customHeight="1">
      <x:c r="A868" s="14" t="str">
        <x:v>B16</x:v>
      </x:c>
      <x:c r="B868" s="14" t="str">
        <x:v>PAPER_INDEX</x:v>
      </x:c>
      <x:c r="C868" s="14" t="str">
        <x:v>OAI-0045</x:v>
      </x:c>
      <x:c r="D868" s="14" t="str">
        <x:v>U46</x:v>
      </x:c>
      <x:c r="E868" s="14" t="str">
        <x:v>B04–B07: sections originales extraites, NOT_VERIFIED.  | B11: B11: Sections 2.2, 4, 5 read; supplementary not checked.</x:v>
      </x:c>
      <x:c r="F868" s="14" t="str">
        <x:v>B04–B07: sections originales extraites, NOT_VERIFIED.  | B11: B11: Sections 2.2, 4, 5 read; supplementary not checked. | B16: Supplement not linked on inspected publisher page; existence unresolved.</x:v>
      </x:c>
      <x:c r="G868" s="14" t="str">
        <x:v>Append review note</x:v>
      </x:c>
    </x:row>
    <x:row r="869" ht="65" customHeight="1">
      <x:c r="A869" s="14" t="str">
        <x:v>B16</x:v>
      </x:c>
      <x:c r="B869" s="14" t="str">
        <x:v>COVERAGE</x:v>
      </x:c>
      <x:c r="C869" s="14" t="str">
        <x:v>OAI-0054</x:v>
      </x:c>
      <x:c r="D869" s="14" t="str">
        <x:v>H55</x:v>
      </x:c>
      <x:c r="E869" s="14" t="str">
        <x:v>B12</x:v>
      </x:c>
      <x:c r="F869" s="14" t="str">
        <x:v>B16</x:v>
      </x:c>
      <x:c r="G869" s="14" t="str">
        <x:v>Current review</x:v>
      </x:c>
    </x:row>
    <x:row r="870" ht="65" customHeight="1">
      <x:c r="A870" s="14" t="str">
        <x:v>B16</x:v>
      </x:c>
      <x:c r="B870" s="14" t="str">
        <x:v>COVERAGE</x:v>
      </x:c>
      <x:c r="C870" s="14" t="str">
        <x:v>OAI-0054</x:v>
      </x:c>
      <x:c r="D870" s="14" t="str">
        <x:v>E55</x:v>
      </x:c>
      <x:c r="E870" s="14" t="str">
        <x:v>ABSTRACT_ONLY</x:v>
      </x:c>
      <x:c r="F870" s="14" t="str">
        <x:v>DETAILED_PARTIAL</x:v>
      </x:c>
      <x:c r="G870" s="14" t="str">
        <x:v>Publisher full text read</x:v>
      </x:c>
    </x:row>
    <x:row r="871" ht="65" customHeight="1">
      <x:c r="A871" s="14" t="str">
        <x:v>B16</x:v>
      </x:c>
      <x:c r="B871" s="14" t="str">
        <x:v>COVERAGE</x:v>
      </x:c>
      <x:c r="C871" s="14" t="str">
        <x:v>OAI-0054</x:v>
      </x:c>
      <x:c r="D871" s="14" t="str">
        <x:v>R55</x:v>
      </x:c>
      <x:c r="E871" s="14" t="str">
        <x:v>ABSTRACT</x:v>
      </x:c>
      <x:c r="F871" s="14" t="str">
        <x:v>FULLTEXT</x:v>
      </x:c>
      <x:c r="G871" s="14" t="str">
        <x:v>Source-access block resolved</x:v>
      </x:c>
    </x:row>
    <x:row r="872" ht="65" customHeight="1">
      <x:c r="A872" s="14" t="str">
        <x:v>B16</x:v>
      </x:c>
      <x:c r="B872" s="14" t="str">
        <x:v>COVERAGE</x:v>
      </x:c>
      <x:c r="C872" s="14" t="str">
        <x:v>OAI-0054</x:v>
      </x:c>
      <x:c r="D872" s="14" t="str">
        <x:v>J55</x:v>
      </x:c>
      <x:c r="E872" s="14" t="n">
        <x:v>2</x:v>
      </x:c>
      <x:c r="F872" s="14" t="n">
        <x:v>53</x:v>
      </x:c>
      <x:c r="G872" s="14" t="str">
        <x:v>New B16 rows</x:v>
      </x:c>
    </x:row>
    <x:row r="873" ht="65" customHeight="1">
      <x:c r="A873" s="14" t="str">
        <x:v>B16</x:v>
      </x:c>
      <x:c r="B873" s="14" t="str">
        <x:v>COVERAGE</x:v>
      </x:c>
      <x:c r="C873" s="14" t="str">
        <x:v>OAI-0054</x:v>
      </x:c>
      <x:c r="D873" s="14" t="str">
        <x:v>K55</x:v>
      </x:c>
      <x:c r="E873" s="14" t="n">
        <x:v>0</x:v>
      </x:c>
      <x:c r="F873" s="14" t="n">
        <x:v>1</x:v>
      </x:c>
      <x:c r="G873" s="14" t="str">
        <x:v>New B16 rows</x:v>
      </x:c>
    </x:row>
    <x:row r="874" ht="65" customHeight="1">
      <x:c r="A874" s="14" t="str">
        <x:v>B16</x:v>
      </x:c>
      <x:c r="B874" s="14" t="str">
        <x:v>COVERAGE</x:v>
      </x:c>
      <x:c r="C874" s="14" t="str">
        <x:v>OAI-0054</x:v>
      </x:c>
      <x:c r="D874" s="14" t="str">
        <x:v>L55</x:v>
      </x:c>
      <x:c r="E874" s="14" t="n">
        <x:v>0</x:v>
      </x:c>
      <x:c r="F874" s="14" t="n">
        <x:v>1</x:v>
      </x:c>
      <x:c r="G874" s="14" t="str">
        <x:v>New B16 rows</x:v>
      </x:c>
    </x:row>
    <x:row r="875" ht="65" customHeight="1">
      <x:c r="A875" s="14" t="str">
        <x:v>B16</x:v>
      </x:c>
      <x:c r="B875" s="14" t="str">
        <x:v>COVERAGE</x:v>
      </x:c>
      <x:c r="C875" s="14" t="str">
        <x:v>OAI-0054</x:v>
      </x:c>
      <x:c r="D875" s="14" t="str">
        <x:v>I55</x:v>
      </x:c>
      <x:c r="E875" s="14" t="str">
        <x:v>Full text needed (PDF request).</x:v>
      </x:c>
      <x:c r="F875" s="14" t="str">
        <x:v>Read SI Table S2 and code; extract exact lead-specific loss weights.</x:v>
      </x:c>
      <x:c r="G875" s="14" t="str">
        <x:v>Remaining work</x:v>
      </x:c>
    </x:row>
    <x:row r="876" ht="65" customHeight="1">
      <x:c r="A876" s="14" t="str">
        <x:v>B16</x:v>
      </x:c>
      <x:c r="B876" s="14" t="str">
        <x:v>PAPER_INDEX</x:v>
      </x:c>
      <x:c r="C876" s="14" t="str">
        <x:v>OAI-0054</x:v>
      </x:c>
      <x:c r="D876" s="14" t="str">
        <x:v>P55</x:v>
      </x:c>
      <x:c r="E876" s="14" t="str">
        <x:v>ABSTRACT_ONLY</x:v>
      </x:c>
      <x:c r="F876" s="14" t="str">
        <x:v>PARTIALLY_EXTRACTED</x:v>
      </x:c>
      <x:c r="G876" s="14" t="str">
        <x:v>B16 source review</x:v>
      </x:c>
    </x:row>
    <x:row r="877" ht="65" customHeight="1">
      <x:c r="A877" s="14" t="str">
        <x:v>B16</x:v>
      </x:c>
      <x:c r="B877" s="14" t="str">
        <x:v>PAPER_INDEX</x:v>
      </x:c>
      <x:c r="C877" s="14" t="str">
        <x:v>OAI-0054</x:v>
      </x:c>
      <x:c r="D877" s="14" t="str">
        <x:v>U55</x:v>
      </x:c>
      <x:c r="E877" s="14" t="str">
        <x:v>Not a verified PaperRecord; no page-level PDF audit. | B12: B12: abstract only after documented open-copy search.</x:v>
      </x:c>
      <x:c r="F877" s="14" t="str">
        <x:v>Not a verified PaperRecord; no page-level PDF audit. | B12: B12: abstract only after documented open-copy search. | B16: Read SI Table S2 and code; extract exact lead-specific loss weights.</x:v>
      </x:c>
      <x:c r="G877" s="14" t="str">
        <x:v>Append review note</x:v>
      </x:c>
    </x:row>
    <x:row r="878" ht="65" customHeight="1">
      <x:c r="A878" s="14" t="str">
        <x:v>B16</x:v>
      </x:c>
      <x:c r="B878" s="14" t="str">
        <x:v>COVERAGE</x:v>
      </x:c>
      <x:c r="C878" s="14" t="str">
        <x:v>OAI-0111</x:v>
      </x:c>
      <x:c r="D878" s="14" t="str">
        <x:v>H112</x:v>
      </x:c>
      <x:c r="E878" s="14" t="str">
        <x:v>B12</x:v>
      </x:c>
      <x:c r="F878" s="14" t="str">
        <x:v>B16</x:v>
      </x:c>
      <x:c r="G878" s="14" t="str">
        <x:v>Current review</x:v>
      </x:c>
    </x:row>
    <x:row r="879" ht="65" customHeight="1">
      <x:c r="A879" s="14" t="str">
        <x:v>B16</x:v>
      </x:c>
      <x:c r="B879" s="14" t="str">
        <x:v>COVERAGE</x:v>
      </x:c>
      <x:c r="C879" s="14" t="str">
        <x:v>OAI-0111</x:v>
      </x:c>
      <x:c r="D879" s="14" t="str">
        <x:v>E112</x:v>
      </x:c>
      <x:c r="E879" s="14" t="str">
        <x:v>ABSTRACT_ONLY</x:v>
      </x:c>
      <x:c r="F879" s="14" t="str">
        <x:v>DETAILED_PARTIAL</x:v>
      </x:c>
      <x:c r="G879" s="14" t="str">
        <x:v>Publisher full text read</x:v>
      </x:c>
    </x:row>
    <x:row r="880" ht="65" customHeight="1">
      <x:c r="A880" s="14" t="str">
        <x:v>B16</x:v>
      </x:c>
      <x:c r="B880" s="14" t="str">
        <x:v>COVERAGE</x:v>
      </x:c>
      <x:c r="C880" s="14" t="str">
        <x:v>OAI-0111</x:v>
      </x:c>
      <x:c r="D880" s="14" t="str">
        <x:v>R112</x:v>
      </x:c>
      <x:c r="E880" s="14" t="str">
        <x:v>ABSTRACT</x:v>
      </x:c>
      <x:c r="F880" s="14" t="str">
        <x:v>FULLTEXT</x:v>
      </x:c>
      <x:c r="G880" s="14" t="str">
        <x:v>Source-access block resolved</x:v>
      </x:c>
    </x:row>
    <x:row r="881" ht="65" customHeight="1">
      <x:c r="A881" s="14" t="str">
        <x:v>B16</x:v>
      </x:c>
      <x:c r="B881" s="14" t="str">
        <x:v>COVERAGE</x:v>
      </x:c>
      <x:c r="C881" s="14" t="str">
        <x:v>OAI-0111</x:v>
      </x:c>
      <x:c r="D881" s="14" t="str">
        <x:v>J112</x:v>
      </x:c>
      <x:c r="E881" s="14" t="n">
        <x:v>2</x:v>
      </x:c>
      <x:c r="F881" s="14" t="n">
        <x:v>28</x:v>
      </x:c>
      <x:c r="G881" s="14" t="str">
        <x:v>New B16 rows</x:v>
      </x:c>
    </x:row>
    <x:row r="882" ht="65" customHeight="1">
      <x:c r="A882" s="14" t="str">
        <x:v>B16</x:v>
      </x:c>
      <x:c r="B882" s="14" t="str">
        <x:v>COVERAGE</x:v>
      </x:c>
      <x:c r="C882" s="14" t="str">
        <x:v>OAI-0111</x:v>
      </x:c>
      <x:c r="D882" s="14" t="str">
        <x:v>K112</x:v>
      </x:c>
      <x:c r="E882" s="14" t="n">
        <x:v>0</x:v>
      </x:c>
      <x:c r="F882" s="14" t="n">
        <x:v>2</x:v>
      </x:c>
      <x:c r="G882" s="14" t="str">
        <x:v>New B16 rows</x:v>
      </x:c>
    </x:row>
    <x:row r="883" ht="65" customHeight="1">
      <x:c r="A883" s="14" t="str">
        <x:v>B16</x:v>
      </x:c>
      <x:c r="B883" s="14" t="str">
        <x:v>COVERAGE</x:v>
      </x:c>
      <x:c r="C883" s="14" t="str">
        <x:v>OAI-0111</x:v>
      </x:c>
      <x:c r="D883" s="14" t="str">
        <x:v>L112</x:v>
      </x:c>
      <x:c r="E883" s="14" t="n">
        <x:v>0</x:v>
      </x:c>
      <x:c r="F883" s="14" t="n">
        <x:v>1</x:v>
      </x:c>
      <x:c r="G883" s="14" t="str">
        <x:v>New B16 rows</x:v>
      </x:c>
    </x:row>
    <x:row r="884" ht="65" customHeight="1">
      <x:c r="A884" s="14" t="str">
        <x:v>B16</x:v>
      </x:c>
      <x:c r="B884" s="14" t="str">
        <x:v>COVERAGE</x:v>
      </x:c>
      <x:c r="C884" s="14" t="str">
        <x:v>OAI-0111</x:v>
      </x:c>
      <x:c r="D884" s="14" t="str">
        <x:v>M112</x:v>
      </x:c>
      <x:c r="E884" s="14" t="n">
        <x:v>0</x:v>
      </x:c>
      <x:c r="F884" s="14" t="n">
        <x:v>3</x:v>
      </x:c>
      <x:c r="G884" s="14" t="str">
        <x:v>New B16 rows</x:v>
      </x:c>
    </x:row>
    <x:row r="885" ht="65" customHeight="1">
      <x:c r="A885" s="14" t="str">
        <x:v>B16</x:v>
      </x:c>
      <x:c r="B885" s="14" t="str">
        <x:v>COVERAGE</x:v>
      </x:c>
      <x:c r="C885" s="14" t="str">
        <x:v>OAI-0111</x:v>
      </x:c>
      <x:c r="D885" s="14" t="str">
        <x:v>I112</x:v>
      </x:c>
      <x:c r="E885" s="14" t="str">
        <x:v>Full text needed (PDF request).</x:v>
      </x:c>
      <x:c r="F885" s="14" t="str">
        <x:v>Read SI/code; reconcile percentage assignments, matching window and RMSE formula.</x:v>
      </x:c>
      <x:c r="G885" s="14" t="str">
        <x:v>Remaining work</x:v>
      </x:c>
    </x:row>
    <x:row r="886" ht="65" customHeight="1">
      <x:c r="A886" s="14" t="str">
        <x:v>B16</x:v>
      </x:c>
      <x:c r="B886" s="14" t="str">
        <x:v>PAPER_INDEX</x:v>
      </x:c>
      <x:c r="C886" s="14" t="str">
        <x:v>OAI-0111</x:v>
      </x:c>
      <x:c r="D886" s="14" t="str">
        <x:v>P112</x:v>
      </x:c>
      <x:c r="E886" s="14" t="str">
        <x:v>ABSTRACT_ONLY</x:v>
      </x:c>
      <x:c r="F886" s="14" t="str">
        <x:v>PARTIALLY_EXTRACTED</x:v>
      </x:c>
      <x:c r="G886" s="14" t="str">
        <x:v>B16 source review</x:v>
      </x:c>
    </x:row>
    <x:row r="887" ht="65" customHeight="1">
      <x:c r="A887" s="14" t="str">
        <x:v>B16</x:v>
      </x:c>
      <x:c r="B887" s="14" t="str">
        <x:v>PAPER_INDEX</x:v>
      </x:c>
      <x:c r="C887" s="14" t="str">
        <x:v>OAI-0111</x:v>
      </x:c>
      <x:c r="D887" s="14" t="str">
        <x:v>U112</x:v>
      </x:c>
      <x:c r="E887" s="14" t="str">
        <x:v>Not a verified PaperRecord; no page-level PDF audit. | B12: B12: abstract only after documented open-copy search.</x:v>
      </x:c>
      <x:c r="F887" s="14" t="str">
        <x:v>Not a verified PaperRecord; no page-level PDF audit. | B12: B12: abstract only after documented open-copy search. | B16: Read SI/code; reconcile percentage assignments, matching window and RMSE formula.</x:v>
      </x:c>
      <x:c r="G887" s="14" t="str">
        <x:v>Append review note</x:v>
      </x:c>
    </x:row>
    <x:row r="888" ht="65" customHeight="1">
      <x:c r="A888" s="14" t="str">
        <x:v>B16</x:v>
      </x:c>
      <x:c r="B888" s="14" t="str">
        <x:v>FIELD_PATH_MAP</x:v>
      </x:c>
      <x:c r="C888" s="14" t="str"/>
      <x:c r="D888" s="14" t="str">
        <x:v>C13</x:v>
      </x:c>
      <x:c r="E888" s="14" t="n">
        <x:v>15</x:v>
      </x:c>
      <x:c r="F888" s="14" t="n">
        <x:v>16</x:v>
      </x:c>
      <x:c r="G888" s="14" t="str">
        <x:v>Updated field occurrence count</x:v>
      </x:c>
    </x:row>
    <x:row r="889" ht="65" customHeight="1">
      <x:c r="A889" s="14" t="str">
        <x:v>B16</x:v>
      </x:c>
      <x:c r="B889" s="14" t="str">
        <x:v>FIELD_PATH_MAP</x:v>
      </x:c>
      <x:c r="C889" s="14" t="str"/>
      <x:c r="D889" s="14" t="str">
        <x:v>C18</x:v>
      </x:c>
      <x:c r="E889" s="14" t="n">
        <x:v>3</x:v>
      </x:c>
      <x:c r="F889" s="14" t="n">
        <x:v>4</x:v>
      </x:c>
      <x:c r="G889" s="14" t="str">
        <x:v>Updated field occurrence count</x:v>
      </x:c>
    </x:row>
    <x:row r="890" ht="65" customHeight="1">
      <x:c r="A890" s="14" t="str">
        <x:v>B16</x:v>
      </x:c>
      <x:c r="B890" s="14" t="str">
        <x:v>FIELD_PATH_MAP</x:v>
      </x:c>
      <x:c r="C890" s="14" t="str"/>
      <x:c r="D890" s="14" t="str">
        <x:v>C78</x:v>
      </x:c>
      <x:c r="E890" s="14" t="n">
        <x:v>15</x:v>
      </x:c>
      <x:c r="F890" s="14" t="n">
        <x:v>16</x:v>
      </x:c>
      <x:c r="G890" s="14" t="str">
        <x:v>Updated field occurrence count</x:v>
      </x:c>
    </x:row>
    <x:row r="891" ht="65" customHeight="1">
      <x:c r="A891" s="14" t="str">
        <x:v>B16</x:v>
      </x:c>
      <x:c r="B891" s="14" t="str">
        <x:v>FIELD_PATH_MAP</x:v>
      </x:c>
      <x:c r="C891" s="14" t="str"/>
      <x:c r="D891" s="14" t="str">
        <x:v>C122</x:v>
      </x:c>
      <x:c r="E891" s="14" t="n">
        <x:v>4</x:v>
      </x:c>
      <x:c r="F891" s="14" t="n">
        <x:v>5</x:v>
      </x:c>
      <x:c r="G891" s="14" t="str">
        <x:v>Updated field occurrence count</x:v>
      </x:c>
    </x:row>
    <x:row r="892" ht="65" customHeight="1">
      <x:c r="A892" s="14" t="str">
        <x:v>B16</x:v>
      </x:c>
      <x:c r="B892" s="14" t="str">
        <x:v>FIELD_PATH_MAP</x:v>
      </x:c>
      <x:c r="C892" s="14" t="str"/>
      <x:c r="D892" s="14" t="str">
        <x:v>C144</x:v>
      </x:c>
      <x:c r="E892" s="14" t="n">
        <x:v>1</x:v>
      </x:c>
      <x:c r="F892" s="14" t="n">
        <x:v>2</x:v>
      </x:c>
      <x:c r="G892" s="14" t="str">
        <x:v>Updated field occurrence count</x:v>
      </x:c>
    </x:row>
    <x:row r="893" ht="65" customHeight="1">
      <x:c r="A893" s="14" t="str">
        <x:v>B16</x:v>
      </x:c>
      <x:c r="B893" s="14" t="str">
        <x:v>FIELD_PATH_MAP</x:v>
      </x:c>
      <x:c r="C893" s="14" t="str"/>
      <x:c r="D893" s="14" t="str">
        <x:v>C179</x:v>
      </x:c>
      <x:c r="E893" s="14" t="n">
        <x:v>7</x:v>
      </x:c>
      <x:c r="F893" s="14" t="n">
        <x:v>8</x:v>
      </x:c>
      <x:c r="G893" s="14" t="str">
        <x:v>Updated field occurrence count</x:v>
      </x:c>
    </x:row>
    <x:row r="894" ht="65" customHeight="1">
      <x:c r="A894" s="14" t="str">
        <x:v>B16</x:v>
      </x:c>
      <x:c r="B894" s="14" t="str">
        <x:v>FIELD_PATH_MAP</x:v>
      </x:c>
      <x:c r="C894" s="14" t="str"/>
      <x:c r="D894" s="14" t="str">
        <x:v>C252</x:v>
      </x:c>
      <x:c r="E894" s="14" t="n">
        <x:v>1</x:v>
      </x:c>
      <x:c r="F894" s="14" t="n">
        <x:v>2</x:v>
      </x:c>
      <x:c r="G894" s="14" t="str">
        <x:v>Updated field occurrence count</x:v>
      </x:c>
    </x:row>
    <x:row r="895" ht="65" customHeight="1">
      <x:c r="A895" s="14" t="str">
        <x:v>B16</x:v>
      </x:c>
      <x:c r="B895" s="14" t="str">
        <x:v>FIELD_PATH_MAP</x:v>
      </x:c>
      <x:c r="C895" s="14" t="str"/>
      <x:c r="D895" s="14" t="str">
        <x:v>C264</x:v>
      </x:c>
      <x:c r="E895" s="14" t="n">
        <x:v>1</x:v>
      </x:c>
      <x:c r="F895" s="14" t="n">
        <x:v>2</x:v>
      </x:c>
      <x:c r="G895" s="14" t="str">
        <x:v>Updated field occurrence count</x:v>
      </x:c>
    </x:row>
    <x:row r="896" ht="65" customHeight="1">
      <x:c r="A896" s="14" t="str">
        <x:v>B16</x:v>
      </x:c>
      <x:c r="B896" s="14" t="str">
        <x:v>FIELD_PATH_MAP</x:v>
      </x:c>
      <x:c r="C896" s="14" t="str"/>
      <x:c r="D896" s="14" t="str">
        <x:v>C306</x:v>
      </x:c>
      <x:c r="E896" s="14" t="n">
        <x:v>16</x:v>
      </x:c>
      <x:c r="F896" s="14" t="n">
        <x:v>17</x:v>
      </x:c>
      <x:c r="G896" s="14" t="str">
        <x:v>Updated field occurrence count</x:v>
      </x:c>
    </x:row>
    <x:row r="897" ht="65" customHeight="1">
      <x:c r="A897" s="14" t="str">
        <x:v>B16</x:v>
      </x:c>
      <x:c r="B897" s="14" t="str">
        <x:v>FIELD_PATH_MAP</x:v>
      </x:c>
      <x:c r="C897" s="14" t="str"/>
      <x:c r="D897" s="14" t="str">
        <x:v>C316</x:v>
      </x:c>
      <x:c r="E897" s="14" t="n">
        <x:v>4</x:v>
      </x:c>
      <x:c r="F897" s="14" t="n">
        <x:v>5</x:v>
      </x:c>
      <x:c r="G897" s="14" t="str">
        <x:v>Updated field occurrence count</x:v>
      </x:c>
    </x:row>
    <x:row r="898" ht="65" customHeight="1">
      <x:c r="A898" s="14" t="str">
        <x:v>B16</x:v>
      </x:c>
      <x:c r="B898" s="14" t="str">
        <x:v>FIELD_PATH_MAP</x:v>
      </x:c>
      <x:c r="C898" s="14" t="str"/>
      <x:c r="D898" s="14" t="str">
        <x:v>C333</x:v>
      </x:c>
      <x:c r="E898" s="14" t="n">
        <x:v>2</x:v>
      </x:c>
      <x:c r="F898" s="14" t="n">
        <x:v>3</x:v>
      </x:c>
      <x:c r="G898" s="14" t="str">
        <x:v>Updated field occurrence count</x:v>
      </x:c>
    </x:row>
    <x:row r="899" ht="65" customHeight="1">
      <x:c r="A899" s="14" t="str">
        <x:v>B16</x:v>
      </x:c>
      <x:c r="B899" s="14" t="str">
        <x:v>FIELD_PATH_MAP</x:v>
      </x:c>
      <x:c r="C899" s="14" t="str"/>
      <x:c r="D899" s="14" t="str">
        <x:v>C359</x:v>
      </x:c>
      <x:c r="E899" s="14" t="n">
        <x:v>1</x:v>
      </x:c>
      <x:c r="F899" s="14" t="n">
        <x:v>2</x:v>
      </x:c>
      <x:c r="G899" s="14" t="str">
        <x:v>Updated field occurrence count</x:v>
      </x:c>
    </x:row>
    <x:row r="900" ht="65" customHeight="1">
      <x:c r="A900" s="14" t="str">
        <x:v>B16</x:v>
      </x:c>
      <x:c r="B900" s="14" t="str">
        <x:v>FIELD_PATH_MAP</x:v>
      </x:c>
      <x:c r="C900" s="14" t="str"/>
      <x:c r="D900" s="14" t="str">
        <x:v>C360</x:v>
      </x:c>
      <x:c r="E900" s="14" t="n">
        <x:v>1</x:v>
      </x:c>
      <x:c r="F900" s="14" t="n">
        <x:v>2</x:v>
      </x:c>
      <x:c r="G900" s="14" t="str">
        <x:v>Updated field occurrence count</x:v>
      </x:c>
    </x:row>
    <x:row r="901" ht="65" customHeight="1">
      <x:c r="A901" s="14" t="str">
        <x:v>B16</x:v>
      </x:c>
      <x:c r="B901" s="14" t="str">
        <x:v>FIELD_PATH_MAP</x:v>
      </x:c>
      <x:c r="C901" s="14" t="str"/>
      <x:c r="D901" s="14" t="str">
        <x:v>C404</x:v>
      </x:c>
      <x:c r="E901" s="14" t="n">
        <x:v>14</x:v>
      </x:c>
      <x:c r="F901" s="14" t="n">
        <x:v>16</x:v>
      </x:c>
      <x:c r="G901" s="14" t="str">
        <x:v>Updated field occurrence count</x:v>
      </x:c>
    </x:row>
    <x:row r="902" ht="65" customHeight="1">
      <x:c r="A902" s="14" t="str">
        <x:v>B16</x:v>
      </x:c>
      <x:c r="B902" s="14" t="str">
        <x:v>FIELD_PATH_MAP</x:v>
      </x:c>
      <x:c r="C902" s="14" t="str"/>
      <x:c r="D902" s="14" t="str">
        <x:v>C509</x:v>
      </x:c>
      <x:c r="E902" s="14" t="n">
        <x:v>28</x:v>
      </x:c>
      <x:c r="F902" s="14" t="n">
        <x:v>29</x:v>
      </x:c>
      <x:c r="G902" s="14" t="str">
        <x:v>Updated field occurrence count</x:v>
      </x:c>
    </x:row>
    <x:row r="903" ht="65" customHeight="1">
      <x:c r="A903" s="14" t="str">
        <x:v>B16</x:v>
      </x:c>
      <x:c r="B903" s="14" t="str">
        <x:v>FIELD_PATH_MAP</x:v>
      </x:c>
      <x:c r="C903" s="14" t="str"/>
      <x:c r="D903" s="14" t="str">
        <x:v>C525</x:v>
      </x:c>
      <x:c r="E903" s="14" t="n">
        <x:v>8</x:v>
      </x:c>
      <x:c r="F903" s="14" t="n">
        <x:v>9</x:v>
      </x:c>
      <x:c r="G903" s="14" t="str">
        <x:v>Updated field occurrence count</x:v>
      </x:c>
    </x:row>
    <x:row r="904" ht="65" customHeight="1">
      <x:c r="A904" s="14" t="str">
        <x:v>B16</x:v>
      </x:c>
      <x:c r="B904" s="14" t="str">
        <x:v>FIELD_PATH_MAP</x:v>
      </x:c>
      <x:c r="C904" s="14" t="str"/>
      <x:c r="D904" s="14" t="str">
        <x:v>C567</x:v>
      </x:c>
      <x:c r="E904" s="14" t="n">
        <x:v>5</x:v>
      </x:c>
      <x:c r="F904" s="14" t="n">
        <x:v>6</x:v>
      </x:c>
      <x:c r="G904" s="14" t="str">
        <x:v>Updated field occurrence count</x:v>
      </x:c>
    </x:row>
    <x:row r="905" ht="65" customHeight="1">
      <x:c r="A905" s="14" t="str">
        <x:v>B16</x:v>
      </x:c>
      <x:c r="B905" s="14" t="str">
        <x:v>FIELD_PATH_MAP</x:v>
      </x:c>
      <x:c r="C905" s="14" t="str"/>
      <x:c r="D905" s="14" t="str">
        <x:v>C603</x:v>
      </x:c>
      <x:c r="E905" s="14" t="n">
        <x:v>1</x:v>
      </x:c>
      <x:c r="F905" s="14" t="n">
        <x:v>2</x:v>
      </x:c>
      <x:c r="G905" s="14" t="str">
        <x:v>Updated field occurrence count</x:v>
      </x:c>
    </x:row>
    <x:row r="906" ht="65" customHeight="1">
      <x:c r="A906" s="14" t="str">
        <x:v>B16</x:v>
      </x:c>
      <x:c r="B906" s="14" t="str">
        <x:v>FIELD_PATH_MAP</x:v>
      </x:c>
      <x:c r="C906" s="14" t="str"/>
      <x:c r="D906" s="14" t="str">
        <x:v>C628</x:v>
      </x:c>
      <x:c r="E906" s="14" t="n">
        <x:v>3</x:v>
      </x:c>
      <x:c r="F906" s="14" t="n">
        <x:v>4</x:v>
      </x:c>
      <x:c r="G906" s="14" t="str">
        <x:v>Updated field occurrence count</x:v>
      </x:c>
    </x:row>
    <x:row r="907" ht="65" customHeight="1">
      <x:c r="A907" s="14" t="str">
        <x:v>B16</x:v>
      </x:c>
      <x:c r="B907" s="14" t="str">
        <x:v>FIELD_PATH_MAP</x:v>
      </x:c>
      <x:c r="C907" s="14" t="str"/>
      <x:c r="D907" s="14" t="str">
        <x:v>C672</x:v>
      </x:c>
      <x:c r="E907" s="14" t="n">
        <x:v>8</x:v>
      </x:c>
      <x:c r="F907" s="14" t="n">
        <x:v>9</x:v>
      </x:c>
      <x:c r="G907" s="14" t="str">
        <x:v>Updated field occurrence count</x:v>
      </x:c>
    </x:row>
    <x:row r="908" ht="65" customHeight="1">
      <x:c r="A908" s="14" t="str">
        <x:v>B16</x:v>
      </x:c>
      <x:c r="B908" s="14" t="str">
        <x:v>FIELD_PATH_MAP</x:v>
      </x:c>
      <x:c r="C908" s="14" t="str"/>
      <x:c r="D908" s="14" t="str">
        <x:v>C681</x:v>
      </x:c>
      <x:c r="E908" s="14" t="n">
        <x:v>23</x:v>
      </x:c>
      <x:c r="F908" s="14" t="n">
        <x:v>25</x:v>
      </x:c>
      <x:c r="G908" s="14" t="str">
        <x:v>Updated field occurrence count</x:v>
      </x:c>
    </x:row>
    <x:row r="909" ht="65" customHeight="1">
      <x:c r="A909" s="14" t="str">
        <x:v>B16</x:v>
      </x:c>
      <x:c r="B909" s="14" t="str">
        <x:v>FIELD_PATH_MAP</x:v>
      </x:c>
      <x:c r="C909" s="14" t="str"/>
      <x:c r="D909" s="14" t="str">
        <x:v>C689</x:v>
      </x:c>
      <x:c r="E909" s="14" t="n">
        <x:v>2</x:v>
      </x:c>
      <x:c r="F909" s="14" t="n">
        <x:v>3</x:v>
      </x:c>
      <x:c r="G909" s="14" t="str">
        <x:v>Updated field occurrence count</x:v>
      </x:c>
    </x:row>
    <x:row r="910" ht="65" customHeight="1">
      <x:c r="A910" s="14" t="str">
        <x:v>B16</x:v>
      </x:c>
      <x:c r="B910" s="14" t="str">
        <x:v>FIELD_PATH_MAP</x:v>
      </x:c>
      <x:c r="C910" s="14" t="str"/>
      <x:c r="D910" s="14" t="str">
        <x:v>C799</x:v>
      </x:c>
      <x:c r="E910" s="14" t="n">
        <x:v>32</x:v>
      </x:c>
      <x:c r="F910" s="14" t="n">
        <x:v>33</x:v>
      </x:c>
      <x:c r="G910" s="14" t="str">
        <x:v>Updated field occurrence count</x:v>
      </x:c>
    </x:row>
    <x:row r="911" ht="65" customHeight="1">
      <x:c r="A911" s="14" t="str">
        <x:v>B16</x:v>
      </x:c>
      <x:c r="B911" s="14" t="str">
        <x:v>FIELD_PATH_MAP</x:v>
      </x:c>
      <x:c r="C911" s="14" t="str"/>
      <x:c r="D911" s="14" t="str">
        <x:v>C815</x:v>
      </x:c>
      <x:c r="E911" s="14" t="n">
        <x:v>2</x:v>
      </x:c>
      <x:c r="F911" s="14" t="n">
        <x:v>3</x:v>
      </x:c>
      <x:c r="G911" s="14" t="str">
        <x:v>Updated field occurrence count</x:v>
      </x:c>
    </x:row>
    <x:row r="912" ht="65" customHeight="1">
      <x:c r="A912" s="14" t="str">
        <x:v>B16</x:v>
      </x:c>
      <x:c r="B912" s="14" t="str">
        <x:v>FIELD_PATH_MAP</x:v>
      </x:c>
      <x:c r="C912" s="14" t="str"/>
      <x:c r="D912" s="14" t="str">
        <x:v>C834</x:v>
      </x:c>
      <x:c r="E912" s="14" t="n">
        <x:v>15</x:v>
      </x:c>
      <x:c r="F912" s="14" t="n">
        <x:v>16</x:v>
      </x:c>
      <x:c r="G912" s="14" t="str">
        <x:v>Updated field occurrence count</x:v>
      </x:c>
    </x:row>
    <x:row r="913" ht="65" customHeight="1">
      <x:c r="A913" s="14" t="str">
        <x:v>B16</x:v>
      </x:c>
      <x:c r="B913" s="14" t="str">
        <x:v>FIELD_PATH_MAP</x:v>
      </x:c>
      <x:c r="C913" s="14" t="str"/>
      <x:c r="D913" s="14" t="str">
        <x:v>C843</x:v>
      </x:c>
      <x:c r="E913" s="14" t="n">
        <x:v>33</x:v>
      </x:c>
      <x:c r="F913" s="14" t="n">
        <x:v>34</x:v>
      </x:c>
      <x:c r="G913" s="14" t="str">
        <x:v>Updated field occurrence count</x:v>
      </x:c>
    </x:row>
    <x:row r="914" ht="65" customHeight="1">
      <x:c r="A914" s="14" t="str">
        <x:v>B16</x:v>
      </x:c>
      <x:c r="B914" s="14" t="str">
        <x:v>FIELD_PATH_MAP</x:v>
      </x:c>
      <x:c r="C914" s="14" t="str"/>
      <x:c r="D914" s="14" t="str">
        <x:v>C855</x:v>
      </x:c>
      <x:c r="E914" s="14" t="n">
        <x:v>3</x:v>
      </x:c>
      <x:c r="F914" s="14" t="n">
        <x:v>4</x:v>
      </x:c>
      <x:c r="G914" s="14" t="str">
        <x:v>Updated field occurrence count</x:v>
      </x:c>
    </x:row>
    <x:row r="915" ht="65" customHeight="1">
      <x:c r="A915" s="14" t="str">
        <x:v>B16</x:v>
      </x:c>
      <x:c r="B915" s="14" t="str">
        <x:v>FIELD_PATH_MAP</x:v>
      </x:c>
      <x:c r="C915" s="14" t="str"/>
      <x:c r="D915" s="14" t="str">
        <x:v>C863</x:v>
      </x:c>
      <x:c r="E915" s="14" t="n">
        <x:v>44</x:v>
      </x:c>
      <x:c r="F915" s="14" t="n">
        <x:v>45</x:v>
      </x:c>
      <x:c r="G915" s="14" t="str">
        <x:v>Updated field occurrence count</x:v>
      </x:c>
    </x:row>
    <x:row r="916" ht="65" customHeight="1">
      <x:c r="A916" s="14" t="str">
        <x:v>B16</x:v>
      </x:c>
      <x:c r="B916" s="14" t="str">
        <x:v>FIELD_PATH_MAP</x:v>
      </x:c>
      <x:c r="C916" s="14" t="str"/>
      <x:c r="D916" s="14" t="str">
        <x:v>C876</x:v>
      </x:c>
      <x:c r="E916" s="14" t="n">
        <x:v>14</x:v>
      </x:c>
      <x:c r="F916" s="14" t="n">
        <x:v>15</x:v>
      </x:c>
      <x:c r="G916" s="14" t="str">
        <x:v>Updated field occurrence count</x:v>
      </x:c>
    </x:row>
    <x:row r="917" ht="65" customHeight="1">
      <x:c r="A917" s="14" t="str">
        <x:v>B16</x:v>
      </x:c>
      <x:c r="B917" s="14" t="str">
        <x:v>FIELD_PATH_MAP</x:v>
      </x:c>
      <x:c r="C917" s="14" t="str"/>
      <x:c r="D917" s="14" t="str">
        <x:v>C893</x:v>
      </x:c>
      <x:c r="E917" s="14" t="n">
        <x:v>9</x:v>
      </x:c>
      <x:c r="F917" s="14" t="n">
        <x:v>10</x:v>
      </x:c>
      <x:c r="G917" s="14" t="str">
        <x:v>Updated field occurrence count</x:v>
      </x:c>
    </x:row>
    <x:row r="918" ht="65" customHeight="1">
      <x:c r="A918" s="14" t="str">
        <x:v>B16</x:v>
      </x:c>
      <x:c r="B918" s="14" t="str">
        <x:v>COVERAGE</x:v>
      </x:c>
      <x:c r="C918" s="14" t="str">
        <x:v>OAI-0001</x:v>
      </x:c>
      <x:c r="D918" s="14" t="str">
        <x:v>P2</x:v>
      </x:c>
      <x:c r="E918" s="14" t="n">
        <x:v>15</x:v>
      </x:c>
      <x:c r="F918" s="14" t="n">
        <x:v>24</x:v>
      </x:c>
      <x:c r="G918" s="14" t="str">
        <x:v>Recomputed mapped categories</x:v>
      </x:c>
    </x:row>
    <x:row r="919" ht="65" customHeight="1">
      <x:c r="A919" s="14" t="str">
        <x:v>B16</x:v>
      </x:c>
      <x:c r="B919" s="14" t="str">
        <x:v>COVERAGE</x:v>
      </x:c>
      <x:c r="C919" s="14" t="str">
        <x:v>OAI-0003</x:v>
      </x:c>
      <x:c r="D919" s="14" t="str">
        <x:v>P4</x:v>
      </x:c>
      <x:c r="E919" s="14" t="n">
        <x:v>17</x:v>
      </x:c>
      <x:c r="F919" s="14" t="n">
        <x:v>21</x:v>
      </x:c>
      <x:c r="G919" s="14" t="str">
        <x:v>Recomputed mapped categories</x:v>
      </x:c>
    </x:row>
    <x:row r="920" ht="65" customHeight="1">
      <x:c r="A920" s="14" t="str">
        <x:v>B16</x:v>
      </x:c>
      <x:c r="B920" s="14" t="str">
        <x:v>COVERAGE</x:v>
      </x:c>
      <x:c r="C920" s="14" t="str">
        <x:v>OAI-0045</x:v>
      </x:c>
      <x:c r="D920" s="14" t="str">
        <x:v>P46</x:v>
      </x:c>
      <x:c r="E920" s="14" t="n">
        <x:v>12</x:v>
      </x:c>
      <x:c r="F920" s="14" t="n">
        <x:v>13</x:v>
      </x:c>
      <x:c r="G920" s="14" t="str">
        <x:v>Recomputed mapped categories</x:v>
      </x:c>
    </x:row>
    <x:row r="921" ht="65" customHeight="1">
      <x:c r="A921" s="14" t="str">
        <x:v>B16</x:v>
      </x:c>
      <x:c r="B921" s="14" t="str">
        <x:v>COVERAGE</x:v>
      </x:c>
      <x:c r="C921" s="14" t="str">
        <x:v>OAI-0054</x:v>
      </x:c>
      <x:c r="D921" s="14" t="str">
        <x:v>P55</x:v>
      </x:c>
      <x:c r="E921" s="14" t="n">
        <x:v>2</x:v>
      </x:c>
      <x:c r="F921" s="14" t="n">
        <x:v>30</x:v>
      </x:c>
      <x:c r="G921" s="14" t="str">
        <x:v>Recomputed mapped categories</x:v>
      </x:c>
    </x:row>
    <x:row r="922" ht="65" customHeight="1">
      <x:c r="A922" s="14" t="str">
        <x:v>B16</x:v>
      </x:c>
      <x:c r="B922" s="14" t="str">
        <x:v>COVERAGE</x:v>
      </x:c>
      <x:c r="C922" s="14" t="str">
        <x:v>OAI-0111</x:v>
      </x:c>
      <x:c r="D922" s="14" t="str">
        <x:v>P112</x:v>
      </x:c>
      <x:c r="E922" s="14" t="n">
        <x:v>2</x:v>
      </x:c>
      <x:c r="F922" s="14" t="n">
        <x:v>17</x:v>
      </x:c>
      <x:c r="G922" s="14" t="str">
        <x:v>Recomputed mapped categories</x:v>
      </x:c>
    </x:row>
    <x:row r="923" ht="65" customHeight="1">
      <x:c r="A923" s="14" t="str">
        <x:v>B16</x:v>
      </x:c>
      <x:c r="B923" s="14" t="str">
        <x:v>START_HERE</x:v>
      </x:c>
      <x:c r="C923" s="14" t="str"/>
      <x:c r="D923" s="14" t="str">
        <x:v>C5</x:v>
      </x:c>
      <x:c r="E923" s="14" t="str">
        <x:v>État conservé avant B07; extractions précédentes non réauditées.</x:v>
      </x:c>
      <x:c r="F923" s="14" t="str">
        <x:v>État B15 conservé avant B16.</x:v>
      </x:c>
      <x:c r="G923" s="14" t="str">
        <x:v>Remove obsolete B07 label</x:v>
      </x:c>
    </x:row>
    <x:row r="924" ht="65" customHeight="1">
      <x:c r="A924" s="14" t="str">
        <x:v>B16</x:v>
      </x:c>
      <x:c r="B924" s="14" t="str">
        <x:v>START_HERE</x:v>
      </x:c>
      <x:c r="C924" s="14" t="str"/>
      <x:c r="D924" s="14" t="str">
        <x:v>B7</x:v>
      </x:c>
      <x:c r="E924" s="14" t="n">
        <x:v>0</x:v>
      </x:c>
      <x:c r="F924" s="14" t="n">
        <x:v>2</x:v>
      </x:c>
      <x:c r="G924" s="14" t="str">
        <x:v>Two abstracts upgraded to full-text extraction</x:v>
      </x:c>
    </x:row>
    <x:row r="925" ht="65" customHeight="1">
      <x:c r="A925" s="14" t="str">
        <x:v>B16</x:v>
      </x:c>
      <x:c r="B925" s="14" t="str">
        <x:v>START_HERE</x:v>
      </x:c>
      <x:c r="C925" s="14" t="str"/>
      <x:c r="D925" s="14" t="str">
        <x:v>C7</x:v>
      </x:c>
      <x:c r="E925" s="14" t="str">
        <x:v>Sections originales consultées, au-delà des abstracts.</x:v>
      </x:c>
      <x:c r="F925" s="14" t="str">
        <x:v>OAI-0054 et OAI-0111 : premières extractions du texte intégral.</x:v>
      </x:c>
      <x:c r="G925" s="14" t="str">
        <x:v>Scope</x:v>
      </x:c>
    </x:row>
    <x:row r="926" ht="65" customHeight="1">
      <x:c r="A926" s="14" t="str">
        <x:v>B16</x:v>
      </x:c>
      <x:c r="B926" s="14" t="str">
        <x:v>START_HERE</x:v>
      </x:c>
      <x:c r="C926" s="14" t="str"/>
      <x:c r="D926" s="14" t="str">
        <x:v>B8</x:v>
      </x:c>
      <x:c r="E926" s="14" t="n">
        <x:v>1762</x:v>
      </x:c>
      <x:c r="F926" s="14" t="n">
        <x:v>1815</x:v>
      </x:c>
      <x:c r="G926" s="14" t="str">
        <x:v>Preserved previous rows</x:v>
      </x:c>
    </x:row>
    <x:row r="927" ht="65" customHeight="1">
      <x:c r="A927" s="14" t="str">
        <x:v>B16</x:v>
      </x:c>
      <x:c r="B927" s="14" t="str">
        <x:v>START_HERE</x:v>
      </x:c>
      <x:c r="C927" s="14" t="str"/>
      <x:c r="D927" s="14" t="str">
        <x:v>B9</x:v>
      </x:c>
      <x:c r="E927" s="14" t="n">
        <x:v>53</x:v>
      </x:c>
      <x:c r="F927" s="14" t="n">
        <x:v>121</x:v>
      </x:c>
      <x:c r="G927" s="14" t="str">
        <x:v>B16 additions</x:v>
      </x:c>
    </x:row>
    <x:row r="928" ht="65" customHeight="1">
      <x:c r="A928" s="14" t="str">
        <x:v>B16</x:v>
      </x:c>
      <x:c r="B928" s="14" t="str">
        <x:v>START_HERE</x:v>
      </x:c>
      <x:c r="C928" s="14" t="str"/>
      <x:c r="D928" s="14" t="str">
        <x:v>C9</x:v>
      </x:c>
      <x:c r="E928" s="14" t="str">
        <x:v>B15 : réexamen hérités OAI-0005, OAI-0026 ; 48 faits, 1 limites, 4 AI.</x:v>
      </x:c>
      <x:c r="F928" s="14" t="str">
        <x:v>B16 : 5 papiers enrichis, dont 2 précédemment limités au résumé.</x:v>
      </x:c>
      <x:c r="G928" s="14" t="str">
        <x:v>Batch scope</x:v>
      </x:c>
    </x:row>
    <x:row r="929" ht="65" customHeight="1">
      <x:c r="A929" s="14" t="str">
        <x:v>B16</x:v>
      </x:c>
      <x:c r="B929" s="14" t="str">
        <x:v>START_HERE</x:v>
      </x:c>
      <x:c r="C929" s="14" t="str"/>
      <x:c r="D929" s="14" t="str">
        <x:v>A10</x:v>
      </x:c>
      <x:c r="E929" s="14" t="str">
        <x:v>Lignes extraites / historiques</x:v>
      </x:c>
      <x:c r="F929" s="14" t="str">
        <x:v>Lignes totales / historiques</x:v>
      </x:c>
      <x:c r="G929" s="14" t="str">
        <x:v>Includes missing markers</x:v>
      </x:c>
    </x:row>
    <x:row r="930" ht="65" customHeight="1">
      <x:c r="A930" s="14" t="str">
        <x:v>B16</x:v>
      </x:c>
      <x:c r="B930" s="14" t="str">
        <x:v>START_HERE</x:v>
      </x:c>
      <x:c r="C930" s="14" t="str"/>
      <x:c r="D930" s="14" t="str">
        <x:v>C10</x:v>
      </x:c>
      <x:c r="E930" s="14" t="str">
        <x:v>Somme de COVERAGE!D(COVERAGE!D) = toutes les lignes (faits, limites, IA, absences) ; détail dans COVERAGE n_*.</x:v>
      </x:c>
      <x:c r="F930" s="14" t="str">
        <x:v>Toutes les lignes, y compris absences et interprétations.</x:v>
      </x:c>
      <x:c r="G930" s="14" t="str">
        <x:v>Clarify total</x:v>
      </x:c>
    </x:row>
    <x:row r="931" ht="65" customHeight="1">
      <x:c r="A931" s="14" t="str">
        <x:v>B16</x:v>
      </x:c>
      <x:c r="B931" s="14" t="str">
        <x:v>START_HERE</x:v>
      </x:c>
      <x:c r="C931" s="14" t="str"/>
      <x:c r="D931" s="14" t="str">
        <x:v>C13</x:v>
      </x:c>
      <x:c r="E931" s="14" t="str">
        <x:v>B04–B15; audit scientifique indépendant non effectué.</x:v>
      </x:c>
      <x:c r="F931" s="14" t="str">
        <x:v>B04–B16; audit scientifique indépendant non effectué.</x:v>
      </x:c>
      <x:c r="G931" s="14" t="str">
        <x:v>Batch date</x:v>
      </x:c>
    </x:row>
    <x:row r="932" ht="65" customHeight="1">
      <x:c r="A932" s="14" t="str">
        <x:v>B16</x:v>
      </x:c>
      <x:c r="B932" s="14" t="str">
        <x:v>START_HERE</x:v>
      </x:c>
      <x:c r="C932" s="14" t="str"/>
      <x:c r="D932" s="14" t="str">
        <x:v>C18</x:v>
      </x:c>
      <x:c r="E932" s="14" t="str">
        <x:v>Voir FIELD_COVERAGE: champs non lus, accès bloqué ou extraction restante.</x:v>
      </x:c>
      <x:c r="F932" s="14" t="str">
        <x:v>FIELD_MATRIX_115 est la matrice courante; FIELD_COVERAGE est historique.</x:v>
      </x:c>
      <x:c r="G932" s="14" t="str">
        <x:v>Current matrix</x:v>
      </x:c>
    </x:row>
    <x:row r="933" ht="65" customHeight="1">
      <x:c r="A933" s="14" t="str">
        <x:v>B16</x:v>
      </x:c>
      <x:c r="B933" s="14" t="str">
        <x:v>START_HERE</x:v>
      </x:c>
      <x:c r="C933" s="14" t="str"/>
      <x:c r="D933" s="14" t="str">
        <x:v>B35</x:v>
      </x:c>
      <x:c r="E933" s="14" t="n">
        <x:v>95</x:v>
      </x:c>
      <x:c r="F933" s="14" t="n">
        <x:v>97</x:v>
      </x:c>
      <x:c r="G933" s="14" t="str">
        <x:v>Two full-text access blocks resolved</x:v>
      </x:c>
    </x:row>
    <x:row r="934" ht="65" customHeight="1">
      <x:c r="A934" s="14" t="str">
        <x:v>B16</x:v>
      </x:c>
      <x:c r="B934" s="14" t="str">
        <x:v>START_HERE</x:v>
      </x:c>
      <x:c r="C934" s="14" t="str"/>
      <x:c r="D934" s="14" t="str">
        <x:v>B38</x:v>
      </x:c>
      <x:c r="E934" s="14" t="n">
        <x:v>1763</x:v>
      </x:c>
      <x:c r="F934" s="14" t="n">
        <x:v>1884</x:v>
      </x:c>
      <x:c r="G934" s="14" t="str">
        <x:v>B16 source-section rows</x:v>
      </x:c>
    </x:row>
    <x:row r="935" ht="65" customHeight="1">
      <x:c r="A935" s="14" t="str">
        <x:v>B16</x:v>
      </x:c>
      <x:c r="B935" s="14" t="str">
        <x:v>START_HERE</x:v>
      </x:c>
      <x:c r="C935" s="14" t="str"/>
      <x:c r="D935" s="14" t="str">
        <x:v>B41</x:v>
      </x:c>
      <x:c r="E935" s="14" t="str">
        <x:v>Voir BLOCKED_FULLTEXT (17 + OAI-0058, OAI-0115)</x:v>
      </x:c>
      <x:c r="F935" s="14" t="str">
        <x:v>17 encore bloqués; 0054 et 0111 résolus en B16.</x:v>
      </x:c>
      <x:c r="G935" s="14" t="str">
        <x:v>Current blockers</x:v>
      </x:c>
    </x:row>
    <x:row r="936" ht="65" customHeight="1">
      <x:c r="A936" s="14" t="str">
        <x:v>B16</x:v>
      </x:c>
      <x:c r="B936" s="14" t="str">
        <x:v>BLOCKED_FULLTEXT</x:v>
      </x:c>
      <x:c r="C936" s="14" t="str">
        <x:v>OAI-0054</x:v>
      </x:c>
      <x:c r="D936" s="14" t="str">
        <x:v>D10</x:v>
      </x:c>
      <x:c r="E936" s="14" t="str">
        <x:v>ABSTRACT_ONLY</x:v>
      </x:c>
      <x:c r="F936" s="14" t="str">
        <x:v>DETAILED_PARTIAL</x:v>
      </x:c>
      <x:c r="G936" s="14" t="str">
        <x:v>Keep historical access record, mark resolved</x:v>
      </x:c>
    </x:row>
    <x:row r="937" ht="65" customHeight="1">
      <x:c r="A937" s="14" t="str">
        <x:v>B16</x:v>
      </x:c>
      <x:c r="B937" s="14" t="str">
        <x:v>BLOCKED_FULLTEXT</x:v>
      </x:c>
      <x:c r="C937" s="14" t="str">
        <x:v>OAI-0054</x:v>
      </x:c>
      <x:c r="D937" s="14" t="str">
        <x:v>E10</x:v>
      </x:c>
      <x:c r="E937" s="14" t="str">
        <x:v>ABSTRACT</x:v>
      </x:c>
      <x:c r="F937" s="14" t="str">
        <x:v>FULLTEXT</x:v>
      </x:c>
      <x:c r="G937" s="14" t="str">
        <x:v>Keep historical access record, mark resolved</x:v>
      </x:c>
    </x:row>
    <x:row r="938" ht="65" customHeight="1">
      <x:c r="A938" s="14" t="str">
        <x:v>B16</x:v>
      </x:c>
      <x:c r="B938" s="14" t="str">
        <x:v>BLOCKED_FULLTEXT</x:v>
      </x:c>
      <x:c r="C938" s="14" t="str">
        <x:v>OAI-0054</x:v>
      </x:c>
      <x:c r="D938" s="14" t="str">
        <x:v>F10</x:v>
      </x:c>
      <x:c r="E938" s="14" t="str">
        <x:v>FULL_TEXT_NOT_ACCESSED</x:v>
      </x:c>
      <x:c r="F938" s="14" t="str">
        <x:v>RESOLVED_B16</x:v>
      </x:c>
      <x:c r="G938" s="14" t="str">
        <x:v>Keep historical access record, mark resolved</x:v>
      </x:c>
    </x:row>
    <x:row r="939" ht="65" customHeight="1">
      <x:c r="A939" s="14" t="str">
        <x:v>B16</x:v>
      </x:c>
      <x:c r="B939" s="14" t="str">
        <x:v>BLOCKED_FULLTEXT</x:v>
      </x:c>
      <x:c r="C939" s="14" t="str">
        <x:v>OAI-0054</x:v>
      </x:c>
      <x:c r="D939" s="14" t="str">
        <x:v>G10</x:v>
      </x:c>
      <x:c r="E939" s="14" t="str">
        <x:v>published abstract via API</x:v>
      </x:c>
      <x:c r="F939" s="14" t="str">
        <x:v>Publisher full-text sections; published copy for missing math symbols where needed.</x:v>
      </x:c>
      <x:c r="G939" s="14" t="str">
        <x:v>Keep historical access record, mark resolved</x:v>
      </x:c>
    </x:row>
    <x:row r="940" ht="65" customHeight="1">
      <x:c r="A940" s="14" t="str">
        <x:v>B16</x:v>
      </x:c>
      <x:c r="B940" s="14" t="str">
        <x:v>BLOCKED_FULLTEXT</x:v>
      </x:c>
      <x:c r="C940" s="14" t="str">
        <x:v>OAI-0054</x:v>
      </x:c>
      <x:c r="D940" s="14" t="str">
        <x:v>H10</x:v>
      </x:c>
      <x:c r="E940" s="14" t="str">
        <x:v>Provide publisher PDF or author manuscript (+SI)</x:v>
      </x:c>
      <x:c r="F940" s="14" t="str">
        <x:v>SI/code still pending; main-text access resolved.</x:v>
      </x:c>
      <x:c r="G940" s="14" t="str">
        <x:v>Keep historical access record, mark resolved</x:v>
      </x:c>
    </x:row>
    <x:row r="941" ht="65" customHeight="1">
      <x:c r="A941" s="14" t="str">
        <x:v>B16</x:v>
      </x:c>
      <x:c r="B941" s="14" t="str">
        <x:v>BLOCKED_FULLTEXT</x:v>
      </x:c>
      <x:c r="C941" s="14" t="str">
        <x:v>OAI-0111</x:v>
      </x:c>
      <x:c r="D941" s="14" t="str">
        <x:v>D19</x:v>
      </x:c>
      <x:c r="E941" s="14" t="str">
        <x:v>ABSTRACT_ONLY</x:v>
      </x:c>
      <x:c r="F941" s="14" t="str">
        <x:v>DETAILED_PARTIAL</x:v>
      </x:c>
      <x:c r="G941" s="14" t="str">
        <x:v>Keep historical access record, mark resolved</x:v>
      </x:c>
    </x:row>
    <x:row r="942" ht="65" customHeight="1">
      <x:c r="A942" s="14" t="str">
        <x:v>B16</x:v>
      </x:c>
      <x:c r="B942" s="14" t="str">
        <x:v>BLOCKED_FULLTEXT</x:v>
      </x:c>
      <x:c r="C942" s="14" t="str">
        <x:v>OAI-0111</x:v>
      </x:c>
      <x:c r="D942" s="14" t="str">
        <x:v>E19</x:v>
      </x:c>
      <x:c r="E942" s="14" t="str">
        <x:v>ABSTRACT</x:v>
      </x:c>
      <x:c r="F942" s="14" t="str">
        <x:v>FULLTEXT</x:v>
      </x:c>
      <x:c r="G942" s="14" t="str">
        <x:v>Keep historical access record, mark resolved</x:v>
      </x:c>
    </x:row>
    <x:row r="943" ht="65" customHeight="1">
      <x:c r="A943" s="14" t="str">
        <x:v>B16</x:v>
      </x:c>
      <x:c r="B943" s="14" t="str">
        <x:v>BLOCKED_FULLTEXT</x:v>
      </x:c>
      <x:c r="C943" s="14" t="str">
        <x:v>OAI-0111</x:v>
      </x:c>
      <x:c r="D943" s="14" t="str">
        <x:v>F19</x:v>
      </x:c>
      <x:c r="E943" s="14" t="str">
        <x:v>FULL_TEXT_NOT_ACCESSED</x:v>
      </x:c>
      <x:c r="F943" s="14" t="str">
        <x:v>RESOLVED_B16</x:v>
      </x:c>
      <x:c r="G943" s="14" t="str">
        <x:v>Keep historical access record, mark resolved</x:v>
      </x:c>
    </x:row>
    <x:row r="944" ht="65" customHeight="1">
      <x:c r="A944" s="14" t="str">
        <x:v>B16</x:v>
      </x:c>
      <x:c r="B944" s="14" t="str">
        <x:v>BLOCKED_FULLTEXT</x:v>
      </x:c>
      <x:c r="C944" s="14" t="str">
        <x:v>OAI-0111</x:v>
      </x:c>
      <x:c r="D944" s="14" t="str">
        <x:v>G19</x:v>
      </x:c>
      <x:c r="E944" s="14" t="str">
        <x:v>published abstract via API</x:v>
      </x:c>
      <x:c r="F944" s="14" t="str">
        <x:v>Publisher full-text sections; published copy for missing math symbols where needed.</x:v>
      </x:c>
      <x:c r="G944" s="14" t="str">
        <x:v>Keep historical access record, mark resolved</x:v>
      </x:c>
    </x:row>
    <x:row r="945" ht="65" customHeight="1">
      <x:c r="A945" s="14" t="str">
        <x:v>B16</x:v>
      </x:c>
      <x:c r="B945" s="14" t="str">
        <x:v>BLOCKED_FULLTEXT</x:v>
      </x:c>
      <x:c r="C945" s="14" t="str">
        <x:v>OAI-0111</x:v>
      </x:c>
      <x:c r="D945" s="14" t="str">
        <x:v>H19</x:v>
      </x:c>
      <x:c r="E945" s="14" t="str">
        <x:v>Provide publisher PDF or author manuscript (+SI)</x:v>
      </x:c>
      <x:c r="F945" s="14" t="str">
        <x:v>SI/code still pending; main-text access resolved.</x:v>
      </x:c>
      <x:c r="G945" s="14" t="str">
        <x:v>Keep historical access record, mark resolved</x:v>
      </x:c>
    </x:row>
    <x:row r="946" ht="65" customHeight="1">
      <x:c r="A946" s="14" t="str">
        <x:v>B16</x:v>
      </x:c>
      <x:c r="B946" s="14" t="str">
        <x:v>SOURCE_ACCESS</x:v>
      </x:c>
      <x:c r="C946" s="14" t="str">
        <x:v>OAI-0045</x:v>
      </x:c>
      <x:c r="D946" s="14" t="str">
        <x:v>I29</x:v>
      </x:c>
      <x:c r="E946" s="14" t="str">
        <x:v>2026-09-24</x:v>
      </x:c>
      <x:c r="F946" s="14" t="str">
        <x:v>2026-09-28</x:v>
      </x:c>
      <x:c r="G946" s="14" t="str">
        <x:v>Access date</x:v>
      </x:c>
    </x:row>
    <x:row r="947" ht="65" customHeight="1">
      <x:c r="A947" s="14" t="str">
        <x:v>B16</x:v>
      </x:c>
      <x:c r="B947" s="14" t="str">
        <x:v>SOURCE_ACCESS</x:v>
      </x:c>
      <x:c r="C947" s="14" t="str">
        <x:v>OAI-0045</x:v>
      </x:c>
      <x:c r="D947" s="14" t="str">
        <x:v>J29</x:v>
      </x:c>
      <x:c r="E947" s="14" t="str">
        <x:v>NOT_EXTRACTED for unresolved fields; read remaining text/supplements and verify code.</x:v>
      </x:c>
      <x:c r="F947" s="14" t="str">
        <x:v>See COVERAGE follow_up and BATCH_LOG B16.</x:v>
      </x:c>
      <x:c r="G947" s="14" t="str">
        <x:v>Remaining tasks</x:v>
      </x:c>
    </x:row>
    <x:row r="948" ht="65" customHeight="1">
      <x:c r="A948" s="14" t="str">
        <x:v>B16</x:v>
      </x:c>
      <x:c r="B948" s="14" t="str">
        <x:v>SOURCE_ACCESS</x:v>
      </x:c>
      <x:c r="C948" s="14" t="str">
        <x:v>OAI-0054</x:v>
      </x:c>
      <x:c r="D948" s="14" t="str">
        <x:v>D38</x:v>
      </x:c>
      <x:c r="E948" s="14" t="str">
        <x:v>ABSTRACT_ONLY</x:v>
      </x:c>
      <x:c r="F948" s="14" t="str">
        <x:v>SECTIONS_EXTRACTED</x:v>
      </x:c>
      <x:c r="G948" s="14" t="str">
        <x:v>Source read B16</x:v>
      </x:c>
    </x:row>
    <x:row r="949" ht="65" customHeight="1">
      <x:c r="A949" s="14" t="str">
        <x:v>B16</x:v>
      </x:c>
      <x:c r="B949" s="14" t="str">
        <x:v>SOURCE_ACCESS</x:v>
      </x:c>
      <x:c r="C949" s="14" t="str">
        <x:v>OAI-0054</x:v>
      </x:c>
      <x:c r="D949" s="14" t="str">
        <x:v>J38</x:v>
      </x:c>
      <x:c r="E949" s="14" t="str">
        <x:v>Full text not accessible; PDF requested.</x:v>
      </x:c>
      <x:c r="F949" s="14" t="str">
        <x:v>See COVERAGE follow_up and BATCH_LOG B16.</x:v>
      </x:c>
      <x:c r="G949" s="14" t="str">
        <x:v>Remaining tasks</x:v>
      </x:c>
    </x:row>
    <x:row r="950" ht="65" customHeight="1">
      <x:c r="A950" s="14" t="str">
        <x:v>B16</x:v>
      </x:c>
      <x:c r="B950" s="14" t="str">
        <x:v>SOURCE_ACCESS</x:v>
      </x:c>
      <x:c r="C950" s="14" t="str">
        <x:v>OAI-0111</x:v>
      </x:c>
      <x:c r="D950" s="14" t="str">
        <x:v>D88</x:v>
      </x:c>
      <x:c r="E950" s="14" t="str">
        <x:v>ABSTRACT_ONLY</x:v>
      </x:c>
      <x:c r="F950" s="14" t="str">
        <x:v>SECTIONS_EXTRACTED</x:v>
      </x:c>
      <x:c r="G950" s="14" t="str">
        <x:v>Source read B16</x:v>
      </x:c>
    </x:row>
    <x:row r="951" ht="65" customHeight="1">
      <x:c r="A951" s="14" t="str">
        <x:v>B16</x:v>
      </x:c>
      <x:c r="B951" s="14" t="str">
        <x:v>SOURCE_ACCESS</x:v>
      </x:c>
      <x:c r="C951" s="14" t="str">
        <x:v>OAI-0111</x:v>
      </x:c>
      <x:c r="D951" s="14" t="str">
        <x:v>J88</x:v>
      </x:c>
      <x:c r="E951" s="14" t="str">
        <x:v>Full text not accessible; PDF requested.</x:v>
      </x:c>
      <x:c r="F951" s="14" t="str">
        <x:v>See COVERAGE follow_up and BATCH_LOG B16.</x:v>
      </x:c>
      <x:c r="G951" s="14" t="str">
        <x:v>Remaining tasks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5" hidden="0" customHeight="1">
      <x:c r="A1" s="1" t="s">
        <x:v>102</x:v>
      </x:c>
      <x:c r="B1" s="1" t="s">
        <x:v>6626</x:v>
      </x:c>
      <x:c r="C1" s="1" t="s">
        <x:v>82</x:v>
      </x:c>
      <x:c r="D1" s="1" t="s">
        <x:v>6006</x:v>
      </x:c>
      <x:c r="E1" s="1" t="s">
        <x:v>6627</x:v>
      </x:c>
      <x:c r="F1" s="1" t="s">
        <x:v>6628</x:v>
      </x:c>
      <x:c r="G1" s="1" t="s">
        <x:v>6629</x:v>
      </x:c>
    </x:row>
    <x:row r="2" ht="15" hidden="0" customHeight="1">
      <x:c r="A2" s="1" t="s">
        <x:v>4342</x:v>
      </x:c>
      <x:c r="B2" s="1" t="s">
        <x:v>3474</x:v>
      </x:c>
      <x:c r="C2" s="1" t="s">
        <x:v>4553</x:v>
      </x:c>
      <x:c r="D2" s="1" t="n">
        <x:v>3</x:v>
      </x:c>
      <x:c r="E2" s="1" t="s">
        <x:v>6630</x:v>
      </x:c>
      <x:c r="F2" s="1" t="s">
        <x:v>6631</x:v>
      </x:c>
    </x:row>
    <x:row r="3" ht="15" hidden="0" customHeight="1">
      <x:c r="A3" s="1" t="s">
        <x:v>4342</x:v>
      </x:c>
      <x:c r="B3" s="1" t="s">
        <x:v>3474</x:v>
      </x:c>
      <x:c r="C3" s="1" t="s">
        <x:v>4570</x:v>
      </x:c>
      <x:c r="D3" s="1" t="n">
        <x:v>4</x:v>
      </x:c>
      <x:c r="E3" s="1" t="s">
        <x:v>6632</x:v>
      </x:c>
      <x:c r="F3" s="1" t="s">
        <x:v>6631</x:v>
      </x:c>
    </x:row>
    <x:row r="4" ht="15" hidden="0" customHeight="1">
      <x:c r="A4" s="1" t="s">
        <x:v>4342</x:v>
      </x:c>
      <x:c r="B4" s="1" t="s">
        <x:v>3474</x:v>
      </x:c>
      <x:c r="C4" s="1" t="s">
        <x:v>4585</x:v>
      </x:c>
      <x:c r="D4" s="1" t="n">
        <x:v>8</x:v>
      </x:c>
      <x:c r="E4" s="1" t="s">
        <x:v>6630</x:v>
      </x:c>
      <x:c r="F4" s="1" t="s">
        <x:v>6633</x:v>
      </x:c>
      <x:c r="G4" s="1" t="s">
        <x:v>6634</x:v>
      </x:c>
    </x:row>
    <x:row r="5" ht="15" hidden="0" customHeight="1">
      <x:c r="A5" s="1" t="s">
        <x:v>4342</x:v>
      </x:c>
      <x:c r="B5" s="1" t="s">
        <x:v>3474</x:v>
      </x:c>
      <x:c r="C5" s="1" t="s">
        <x:v>4482</x:v>
      </x:c>
      <x:c r="D5" s="1" t="n">
        <x:v>19</x:v>
      </x:c>
      <x:c r="E5" s="1" t="s">
        <x:v>6635</x:v>
      </x:c>
      <x:c r="F5" s="1" t="s">
        <x:v>6636</x:v>
      </x:c>
    </x:row>
    <x:row r="6" ht="15" hidden="0" customHeight="1">
      <x:c r="A6" s="1" t="s">
        <x:v>4342</x:v>
      </x:c>
      <x:c r="B6" s="1" t="s">
        <x:v>3474</x:v>
      </x:c>
      <x:c r="C6" s="1" t="s">
        <x:v>4336</x:v>
      </x:c>
      <x:c r="D6" s="1" t="n">
        <x:v>45</x:v>
      </x:c>
      <x:c r="E6" s="1" t="s">
        <x:v>6635</x:v>
      </x:c>
      <x:c r="F6" s="1" t="s">
        <x:v>6637</x:v>
      </x:c>
    </x:row>
    <x:row r="7" ht="15" hidden="0" customHeight="1">
      <x:c r="A7" s="1" t="s">
        <x:v>4342</x:v>
      </x:c>
      <x:c r="B7" s="1" t="s">
        <x:v>3474</x:v>
      </x:c>
      <x:c r="C7" s="1" t="s">
        <x:v>4614</x:v>
      </x:c>
      <x:c r="D7" s="1" t="n">
        <x:v>3</x:v>
      </x:c>
      <x:c r="E7" s="1" t="s">
        <x:v>6638</x:v>
      </x:c>
      <x:c r="F7" s="1" t="s">
        <x:v>6639</x:v>
      </x:c>
      <x:c r="G7" s="1" t="s">
        <x:v>6640</x:v>
      </x:c>
    </x:row>
    <x:row r="8" ht="15" hidden="0" customHeight="1">
      <x:c r="A8" s="1" t="s">
        <x:v>4342</x:v>
      </x:c>
      <x:c r="B8" s="1" t="s">
        <x:v>3474</x:v>
      </x:c>
      <x:c r="C8" s="1" t="s">
        <x:v>4833</x:v>
      </x:c>
      <x:c r="D8" s="1" t="n">
        <x:v>0</x:v>
      </x:c>
      <x:c r="E8" s="1" t="s">
        <x:v>5504</x:v>
      </x:c>
      <x:c r="F8" s="1" t="s">
        <x:v>6641</x:v>
      </x:c>
      <x:c r="G8" s="1" t="s">
        <x:v>6642</x:v>
      </x:c>
    </x:row>
    <x:row r="9" ht="15" hidden="0" customHeight="1">
      <x:c r="A9" s="1" t="s">
        <x:v>4342</x:v>
      </x:c>
      <x:c r="B9" s="1" t="s">
        <x:v>3474</x:v>
      </x:c>
      <x:c r="C9" s="1" t="s">
        <x:v>5134</x:v>
      </x:c>
      <x:c r="D9" s="1" t="n">
        <x:v>0</x:v>
      </x:c>
      <x:c r="E9" s="1" t="s">
        <x:v>5504</x:v>
      </x:c>
      <x:c r="F9" s="1" t="s">
        <x:v>6641</x:v>
      </x:c>
      <x:c r="G9" s="1" t="s">
        <x:v>6642</x:v>
      </x:c>
    </x:row>
    <x:row r="10" ht="15" hidden="0" customHeight="1">
      <x:c r="A10" s="1" t="s">
        <x:v>4342</x:v>
      </x:c>
      <x:c r="B10" s="1" t="s">
        <x:v>3474</x:v>
      </x:c>
      <x:c r="C10" s="1" t="s">
        <x:v>4707</x:v>
      </x:c>
      <x:c r="D10" s="1" t="n">
        <x:v>0</x:v>
      </x:c>
      <x:c r="E10" s="1" t="s">
        <x:v>5504</x:v>
      </x:c>
      <x:c r="F10" s="1" t="s">
        <x:v>6641</x:v>
      </x:c>
      <x:c r="G10" s="1" t="s">
        <x:v>6642</x:v>
      </x:c>
    </x:row>
    <x:row r="11" ht="15" hidden="0" customHeight="1">
      <x:c r="A11" s="1" t="s">
        <x:v>102</x:v>
      </x:c>
      <x:c r="B11" s="1" t="s">
        <x:v>6626</x:v>
      </x:c>
      <x:c r="C11" s="1" t="s">
        <x:v>82</x:v>
      </x:c>
      <x:c r="D11" s="1" t="s">
        <x:v>6006</x:v>
      </x:c>
      <x:c r="E11" s="1" t="s">
        <x:v>6627</x:v>
      </x:c>
      <x:c r="F11" s="1" t="s">
        <x:v>6628</x:v>
      </x:c>
      <x:c r="G11" s="1" t="s">
        <x:v>6629</x:v>
      </x:c>
    </x:row>
    <x:row r="12" ht="15" hidden="0" customHeight="1">
      <x:c r="A12" s="1" t="s">
        <x:v>4637</x:v>
      </x:c>
      <x:c r="B12" s="1" t="s">
        <x:v>3474</x:v>
      </x:c>
      <x:c r="C12" s="1" t="s">
        <x:v>4629</x:v>
      </x:c>
      <x:c r="D12" s="1" t="n">
        <x:v>23</x:v>
      </x:c>
      <x:c r="E12" s="1" t="s">
        <x:v>6635</x:v>
      </x:c>
      <x:c r="F12" s="1" t="s">
        <x:v>6643</x:v>
      </x:c>
    </x:row>
    <x:row r="13" ht="15" hidden="0" customHeight="1">
      <x:c r="A13" s="1" t="s">
        <x:v>4637</x:v>
      </x:c>
      <x:c r="B13" s="1" t="s">
        <x:v>3474</x:v>
      </x:c>
      <x:c r="C13" s="1" t="s">
        <x:v>4833</x:v>
      </x:c>
      <x:c r="D13" s="1" t="n">
        <x:v>20</x:v>
      </x:c>
      <x:c r="E13" s="1" t="s">
        <x:v>6635</x:v>
      </x:c>
      <x:c r="F13" s="1" t="s">
        <x:v>6644</x:v>
      </x:c>
    </x:row>
    <x:row r="14" ht="15" hidden="0" customHeight="1">
      <x:c r="A14" s="1" t="s">
        <x:v>4637</x:v>
      </x:c>
      <x:c r="B14" s="1" t="s">
        <x:v>3474</x:v>
      </x:c>
      <x:c r="C14" s="1" t="s">
        <x:v>4786</x:v>
      </x:c>
      <x:c r="D14" s="1" t="n">
        <x:v>16</x:v>
      </x:c>
      <x:c r="E14" s="1" t="s">
        <x:v>6635</x:v>
      </x:c>
      <x:c r="F14" s="1" t="s">
        <x:v>6645</x:v>
      </x:c>
    </x:row>
    <x:row r="15" ht="15" hidden="0" customHeight="1">
      <x:c r="A15" s="1" t="s">
        <x:v>4637</x:v>
      </x:c>
      <x:c r="B15" s="1" t="s">
        <x:v>3474</x:v>
      </x:c>
      <x:c r="C15" s="1" t="s">
        <x:v>4707</x:v>
      </x:c>
      <x:c r="D15" s="1" t="n">
        <x:v>22</x:v>
      </x:c>
      <x:c r="E15" s="1" t="s">
        <x:v>6635</x:v>
      </x:c>
      <x:c r="F15" s="1" t="s">
        <x:v>6646</x:v>
      </x:c>
    </x:row>
    <x:row r="16" ht="15" hidden="0" customHeight="1">
      <x:c r="A16" s="1" t="s">
        <x:v>4637</x:v>
      </x:c>
      <x:c r="B16" s="1" t="s">
        <x:v>3474</x:v>
      </x:c>
      <x:c r="C16" s="1" t="s">
        <x:v>5142</x:v>
      </x:c>
      <x:c r="D16" s="1" t="n">
        <x:v>0</x:v>
      </x:c>
      <x:c r="E16" s="1" t="s">
        <x:v>5504</x:v>
      </x:c>
      <x:c r="F16" s="1" t="s">
        <x:v>6647</x:v>
      </x:c>
      <x:c r="G16" s="1" t="s">
        <x:v>6642</x:v>
      </x:c>
    </x:row>
    <x:row r="17" ht="15" hidden="0" customHeight="1">
      <x:c r="A17" s="1" t="s">
        <x:v>4637</x:v>
      </x:c>
      <x:c r="B17" s="1" t="s">
        <x:v>3474</x:v>
      </x:c>
      <x:c r="C17" s="1" t="s">
        <x:v>5134</x:v>
      </x:c>
      <x:c r="D17" s="1" t="n">
        <x:v>0</x:v>
      </x:c>
      <x:c r="E17" s="1" t="s">
        <x:v>5504</x:v>
      </x:c>
      <x:c r="F17" s="1" t="s">
        <x:v>6648</x:v>
      </x:c>
      <x:c r="G17" s="1" t="s">
        <x:v>6649</x:v>
      </x:c>
    </x:row>
    <x:row r="18" ht="15" hidden="0" customHeight="1">
      <x:c r="A18" s="1" t="s">
        <x:v>4637</x:v>
      </x:c>
      <x:c r="B18" s="1" t="s">
        <x:v>3474</x:v>
      </x:c>
      <x:c r="C18" s="1" t="s">
        <x:v>5171</x:v>
      </x:c>
      <x:c r="D18" s="1" t="n">
        <x:v>0</x:v>
      </x:c>
      <x:c r="E18" s="1" t="s">
        <x:v>5504</x:v>
      </x:c>
      <x:c r="F18" s="1" t="s">
        <x:v>6650</x:v>
      </x:c>
      <x:c r="G18" s="1" t="s">
        <x:v>6651</x:v>
      </x:c>
    </x:row>
    <x:row r="19" ht="15" hidden="0" customHeight="1">
      <x:c r="A19" s="1" t="s">
        <x:v>4637</x:v>
      </x:c>
      <x:c r="B19" s="1" t="s">
        <x:v>3474</x:v>
      </x:c>
      <x:c r="C19" s="1" t="s">
        <x:v>5634</x:v>
      </x:c>
      <x:c r="D19" s="1" t="n">
        <x:v>0</x:v>
      </x:c>
      <x:c r="E19" s="1" t="s">
        <x:v>5504</x:v>
      </x:c>
      <x:c r="F19" s="1" t="s">
        <x:v>6652</x:v>
      </x:c>
      <x:c r="G19" s="1" t="s">
        <x:v>6653</x:v>
      </x:c>
    </x:row>
    <x:row r="20" ht="15" hidden="0" customHeight="1">
      <x:c r="A20" s="1" t="s">
        <x:v>4637</x:v>
      </x:c>
      <x:c r="B20" s="1" t="s">
        <x:v>3474</x:v>
      </x:c>
      <x:c r="C20" s="1" t="s">
        <x:v>5636</x:v>
      </x:c>
      <x:c r="D20" s="1" t="n">
        <x:v>0</x:v>
      </x:c>
      <x:c r="E20" s="1" t="s">
        <x:v>5504</x:v>
      </x:c>
      <x:c r="F20" s="1" t="s">
        <x:v>6652</x:v>
      </x:c>
      <x:c r="G20" s="1" t="s">
        <x:v>6653</x:v>
      </x:c>
    </x:row>
    <x:row r="21" ht="15" hidden="0" customHeight="1">
      <x:c r="A21" s="1" t="s">
        <x:v>4637</x:v>
      </x:c>
      <x:c r="B21" s="1" t="s">
        <x:v>3474</x:v>
      </x:c>
      <x:c r="C21" s="1" t="s">
        <x:v>5111</x:v>
      </x:c>
      <x:c r="D21" s="1" t="n">
        <x:v>0</x:v>
      </x:c>
      <x:c r="E21" s="1" t="s">
        <x:v>5504</x:v>
      </x:c>
      <x:c r="F21" s="1" t="s">
        <x:v>6652</x:v>
      </x:c>
      <x:c r="G21" s="1" t="s">
        <x:v>6653</x:v>
      </x:c>
    </x:row>
    <x:row r="22" ht="15" hidden="0" customHeight="1">
      <x:c r="A22" s="1" t="s">
        <x:v>4637</x:v>
      </x:c>
      <x:c r="B22" s="1" t="s">
        <x:v>3474</x:v>
      </x:c>
      <x:c r="C22" s="1" t="s">
        <x:v>5123</x:v>
      </x:c>
      <x:c r="D22" s="1" t="n">
        <x:v>0</x:v>
      </x:c>
      <x:c r="E22" s="1" t="s">
        <x:v>5504</x:v>
      </x:c>
      <x:c r="F22" s="1" t="s">
        <x:v>6652</x:v>
      </x:c>
      <x:c r="G22" s="1" t="s">
        <x:v>6653</x:v>
      </x:c>
    </x:row>
    <x:row r="23" ht="15" hidden="0" customHeight="1">
      <x:c r="A23" s="1" t="s">
        <x:v>102</x:v>
      </x:c>
      <x:c r="B23" s="1" t="s">
        <x:v>6626</x:v>
      </x:c>
      <x:c r="C23" s="1" t="s">
        <x:v>82</x:v>
      </x:c>
      <x:c r="D23" s="1" t="s">
        <x:v>6006</x:v>
      </x:c>
      <x:c r="E23" s="1" t="s">
        <x:v>6627</x:v>
      </x:c>
      <x:c r="F23" s="1" t="s">
        <x:v>6628</x:v>
      </x:c>
      <x:c r="G23" s="1" t="s">
        <x:v>6629</x:v>
      </x:c>
    </x:row>
    <x:row r="24" ht="15" hidden="0" customHeight="1">
      <x:c r="A24" s="1" t="s">
        <x:v>4904</x:v>
      </x:c>
      <x:c r="B24" s="1" t="s">
        <x:v>20</x:v>
      </x:c>
      <x:c r="C24" s="1" t="s">
        <x:v>4629</x:v>
      </x:c>
      <x:c r="D24" s="1" t="n">
        <x:v>1</x:v>
      </x:c>
      <x:c r="E24" s="1" t="s">
        <x:v>4899</x:v>
      </x:c>
      <x:c r="F24" s="1" t="s">
        <x:v>6654</x:v>
      </x:c>
    </x:row>
    <x:row r="25" ht="15" hidden="0" customHeight="1">
      <x:c r="A25" s="1" t="s">
        <x:v>4904</x:v>
      </x:c>
      <x:c r="B25" s="1" t="s">
        <x:v>20</x:v>
      </x:c>
      <x:c r="C25" s="1" t="s">
        <x:v>4916</x:v>
      </x:c>
      <x:c r="D25" s="1" t="n">
        <x:v>8</x:v>
      </x:c>
      <x:c r="E25" s="1" t="s">
        <x:v>6655</x:v>
      </x:c>
      <x:c r="F25" s="1" t="s">
        <x:v>6656</x:v>
      </x:c>
    </x:row>
    <x:row r="26" ht="15" hidden="0" customHeight="1">
      <x:c r="A26" s="1" t="s">
        <x:v>4904</x:v>
      </x:c>
      <x:c r="B26" s="1" t="s">
        <x:v>20</x:v>
      </x:c>
      <x:c r="C26" s="1" t="s">
        <x:v>4833</x:v>
      </x:c>
      <x:c r="D26" s="1" t="n">
        <x:v>1</x:v>
      </x:c>
      <x:c r="E26" s="1" t="s">
        <x:v>4899</x:v>
      </x:c>
      <x:c r="F26" s="1" t="s">
        <x:v>6654</x:v>
      </x:c>
    </x:row>
    <x:row r="27" ht="15" hidden="0" customHeight="1">
      <x:c r="A27" s="1" t="s">
        <x:v>4904</x:v>
      </x:c>
      <x:c r="B27" s="1" t="s">
        <x:v>20</x:v>
      </x:c>
      <x:c r="C27" s="1" t="s">
        <x:v>2517</x:v>
      </x:c>
      <x:c r="D27" s="1" t="n">
        <x:v>1</x:v>
      </x:c>
      <x:c r="E27" s="1" t="s">
        <x:v>4899</x:v>
      </x:c>
      <x:c r="F27" s="1" t="s">
        <x:v>6657</x:v>
      </x:c>
    </x:row>
    <x:row r="28" ht="15" hidden="0" customHeight="1">
      <x:c r="A28" s="1" t="s">
        <x:v>4904</x:v>
      </x:c>
      <x:c r="B28" s="1" t="s">
        <x:v>20</x:v>
      </x:c>
      <x:c r="C28" s="1" t="s">
        <x:v>5134</x:v>
      </x:c>
      <x:c r="D28" s="1" t="n">
        <x:v>0</x:v>
      </x:c>
      <x:c r="E28" s="1" t="s">
        <x:v>5504</x:v>
      </x:c>
      <x:c r="F28" s="1" t="s">
        <x:v>6658</x:v>
      </x:c>
      <x:c r="G28" s="1" t="s">
        <x:v>6659</x:v>
      </x:c>
    </x:row>
    <x:row r="29" ht="15" hidden="0" customHeight="1">
      <x:c r="A29" s="1" t="s">
        <x:v>4904</x:v>
      </x:c>
      <x:c r="B29" s="1" t="s">
        <x:v>20</x:v>
      </x:c>
      <x:c r="C29" s="1" t="s">
        <x:v>5101</x:v>
      </x:c>
      <x:c r="D29" s="1" t="n">
        <x:v>0</x:v>
      </x:c>
      <x:c r="E29" s="1" t="s">
        <x:v>5504</x:v>
      </x:c>
      <x:c r="F29" s="1" t="s">
        <x:v>6660</x:v>
      </x:c>
      <x:c r="G29" s="1" t="s">
        <x:v>6653</x:v>
      </x:c>
    </x:row>
    <x:row r="30" ht="15" hidden="0" customHeight="1">
      <x:c r="A30" s="1" t="s">
        <x:v>4904</x:v>
      </x:c>
      <x:c r="B30" s="1" t="s">
        <x:v>20</x:v>
      </x:c>
      <x:c r="C30" s="1" t="s">
        <x:v>5501</x:v>
      </x:c>
      <x:c r="D30" s="1" t="n">
        <x:v>0</x:v>
      </x:c>
      <x:c r="E30" s="1" t="s">
        <x:v>5504</x:v>
      </x:c>
      <x:c r="F30" s="1" t="s">
        <x:v>6661</x:v>
      </x:c>
      <x:c r="G30" s="1" t="s">
        <x:v>6653</x:v>
      </x:c>
    </x:row>
    <x:row r="31" ht="15" hidden="0" customHeight="1">
      <x:c r="A31" s="1" t="s">
        <x:v>4904</x:v>
      </x:c>
      <x:c r="B31" s="1" t="s">
        <x:v>20</x:v>
      </x:c>
      <x:c r="C31" s="1" t="s">
        <x:v>5559</x:v>
      </x:c>
      <x:c r="D31" s="1" t="n">
        <x:v>0</x:v>
      </x:c>
      <x:c r="E31" s="1" t="s">
        <x:v>5504</x:v>
      </x:c>
      <x:c r="F31" s="1" t="s">
        <x:v>6661</x:v>
      </x:c>
      <x:c r="G31" s="1" t="s">
        <x:v>6653</x:v>
      </x:c>
    </x:row>
    <x:row r="32" ht="15" hidden="0" customHeight="1">
      <x:c r="A32" s="1" t="s">
        <x:v>4904</x:v>
      </x:c>
      <x:c r="B32" s="1" t="s">
        <x:v>20</x:v>
      </x:c>
      <x:c r="C32" s="1" t="s">
        <x:v>5160</x:v>
      </x:c>
      <x:c r="D32" s="1" t="n">
        <x:v>0</x:v>
      </x:c>
      <x:c r="E32" s="1" t="s">
        <x:v>5504</x:v>
      </x:c>
      <x:c r="F32" s="1" t="s">
        <x:v>6662</x:v>
      </x:c>
      <x:c r="G32" s="1" t="s">
        <x:v>6663</x:v>
      </x:c>
    </x:row>
    <x:row r="33" ht="15" hidden="0" customHeight="1">
      <x:c r="A33" s="1" t="s">
        <x:v>4904</x:v>
      </x:c>
      <x:c r="B33" s="1" t="s">
        <x:v>20</x:v>
      </x:c>
      <x:c r="C33" s="1" t="s">
        <x:v>5151</x:v>
      </x:c>
      <x:c r="D33" s="1" t="n">
        <x:v>0</x:v>
      </x:c>
      <x:c r="E33" s="1" t="s">
        <x:v>5504</x:v>
      </x:c>
      <x:c r="F33" s="1" t="s">
        <x:v>6664</x:v>
      </x:c>
      <x:c r="G33" s="1" t="s">
        <x:v>6663</x:v>
      </x:c>
    </x:row>
    <x:row r="34" ht="15" hidden="0" customHeight="1">
      <x:c r="A34" s="1" t="s">
        <x:v>4904</x:v>
      </x:c>
      <x:c r="B34" s="1" t="s">
        <x:v>20</x:v>
      </x:c>
      <x:c r="C34" s="1" t="s">
        <x:v>5580</x:v>
      </x:c>
      <x:c r="D34" s="1" t="n">
        <x:v>0</x:v>
      </x:c>
      <x:c r="E34" s="1" t="s">
        <x:v>5504</x:v>
      </x:c>
      <x:c r="F34" s="1" t="s">
        <x:v>6661</x:v>
      </x:c>
      <x:c r="G34" s="1" t="s">
        <x:v>6653</x:v>
      </x:c>
    </x:row>
    <x:row r="35" ht="15" hidden="0" customHeight="1">
      <x:c r="A35" s="1" t="s">
        <x:v>4904</x:v>
      </x:c>
      <x:c r="B35" s="1" t="s">
        <x:v>20</x:v>
      </x:c>
      <x:c r="C35" s="1" t="s">
        <x:v>5583</x:v>
      </x:c>
      <x:c r="D35" s="1" t="n">
        <x:v>0</x:v>
      </x:c>
      <x:c r="E35" s="1" t="s">
        <x:v>5504</x:v>
      </x:c>
      <x:c r="F35" s="1" t="s">
        <x:v>6661</x:v>
      </x:c>
      <x:c r="G35" s="1" t="s">
        <x:v>6653</x:v>
      </x:c>
    </x:row>
    <x:row r="36" ht="15" hidden="0" customHeight="1">
      <x:c r="A36" s="1" t="s">
        <x:v>4904</x:v>
      </x:c>
      <x:c r="B36" s="1" t="s">
        <x:v>20</x:v>
      </x:c>
      <x:c r="C36" s="1" t="s">
        <x:v>5585</x:v>
      </x:c>
      <x:c r="D36" s="1" t="n">
        <x:v>0</x:v>
      </x:c>
      <x:c r="E36" s="1" t="s">
        <x:v>5504</x:v>
      </x:c>
      <x:c r="F36" s="1" t="s">
        <x:v>6665</x:v>
      </x:c>
      <x:c r="G36" s="1" t="s">
        <x:v>6666</x:v>
      </x:c>
    </x:row>
    <x:row r="37" ht="15" hidden="0" customHeight="1">
      <x:c r="A37" s="1" t="s">
        <x:v>4904</x:v>
      </x:c>
      <x:c r="B37" s="1" t="s">
        <x:v>20</x:v>
      </x:c>
      <x:c r="C37" s="1" t="s">
        <x:v>5587</x:v>
      </x:c>
      <x:c r="D37" s="1" t="n">
        <x:v>0</x:v>
      </x:c>
      <x:c r="E37" s="1" t="s">
        <x:v>5504</x:v>
      </x:c>
      <x:c r="F37" s="1" t="s">
        <x:v>6661</x:v>
      </x:c>
      <x:c r="G37" s="1" t="s">
        <x:v>6653</x:v>
      </x:c>
    </x:row>
    <x:row r="38" ht="15" hidden="0" customHeight="1">
      <x:c r="A38" s="1" t="s">
        <x:v>4904</x:v>
      </x:c>
      <x:c r="B38" s="1" t="s">
        <x:v>20</x:v>
      </x:c>
      <x:c r="C38" s="1" t="s">
        <x:v>5589</x:v>
      </x:c>
      <x:c r="D38" s="1" t="n">
        <x:v>0</x:v>
      </x:c>
      <x:c r="E38" s="1" t="s">
        <x:v>5504</x:v>
      </x:c>
      <x:c r="F38" s="1" t="s">
        <x:v>6661</x:v>
      </x:c>
      <x:c r="G38" s="1" t="s">
        <x:v>6653</x:v>
      </x:c>
    </x:row>
    <x:row r="39" ht="15" hidden="0" customHeight="1">
      <x:c r="A39" s="1" t="s">
        <x:v>4954</x:v>
      </x:c>
      <x:c r="B39" s="1" t="s">
        <x:v>20</x:v>
      </x:c>
      <x:c r="C39" s="1" t="s">
        <x:v>2999</x:v>
      </x:c>
      <x:c r="D39" s="1" t="n">
        <x:v>16</x:v>
      </x:c>
      <x:c r="E39" s="1" t="s">
        <x:v>6667</x:v>
      </x:c>
      <x:c r="F39" s="1" t="s">
        <x:v>6668</x:v>
      </x:c>
    </x:row>
    <x:row r="40" ht="15" hidden="0" customHeight="1">
      <x:c r="A40" s="1" t="s">
        <x:v>4954</x:v>
      </x:c>
      <x:c r="B40" s="1" t="s">
        <x:v>20</x:v>
      </x:c>
      <x:c r="C40" s="1" t="s">
        <x:v>2802</x:v>
      </x:c>
      <x:c r="D40" s="1" t="n">
        <x:v>16</x:v>
      </x:c>
      <x:c r="E40" s="1" t="s">
        <x:v>6667</x:v>
      </x:c>
      <x:c r="F40" s="1" t="s">
        <x:v>6668</x:v>
      </x:c>
    </x:row>
    <x:row r="41" ht="15" hidden="0" customHeight="1">
      <x:c r="A41" s="1" t="s">
        <x:v>4954</x:v>
      </x:c>
      <x:c r="B41" s="1" t="s">
        <x:v>20</x:v>
      </x:c>
      <x:c r="C41" s="1" t="s">
        <x:v>2517</x:v>
      </x:c>
      <x:c r="D41" s="1" t="n">
        <x:v>1</x:v>
      </x:c>
      <x:c r="E41" s="1" t="s">
        <x:v>4899</x:v>
      </x:c>
      <x:c r="F41" s="1" t="s">
        <x:v>6669</x:v>
      </x:c>
    </x:row>
    <x:row r="42" ht="15" hidden="0" customHeight="1">
      <x:c r="A42" s="1" t="s">
        <x:v>4954</x:v>
      </x:c>
      <x:c r="B42" s="1" t="s">
        <x:v>20</x:v>
      </x:c>
      <x:c r="C42" s="1" t="s">
        <x:v>715</x:v>
      </x:c>
      <x:c r="D42" s="1" t="n">
        <x:v>0</x:v>
      </x:c>
      <x:c r="E42" s="1" t="s">
        <x:v>5504</x:v>
      </x:c>
      <x:c r="F42" s="1" t="s">
        <x:v>6670</x:v>
      </x:c>
      <x:c r="G42" s="1" t="s">
        <x:v>6671</x:v>
      </x:c>
    </x:row>
    <x:row r="43" ht="15" hidden="0" customHeight="1">
      <x:c r="A43" s="1" t="s">
        <x:v>5060</x:v>
      </x:c>
      <x:c r="B43" s="1" t="s">
        <x:v>20</x:v>
      </x:c>
      <x:c r="C43" s="1" t="s">
        <x:v>5101</x:v>
      </x:c>
      <x:c r="D43" s="1" t="n">
        <x:v>2</x:v>
      </x:c>
      <x:c r="E43" s="1" t="s">
        <x:v>52</x:v>
      </x:c>
      <x:c r="F43" s="1" t="s">
        <x:v>6672</x:v>
      </x:c>
      <x:c r="G43" s="1" t="s">
        <x:v>6673</x:v>
      </x:c>
    </x:row>
    <x:row r="44" ht="15" hidden="0" customHeight="1">
      <x:c r="A44" s="1" t="s">
        <x:v>5060</x:v>
      </x:c>
      <x:c r="B44" s="1" t="s">
        <x:v>20</x:v>
      </x:c>
      <x:c r="C44" s="1" t="s">
        <x:v>5151</x:v>
      </x:c>
      <x:c r="D44" s="1" t="n">
        <x:v>2</x:v>
      </x:c>
      <x:c r="E44" s="1" t="s">
        <x:v>52</x:v>
      </x:c>
      <x:c r="F44" s="1" t="s">
        <x:v>6672</x:v>
      </x:c>
      <x:c r="G44" s="1" t="s">
        <x:v>6673</x:v>
      </x:c>
    </x:row>
    <x:row r="45" ht="15" hidden="0" customHeight="1">
      <x:c r="A45" s="1" t="s">
        <x:v>5060</x:v>
      </x:c>
      <x:c r="B45" s="1" t="s">
        <x:v>20</x:v>
      </x:c>
      <x:c r="C45" s="1" t="s">
        <x:v>5111</x:v>
      </x:c>
      <x:c r="D45" s="1" t="n">
        <x:v>3</x:v>
      </x:c>
      <x:c r="E45" s="1" t="s">
        <x:v>52</x:v>
      </x:c>
      <x:c r="F45" s="1" t="s">
        <x:v>6672</x:v>
      </x:c>
      <x:c r="G45" s="1" t="s">
        <x:v>6673</x:v>
      </x:c>
    </x:row>
    <x:row r="46" ht="15" hidden="0" customHeight="1">
      <x:c r="A46" s="1" t="s">
        <x:v>5060</x:v>
      </x:c>
      <x:c r="B46" s="1" t="s">
        <x:v>20</x:v>
      </x:c>
      <x:c r="C46" s="1" t="s">
        <x:v>5123</x:v>
      </x:c>
      <x:c r="D46" s="1" t="n">
        <x:v>3</x:v>
      </x:c>
      <x:c r="E46" s="1" t="s">
        <x:v>52</x:v>
      </x:c>
      <x:c r="F46" s="1" t="s">
        <x:v>6672</x:v>
      </x:c>
      <x:c r="G46" s="1" t="s">
        <x:v>6673</x:v>
      </x:c>
    </x:row>
    <x:row r="47" ht="15" hidden="0" customHeight="1">
      <x:c r="A47" s="1" t="s">
        <x:v>5060</x:v>
      </x:c>
      <x:c r="B47" s="1" t="s">
        <x:v>20</x:v>
      </x:c>
      <x:c r="C47" s="1" t="s">
        <x:v>5134</x:v>
      </x:c>
      <x:c r="D47" s="1" t="n">
        <x:v>2</x:v>
      </x:c>
      <x:c r="E47" s="1" t="s">
        <x:v>52</x:v>
      </x:c>
      <x:c r="F47" s="1" t="s">
        <x:v>6672</x:v>
      </x:c>
      <x:c r="G47" s="1" t="s">
        <x:v>6673</x:v>
      </x:c>
    </x:row>
    <x:row r="48" ht="15" hidden="0" customHeight="1">
      <x:c r="A48" s="1" t="s">
        <x:v>5060</x:v>
      </x:c>
      <x:c r="B48" s="1" t="s">
        <x:v>20</x:v>
      </x:c>
      <x:c r="C48" s="1" t="s">
        <x:v>5160</x:v>
      </x:c>
      <x:c r="D48" s="1" t="n">
        <x:v>3</x:v>
      </x:c>
      <x:c r="E48" s="1" t="s">
        <x:v>52</x:v>
      </x:c>
      <x:c r="F48" s="1" t="s">
        <x:v>6672</x:v>
      </x:c>
      <x:c r="G48" s="1" t="s">
        <x:v>6673</x:v>
      </x:c>
    </x:row>
    <x:row r="49" ht="15" hidden="0" customHeight="1">
      <x:c r="A49" s="1" t="s">
        <x:v>5060</x:v>
      </x:c>
      <x:c r="B49" s="1" t="s">
        <x:v>20</x:v>
      </x:c>
      <x:c r="C49" s="1" t="s">
        <x:v>4833</x:v>
      </x:c>
      <x:c r="D49" s="1" t="n">
        <x:v>9</x:v>
      </x:c>
      <x:c r="E49" s="1" t="s">
        <x:v>6674</x:v>
      </x:c>
      <x:c r="F49" s="1" t="s">
        <x:v>6675</x:v>
      </x:c>
    </x:row>
    <x:row r="50" ht="15" hidden="0" customHeight="1">
      <x:c r="A50" s="1" t="s">
        <x:v>5060</x:v>
      </x:c>
      <x:c r="B50" s="1" t="s">
        <x:v>20</x:v>
      </x:c>
      <x:c r="C50" s="1" t="s">
        <x:v>5142</x:v>
      </x:c>
      <x:c r="D50" s="1" t="n">
        <x:v>2</x:v>
      </x:c>
      <x:c r="E50" s="1" t="s">
        <x:v>52</x:v>
      </x:c>
      <x:c r="F50" s="1" t="s">
        <x:v>6676</x:v>
      </x:c>
      <x:c r="G50" s="1" t="s">
        <x:v>6673</x:v>
      </x:c>
    </x:row>
    <x:row r="51" ht="15" hidden="0" customHeight="1">
      <x:c r="A51" s="1" t="s">
        <x:v>5060</x:v>
      </x:c>
      <x:c r="B51" s="1" t="s">
        <x:v>20</x:v>
      </x:c>
      <x:c r="C51" s="1" t="s">
        <x:v>5171</x:v>
      </x:c>
      <x:c r="D51" s="1" t="n">
        <x:v>10</x:v>
      </x:c>
      <x:c r="E51" s="1" t="s">
        <x:v>6677</x:v>
      </x:c>
      <x:c r="F51" s="1" t="s">
        <x:v>6678</x:v>
      </x:c>
      <x:c r="G51" s="1" t="s">
        <x:v>6673</x:v>
      </x:c>
    </x:row>
    <x:row r="52" ht="15" hidden="0" customHeight="1">
      <x:c r="A52" s="1" t="s">
        <x:v>5060</x:v>
      </x:c>
      <x:c r="B52" s="1" t="s">
        <x:v>20</x:v>
      </x:c>
      <x:c r="C52" s="1" t="s">
        <x:v>5501</x:v>
      </x:c>
      <x:c r="D52" s="1" t="n">
        <x:v>0</x:v>
      </x:c>
      <x:c r="E52" s="1" t="s">
        <x:v>5504</x:v>
      </x:c>
      <x:c r="F52" s="1" t="s">
        <x:v>6679</x:v>
      </x:c>
      <x:c r="G52" s="1" t="s">
        <x:v>6680</x:v>
      </x:c>
    </x:row>
    <x:row r="53" ht="15" hidden="0" customHeight="1">
      <x:c r="A53" s="1" t="s">
        <x:v>5060</x:v>
      </x:c>
      <x:c r="B53" s="1" t="s">
        <x:v>20</x:v>
      </x:c>
      <x:c r="C53" s="1" t="s">
        <x:v>5559</x:v>
      </x:c>
      <x:c r="D53" s="1" t="n">
        <x:v>0</x:v>
      </x:c>
      <x:c r="E53" s="1" t="s">
        <x:v>5504</x:v>
      </x:c>
      <x:c r="F53" s="1" t="s">
        <x:v>6679</x:v>
      </x:c>
      <x:c r="G53" s="1" t="s">
        <x:v>6680</x:v>
      </x:c>
    </x:row>
    <x:row r="54" ht="15" hidden="0" customHeight="1">
      <x:c r="A54" s="1" t="s">
        <x:v>5060</x:v>
      </x:c>
      <x:c r="B54" s="1" t="s">
        <x:v>20</x:v>
      </x:c>
      <x:c r="C54" s="1" t="s">
        <x:v>5580</x:v>
      </x:c>
      <x:c r="D54" s="1" t="n">
        <x:v>0</x:v>
      </x:c>
      <x:c r="E54" s="1" t="s">
        <x:v>5504</x:v>
      </x:c>
      <x:c r="F54" s="1" t="s">
        <x:v>6679</x:v>
      </x:c>
      <x:c r="G54" s="1" t="s">
        <x:v>6680</x:v>
      </x:c>
    </x:row>
    <x:row r="55" ht="15" hidden="0" customHeight="1">
      <x:c r="A55" s="1" t="s">
        <x:v>5060</x:v>
      </x:c>
      <x:c r="B55" s="1" t="s">
        <x:v>20</x:v>
      </x:c>
      <x:c r="C55" s="1" t="s">
        <x:v>5583</x:v>
      </x:c>
      <x:c r="D55" s="1" t="n">
        <x:v>0</x:v>
      </x:c>
      <x:c r="E55" s="1" t="s">
        <x:v>5504</x:v>
      </x:c>
      <x:c r="F55" s="1" t="s">
        <x:v>6679</x:v>
      </x:c>
      <x:c r="G55" s="1" t="s">
        <x:v>6680</x:v>
      </x:c>
    </x:row>
    <x:row r="56" ht="15" hidden="0" customHeight="1">
      <x:c r="A56" s="1" t="s">
        <x:v>5060</x:v>
      </x:c>
      <x:c r="B56" s="1" t="s">
        <x:v>20</x:v>
      </x:c>
      <x:c r="C56" s="1" t="s">
        <x:v>5585</x:v>
      </x:c>
      <x:c r="D56" s="1" t="n">
        <x:v>0</x:v>
      </x:c>
      <x:c r="E56" s="1" t="s">
        <x:v>5504</x:v>
      </x:c>
      <x:c r="F56" s="1" t="s">
        <x:v>6679</x:v>
      </x:c>
      <x:c r="G56" s="1" t="s">
        <x:v>6680</x:v>
      </x:c>
    </x:row>
    <x:row r="57" ht="15" hidden="0" customHeight="1">
      <x:c r="A57" s="1" t="s">
        <x:v>5060</x:v>
      </x:c>
      <x:c r="B57" s="1" t="s">
        <x:v>20</x:v>
      </x:c>
      <x:c r="C57" s="1" t="s">
        <x:v>5587</x:v>
      </x:c>
      <x:c r="D57" s="1" t="n">
        <x:v>0</x:v>
      </x:c>
      <x:c r="E57" s="1" t="s">
        <x:v>5504</x:v>
      </x:c>
      <x:c r="F57" s="1" t="s">
        <x:v>6679</x:v>
      </x:c>
      <x:c r="G57" s="1" t="s">
        <x:v>6680</x:v>
      </x:c>
    </x:row>
    <x:row r="58" ht="15" hidden="0" customHeight="1">
      <x:c r="A58" s="1" t="s">
        <x:v>5060</x:v>
      </x:c>
      <x:c r="B58" s="1" t="s">
        <x:v>20</x:v>
      </x:c>
      <x:c r="C58" s="1" t="s">
        <x:v>5589</x:v>
      </x:c>
      <x:c r="D58" s="1" t="n">
        <x:v>0</x:v>
      </x:c>
      <x:c r="E58" s="1" t="s">
        <x:v>5504</x:v>
      </x:c>
      <x:c r="F58" s="1" t="s">
        <x:v>6679</x:v>
      </x:c>
      <x:c r="G58" s="1" t="s">
        <x:v>6680</x:v>
      </x:c>
    </x:row>
    <x:row r="59" ht="15" hidden="0" customHeight="1">
      <x:c r="A59" s="1" t="s">
        <x:v>5060</x:v>
      </x:c>
      <x:c r="B59" s="1" t="s">
        <x:v>20</x:v>
      </x:c>
      <x:c r="C59" s="1" t="s">
        <x:v>5634</x:v>
      </x:c>
      <x:c r="D59" s="1" t="n">
        <x:v>0</x:v>
      </x:c>
      <x:c r="E59" s="1" t="s">
        <x:v>5504</x:v>
      </x:c>
      <x:c r="F59" s="1" t="s">
        <x:v>6679</x:v>
      </x:c>
      <x:c r="G59" s="1" t="s">
        <x:v>6680</x:v>
      </x:c>
    </x:row>
    <x:row r="60" ht="15" hidden="0" customHeight="1">
      <x:c r="A60" s="1" t="s">
        <x:v>5060</x:v>
      </x:c>
      <x:c r="B60" s="1" t="s">
        <x:v>20</x:v>
      </x:c>
      <x:c r="C60" s="1" t="s">
        <x:v>5636</x:v>
      </x:c>
      <x:c r="D60" s="1" t="n">
        <x:v>0</x:v>
      </x:c>
      <x:c r="E60" s="1" t="s">
        <x:v>5504</x:v>
      </x:c>
      <x:c r="F60" s="1" t="s">
        <x:v>6679</x:v>
      </x:c>
      <x:c r="G60" s="1" t="s">
        <x:v>6680</x:v>
      </x:c>
    </x:row>
    <x:row r="61" ht="15" hidden="0" customHeight="1">
      <x:c r="A61" s="1" t="s">
        <x:v>5218</x:v>
      </x:c>
      <x:c r="B61" s="1" t="s">
        <x:v>20</x:v>
      </x:c>
      <x:c r="C61" s="1" t="s">
        <x:v>4707</x:v>
      </x:c>
      <x:c r="D61" s="1" t="n">
        <x:v>7</x:v>
      </x:c>
      <x:c r="E61" s="1" t="s">
        <x:v>6681</x:v>
      </x:c>
      <x:c r="F61" s="1" t="s">
        <x:v>6682</x:v>
      </x:c>
    </x:row>
    <x:row r="62" ht="15" hidden="0" customHeight="1">
      <x:c r="A62" s="1" t="s">
        <x:v>5247</x:v>
      </x:c>
      <x:c r="B62" s="1" t="s">
        <x:v>20</x:v>
      </x:c>
      <x:c r="C62" s="1" t="s">
        <x:v>4916</x:v>
      </x:c>
      <x:c r="D62" s="1" t="n">
        <x:v>1</x:v>
      </x:c>
      <x:c r="E62" s="1" t="s">
        <x:v>6683</x:v>
      </x:c>
      <x:c r="F62" s="1" t="s">
        <x:v>6684</x:v>
      </x:c>
    </x:row>
    <x:row r="63" ht="15" hidden="0" customHeight="1">
      <x:c r="A63" s="1" t="s">
        <x:v>5247</x:v>
      </x:c>
      <x:c r="B63" s="1" t="s">
        <x:v>20</x:v>
      </x:c>
      <x:c r="C63" s="1" t="s">
        <x:v>781</x:v>
      </x:c>
      <x:c r="D63" s="1" t="n">
        <x:v>1</x:v>
      </x:c>
      <x:c r="E63" s="1" t="s">
        <x:v>6683</x:v>
      </x:c>
      <x:c r="F63" s="1" t="s">
        <x:v>6668</x:v>
      </x:c>
    </x:row>
    <x:row r="64" ht="15" hidden="0" customHeight="1">
      <x:c r="A64" s="1" t="s">
        <x:v>5247</x:v>
      </x:c>
      <x:c r="B64" s="1" t="s">
        <x:v>20</x:v>
      </x:c>
      <x:c r="C64" s="1" t="s">
        <x:v>4833</x:v>
      </x:c>
      <x:c r="D64" s="1" t="n">
        <x:v>4</x:v>
      </x:c>
      <x:c r="E64" s="1" t="s">
        <x:v>6685</x:v>
      </x:c>
      <x:c r="F64" s="1" t="s">
        <x:v>6686</x:v>
      </x:c>
    </x:row>
    <x:row r="65" ht="15" hidden="0" customHeight="1">
      <x:c r="A65" s="1" t="s">
        <x:v>5247</x:v>
      </x:c>
      <x:c r="B65" s="1" t="s">
        <x:v>20</x:v>
      </x:c>
      <x:c r="C65" s="1" t="s">
        <x:v>4482</x:v>
      </x:c>
      <x:c r="D65" s="1" t="n">
        <x:v>1</x:v>
      </x:c>
      <x:c r="E65" s="1" t="s">
        <x:v>6687</x:v>
      </x:c>
      <x:c r="F65" s="1" t="s">
        <x:v>6688</x:v>
      </x:c>
      <x:c r="G65" s="1" t="s">
        <x:v>6689</x:v>
      </x:c>
    </x:row>
    <x:row r="66" ht="15" hidden="0" customHeight="1">
      <x:c r="A66" s="1" t="s">
        <x:v>5247</x:v>
      </x:c>
      <x:c r="B66" s="1" t="s">
        <x:v>20</x:v>
      </x:c>
      <x:c r="C66" s="1" t="s">
        <x:v>4336</x:v>
      </x:c>
      <x:c r="D66" s="1" t="n">
        <x:v>2</x:v>
      </x:c>
      <x:c r="E66" s="1" t="s">
        <x:v>6685</x:v>
      </x:c>
      <x:c r="F66" s="1" t="s">
        <x:v>6690</x:v>
      </x:c>
    </x:row>
    <x:row r="67" ht="15" hidden="0" customHeight="1">
      <x:c r="A67" s="1" t="s">
        <x:v>5247</x:v>
      </x:c>
      <x:c r="B67" s="1" t="s">
        <x:v>20</x:v>
      </x:c>
      <x:c r="C67" s="1" t="s">
        <x:v>4786</x:v>
      </x:c>
      <x:c r="D67" s="1" t="n">
        <x:v>6</x:v>
      </x:c>
      <x:c r="E67" s="1" t="s">
        <x:v>6685</x:v>
      </x:c>
      <x:c r="F67" s="1" t="s">
        <x:v>6691</x:v>
      </x:c>
    </x:row>
    <x:row r="68" ht="15" hidden="0" customHeight="1">
      <x:c r="A68" s="1" t="s">
        <x:v>5320</x:v>
      </x:c>
      <x:c r="B68" s="1" t="s">
        <x:v>20</x:v>
      </x:c>
      <x:c r="C68" s="1" t="s">
        <x:v>554</x:v>
      </x:c>
      <x:c r="D68" s="1" t="n">
        <x:v>37</x:v>
      </x:c>
      <x:c r="E68" s="1" t="s">
        <x:v>6692</x:v>
      </x:c>
      <x:c r="F68" s="1" t="s">
        <x:v>6693</x:v>
      </x:c>
    </x:row>
    <x:row r="69" ht="15" hidden="0" customHeight="1">
      <x:c r="A69" s="1" t="s">
        <x:v>5320</x:v>
      </x:c>
      <x:c r="B69" s="1" t="s">
        <x:v>20</x:v>
      </x:c>
      <x:c r="C69" s="1" t="s">
        <x:v>628</x:v>
      </x:c>
      <x:c r="D69" s="1" t="n">
        <x:v>16</x:v>
      </x:c>
      <x:c r="E69" s="1" t="s">
        <x:v>6635</x:v>
      </x:c>
      <x:c r="F69" s="1" t="s">
        <x:v>6694</x:v>
      </x:c>
    </x:row>
    <x:row r="70" ht="65" customHeight="1">
      <x:c r="A70" s="14" t="str">
        <x:v>B16</x:v>
      </x:c>
      <x:c r="B70" s="14" t="str">
        <x:v>2026-09-28</x:v>
      </x:c>
      <x:c r="C70" s="14" t="str">
        <x:v>OAI-0001</x:v>
      </x:c>
      <x:c r="D70" s="14" t="n">
        <x:v>20</x:v>
      </x:c>
      <x:c r="E70" s="14" t="str">
        <x:v>Original source sections; partial extraction; NOT_VERIFIED</x:v>
      </x:c>
      <x:c r="F70" s="14" t="str">
        <x:v>Publisher full text or published article copy accessed through search.</x:v>
      </x:c>
      <x:c r="G70" s="14" t="str">
        <x:v>Remaining widths, learning rate, code configuration and quantitative tables need review.</x:v>
      </x:c>
    </x:row>
    <x:row r="71" ht="65" customHeight="1">
      <x:c r="A71" s="14" t="str">
        <x:v>B16</x:v>
      </x:c>
      <x:c r="B71" s="14" t="str">
        <x:v>2026-09-28</x:v>
      </x:c>
      <x:c r="C71" s="14" t="str">
        <x:v>OAI-0003</x:v>
      </x:c>
      <x:c r="D71" s="14" t="n">
        <x:v>14</x:v>
      </x:c>
      <x:c r="E71" s="14" t="str">
        <x:v>Original source sections; partial extraction; NOT_VERIFIED</x:v>
      </x:c>
      <x:c r="F71" s="14" t="str">
        <x:v>Publisher full text or published article copy accessed through search.</x:v>
      </x:c>
      <x:c r="G71" s="14" t="str">
        <x:v>Reconcile legacy Transformer label with published FNO/CNN description; exact loss/code review pending.</x:v>
      </x:c>
    </x:row>
    <x:row r="72" ht="65" customHeight="1">
      <x:c r="A72" s="14" t="str">
        <x:v>B16</x:v>
      </x:c>
      <x:c r="B72" s="14" t="str">
        <x:v>2026-09-28</x:v>
      </x:c>
      <x:c r="C72" s="14" t="str">
        <x:v>OAI-0045</x:v>
      </x:c>
      <x:c r="D72" s="14" t="n">
        <x:v>2</x:v>
      </x:c>
      <x:c r="E72" s="14" t="str">
        <x:v>Original source sections; partial extraction; NOT_VERIFIED</x:v>
      </x:c>
      <x:c r="F72" s="14" t="str">
        <x:v>Publisher HTML + exact DOI supplementary search; no SI download identified.</x:v>
      </x:c>
      <x:c r="G72" s="14" t="str">
        <x:v>Supplement not linked on inspected publisher page; existence unresolved.</x:v>
      </x:c>
    </x:row>
    <x:row r="73" ht="65" customHeight="1">
      <x:c r="A73" s="14" t="str">
        <x:v>B16</x:v>
      </x:c>
      <x:c r="B73" s="14" t="str">
        <x:v>2026-09-28</x:v>
      </x:c>
      <x:c r="C73" s="14" t="str">
        <x:v>OAI-0054</x:v>
      </x:c>
      <x:c r="D73" s="14" t="n">
        <x:v>53</x:v>
      </x:c>
      <x:c r="E73" s="14" t="str">
        <x:v>Original source sections; partial extraction; NOT_VERIFIED</x:v>
      </x:c>
      <x:c r="F73" s="14" t="str">
        <x:v>Publisher full text or published article copy accessed through search.</x:v>
      </x:c>
      <x:c r="G73" s="14" t="str">
        <x:v>Read SI Table S2 and code; extract exact lead-specific loss weights.</x:v>
      </x:c>
    </x:row>
    <x:row r="74" ht="65" customHeight="1">
      <x:c r="A74" s="14" t="str">
        <x:v>B16</x:v>
      </x:c>
      <x:c r="B74" s="14" t="str">
        <x:v>2026-09-28</x:v>
      </x:c>
      <x:c r="C74" s="14" t="str">
        <x:v>OAI-0111</x:v>
      </x:c>
      <x:c r="D74" s="14" t="n">
        <x:v>32</x:v>
      </x:c>
      <x:c r="E74" s="14" t="str">
        <x:v>Original source sections; partial extraction; NOT_VERIFIED</x:v>
      </x:c>
      <x:c r="F74" s="14" t="str">
        <x:v>Publisher full text or published article copy accessed through search.</x:v>
      </x:c>
      <x:c r="G74" s="14" t="str">
        <x:v>Read SI/code; reconcile percentage assignments, matching window and RMSE formula.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5" hidden="0" customHeight="1">
      <x:c r="A1" s="1" t="s">
        <x:v>84</x:v>
      </x:c>
      <x:c r="B1" s="1" t="s">
        <x:v>6695</x:v>
      </x:c>
      <x:c r="C1" s="1" t="s">
        <x:v>6696</x:v>
      </x:c>
      <x:c r="D1" s="1" t="s">
        <x:v>6697</x:v>
      </x:c>
    </x:row>
    <x:row r="2" ht="15" hidden="0" customHeight="1">
      <x:c r="A2" s="1" t="s">
        <x:v>1977</x:v>
      </x:c>
      <x:c r="B2" s="1" t="s">
        <x:v>6150</x:v>
      </x:c>
      <x:c r="C2" s="1" t="n">
        <x:v>1</x:v>
      </x:c>
      <x:c r="D2" s="1" t="s">
        <x:v>6698</x:v>
      </x:c>
    </x:row>
    <x:row r="3" ht="15" hidden="0" customHeight="1">
      <x:c r="A3" s="1" t="s">
        <x:v>3616</x:v>
      </x:c>
      <x:c r="B3" s="1" t="s">
        <x:v>6150</x:v>
      </x:c>
      <x:c r="C3" s="1" t="n">
        <x:v>1</x:v>
      </x:c>
      <x:c r="D3" s="1" t="s">
        <x:v>6698</x:v>
      </x:c>
    </x:row>
    <x:row r="4" ht="15" hidden="0" customHeight="1">
      <x:c r="A4" s="1" t="s">
        <x:v>5041</x:v>
      </x:c>
      <x:c r="B4" s="1" t="s">
        <x:v>6150</x:v>
      </x:c>
      <x:c r="C4" s="1" t="n">
        <x:v>1</x:v>
      </x:c>
      <x:c r="D4" s="1" t="s">
        <x:v>6698</x:v>
      </x:c>
    </x:row>
    <x:row r="5" ht="15" hidden="0" customHeight="1">
      <x:c r="A5" s="1" t="s">
        <x:v>3802</x:v>
      </x:c>
      <x:c r="B5" s="1" t="s">
        <x:v>6150</x:v>
      </x:c>
      <x:c r="C5" s="1" t="n">
        <x:v>1</x:v>
      </x:c>
      <x:c r="D5" s="1" t="s">
        <x:v>6698</x:v>
      </x:c>
    </x:row>
    <x:row r="6" ht="15" hidden="0" customHeight="1">
      <x:c r="A6" s="1" t="s">
        <x:v>2387</x:v>
      </x:c>
      <x:c r="B6" s="1" t="s">
        <x:v>6150</x:v>
      </x:c>
      <x:c r="C6" s="1" t="n">
        <x:v>1</x:v>
      </x:c>
      <x:c r="D6" s="1" t="s">
        <x:v>6698</x:v>
      </x:c>
    </x:row>
    <x:row r="7" ht="15" hidden="0" customHeight="1">
      <x:c r="A7" s="1" t="s">
        <x:v>3715</x:v>
      </x:c>
      <x:c r="B7" s="1" t="s">
        <x:v>6150</x:v>
      </x:c>
      <x:c r="C7" s="1" t="n">
        <x:v>1</x:v>
      </x:c>
      <x:c r="D7" s="1" t="s">
        <x:v>6698</x:v>
      </x:c>
    </x:row>
    <x:row r="8" ht="15" hidden="0" customHeight="1">
      <x:c r="A8" s="1" t="s">
        <x:v>3744</x:v>
      </x:c>
      <x:c r="B8" s="1" t="s">
        <x:v>6150</x:v>
      </x:c>
      <x:c r="C8" s="1" t="n">
        <x:v>1</x:v>
      </x:c>
      <x:c r="D8" s="1" t="s">
        <x:v>6698</x:v>
      </x:c>
    </x:row>
    <x:row r="9" ht="15" hidden="0" customHeight="1">
      <x:c r="A9" s="1" t="s">
        <x:v>3120</x:v>
      </x:c>
      <x:c r="B9" s="1" t="s">
        <x:v>6150</x:v>
      </x:c>
      <x:c r="C9" s="1" t="n">
        <x:v>1</x:v>
      </x:c>
      <x:c r="D9" s="1" t="s">
        <x:v>6698</x:v>
      </x:c>
    </x:row>
    <x:row r="10" ht="15" hidden="0" customHeight="1">
      <x:c r="A10" s="1" t="s">
        <x:v>5378</x:v>
      </x:c>
      <x:c r="B10" s="1" t="s">
        <x:v>6150</x:v>
      </x:c>
      <x:c r="C10" s="1" t="n">
        <x:v>1</x:v>
      </x:c>
      <x:c r="D10" s="1" t="s">
        <x:v>6698</x:v>
      </x:c>
    </x:row>
    <x:row r="11" ht="15" hidden="0" customHeight="1">
      <x:c r="A11" s="1" t="s">
        <x:v>3886</x:v>
      </x:c>
      <x:c r="B11" s="1" t="s">
        <x:v>6150</x:v>
      </x:c>
      <x:c r="C11" s="1" t="n">
        <x:v>1</x:v>
      </x:c>
      <x:c r="D11" s="1" t="s">
        <x:v>6698</x:v>
      </x:c>
    </x:row>
    <x:row r="12" ht="15" hidden="0" customHeight="1">
      <x:c r="A12" s="1" t="s">
        <x:v>5303</x:v>
      </x:c>
      <x:c r="B12" s="1" t="s">
        <x:v>6699</x:v>
      </x:c>
      <x:c r="C12" s="1" t="n">
        <x:v>2</x:v>
      </x:c>
      <x:c r="D12" s="1" t="s">
        <x:v>6698</x:v>
      </x:c>
    </x:row>
    <x:row r="13" ht="15" hidden="0" customHeight="1">
      <x:c r="A13" s="1" t="s">
        <x:v>445</x:v>
      </x:c>
      <x:c r="B13" s="1" t="s">
        <x:v>6128</x:v>
      </x:c>
      <x:c r="C13" s="1" t="n">
        <x:v>16</x:v>
      </x:c>
      <x:c r="D13" s="1" t="s">
        <x:v>6698</x:v>
      </x:c>
    </x:row>
    <x:row r="14" ht="15" hidden="0" customHeight="1">
      <x:c r="A14" s="1" t="s">
        <x:v>2927</x:v>
      </x:c>
      <x:c r="B14" s="1" t="s">
        <x:v>6128</x:v>
      </x:c>
      <x:c r="C14" s="1" t="n">
        <x:v>1</x:v>
      </x:c>
      <x:c r="D14" s="1" t="s">
        <x:v>6698</x:v>
      </x:c>
    </x:row>
    <x:row r="15" ht="15" hidden="0" customHeight="1">
      <x:c r="A15" s="1" t="s">
        <x:v>2934</x:v>
      </x:c>
      <x:c r="B15" s="1" t="s">
        <x:v>6128</x:v>
      </x:c>
      <x:c r="C15" s="1" t="n">
        <x:v>1</x:v>
      </x:c>
      <x:c r="D15" s="1" t="s">
        <x:v>6698</x:v>
      </x:c>
    </x:row>
    <x:row r="16" ht="15" hidden="0" customHeight="1">
      <x:c r="A16" s="1" t="s">
        <x:v>5334</x:v>
      </x:c>
      <x:c r="B16" s="1" t="s">
        <x:v>6131</x:v>
      </x:c>
      <x:c r="C16" s="1" t="n">
        <x:v>3</x:v>
      </x:c>
      <x:c r="D16" s="1" t="s">
        <x:v>6698</x:v>
      </x:c>
    </x:row>
    <x:row r="17" ht="15" hidden="0" customHeight="1">
      <x:c r="A17" s="1" t="s">
        <x:v>1328</x:v>
      </x:c>
      <x:c r="B17" s="1" t="s">
        <x:v>6124</x:v>
      </x:c>
      <x:c r="C17" s="1" t="n">
        <x:v>1</x:v>
      </x:c>
      <x:c r="D17" s="1" t="s">
        <x:v>6698</x:v>
      </x:c>
    </x:row>
    <x:row r="18" ht="15" hidden="0" customHeight="1">
      <x:c r="A18" s="1" t="s">
        <x:v>2059</x:v>
      </x:c>
      <x:c r="B18" s="1" t="s">
        <x:v>6129</x:v>
      </x:c>
      <x:c r="C18" s="1" t="n">
        <x:v>4</x:v>
      </x:c>
      <x:c r="D18" s="1" t="s">
        <x:v>6698</x:v>
      </x:c>
    </x:row>
    <x:row r="19" ht="15" hidden="0" customHeight="1">
      <x:c r="A19" s="1" t="s">
        <x:v>3964</x:v>
      </x:c>
      <x:c r="B19" s="1" t="s">
        <x:v>6129</x:v>
      </x:c>
      <x:c r="C19" s="1" t="n">
        <x:v>1</x:v>
      </x:c>
      <x:c r="D19" s="1" t="s">
        <x:v>6698</x:v>
      </x:c>
    </x:row>
    <x:row r="20" ht="15" hidden="0" customHeight="1">
      <x:c r="A20" s="1" t="s">
        <x:v>3966</x:v>
      </x:c>
      <x:c r="B20" s="1" t="s">
        <x:v>6129</x:v>
      </x:c>
      <x:c r="C20" s="1" t="n">
        <x:v>1</x:v>
      </x:c>
      <x:c r="D20" s="1" t="s">
        <x:v>6698</x:v>
      </x:c>
    </x:row>
    <x:row r="21" ht="15" hidden="0" customHeight="1">
      <x:c r="A21" s="1" t="s">
        <x:v>1335</x:v>
      </x:c>
      <x:c r="B21" s="1" t="s">
        <x:v>6129</x:v>
      </x:c>
      <x:c r="C21" s="1" t="n">
        <x:v>2</x:v>
      </x:c>
      <x:c r="D21" s="1" t="s">
        <x:v>6698</x:v>
      </x:c>
    </x:row>
    <x:row r="22" ht="15" hidden="0" customHeight="1">
      <x:c r="A22" s="1" t="s">
        <x:v>2973</x:v>
      </x:c>
      <x:c r="B22" s="1" t="s">
        <x:v>6129</x:v>
      </x:c>
      <x:c r="C22" s="1" t="n">
        <x:v>1</x:v>
      </x:c>
      <x:c r="D22" s="1" t="s">
        <x:v>6698</x:v>
      </x:c>
    </x:row>
    <x:row r="23" ht="15" hidden="0" customHeight="1">
      <x:c r="A23" s="1" t="s">
        <x:v>135</x:v>
      </x:c>
      <x:c r="B23" s="1" t="s">
        <x:v>6124</x:v>
      </x:c>
      <x:c r="C23" s="1" t="n">
        <x:v>7</x:v>
      </x:c>
      <x:c r="D23" s="1" t="s">
        <x:v>6698</x:v>
      </x:c>
    </x:row>
    <x:row r="24" ht="15" hidden="0" customHeight="1">
      <x:c r="A24" s="1" t="s">
        <x:v>5272</x:v>
      </x:c>
      <x:c r="B24" s="1" t="s">
        <x:v>6124</x:v>
      </x:c>
      <x:c r="C24" s="1" t="n">
        <x:v>1</x:v>
      </x:c>
      <x:c r="D24" s="1" t="s">
        <x:v>6698</x:v>
      </x:c>
    </x:row>
    <x:row r="25" ht="15" hidden="0" customHeight="1">
      <x:c r="A25" s="1" t="s">
        <x:v>2316</x:v>
      </x:c>
      <x:c r="B25" s="1" t="s">
        <x:v>6124</x:v>
      </x:c>
      <x:c r="C25" s="1" t="n">
        <x:v>1</x:v>
      </x:c>
      <x:c r="D25" s="1" t="s">
        <x:v>6698</x:v>
      </x:c>
    </x:row>
    <x:row r="26" ht="15" hidden="0" customHeight="1">
      <x:c r="A26" s="1" t="s">
        <x:v>313</x:v>
      </x:c>
      <x:c r="B26" s="1" t="s">
        <x:v>1343</x:v>
      </x:c>
      <x:c r="C26" s="1" t="n">
        <x:v>6</x:v>
      </x:c>
      <x:c r="D26" s="1" t="s">
        <x:v>6698</x:v>
      </x:c>
    </x:row>
    <x:row r="27" ht="15" hidden="0" customHeight="1">
      <x:c r="A27" s="1" t="s">
        <x:v>3700</x:v>
      </x:c>
      <x:c r="B27" s="1" t="s">
        <x:v>1343</x:v>
      </x:c>
      <x:c r="C27" s="1" t="n">
        <x:v>2</x:v>
      </x:c>
      <x:c r="D27" s="1" t="s">
        <x:v>6698</x:v>
      </x:c>
    </x:row>
    <x:row r="28" ht="15" hidden="0" customHeight="1">
      <x:c r="A28" s="1" t="s">
        <x:v>2005</x:v>
      </x:c>
      <x:c r="B28" s="1" t="s">
        <x:v>6124</x:v>
      </x:c>
      <x:c r="C28" s="1" t="n">
        <x:v>1</x:v>
      </x:c>
      <x:c r="D28" s="1" t="s">
        <x:v>6698</x:v>
      </x:c>
    </x:row>
    <x:row r="29" ht="15" hidden="0" customHeight="1">
      <x:c r="A29" s="1" t="s">
        <x:v>2547</x:v>
      </x:c>
      <x:c r="B29" s="1" t="s">
        <x:v>6124</x:v>
      </x:c>
      <x:c r="C29" s="1" t="n">
        <x:v>1</x:v>
      </x:c>
      <x:c r="D29" s="1" t="s">
        <x:v>6698</x:v>
      </x:c>
    </x:row>
    <x:row r="30" ht="15" hidden="0" customHeight="1">
      <x:c r="A30" s="1" t="s">
        <x:v>4511</x:v>
      </x:c>
      <x:c r="B30" s="1" t="s">
        <x:v>6124</x:v>
      </x:c>
      <x:c r="C30" s="1" t="n">
        <x:v>1</x:v>
      </x:c>
      <x:c r="D30" s="1" t="s">
        <x:v>6698</x:v>
      </x:c>
    </x:row>
    <x:row r="31" ht="15" hidden="0" customHeight="1">
      <x:c r="A31" s="1" t="s">
        <x:v>3400</x:v>
      </x:c>
      <x:c r="B31" s="1" t="s">
        <x:v>6128</x:v>
      </x:c>
      <x:c r="C31" s="1" t="n">
        <x:v>1</x:v>
      </x:c>
      <x:c r="D31" s="1" t="s">
        <x:v>6698</x:v>
      </x:c>
    </x:row>
    <x:row r="32" ht="15" hidden="0" customHeight="1">
      <x:c r="A32" s="1" t="s">
        <x:v>3391</x:v>
      </x:c>
      <x:c r="B32" s="1" t="s">
        <x:v>6130</x:v>
      </x:c>
      <x:c r="C32" s="1" t="n">
        <x:v>2</x:v>
      </x:c>
      <x:c r="D32" s="1" t="s">
        <x:v>6698</x:v>
      </x:c>
    </x:row>
    <x:row r="33" ht="15" hidden="0" customHeight="1">
      <x:c r="A33" s="1" t="s">
        <x:v>2964</x:v>
      </x:c>
      <x:c r="B33" s="1" t="s">
        <x:v>6127</x:v>
      </x:c>
      <x:c r="C33" s="1" t="n">
        <x:v>1</x:v>
      </x:c>
      <x:c r="D33" s="1" t="s">
        <x:v>6698</x:v>
      </x:c>
    </x:row>
    <x:row r="34" ht="15" hidden="0" customHeight="1">
      <x:c r="A34" s="1" t="s">
        <x:v>3506</x:v>
      </x:c>
      <x:c r="B34" s="1" t="s">
        <x:v>6124</x:v>
      </x:c>
      <x:c r="C34" s="1" t="n">
        <x:v>1</x:v>
      </x:c>
      <x:c r="D34" s="1" t="s">
        <x:v>6698</x:v>
      </x:c>
    </x:row>
    <x:row r="35" ht="15" hidden="0" customHeight="1">
      <x:c r="A35" s="1" t="s">
        <x:v>3398</x:v>
      </x:c>
      <x:c r="B35" s="1" t="s">
        <x:v>6127</x:v>
      </x:c>
      <x:c r="C35" s="1" t="n">
        <x:v>1</x:v>
      </x:c>
      <x:c r="D35" s="1" t="s">
        <x:v>6698</x:v>
      </x:c>
    </x:row>
    <x:row r="36" ht="15" hidden="0" customHeight="1">
      <x:c r="A36" s="1" t="s">
        <x:v>3500</x:v>
      </x:c>
      <x:c r="B36" s="1" t="s">
        <x:v>6130</x:v>
      </x:c>
      <x:c r="C36" s="1" t="n">
        <x:v>1</x:v>
      </x:c>
      <x:c r="D36" s="1" t="s">
        <x:v>6698</x:v>
      </x:c>
    </x:row>
    <x:row r="37" ht="15" hidden="0" customHeight="1">
      <x:c r="A37" s="1" t="s">
        <x:v>3394</x:v>
      </x:c>
      <x:c r="B37" s="1" t="s">
        <x:v>1343</x:v>
      </x:c>
      <x:c r="C37" s="1" t="n">
        <x:v>2</x:v>
      </x:c>
      <x:c r="D37" s="1" t="s">
        <x:v>6698</x:v>
      </x:c>
    </x:row>
    <x:row r="38" ht="15" hidden="0" customHeight="1">
      <x:c r="A38" s="1" t="s">
        <x:v>2958</x:v>
      </x:c>
      <x:c r="B38" s="1" t="s">
        <x:v>6124</x:v>
      </x:c>
      <x:c r="C38" s="1" t="n">
        <x:v>1</x:v>
      </x:c>
      <x:c r="D38" s="1" t="s">
        <x:v>6698</x:v>
      </x:c>
    </x:row>
    <x:row r="39" ht="15" hidden="0" customHeight="1">
      <x:c r="A39" s="1" t="s">
        <x:v>3503</x:v>
      </x:c>
      <x:c r="B39" s="1" t="s">
        <x:v>6124</x:v>
      </x:c>
      <x:c r="C39" s="1" t="n">
        <x:v>1</x:v>
      </x:c>
      <x:c r="D39" s="1" t="s">
        <x:v>6698</x:v>
      </x:c>
    </x:row>
    <x:row r="40" ht="15" hidden="0" customHeight="1">
      <x:c r="A40" s="1" t="s">
        <x:v>3734</x:v>
      </x:c>
      <x:c r="B40" s="1" t="s">
        <x:v>6124</x:v>
      </x:c>
      <x:c r="C40" s="1" t="n">
        <x:v>1</x:v>
      </x:c>
      <x:c r="D40" s="1" t="s">
        <x:v>6698</x:v>
      </x:c>
    </x:row>
    <x:row r="41" ht="15" hidden="0" customHeight="1">
      <x:c r="A41" s="1" t="s">
        <x:v>4410</x:v>
      </x:c>
      <x:c r="B41" s="1" t="s">
        <x:v>6124</x:v>
      </x:c>
      <x:c r="C41" s="1" t="n">
        <x:v>1</x:v>
      </x:c>
      <x:c r="D41" s="1" t="s">
        <x:v>6698</x:v>
      </x:c>
    </x:row>
    <x:row r="42" ht="15" hidden="0" customHeight="1">
      <x:c r="A42" s="1" t="s">
        <x:v>3619</x:v>
      </x:c>
      <x:c r="B42" s="1" t="s">
        <x:v>6130</x:v>
      </x:c>
      <x:c r="C42" s="1" t="n">
        <x:v>3</x:v>
      </x:c>
      <x:c r="D42" s="1" t="s">
        <x:v>6698</x:v>
      </x:c>
    </x:row>
    <x:row r="43" ht="15" hidden="0" customHeight="1">
      <x:c r="A43" s="1" t="s">
        <x:v>4664</x:v>
      </x:c>
      <x:c r="B43" s="1" t="s">
        <x:v>6130</x:v>
      </x:c>
      <x:c r="C43" s="1" t="n">
        <x:v>1</x:v>
      </x:c>
      <x:c r="D43" s="1" t="s">
        <x:v>6698</x:v>
      </x:c>
    </x:row>
    <x:row r="44" ht="15" hidden="0" customHeight="1">
      <x:c r="A44" s="1" t="s">
        <x:v>2189</x:v>
      </x:c>
      <x:c r="B44" s="1" t="s">
        <x:v>6130</x:v>
      </x:c>
      <x:c r="C44" s="1" t="n">
        <x:v>1</x:v>
      </x:c>
      <x:c r="D44" s="1" t="s">
        <x:v>6698</x:v>
      </x:c>
    </x:row>
    <x:row r="45" ht="15" hidden="0" customHeight="1">
      <x:c r="A45" s="1" t="s">
        <x:v>2182</x:v>
      </x:c>
      <x:c r="B45" s="1" t="s">
        <x:v>6130</x:v>
      </x:c>
      <x:c r="C45" s="1" t="n">
        <x:v>2</x:v>
      </x:c>
      <x:c r="D45" s="1" t="s">
        <x:v>6698</x:v>
      </x:c>
    </x:row>
    <x:row r="46" ht="15" hidden="0" customHeight="1">
      <x:c r="A46" s="1" t="s">
        <x:v>1479</x:v>
      </x:c>
      <x:c r="B46" s="1" t="s">
        <x:v>6124</x:v>
      </x:c>
      <x:c r="C46" s="1" t="n">
        <x:v>1</x:v>
      </x:c>
      <x:c r="D46" s="1" t="s">
        <x:v>6698</x:v>
      </x:c>
    </x:row>
    <x:row r="47" ht="15" hidden="0" customHeight="1">
      <x:c r="A47" s="1" t="s">
        <x:v>237</x:v>
      </x:c>
      <x:c r="B47" s="1" t="s">
        <x:v>6126</x:v>
      </x:c>
      <x:c r="C47" s="1" t="n">
        <x:v>12</x:v>
      </x:c>
      <x:c r="D47" s="1" t="s">
        <x:v>6698</x:v>
      </x:c>
    </x:row>
    <x:row r="48" ht="15" hidden="0" customHeight="1">
      <x:c r="A48" s="1" t="s">
        <x:v>948</x:v>
      </x:c>
      <x:c r="B48" s="1" t="s">
        <x:v>6126</x:v>
      </x:c>
      <x:c r="C48" s="1" t="n">
        <x:v>2</x:v>
      </x:c>
      <x:c r="D48" s="1" t="s">
        <x:v>6698</x:v>
      </x:c>
    </x:row>
    <x:row r="49" ht="15" hidden="0" customHeight="1">
      <x:c r="A49" s="1" t="s">
        <x:v>945</x:v>
      </x:c>
      <x:c r="B49" s="1" t="s">
        <x:v>6126</x:v>
      </x:c>
      <x:c r="C49" s="1" t="n">
        <x:v>2</x:v>
      </x:c>
      <x:c r="D49" s="1" t="s">
        <x:v>6698</x:v>
      </x:c>
    </x:row>
    <x:row r="50" ht="15" hidden="0" customHeight="1">
      <x:c r="A50" s="1" t="s">
        <x:v>2274</x:v>
      </x:c>
      <x:c r="B50" s="1" t="s">
        <x:v>6126</x:v>
      </x:c>
      <x:c r="C50" s="1" t="n">
        <x:v>1</x:v>
      </x:c>
      <x:c r="D50" s="1" t="s">
        <x:v>6698</x:v>
      </x:c>
    </x:row>
    <x:row r="51" ht="15" hidden="0" customHeight="1">
      <x:c r="A51" s="1" t="s">
        <x:v>2146</x:v>
      </x:c>
      <x:c r="B51" s="1" t="s">
        <x:v>6126</x:v>
      </x:c>
      <x:c r="C51" s="1" t="n">
        <x:v>1</x:v>
      </x:c>
      <x:c r="D51" s="1" t="s">
        <x:v>6698</x:v>
      </x:c>
    </x:row>
    <x:row r="52" ht="15" hidden="0" customHeight="1">
      <x:c r="A52" s="1" t="s">
        <x:v>4246</x:v>
      </x:c>
      <x:c r="B52" s="1" t="s">
        <x:v>6126</x:v>
      </x:c>
      <x:c r="C52" s="1" t="n">
        <x:v>1</x:v>
      </x:c>
      <x:c r="D52" s="1" t="s">
        <x:v>6698</x:v>
      </x:c>
    </x:row>
    <x:row r="53" ht="15" hidden="0" customHeight="1">
      <x:c r="A53" s="1" t="s">
        <x:v>2013</x:v>
      </x:c>
      <x:c r="B53" s="1" t="s">
        <x:v>1640</x:v>
      </x:c>
      <x:c r="C53" s="1" t="n">
        <x:v>1</x:v>
      </x:c>
      <x:c r="D53" s="1" t="s">
        <x:v>6698</x:v>
      </x:c>
    </x:row>
    <x:row r="54" ht="15" hidden="0" customHeight="1">
      <x:c r="A54" s="1" t="s">
        <x:v>4243</x:v>
      </x:c>
      <x:c r="B54" s="1" t="s">
        <x:v>6126</x:v>
      </x:c>
      <x:c r="C54" s="1" t="n">
        <x:v>1</x:v>
      </x:c>
      <x:c r="D54" s="1" t="s">
        <x:v>6698</x:v>
      </x:c>
    </x:row>
    <x:row r="55" ht="15" hidden="0" customHeight="1">
      <x:c r="A55" s="1" t="s">
        <x:v>2192</x:v>
      </x:c>
      <x:c r="B55" s="1" t="s">
        <x:v>1343</x:v>
      </x:c>
      <x:c r="C55" s="1" t="n">
        <x:v>2</x:v>
      </x:c>
      <x:c r="D55" s="1" t="s">
        <x:v>6698</x:v>
      </x:c>
    </x:row>
    <x:row r="56" ht="15" hidden="0" customHeight="1">
      <x:c r="A56" s="1" t="s">
        <x:v>2905</x:v>
      </x:c>
      <x:c r="B56" s="1" t="s">
        <x:v>6131</x:v>
      </x:c>
      <x:c r="C56" s="1" t="n">
        <x:v>1</x:v>
      </x:c>
      <x:c r="D56" s="1" t="s">
        <x:v>6698</x:v>
      </x:c>
    </x:row>
    <x:row r="57" ht="15" hidden="0" customHeight="1">
      <x:c r="A57" s="1" t="s">
        <x:v>4515</x:v>
      </x:c>
      <x:c r="B57" s="1" t="s">
        <x:v>6124</x:v>
      </x:c>
      <x:c r="C57" s="1" t="n">
        <x:v>1</x:v>
      </x:c>
      <x:c r="D57" s="1" t="s">
        <x:v>6698</x:v>
      </x:c>
    </x:row>
    <x:row r="58" ht="15" hidden="0" customHeight="1">
      <x:c r="A58" s="1" t="s">
        <x:v>4669</x:v>
      </x:c>
      <x:c r="B58" s="1" t="s">
        <x:v>6124</x:v>
      </x:c>
      <x:c r="C58" s="1" t="n">
        <x:v>1</x:v>
      </x:c>
      <x:c r="D58" s="1" t="s">
        <x:v>6698</x:v>
      </x:c>
    </x:row>
    <x:row r="59" ht="15" hidden="0" customHeight="1">
      <x:c r="A59" s="1" t="s">
        <x:v>2569</x:v>
      </x:c>
      <x:c r="B59" s="1" t="s">
        <x:v>6124</x:v>
      </x:c>
      <x:c r="C59" s="1" t="n">
        <x:v>1</x:v>
      </x:c>
      <x:c r="D59" s="1" t="s">
        <x:v>6698</x:v>
      </x:c>
    </x:row>
    <x:row r="60" ht="15" hidden="0" customHeight="1">
      <x:c r="A60" s="1" t="s">
        <x:v>1350</x:v>
      </x:c>
      <x:c r="B60" s="1" t="s">
        <x:v>4749</x:v>
      </x:c>
      <x:c r="C60" s="1" t="n">
        <x:v>1</x:v>
      </x:c>
      <x:c r="D60" s="1" t="s">
        <x:v>6698</x:v>
      </x:c>
    </x:row>
    <x:row r="61" ht="15" hidden="0" customHeight="1">
      <x:c r="A61" s="1" t="s">
        <x:v>1347</x:v>
      </x:c>
      <x:c r="B61" s="1" t="s">
        <x:v>4749</x:v>
      </x:c>
      <x:c r="C61" s="1" t="n">
        <x:v>1</x:v>
      </x:c>
      <x:c r="D61" s="1" t="s">
        <x:v>6698</x:v>
      </x:c>
    </x:row>
    <x:row r="62" ht="15" hidden="0" customHeight="1">
      <x:c r="A62" s="1" t="s">
        <x:v>5267</x:v>
      </x:c>
      <x:c r="B62" s="1" t="s">
        <x:v>6124</x:v>
      </x:c>
      <x:c r="C62" s="1" t="n">
        <x:v>1</x:v>
      </x:c>
      <x:c r="D62" s="1" t="s">
        <x:v>6698</x:v>
      </x:c>
    </x:row>
    <x:row r="63" ht="15" hidden="0" customHeight="1">
      <x:c r="A63" s="1" t="s">
        <x:v>2565</x:v>
      </x:c>
      <x:c r="B63" s="1" t="s">
        <x:v>6124</x:v>
      </x:c>
      <x:c r="C63" s="1" t="n">
        <x:v>1</x:v>
      </x:c>
      <x:c r="D63" s="1" t="s">
        <x:v>6698</x:v>
      </x:c>
    </x:row>
    <x:row r="64" ht="15" hidden="0" customHeight="1">
      <x:c r="A64" s="1" t="s">
        <x:v>5337</x:v>
      </x:c>
      <x:c r="B64" s="1" t="s">
        <x:v>6127</x:v>
      </x:c>
      <x:c r="C64" s="1" t="n">
        <x:v>3</x:v>
      </x:c>
      <x:c r="D64" s="1" t="s">
        <x:v>6698</x:v>
      </x:c>
    </x:row>
    <x:row r="65" ht="15" hidden="0" customHeight="1">
      <x:c r="A65" s="1" t="s">
        <x:v>2969</x:v>
      </x:c>
      <x:c r="B65" s="1" t="s">
        <x:v>6127</x:v>
      </x:c>
      <x:c r="C65" s="1" t="n">
        <x:v>1</x:v>
      </x:c>
      <x:c r="D65" s="1" t="s">
        <x:v>6698</x:v>
      </x:c>
    </x:row>
    <x:row r="66" ht="15" hidden="0" customHeight="1">
      <x:c r="A66" s="1" t="s">
        <x:v>233</x:v>
      </x:c>
      <x:c r="B66" s="1" t="s">
        <x:v>6125</x:v>
      </x:c>
      <x:c r="C66" s="1" t="n">
        <x:v>12</x:v>
      </x:c>
      <x:c r="D66" s="1" t="s">
        <x:v>6698</x:v>
      </x:c>
    </x:row>
    <x:row r="67" ht="15" hidden="0" customHeight="1">
      <x:c r="A67" s="1" t="s">
        <x:v>4224</x:v>
      </x:c>
      <x:c r="B67" s="1" t="s">
        <x:v>6125</x:v>
      </x:c>
      <x:c r="C67" s="1" t="n">
        <x:v>1</x:v>
      </x:c>
      <x:c r="D67" s="1" t="s">
        <x:v>6698</x:v>
      </x:c>
    </x:row>
    <x:row r="68" ht="15" hidden="0" customHeight="1">
      <x:c r="A68" s="1" t="s">
        <x:v>4221</x:v>
      </x:c>
      <x:c r="B68" s="1" t="s">
        <x:v>6130</x:v>
      </x:c>
      <x:c r="C68" s="1" t="n">
        <x:v>1</x:v>
      </x:c>
      <x:c r="D68" s="1" t="s">
        <x:v>6698</x:v>
      </x:c>
    </x:row>
    <x:row r="69" ht="15" hidden="0" customHeight="1">
      <x:c r="A69" s="1" t="s">
        <x:v>4217</x:v>
      </x:c>
      <x:c r="B69" s="1" t="s">
        <x:v>6125</x:v>
      </x:c>
      <x:c r="C69" s="1" t="n">
        <x:v>1</x:v>
      </x:c>
      <x:c r="D69" s="1" t="s">
        <x:v>6698</x:v>
      </x:c>
    </x:row>
    <x:row r="70" ht="15" hidden="0" customHeight="1">
      <x:c r="A70" s="1" t="s">
        <x:v>4402</x:v>
      </x:c>
      <x:c r="B70" s="1" t="s">
        <x:v>6125</x:v>
      </x:c>
      <x:c r="C70" s="1" t="n">
        <x:v>1</x:v>
      </x:c>
      <x:c r="D70" s="1" t="s">
        <x:v>6698</x:v>
      </x:c>
    </x:row>
    <x:row r="71" ht="15" hidden="0" customHeight="1">
      <x:c r="A71" s="1" t="s">
        <x:v>3897</x:v>
      </x:c>
      <x:c r="B71" s="1" t="s">
        <x:v>6130</x:v>
      </x:c>
      <x:c r="C71" s="1" t="n">
        <x:v>1</x:v>
      </x:c>
      <x:c r="D71" s="1" t="s">
        <x:v>6698</x:v>
      </x:c>
    </x:row>
    <x:row r="72" ht="15" hidden="0" customHeight="1">
      <x:c r="A72" s="1" t="s">
        <x:v>4227</x:v>
      </x:c>
      <x:c r="B72" s="1" t="s">
        <x:v>6130</x:v>
      </x:c>
      <x:c r="C72" s="1" t="n">
        <x:v>1</x:v>
      </x:c>
      <x:c r="D72" s="1" t="s">
        <x:v>6698</x:v>
      </x:c>
    </x:row>
    <x:row r="73" ht="15" hidden="0" customHeight="1">
      <x:c r="A73" s="1" t="s">
        <x:v>2144</x:v>
      </x:c>
      <x:c r="B73" s="1" t="s">
        <x:v>6125</x:v>
      </x:c>
      <x:c r="C73" s="1" t="n">
        <x:v>2</x:v>
      </x:c>
      <x:c r="D73" s="1" t="s">
        <x:v>6698</x:v>
      </x:c>
    </x:row>
    <x:row r="74" ht="15" hidden="0" customHeight="1">
      <x:c r="A74" s="1" t="s">
        <x:v>2011</x:v>
      </x:c>
      <x:c r="B74" s="1" t="s">
        <x:v>1640</x:v>
      </x:c>
      <x:c r="C74" s="1" t="n">
        <x:v>1</x:v>
      </x:c>
      <x:c r="D74" s="1" t="s">
        <x:v>6698</x:v>
      </x:c>
    </x:row>
    <x:row r="75" ht="15" hidden="0" customHeight="1">
      <x:c r="A75" s="1" t="s">
        <x:v>4230</x:v>
      </x:c>
      <x:c r="B75" s="1" t="s">
        <x:v>6125</x:v>
      </x:c>
      <x:c r="C75" s="1" t="n">
        <x:v>1</x:v>
      </x:c>
      <x:c r="D75" s="1" t="s">
        <x:v>6698</x:v>
      </x:c>
    </x:row>
    <x:row r="76" ht="15" hidden="0" customHeight="1">
      <x:c r="A76" s="1" t="s">
        <x:v>3713</x:v>
      </x:c>
      <x:c r="B76" s="1" t="s">
        <x:v>6124</x:v>
      </x:c>
      <x:c r="C76" s="1" t="n">
        <x:v>1</x:v>
      </x:c>
      <x:c r="D76" s="1" t="s">
        <x:v>6698</x:v>
      </x:c>
    </x:row>
    <x:row r="77" ht="15" hidden="0" customHeight="1">
      <x:c r="A77" s="1" t="s">
        <x:v>5275</x:v>
      </x:c>
      <x:c r="B77" s="1" t="s">
        <x:v>6124</x:v>
      </x:c>
      <x:c r="C77" s="1" t="n">
        <x:v>1</x:v>
      </x:c>
      <x:c r="D77" s="1" t="s">
        <x:v>6698</x:v>
      </x:c>
    </x:row>
    <x:row r="78" ht="15" hidden="0" customHeight="1">
      <x:c r="A78" s="1" t="s">
        <x:v>1615</x:v>
      </x:c>
      <x:c r="B78" s="1" t="s">
        <x:v>6124</x:v>
      </x:c>
      <x:c r="C78" s="1" t="n">
        <x:v>16</x:v>
      </x:c>
      <x:c r="D78" s="1" t="s">
        <x:v>6698</x:v>
      </x:c>
    </x:row>
    <x:row r="79" ht="15" hidden="0" customHeight="1">
      <x:c r="A79" s="1" t="s">
        <x:v>4507</x:v>
      </x:c>
      <x:c r="B79" s="1" t="s">
        <x:v>6124</x:v>
      </x:c>
      <x:c r="C79" s="1" t="n">
        <x:v>1</x:v>
      </x:c>
      <x:c r="D79" s="1" t="s">
        <x:v>6698</x:v>
      </x:c>
    </x:row>
    <x:row r="80" ht="15" hidden="0" customHeight="1">
      <x:c r="A80" s="1" t="s">
        <x:v>2582</x:v>
      </x:c>
      <x:c r="B80" s="1" t="s">
        <x:v>6128</x:v>
      </x:c>
      <x:c r="C80" s="1" t="n">
        <x:v>1</x:v>
      </x:c>
      <x:c r="D80" s="1" t="s">
        <x:v>6698</x:v>
      </x:c>
    </x:row>
    <x:row r="81" ht="15" hidden="0" customHeight="1">
      <x:c r="A81" s="1" t="s">
        <x:v>5349</x:v>
      </x:c>
      <x:c r="B81" s="1" t="s">
        <x:v>6127</x:v>
      </x:c>
      <x:c r="C81" s="1" t="n">
        <x:v>1</x:v>
      </x:c>
      <x:c r="D81" s="1" t="s">
        <x:v>6698</x:v>
      </x:c>
    </x:row>
    <x:row r="82" ht="15" hidden="0" customHeight="1">
      <x:c r="A82" s="1" t="s">
        <x:v>3222</x:v>
      </x:c>
      <x:c r="B82" s="1" t="s">
        <x:v>6124</x:v>
      </x:c>
      <x:c r="C82" s="1" t="n">
        <x:v>1</x:v>
      </x:c>
      <x:c r="D82" s="1" t="s">
        <x:v>6698</x:v>
      </x:c>
    </x:row>
    <x:row r="83" ht="15" hidden="0" customHeight="1">
      <x:c r="A83" s="1" t="s">
        <x:v>1496</x:v>
      </x:c>
      <x:c r="B83" s="1" t="s">
        <x:v>6124</x:v>
      </x:c>
      <x:c r="C83" s="1" t="n">
        <x:v>2</x:v>
      </x:c>
      <x:c r="D83" s="1" t="s">
        <x:v>6698</x:v>
      </x:c>
    </x:row>
    <x:row r="84" ht="15" hidden="0" customHeight="1">
      <x:c r="A84" s="1" t="s">
        <x:v>2728</x:v>
      </x:c>
      <x:c r="B84" s="1" t="s">
        <x:v>6131</x:v>
      </x:c>
      <x:c r="C84" s="1" t="n">
        <x:v>1</x:v>
      </x:c>
      <x:c r="D84" s="1" t="s">
        <x:v>6698</x:v>
      </x:c>
    </x:row>
    <x:row r="85" ht="15" hidden="0" customHeight="1">
      <x:c r="A85" s="1" t="s">
        <x:v>227</x:v>
      </x:c>
      <x:c r="B85" s="1" t="s">
        <x:v>6131</x:v>
      </x:c>
      <x:c r="C85" s="1" t="n">
        <x:v>7</x:v>
      </x:c>
      <x:c r="D85" s="1" t="s">
        <x:v>6698</x:v>
      </x:c>
    </x:row>
    <x:row r="86" ht="15" hidden="0" customHeight="1">
      <x:c r="A86" s="1" t="s">
        <x:v>3521</x:v>
      </x:c>
      <x:c r="B86" s="1" t="s">
        <x:v>6124</x:v>
      </x:c>
      <x:c r="C86" s="1" t="n">
        <x:v>2</x:v>
      </x:c>
      <x:c r="D86" s="1" t="s">
        <x:v>6698</x:v>
      </x:c>
    </x:row>
    <x:row r="87" ht="15" hidden="0" customHeight="1">
      <x:c r="A87" s="1" t="s">
        <x:v>2574</x:v>
      </x:c>
      <x:c r="B87" s="1" t="s">
        <x:v>6128</x:v>
      </x:c>
      <x:c r="C87" s="1" t="n">
        <x:v>1</x:v>
      </x:c>
      <x:c r="D87" s="1" t="s">
        <x:v>6698</x:v>
      </x:c>
    </x:row>
    <x:row r="88" ht="15" hidden="0" customHeight="1">
      <x:c r="A88" s="1" t="s">
        <x:v>4090</x:v>
      </x:c>
      <x:c r="B88" s="1" t="s">
        <x:v>6128</x:v>
      </x:c>
      <x:c r="C88" s="1" t="n">
        <x:v>1</x:v>
      </x:c>
      <x:c r="D88" s="1" t="s">
        <x:v>6698</x:v>
      </x:c>
    </x:row>
    <x:row r="89" ht="15" hidden="0" customHeight="1">
      <x:c r="A89" s="1" t="s">
        <x:v>2233</x:v>
      </x:c>
      <x:c r="B89" s="1" t="s">
        <x:v>6127</x:v>
      </x:c>
      <x:c r="C89" s="1" t="n">
        <x:v>1</x:v>
      </x:c>
      <x:c r="D89" s="1" t="s">
        <x:v>6698</x:v>
      </x:c>
    </x:row>
    <x:row r="90" ht="15" hidden="0" customHeight="1">
      <x:c r="A90" s="1" t="s">
        <x:v>2236</x:v>
      </x:c>
      <x:c r="B90" s="1" t="s">
        <x:v>6127</x:v>
      </x:c>
      <x:c r="C90" s="1" t="n">
        <x:v>1</x:v>
      </x:c>
      <x:c r="D90" s="1" t="s">
        <x:v>6698</x:v>
      </x:c>
    </x:row>
    <x:row r="91" ht="15" hidden="0" customHeight="1">
      <x:c r="A91" s="1" t="s">
        <x:v>1637</x:v>
      </x:c>
      <x:c r="B91" s="1" t="s">
        <x:v>6127</x:v>
      </x:c>
      <x:c r="C91" s="1" t="n">
        <x:v>2</x:v>
      </x:c>
      <x:c r="D91" s="1" t="s">
        <x:v>6698</x:v>
      </x:c>
    </x:row>
    <x:row r="92" ht="15" hidden="0" customHeight="1">
      <x:c r="A92" s="1" t="s">
        <x:v>3622</x:v>
      </x:c>
      <x:c r="B92" s="1" t="s">
        <x:v>6127</x:v>
      </x:c>
      <x:c r="C92" s="1" t="n">
        <x:v>1</x:v>
      </x:c>
      <x:c r="D92" s="1" t="s">
        <x:v>6698</x:v>
      </x:c>
    </x:row>
    <x:row r="93" ht="15" hidden="0" customHeight="1">
      <x:c r="A93" s="1" t="s">
        <x:v>2307</x:v>
      </x:c>
      <x:c r="B93" s="1" t="s">
        <x:v>6127</x:v>
      </x:c>
      <x:c r="C93" s="1" t="n">
        <x:v>4</x:v>
      </x:c>
      <x:c r="D93" s="1" t="s">
        <x:v>6698</x:v>
      </x:c>
    </x:row>
    <x:row r="94" ht="15" hidden="0" customHeight="1">
      <x:c r="A94" s="1" t="s">
        <x:v>450</x:v>
      </x:c>
      <x:c r="B94" s="1" t="s">
        <x:v>6127</x:v>
      </x:c>
      <x:c r="C94" s="1" t="n">
        <x:v>9</x:v>
      </x:c>
      <x:c r="D94" s="1" t="s">
        <x:v>6698</x:v>
      </x:c>
    </x:row>
    <x:row r="95" ht="15" hidden="0" customHeight="1">
      <x:c r="A95" s="1" t="s">
        <x:v>2396</x:v>
      </x:c>
      <x:c r="B95" s="1" t="s">
        <x:v>6124</x:v>
      </x:c>
      <x:c r="C95" s="1" t="n">
        <x:v>1</x:v>
      </x:c>
      <x:c r="D95" s="1" t="s">
        <x:v>6698</x:v>
      </x:c>
    </x:row>
    <x:row r="96" ht="15" hidden="0" customHeight="1">
      <x:c r="A96" s="1" t="s">
        <x:v>4086</x:v>
      </x:c>
      <x:c r="B96" s="1" t="s">
        <x:v>6127</x:v>
      </x:c>
      <x:c r="C96" s="1" t="n">
        <x:v>1</x:v>
      </x:c>
      <x:c r="D96" s="1" t="s">
        <x:v>6698</x:v>
      </x:c>
    </x:row>
    <x:row r="97" ht="15" hidden="0" customHeight="1">
      <x:c r="A97" s="1" t="s">
        <x:v>2239</x:v>
      </x:c>
      <x:c r="B97" s="1" t="s">
        <x:v>6130</x:v>
      </x:c>
      <x:c r="C97" s="1" t="n">
        <x:v>2</x:v>
      </x:c>
      <x:c r="D97" s="1" t="s">
        <x:v>6698</x:v>
      </x:c>
    </x:row>
    <x:row r="98" ht="15" hidden="0" customHeight="1">
      <x:c r="A98" s="1" t="s">
        <x:v>4100</x:v>
      </x:c>
      <x:c r="B98" s="1" t="s">
        <x:v>6130</x:v>
      </x:c>
      <x:c r="C98" s="1" t="n">
        <x:v>1</x:v>
      </x:c>
      <x:c r="D98" s="1" t="s">
        <x:v>6698</x:v>
      </x:c>
    </x:row>
    <x:row r="99" ht="15" hidden="0" customHeight="1">
      <x:c r="A99" s="1" t="s">
        <x:v>4105</x:v>
      </x:c>
      <x:c r="B99" s="1" t="s">
        <x:v>6130</x:v>
      </x:c>
      <x:c r="C99" s="1" t="n">
        <x:v>1</x:v>
      </x:c>
      <x:c r="D99" s="1" t="s">
        <x:v>6698</x:v>
      </x:c>
    </x:row>
    <x:row r="100" ht="15" hidden="0" customHeight="1">
      <x:c r="A100" s="1" t="s">
        <x:v>4391</x:v>
      </x:c>
      <x:c r="B100" s="1" t="s">
        <x:v>6127</x:v>
      </x:c>
      <x:c r="C100" s="1" t="n">
        <x:v>2</x:v>
      </x:c>
      <x:c r="D100" s="1" t="s">
        <x:v>6698</x:v>
      </x:c>
    </x:row>
    <x:row r="101" ht="15" hidden="0" customHeight="1">
      <x:c r="A101" s="1" t="s">
        <x:v>2733</x:v>
      </x:c>
      <x:c r="B101" s="1" t="s">
        <x:v>6127</x:v>
      </x:c>
      <x:c r="C101" s="1" t="n">
        <x:v>1</x:v>
      </x:c>
      <x:c r="D101" s="1" t="s">
        <x:v>6698</x:v>
      </x:c>
    </x:row>
    <x:row r="102" ht="15" hidden="0" customHeight="1">
      <x:c r="A102" s="1" t="s">
        <x:v>2919</x:v>
      </x:c>
      <x:c r="B102" s="1" t="s">
        <x:v>1343</x:v>
      </x:c>
      <x:c r="C102" s="1" t="n">
        <x:v>1</x:v>
      </x:c>
      <x:c r="D102" s="1" t="s">
        <x:v>6698</x:v>
      </x:c>
    </x:row>
    <x:row r="103" ht="15" hidden="0" customHeight="1">
      <x:c r="A103" s="1" t="s">
        <x:v>2929</x:v>
      </x:c>
      <x:c r="B103" s="1" t="s">
        <x:v>1343</x:v>
      </x:c>
      <x:c r="C103" s="1" t="n">
        <x:v>1</x:v>
      </x:c>
      <x:c r="D103" s="1" t="s">
        <x:v>6698</x:v>
      </x:c>
    </x:row>
    <x:row r="104" ht="15" hidden="0" customHeight="1">
      <x:c r="A104" s="1" t="s">
        <x:v>1224</x:v>
      </x:c>
      <x:c r="B104" s="1" t="s">
        <x:v>6124</x:v>
      </x:c>
      <x:c r="C104" s="1" t="n">
        <x:v>1</x:v>
      </x:c>
      <x:c r="D104" s="1" t="s">
        <x:v>6698</x:v>
      </x:c>
    </x:row>
    <x:row r="105" ht="15" hidden="0" customHeight="1">
      <x:c r="A105" s="1" t="s">
        <x:v>3731</x:v>
      </x:c>
      <x:c r="B105" s="1" t="s">
        <x:v>6124</x:v>
      </x:c>
      <x:c r="C105" s="1" t="n">
        <x:v>1</x:v>
      </x:c>
      <x:c r="D105" s="1" t="s">
        <x:v>6698</x:v>
      </x:c>
    </x:row>
    <x:row r="106" ht="15" hidden="0" customHeight="1">
      <x:c r="A106" s="1" t="s">
        <x:v>2899</x:v>
      </x:c>
      <x:c r="B106" s="1" t="s">
        <x:v>6131</x:v>
      </x:c>
      <x:c r="C106" s="1" t="n">
        <x:v>1</x:v>
      </x:c>
      <x:c r="D106" s="1" t="s">
        <x:v>6698</x:v>
      </x:c>
    </x:row>
    <x:row r="107" ht="15" hidden="0" customHeight="1">
      <x:c r="A107" s="1" t="s">
        <x:v>2903</x:v>
      </x:c>
      <x:c r="B107" s="1" t="s">
        <x:v>6131</x:v>
      </x:c>
      <x:c r="C107" s="1" t="n">
        <x:v>1</x:v>
      </x:c>
      <x:c r="D107" s="1" t="s">
        <x:v>6698</x:v>
      </x:c>
    </x:row>
    <x:row r="108" ht="15" hidden="0" customHeight="1">
      <x:c r="A108" s="1" t="s">
        <x:v>1818</x:v>
      </x:c>
      <x:c r="B108" s="1" t="s">
        <x:v>6124</x:v>
      </x:c>
      <x:c r="C108" s="1" t="n">
        <x:v>1</x:v>
      </x:c>
      <x:c r="D108" s="1" t="s">
        <x:v>6698</x:v>
      </x:c>
    </x:row>
    <x:row r="109" ht="15" hidden="0" customHeight="1">
      <x:c r="A109" s="1" t="s">
        <x:v>3174</x:v>
      </x:c>
      <x:c r="B109" s="1" t="s">
        <x:v>1343</x:v>
      </x:c>
      <x:c r="C109" s="1" t="n">
        <x:v>1</x:v>
      </x:c>
      <x:c r="D109" s="1" t="s">
        <x:v>6698</x:v>
      </x:c>
    </x:row>
    <x:row r="110" ht="15" hidden="0" customHeight="1">
      <x:c r="A110" s="1" t="s">
        <x:v>4092</x:v>
      </x:c>
      <x:c r="B110" s="1" t="s">
        <x:v>6128</x:v>
      </x:c>
      <x:c r="C110" s="1" t="n">
        <x:v>1</x:v>
      </x:c>
      <x:c r="D110" s="1" t="s">
        <x:v>6698</x:v>
      </x:c>
    </x:row>
    <x:row r="111" ht="15" hidden="0" customHeight="1">
      <x:c r="A111" s="1" t="s">
        <x:v>1631</x:v>
      </x:c>
      <x:c r="B111" s="1" t="s">
        <x:v>6124</x:v>
      </x:c>
      <x:c r="C111" s="1" t="n">
        <x:v>1</x:v>
      </x:c>
      <x:c r="D111" s="1" t="s">
        <x:v>6698</x:v>
      </x:c>
    </x:row>
    <x:row r="112" ht="15" hidden="0" customHeight="1">
      <x:c r="A112" s="1" t="s">
        <x:v>131</x:v>
      </x:c>
      <x:c r="B112" s="1" t="s">
        <x:v>6124</x:v>
      </x:c>
      <x:c r="C112" s="1" t="n">
        <x:v>26</x:v>
      </x:c>
      <x:c r="D112" s="1" t="s">
        <x:v>6698</x:v>
      </x:c>
    </x:row>
    <x:row r="113" ht="15" hidden="0" customHeight="1">
      <x:c r="A113" s="1" t="s">
        <x:v>4235</x:v>
      </x:c>
      <x:c r="B113" s="1" t="s">
        <x:v>6127</x:v>
      </x:c>
      <x:c r="C113" s="1" t="n">
        <x:v>1</x:v>
      </x:c>
      <x:c r="D113" s="1" t="s">
        <x:v>6698</x:v>
      </x:c>
    </x:row>
    <x:row r="114" ht="15" hidden="0" customHeight="1">
      <x:c r="A114" s="1" t="s">
        <x:v>1355</x:v>
      </x:c>
      <x:c r="B114" s="1" t="s">
        <x:v>6127</x:v>
      </x:c>
      <x:c r="C114" s="1" t="n">
        <x:v>1</x:v>
      </x:c>
      <x:c r="D114" s="1" t="s">
        <x:v>6698</x:v>
      </x:c>
    </x:row>
    <x:row r="115" ht="15" hidden="0" customHeight="1">
      <x:c r="A115" s="1" t="s">
        <x:v>4238</x:v>
      </x:c>
      <x:c r="B115" s="1" t="s">
        <x:v>6127</x:v>
      </x:c>
      <x:c r="C115" s="1" t="n">
        <x:v>1</x:v>
      </x:c>
      <x:c r="D115" s="1" t="s">
        <x:v>6698</x:v>
      </x:c>
    </x:row>
    <x:row r="116" ht="15" hidden="0" customHeight="1">
      <x:c r="A116" s="1" t="s">
        <x:v>1338</x:v>
      </x:c>
      <x:c r="B116" s="1" t="s">
        <x:v>6124</x:v>
      </x:c>
      <x:c r="C116" s="1" t="n">
        <x:v>2</x:v>
      </x:c>
      <x:c r="D116" s="1" t="s">
        <x:v>6698</x:v>
      </x:c>
    </x:row>
    <x:row r="117" ht="15" hidden="0" customHeight="1">
      <x:c r="A117" s="1" t="s">
        <x:v>3248</x:v>
      </x:c>
      <x:c r="B117" s="1" t="s">
        <x:v>6131</x:v>
      </x:c>
      <x:c r="C117" s="1" t="n">
        <x:v>2</x:v>
      </x:c>
      <x:c r="D117" s="1" t="s">
        <x:v>6698</x:v>
      </x:c>
    </x:row>
    <x:row r="118" ht="15" hidden="0" customHeight="1">
      <x:c r="A118" s="1" t="s">
        <x:v>5194</x:v>
      </x:c>
      <x:c r="B118" s="1" t="s">
        <x:v>6131</x:v>
      </x:c>
      <x:c r="C118" s="1" t="n">
        <x:v>2</x:v>
      </x:c>
      <x:c r="D118" s="1" t="s">
        <x:v>6698</x:v>
      </x:c>
    </x:row>
    <x:row r="119" ht="15" hidden="0" customHeight="1">
      <x:c r="A119" s="1" t="s">
        <x:v>2063</x:v>
      </x:c>
      <x:c r="B119" s="1" t="s">
        <x:v>6124</x:v>
      </x:c>
      <x:c r="C119" s="1" t="n">
        <x:v>1</x:v>
      </x:c>
      <x:c r="D119" s="1" t="s">
        <x:v>6698</x:v>
      </x:c>
    </x:row>
    <x:row r="120" ht="15" hidden="0" customHeight="1">
      <x:c r="A120" s="1" t="s">
        <x:v>4854</x:v>
      </x:c>
      <x:c r="B120" s="1" t="s">
        <x:v>6124</x:v>
      </x:c>
      <x:c r="C120" s="1" t="n">
        <x:v>1</x:v>
      </x:c>
      <x:c r="D120" s="1" t="s">
        <x:v>6698</x:v>
      </x:c>
    </x:row>
    <x:row r="121" ht="15" hidden="0" customHeight="1">
      <x:c r="A121" s="1" t="s">
        <x:v>5082</x:v>
      </x:c>
      <x:c r="B121" s="1" t="s">
        <x:v>6124</x:v>
      </x:c>
      <x:c r="C121" s="1" t="n">
        <x:v>1</x:v>
      </x:c>
      <x:c r="D121" s="1" t="s">
        <x:v>6698</x:v>
      </x:c>
    </x:row>
    <x:row r="122" ht="15" hidden="0" customHeight="1">
      <x:c r="A122" s="1" t="s">
        <x:v>1989</x:v>
      </x:c>
      <x:c r="B122" s="1" t="s">
        <x:v>6124</x:v>
      </x:c>
      <x:c r="C122" s="1" t="n">
        <x:v>5</x:v>
      </x:c>
      <x:c r="D122" s="1" t="s">
        <x:v>6698</x:v>
      </x:c>
    </x:row>
    <x:row r="123" ht="15" hidden="0" customHeight="1">
      <x:c r="A123" s="1" t="s">
        <x:v>223</x:v>
      </x:c>
      <x:c r="B123" s="1" t="s">
        <x:v>1343</x:v>
      </x:c>
      <x:c r="C123" s="1" t="n">
        <x:v>9</x:v>
      </x:c>
      <x:c r="D123" s="1" t="s">
        <x:v>6698</x:v>
      </x:c>
    </x:row>
    <x:row r="124" ht="15" hidden="0" customHeight="1">
      <x:c r="A124" s="1" t="s">
        <x:v>4088</x:v>
      </x:c>
      <x:c r="B124" s="1" t="s">
        <x:v>6127</x:v>
      </x:c>
      <x:c r="C124" s="1" t="n">
        <x:v>1</x:v>
      </x:c>
      <x:c r="D124" s="1" t="s">
        <x:v>6698</x:v>
      </x:c>
    </x:row>
    <x:row r="125" ht="15" hidden="0" customHeight="1">
      <x:c r="A125" s="1" t="s">
        <x:v>2242</x:v>
      </x:c>
      <x:c r="B125" s="1" t="s">
        <x:v>6130</x:v>
      </x:c>
      <x:c r="C125" s="1" t="n">
        <x:v>1</x:v>
      </x:c>
      <x:c r="D125" s="1" t="s">
        <x:v>6698</x:v>
      </x:c>
    </x:row>
    <x:row r="126" ht="15" hidden="0" customHeight="1">
      <x:c r="A126" s="1" t="s">
        <x:v>373</x:v>
      </x:c>
      <x:c r="B126" s="1" t="s">
        <x:v>6124</x:v>
      </x:c>
      <x:c r="C126" s="1" t="n">
        <x:v>1</x:v>
      </x:c>
      <x:c r="D126" s="1" t="s">
        <x:v>6698</x:v>
      </x:c>
    </x:row>
    <x:row r="127" ht="15" hidden="0" customHeight="1">
      <x:c r="A127" s="1" t="s">
        <x:v>3629</x:v>
      </x:c>
      <x:c r="B127" s="1" t="s">
        <x:v>6124</x:v>
      </x:c>
      <x:c r="C127" s="1" t="n">
        <x:v>2</x:v>
      </x:c>
      <x:c r="D127" s="1" t="s">
        <x:v>6698</x:v>
      </x:c>
    </x:row>
    <x:row r="128" ht="15" hidden="0" customHeight="1">
      <x:c r="A128" s="1" t="s">
        <x:v>230</x:v>
      </x:c>
      <x:c r="B128" s="1" t="s">
        <x:v>1640</x:v>
      </x:c>
      <x:c r="C128" s="1" t="n">
        <x:v>8</x:v>
      </x:c>
      <x:c r="D128" s="1" t="s">
        <x:v>6698</x:v>
      </x:c>
    </x:row>
    <x:row r="129" ht="15" hidden="0" customHeight="1">
      <x:c r="A129" s="1" t="s">
        <x:v>3703</x:v>
      </x:c>
      <x:c r="B129" s="1" t="s">
        <x:v>1640</x:v>
      </x:c>
      <x:c r="C129" s="1" t="n">
        <x:v>3</x:v>
      </x:c>
      <x:c r="D129" s="1" t="s">
        <x:v>6698</x:v>
      </x:c>
    </x:row>
    <x:row r="130" ht="15" hidden="0" customHeight="1">
      <x:c r="A130" s="1" t="s">
        <x:v>1358</x:v>
      </x:c>
      <x:c r="B130" s="1" t="s">
        <x:v>6124</x:v>
      </x:c>
      <x:c r="C130" s="1" t="n">
        <x:v>5</x:v>
      </x:c>
      <x:c r="D130" s="1" t="s">
        <x:v>6698</x:v>
      </x:c>
    </x:row>
    <x:row r="131" ht="15" hidden="0" customHeight="1">
      <x:c r="A131" s="1" t="s">
        <x:v>3785</x:v>
      </x:c>
      <x:c r="B131" s="1" t="s">
        <x:v>6124</x:v>
      </x:c>
      <x:c r="C131" s="1" t="n">
        <x:v>1</x:v>
      </x:c>
      <x:c r="D131" s="1" t="s">
        <x:v>6698</x:v>
      </x:c>
    </x:row>
    <x:row r="132" ht="15" hidden="0" customHeight="1">
      <x:c r="A132" s="1" t="s">
        <x:v>2187</x:v>
      </x:c>
      <x:c r="B132" s="1" t="s">
        <x:v>1343</x:v>
      </x:c>
      <x:c r="C132" s="1" t="n">
        <x:v>1</x:v>
      </x:c>
      <x:c r="D132" s="1" t="s">
        <x:v>6698</x:v>
      </x:c>
    </x:row>
    <x:row r="133" ht="15" hidden="0" customHeight="1">
      <x:c r="A133" s="1" t="s">
        <x:v>4395</x:v>
      </x:c>
      <x:c r="B133" s="1" t="s">
        <x:v>6124</x:v>
      </x:c>
      <x:c r="C133" s="1" t="n">
        <x:v>1</x:v>
      </x:c>
      <x:c r="D133" s="1" t="s">
        <x:v>6698</x:v>
      </x:c>
    </x:row>
    <x:row r="134" ht="15" hidden="0" customHeight="1">
      <x:c r="A134" s="1" t="s">
        <x:v>4288</x:v>
      </x:c>
      <x:c r="B134" s="1" t="s">
        <x:v>6124</x:v>
      </x:c>
      <x:c r="C134" s="1" t="n">
        <x:v>1</x:v>
      </x:c>
      <x:c r="D134" s="1" t="s">
        <x:v>6698</x:v>
      </x:c>
    </x:row>
    <x:row r="135" ht="15" hidden="0" customHeight="1">
      <x:c r="A135" s="1" t="s">
        <x:v>1635</x:v>
      </x:c>
      <x:c r="B135" s="1" t="s">
        <x:v>1343</x:v>
      </x:c>
      <x:c r="C135" s="1" t="n">
        <x:v>1</x:v>
      </x:c>
      <x:c r="D135" s="1" t="s">
        <x:v>6698</x:v>
      </x:c>
    </x:row>
    <x:row r="136" ht="15" hidden="0" customHeight="1">
      <x:c r="A136" s="1" t="s">
        <x:v>2483</x:v>
      </x:c>
      <x:c r="B136" s="1" t="s">
        <x:v>6131</x:v>
      </x:c>
      <x:c r="C136" s="1" t="n">
        <x:v>1</x:v>
      </x:c>
      <x:c r="D136" s="1" t="s">
        <x:v>6698</x:v>
      </x:c>
    </x:row>
    <x:row r="137" ht="15" hidden="0" customHeight="1">
      <x:c r="A137" s="1" t="s">
        <x:v>4416</x:v>
      </x:c>
      <x:c r="B137" s="1" t="s">
        <x:v>6124</x:v>
      </x:c>
      <x:c r="C137" s="1" t="n">
        <x:v>1</x:v>
      </x:c>
      <x:c r="D137" s="1" t="s">
        <x:v>6698</x:v>
      </x:c>
    </x:row>
    <x:row r="138" ht="15" hidden="0" customHeight="1">
      <x:c r="A138" s="1" t="s">
        <x:v>4857</x:v>
      </x:c>
      <x:c r="B138" s="1" t="s">
        <x:v>6124</x:v>
      </x:c>
      <x:c r="C138" s="1" t="n">
        <x:v>1</x:v>
      </x:c>
      <x:c r="D138" s="1" t="s">
        <x:v>6698</x:v>
      </x:c>
    </x:row>
    <x:row r="139" ht="15" hidden="0" customHeight="1">
      <x:c r="A139" s="1" t="s">
        <x:v>3410</x:v>
      </x:c>
      <x:c r="B139" s="1" t="s">
        <x:v>6124</x:v>
      </x:c>
      <x:c r="C139" s="1" t="n">
        <x:v>1</x:v>
      </x:c>
      <x:c r="D139" s="1" t="s">
        <x:v>6698</x:v>
      </x:c>
    </x:row>
    <x:row r="140" ht="15" hidden="0" customHeight="1">
      <x:c r="A140" s="1" t="s">
        <x:v>5087</x:v>
      </x:c>
      <x:c r="B140" s="1" t="s">
        <x:v>6124</x:v>
      </x:c>
      <x:c r="C140" s="1" t="n">
        <x:v>1</x:v>
      </x:c>
      <x:c r="D140" s="1" t="s">
        <x:v>6698</x:v>
      </x:c>
    </x:row>
    <x:row r="141" ht="15" hidden="0" customHeight="1">
      <x:c r="A141" s="1" t="s">
        <x:v>3407</x:v>
      </x:c>
      <x:c r="B141" s="1" t="s">
        <x:v>6124</x:v>
      </x:c>
      <x:c r="C141" s="1" t="n">
        <x:v>1</x:v>
      </x:c>
      <x:c r="D141" s="1" t="s">
        <x:v>6698</x:v>
      </x:c>
    </x:row>
    <x:row r="142" ht="15" hidden="0" customHeight="1">
      <x:c r="A142" s="1" t="s">
        <x:v>3562</x:v>
      </x:c>
      <x:c r="B142" s="1" t="s">
        <x:v>6124</x:v>
      </x:c>
      <x:c r="C142" s="1" t="n">
        <x:v>1</x:v>
      </x:c>
      <x:c r="D142" s="1" t="s">
        <x:v>6698</x:v>
      </x:c>
    </x:row>
    <x:row r="143" ht="15" hidden="0" customHeight="1">
      <x:c r="A143" s="1" t="s">
        <x:v>4406</x:v>
      </x:c>
      <x:c r="B143" s="1" t="s">
        <x:v>6131</x:v>
      </x:c>
      <x:c r="C143" s="1" t="n">
        <x:v>1</x:v>
      </x:c>
      <x:c r="D143" s="1" t="s">
        <x:v>6698</x:v>
      </x:c>
    </x:row>
    <x:row r="144" ht="15" hidden="0" customHeight="1">
      <x:c r="A144" s="1" t="s">
        <x:v>369</x:v>
      </x:c>
      <x:c r="B144" s="1" t="s">
        <x:v>6124</x:v>
      </x:c>
      <x:c r="C144" s="1" t="n">
        <x:v>2</x:v>
      </x:c>
      <x:c r="D144" s="1" t="s">
        <x:v>6698</x:v>
      </x:c>
    </x:row>
    <x:row r="145" ht="15" hidden="0" customHeight="1">
      <x:c r="A145" s="1" t="s">
        <x:v>4285</x:v>
      </x:c>
      <x:c r="B145" s="1" t="s">
        <x:v>6124</x:v>
      </x:c>
      <x:c r="C145" s="1" t="n">
        <x:v>1</x:v>
      </x:c>
      <x:c r="D145" s="1" t="s">
        <x:v>6698</x:v>
      </x:c>
    </x:row>
    <x:row r="146" ht="15" hidden="0" customHeight="1">
      <x:c r="A146" s="1" t="s">
        <x:v>3889</x:v>
      </x:c>
      <x:c r="B146" s="1" t="s">
        <x:v>6127</x:v>
      </x:c>
      <x:c r="C146" s="1" t="n">
        <x:v>1</x:v>
      </x:c>
      <x:c r="D146" s="1" t="s">
        <x:v>6698</x:v>
      </x:c>
    </x:row>
    <x:row r="147" ht="15" hidden="0" customHeight="1">
      <x:c r="A147" s="1" t="s">
        <x:v>2584</x:v>
      </x:c>
      <x:c r="B147" s="1" t="s">
        <x:v>6131</x:v>
      </x:c>
      <x:c r="C147" s="1" t="n">
        <x:v>1</x:v>
      </x:c>
      <x:c r="D147" s="1" t="s">
        <x:v>6698</x:v>
      </x:c>
    </x:row>
    <x:row r="148" ht="15" hidden="0" customHeight="1">
      <x:c r="A148" s="1" t="s">
        <x:v>3276</x:v>
      </x:c>
      <x:c r="B148" s="1" t="s">
        <x:v>6124</x:v>
      </x:c>
      <x:c r="C148" s="1" t="n">
        <x:v>1</x:v>
      </x:c>
      <x:c r="D148" s="1" t="s">
        <x:v>6698</x:v>
      </x:c>
    </x:row>
    <x:row r="149" ht="15" hidden="0" customHeight="1">
      <x:c r="A149" s="1" t="s">
        <x:v>4095</x:v>
      </x:c>
      <x:c r="B149" s="1" t="s">
        <x:v>6128</x:v>
      </x:c>
      <x:c r="C149" s="1" t="n">
        <x:v>1</x:v>
      </x:c>
      <x:c r="D149" s="1" t="s">
        <x:v>6698</x:v>
      </x:c>
    </x:row>
    <x:row r="150" ht="15" hidden="0" customHeight="1">
      <x:c r="A150" s="1" t="s">
        <x:v>3384</x:v>
      </x:c>
      <x:c r="B150" s="1" t="s">
        <x:v>6124</x:v>
      </x:c>
      <x:c r="C150" s="1" t="n">
        <x:v>1</x:v>
      </x:c>
      <x:c r="D150" s="1" t="s">
        <x:v>6698</x:v>
      </x:c>
    </x:row>
    <x:row r="151" ht="15" hidden="0" customHeight="1">
      <x:c r="A151" s="1" t="s">
        <x:v>3388</x:v>
      </x:c>
      <x:c r="B151" s="1" t="s">
        <x:v>6124</x:v>
      </x:c>
      <x:c r="C151" s="1" t="n">
        <x:v>1</x:v>
      </x:c>
      <x:c r="D151" s="1" t="s">
        <x:v>6698</x:v>
      </x:c>
    </x:row>
    <x:row r="152" ht="15" hidden="0" customHeight="1">
      <x:c r="A152" s="1" t="s">
        <x:v>2117</x:v>
      </x:c>
      <x:c r="B152" s="1" t="s">
        <x:v>6124</x:v>
      </x:c>
      <x:c r="C152" s="1" t="n">
        <x:v>1</x:v>
      </x:c>
      <x:c r="D152" s="1" t="s">
        <x:v>6698</x:v>
      </x:c>
    </x:row>
    <x:row r="153" ht="15" hidden="0" customHeight="1">
      <x:c r="A153" s="1" t="s">
        <x:v>5423</x:v>
      </x:c>
      <x:c r="B153" s="1" t="s">
        <x:v>6124</x:v>
      </x:c>
      <x:c r="C153" s="1" t="n">
        <x:v>1</x:v>
      </x:c>
      <x:c r="D153" s="1" t="s">
        <x:v>6698</x:v>
      </x:c>
    </x:row>
    <x:row r="154" ht="15" hidden="0" customHeight="1">
      <x:c r="A154" s="1" t="s">
        <x:v>2578</x:v>
      </x:c>
      <x:c r="B154" s="1" t="s">
        <x:v>6129</x:v>
      </x:c>
      <x:c r="C154" s="1" t="n">
        <x:v>1</x:v>
      </x:c>
      <x:c r="D154" s="1" t="s">
        <x:v>6698</x:v>
      </x:c>
    </x:row>
    <x:row r="155" ht="15" hidden="0" customHeight="1">
      <x:c r="A155" s="1" t="s">
        <x:v>3893</x:v>
      </x:c>
      <x:c r="B155" s="1" t="s">
        <x:v>6127</x:v>
      </x:c>
      <x:c r="C155" s="1" t="n">
        <x:v>1</x:v>
      </x:c>
      <x:c r="D155" s="1" t="s">
        <x:v>6698</x:v>
      </x:c>
    </x:row>
    <x:row r="156" ht="15" hidden="0" customHeight="1">
      <x:c r="A156" s="1" t="s">
        <x:v>1856</x:v>
      </x:c>
      <x:c r="B156" s="1" t="s">
        <x:v>6131</x:v>
      </x:c>
      <x:c r="C156" s="1" t="n">
        <x:v>1</x:v>
      </x:c>
      <x:c r="D156" s="1" t="s">
        <x:v>6698</x:v>
      </x:c>
    </x:row>
    <x:row r="157" ht="15" hidden="0" customHeight="1">
      <x:c r="A157" s="1" t="s">
        <x:v>139</x:v>
      </x:c>
      <x:c r="B157" s="1" t="s">
        <x:v>6124</x:v>
      </x:c>
      <x:c r="C157" s="1" t="n">
        <x:v>2</x:v>
      </x:c>
      <x:c r="D157" s="1" t="s">
        <x:v>6698</x:v>
      </x:c>
    </x:row>
    <x:row r="158" ht="15" hidden="0" customHeight="1">
      <x:c r="A158" s="1" t="s">
        <x:v>2543</x:v>
      </x:c>
      <x:c r="B158" s="1" t="s">
        <x:v>6124</x:v>
      </x:c>
      <x:c r="C158" s="1" t="n">
        <x:v>1</x:v>
      </x:c>
      <x:c r="D158" s="1" t="s">
        <x:v>6698</x:v>
      </x:c>
    </x:row>
    <x:row r="159" ht="15" hidden="0" customHeight="1">
      <x:c r="A159" s="1" t="s">
        <x:v>2967</x:v>
      </x:c>
      <x:c r="B159" s="1" t="s">
        <x:v>6124</x:v>
      </x:c>
      <x:c r="C159" s="1" t="n">
        <x:v>1</x:v>
      </x:c>
      <x:c r="D159" s="1" t="s">
        <x:v>6698</x:v>
      </x:c>
    </x:row>
    <x:row r="160" ht="15" hidden="0" customHeight="1">
      <x:c r="A160" s="1" t="s">
        <x:v>3170</x:v>
      </x:c>
      <x:c r="B160" s="1" t="s">
        <x:v>6124</x:v>
      </x:c>
      <x:c r="C160" s="1" t="n">
        <x:v>1</x:v>
      </x:c>
      <x:c r="D160" s="1" t="s">
        <x:v>6698</x:v>
      </x:c>
    </x:row>
    <x:row r="161" ht="15" hidden="0" customHeight="1">
      <x:c r="A161" s="1" t="s">
        <x:v>4387</x:v>
      </x:c>
      <x:c r="B161" s="1" t="s">
        <x:v>6124</x:v>
      </x:c>
      <x:c r="C161" s="1" t="n">
        <x:v>12</x:v>
      </x:c>
      <x:c r="D161" s="1" t="s">
        <x:v>6698</x:v>
      </x:c>
    </x:row>
    <x:row r="162" ht="15" hidden="0" customHeight="1">
      <x:c r="A162" s="1" t="s">
        <x:v>2925</x:v>
      </x:c>
      <x:c r="B162" s="1" t="s">
        <x:v>6124</x:v>
      </x:c>
      <x:c r="C162" s="1" t="n">
        <x:v>1</x:v>
      </x:c>
      <x:c r="D162" s="1" t="s">
        <x:v>6698</x:v>
      </x:c>
    </x:row>
    <x:row r="163" ht="15" hidden="0" customHeight="1">
      <x:c r="A163" s="1" t="s">
        <x:v>2932</x:v>
      </x:c>
      <x:c r="B163" s="1" t="s">
        <x:v>6124</x:v>
      </x:c>
      <x:c r="C163" s="1" t="n">
        <x:v>1</x:v>
      </x:c>
      <x:c r="D163" s="1" t="s">
        <x:v>6698</x:v>
      </x:c>
    </x:row>
    <x:row r="164" ht="15" hidden="0" customHeight="1">
      <x:c r="A164" s="1" t="s">
        <x:v>4291</x:v>
      </x:c>
      <x:c r="B164" s="1" t="s">
        <x:v>6124</x:v>
      </x:c>
      <x:c r="C164" s="1" t="n">
        <x:v>1</x:v>
      </x:c>
      <x:c r="D164" s="1" t="s">
        <x:v>6698</x:v>
      </x:c>
    </x:row>
    <x:row r="165" ht="15" hidden="0" customHeight="1">
      <x:c r="A165" s="1" t="s">
        <x:v>1853</x:v>
      </x:c>
      <x:c r="B165" s="1" t="s">
        <x:v>6124</x:v>
      </x:c>
      <x:c r="C165" s="1" t="n">
        <x:v>1</x:v>
      </x:c>
      <x:c r="D165" s="1" t="s">
        <x:v>6698</x:v>
      </x:c>
    </x:row>
    <x:row r="166" ht="15" hidden="0" customHeight="1">
      <x:c r="A166" s="1" t="s">
        <x:v>1352</x:v>
      </x:c>
      <x:c r="B166" s="1" t="s">
        <x:v>6124</x:v>
      </x:c>
      <x:c r="C166" s="1" t="n">
        <x:v>1</x:v>
      </x:c>
      <x:c r="D166" s="1" t="s">
        <x:v>6698</x:v>
      </x:c>
    </x:row>
    <x:row r="167" ht="15" hidden="0" customHeight="1">
      <x:c r="A167" s="1" t="s">
        <x:v>1801</x:v>
      </x:c>
      <x:c r="B167" s="1" t="s">
        <x:v>6144</x:v>
      </x:c>
      <x:c r="C167" s="1" t="n">
        <x:v>1</x:v>
      </x:c>
      <x:c r="D167" s="1" t="s">
        <x:v>6698</x:v>
      </x:c>
    </x:row>
    <x:row r="168" ht="15" hidden="0" customHeight="1">
      <x:c r="A168" s="1" t="s">
        <x:v>3444</x:v>
      </x:c>
      <x:c r="B168" s="1" t="s">
        <x:v>6144</x:v>
      </x:c>
      <x:c r="C168" s="1" t="n">
        <x:v>1</x:v>
      </x:c>
      <x:c r="D168" s="1" t="s">
        <x:v>6698</x:v>
      </x:c>
    </x:row>
    <x:row r="169" ht="15" hidden="0" customHeight="1">
      <x:c r="A169" s="1" t="s">
        <x:v>3459</x:v>
      </x:c>
      <x:c r="B169" s="1" t="s">
        <x:v>6144</x:v>
      </x:c>
      <x:c r="C169" s="1" t="n">
        <x:v>1</x:v>
      </x:c>
      <x:c r="D169" s="1" t="s">
        <x:v>6698</x:v>
      </x:c>
    </x:row>
    <x:row r="170" ht="15" hidden="0" customHeight="1">
      <x:c r="A170" s="1" t="s">
        <x:v>1787</x:v>
      </x:c>
      <x:c r="B170" s="1" t="s">
        <x:v>6144</x:v>
      </x:c>
      <x:c r="C170" s="1" t="n">
        <x:v>1</x:v>
      </x:c>
      <x:c r="D170" s="1" t="s">
        <x:v>6698</x:v>
      </x:c>
    </x:row>
    <x:row r="171" ht="15" hidden="0" customHeight="1">
      <x:c r="A171" s="1" t="s">
        <x:v>3552</x:v>
      </x:c>
      <x:c r="B171" s="1" t="s">
        <x:v>6144</x:v>
      </x:c>
      <x:c r="C171" s="1" t="n">
        <x:v>1</x:v>
      </x:c>
      <x:c r="D171" s="1" t="s">
        <x:v>6698</x:v>
      </x:c>
    </x:row>
    <x:row r="172" ht="15" hidden="0" customHeight="1">
      <x:c r="A172" s="1" t="s">
        <x:v>1775</x:v>
      </x:c>
      <x:c r="B172" s="1" t="s">
        <x:v>6144</x:v>
      </x:c>
      <x:c r="C172" s="1" t="n">
        <x:v>7</x:v>
      </x:c>
      <x:c r="D172" s="1" t="s">
        <x:v>6698</x:v>
      </x:c>
    </x:row>
    <x:row r="173" ht="15" hidden="0" customHeight="1">
      <x:c r="A173" s="1" t="s">
        <x:v>4055</x:v>
      </x:c>
      <x:c r="B173" s="1" t="s">
        <x:v>6144</x:v>
      </x:c>
      <x:c r="C173" s="1" t="n">
        <x:v>1</x:v>
      </x:c>
      <x:c r="D173" s="1" t="s">
        <x:v>6698</x:v>
      </x:c>
    </x:row>
    <x:row r="174" ht="15" hidden="0" customHeight="1">
      <x:c r="A174" s="1" t="s">
        <x:v>1791</x:v>
      </x:c>
      <x:c r="B174" s="1" t="s">
        <x:v>6144</x:v>
      </x:c>
      <x:c r="C174" s="1" t="n">
        <x:v>1</x:v>
      </x:c>
      <x:c r="D174" s="1" t="s">
        <x:v>6698</x:v>
      </x:c>
    </x:row>
    <x:row r="175" ht="15" hidden="0" customHeight="1">
      <x:c r="A175" s="1" t="s">
        <x:v>1794</x:v>
      </x:c>
      <x:c r="B175" s="1" t="s">
        <x:v>6144</x:v>
      </x:c>
      <x:c r="C175" s="1" t="n">
        <x:v>2</x:v>
      </x:c>
      <x:c r="D175" s="1" t="s">
        <x:v>6698</x:v>
      </x:c>
    </x:row>
    <x:row r="176" ht="15" hidden="0" customHeight="1">
      <x:c r="A176" s="1" t="s">
        <x:v>4449</x:v>
      </x:c>
      <x:c r="B176" s="1" t="s">
        <x:v>4449</x:v>
      </x:c>
      <x:c r="C176" s="1" t="n">
        <x:v>7</x:v>
      </x:c>
      <x:c r="D176" s="1" t="s">
        <x:v>6698</x:v>
      </x:c>
    </x:row>
    <x:row r="177" ht="15" hidden="0" customHeight="1">
      <x:c r="A177" s="1" t="s">
        <x:v>4046</x:v>
      </x:c>
      <x:c r="B177" s="1" t="s">
        <x:v>4449</x:v>
      </x:c>
      <x:c r="C177" s="1" t="n">
        <x:v>1</x:v>
      </x:c>
      <x:c r="D177" s="1" t="s">
        <x:v>6698</x:v>
      </x:c>
    </x:row>
    <x:row r="178" ht="15" hidden="0" customHeight="1">
      <x:c r="A178" s="1" t="s">
        <x:v>2895</x:v>
      </x:c>
      <x:c r="B178" s="1" t="s">
        <x:v>4449</x:v>
      </x:c>
      <x:c r="C178" s="1" t="n">
        <x:v>1</x:v>
      </x:c>
      <x:c r="D178" s="1" t="s">
        <x:v>6698</x:v>
      </x:c>
    </x:row>
    <x:row r="179" ht="15" hidden="0" customHeight="1">
      <x:c r="A179" s="1" t="s">
        <x:v>2177</x:v>
      </x:c>
      <x:c r="B179" s="1" t="s">
        <x:v>4449</x:v>
      </x:c>
      <x:c r="C179" s="1" t="n">
        <x:v>8</x:v>
      </x:c>
      <x:c r="D179" s="1" t="s">
        <x:v>6698</x:v>
      </x:c>
    </x:row>
    <x:row r="180" ht="15" hidden="0" customHeight="1">
      <x:c r="A180" s="1" t="s">
        <x:v>2871</x:v>
      </x:c>
      <x:c r="B180" s="1" t="s">
        <x:v>4449</x:v>
      </x:c>
      <x:c r="C180" s="1" t="n">
        <x:v>1</x:v>
      </x:c>
      <x:c r="D180" s="1" t="s">
        <x:v>6698</x:v>
      </x:c>
    </x:row>
    <x:row r="181" ht="15" hidden="0" customHeight="1">
      <x:c r="A181" s="1" t="s">
        <x:v>2943</x:v>
      </x:c>
      <x:c r="B181" s="1" t="s">
        <x:v>4449</x:v>
      </x:c>
      <x:c r="C181" s="1" t="n">
        <x:v>1</x:v>
      </x:c>
      <x:c r="D181" s="1" t="s">
        <x:v>6698</x:v>
      </x:c>
    </x:row>
    <x:row r="182" ht="15" hidden="0" customHeight="1">
      <x:c r="A182" s="1" t="s">
        <x:v>1901</x:v>
      </x:c>
      <x:c r="B182" s="1" t="s">
        <x:v>4449</x:v>
      </x:c>
      <x:c r="C182" s="1" t="n">
        <x:v>1</x:v>
      </x:c>
      <x:c r="D182" s="1" t="s">
        <x:v>6698</x:v>
      </x:c>
    </x:row>
    <x:row r="183" ht="15" hidden="0" customHeight="1">
      <x:c r="A183" s="1" t="s">
        <x:v>3959</x:v>
      </x:c>
      <x:c r="B183" s="1" t="s">
        <x:v>4449</x:v>
      </x:c>
      <x:c r="C183" s="1" t="n">
        <x:v>1</x:v>
      </x:c>
      <x:c r="D183" s="1" t="s">
        <x:v>6698</x:v>
      </x:c>
    </x:row>
    <x:row r="184" ht="15" hidden="0" customHeight="1">
      <x:c r="A184" s="1" t="s">
        <x:v>3956</x:v>
      </x:c>
      <x:c r="B184" s="1" t="s">
        <x:v>4449</x:v>
      </x:c>
      <x:c r="C184" s="1" t="n">
        <x:v>1</x:v>
      </x:c>
      <x:c r="D184" s="1" t="s">
        <x:v>6698</x:v>
      </x:c>
    </x:row>
    <x:row r="185" ht="15" hidden="0" customHeight="1">
      <x:c r="A185" s="1" t="s">
        <x:v>4623</x:v>
      </x:c>
      <x:c r="B185" s="1" t="s">
        <x:v>6121</x:v>
      </x:c>
      <x:c r="C185" s="1" t="n">
        <x:v>1</x:v>
      </x:c>
      <x:c r="D185" s="1" t="s">
        <x:v>6698</x:v>
      </x:c>
    </x:row>
    <x:row r="186" ht="15" hidden="0" customHeight="1">
      <x:c r="A186" s="1" t="s">
        <x:v>4742</x:v>
      </x:c>
      <x:c r="B186" s="1" t="s">
        <x:v>4742</x:v>
      </x:c>
      <x:c r="C186" s="1" t="n">
        <x:v>1</x:v>
      </x:c>
      <x:c r="D186" s="1" t="s">
        <x:v>6698</x:v>
      </x:c>
    </x:row>
    <x:row r="187" ht="15" hidden="0" customHeight="1">
      <x:c r="A187" s="1" t="s">
        <x:v>4995</x:v>
      </x:c>
      <x:c r="B187" s="1" t="s">
        <x:v>6699</x:v>
      </x:c>
      <x:c r="C187" s="1" t="n">
        <x:v>1</x:v>
      </x:c>
      <x:c r="D187" s="1" t="s">
        <x:v>6698</x:v>
      </x:c>
    </x:row>
    <x:row r="188" ht="15" hidden="0" customHeight="1">
      <x:c r="A188" s="1" t="s">
        <x:v>386</x:v>
      </x:c>
      <x:c r="B188" s="1" t="s">
        <x:v>6122</x:v>
      </x:c>
      <x:c r="C188" s="1" t="n">
        <x:v>3</x:v>
      </x:c>
      <x:c r="D188" s="1" t="s">
        <x:v>6698</x:v>
      </x:c>
    </x:row>
    <x:row r="189" ht="15" hidden="0" customHeight="1">
      <x:c r="A189" s="1" t="s">
        <x:v>5405</x:v>
      </x:c>
      <x:c r="B189" s="1" t="s">
        <x:v>6122</x:v>
      </x:c>
      <x:c r="C189" s="1" t="n">
        <x:v>1</x:v>
      </x:c>
      <x:c r="D189" s="1" t="s">
        <x:v>6698</x:v>
      </x:c>
    </x:row>
    <x:row r="190" ht="15" hidden="0" customHeight="1">
      <x:c r="A190" s="1" t="s">
        <x:v>4897</x:v>
      </x:c>
      <x:c r="B190" s="1" t="s">
        <x:v>6122</x:v>
      </x:c>
      <x:c r="C190" s="1" t="n">
        <x:v>7</x:v>
      </x:c>
      <x:c r="D190" s="1" t="s">
        <x:v>6698</x:v>
      </x:c>
    </x:row>
    <x:row r="191" ht="15" hidden="0" customHeight="1">
      <x:c r="A191" s="1" t="s">
        <x:v>5096</x:v>
      </x:c>
      <x:c r="B191" s="1" t="s">
        <x:v>6122</x:v>
      </x:c>
      <x:c r="C191" s="1" t="n">
        <x:v>1</x:v>
      </x:c>
      <x:c r="D191" s="1" t="s">
        <x:v>6698</x:v>
      </x:c>
    </x:row>
    <x:row r="192" ht="15" hidden="0" customHeight="1">
      <x:c r="A192" s="1" t="s">
        <x:v>4699</x:v>
      </x:c>
      <x:c r="B192" s="1" t="s">
        <x:v>6122</x:v>
      </x:c>
      <x:c r="C192" s="1" t="n">
        <x:v>1</x:v>
      </x:c>
      <x:c r="D192" s="1" t="s">
        <x:v>6698</x:v>
      </x:c>
    </x:row>
    <x:row r="193" ht="15" hidden="0" customHeight="1">
      <x:c r="A193" s="1" t="s">
        <x:v>4877</x:v>
      </x:c>
      <x:c r="B193" s="1" t="s">
        <x:v>6122</x:v>
      </x:c>
      <x:c r="C193" s="1" t="n">
        <x:v>1</x:v>
      </x:c>
      <x:c r="D193" s="1" t="s">
        <x:v>6698</x:v>
      </x:c>
    </x:row>
    <x:row r="194" ht="15" hidden="0" customHeight="1">
      <x:c r="A194" s="1" t="s">
        <x:v>953</x:v>
      </x:c>
      <x:c r="B194" s="1" t="s">
        <x:v>6122</x:v>
      </x:c>
      <x:c r="C194" s="1" t="n">
        <x:v>1</x:v>
      </x:c>
      <x:c r="D194" s="1" t="s">
        <x:v>6698</x:v>
      </x:c>
    </x:row>
    <x:row r="195" ht="15" hidden="0" customHeight="1">
      <x:c r="A195" s="1" t="s">
        <x:v>123</x:v>
      </x:c>
      <x:c r="B195" s="1" t="s">
        <x:v>6122</x:v>
      </x:c>
      <x:c r="C195" s="1" t="n">
        <x:v>13</x:v>
      </x:c>
      <x:c r="D195" s="1" t="s">
        <x:v>6698</x:v>
      </x:c>
    </x:row>
    <x:row r="196" ht="15" hidden="0" customHeight="1">
      <x:c r="A196" s="1" t="s">
        <x:v>289</x:v>
      </x:c>
      <x:c r="B196" s="1" t="s">
        <x:v>6122</x:v>
      </x:c>
      <x:c r="C196" s="1" t="n">
        <x:v>4</x:v>
      </x:c>
      <x:c r="D196" s="1" t="s">
        <x:v>6698</x:v>
      </x:c>
    </x:row>
    <x:row r="197" ht="15" hidden="0" customHeight="1">
      <x:c r="A197" s="1" t="s">
        <x:v>898</x:v>
      </x:c>
      <x:c r="B197" s="1" t="s">
        <x:v>6122</x:v>
      </x:c>
      <x:c r="C197" s="1" t="n">
        <x:v>2</x:v>
      </x:c>
      <x:c r="D197" s="1" t="s">
        <x:v>6698</x:v>
      </x:c>
    </x:row>
    <x:row r="198" ht="15" hidden="0" customHeight="1">
      <x:c r="A198" s="1" t="s">
        <x:v>117</x:v>
      </x:c>
      <x:c r="B198" s="1" t="s">
        <x:v>6122</x:v>
      </x:c>
      <x:c r="C198" s="1" t="n">
        <x:v>15</x:v>
      </x:c>
      <x:c r="D198" s="1" t="s">
        <x:v>6698</x:v>
      </x:c>
    </x:row>
    <x:row r="199" ht="15" hidden="0" customHeight="1">
      <x:c r="A199" s="1" t="s">
        <x:v>1119</x:v>
      </x:c>
      <x:c r="B199" s="1" t="s">
        <x:v>6122</x:v>
      </x:c>
      <x:c r="C199" s="1" t="n">
        <x:v>1</x:v>
      </x:c>
      <x:c r="D199" s="1" t="s">
        <x:v>6698</x:v>
      </x:c>
    </x:row>
    <x:row r="200" ht="15" hidden="0" customHeight="1">
      <x:c r="A200" s="1" t="s">
        <x:v>1208</x:v>
      </x:c>
      <x:c r="B200" s="1" t="s">
        <x:v>6122</x:v>
      </x:c>
      <x:c r="C200" s="1" t="n">
        <x:v>1</x:v>
      </x:c>
      <x:c r="D200" s="1" t="s">
        <x:v>6698</x:v>
      </x:c>
    </x:row>
    <x:row r="201" ht="15" hidden="0" customHeight="1">
      <x:c r="A201" s="1" t="s">
        <x:v>1085</x:v>
      </x:c>
      <x:c r="B201" s="1" t="s">
        <x:v>6122</x:v>
      </x:c>
      <x:c r="C201" s="1" t="n">
        <x:v>2</x:v>
      </x:c>
      <x:c r="D201" s="1" t="s">
        <x:v>6698</x:v>
      </x:c>
    </x:row>
    <x:row r="202" ht="15" hidden="0" customHeight="1">
      <x:c r="A202" s="1" t="s">
        <x:v>120</x:v>
      </x:c>
      <x:c r="B202" s="1" t="s">
        <x:v>6122</x:v>
      </x:c>
      <x:c r="C202" s="1" t="n">
        <x:v>12</x:v>
      </x:c>
      <x:c r="D202" s="1" t="s">
        <x:v>6698</x:v>
      </x:c>
    </x:row>
    <x:row r="203" ht="15" hidden="0" customHeight="1">
      <x:c r="A203" s="1" t="s">
        <x:v>950</x:v>
      </x:c>
      <x:c r="B203" s="1" t="s">
        <x:v>6122</x:v>
      </x:c>
      <x:c r="C203" s="1" t="n">
        <x:v>1</x:v>
      </x:c>
      <x:c r="D203" s="1" t="s">
        <x:v>6698</x:v>
      </x:c>
    </x:row>
    <x:row r="204" ht="15" hidden="0" customHeight="1">
      <x:c r="A204" s="1" t="s">
        <x:v>919</x:v>
      </x:c>
      <x:c r="B204" s="1" t="s">
        <x:v>6122</x:v>
      </x:c>
      <x:c r="C204" s="1" t="n">
        <x:v>1</x:v>
      </x:c>
      <x:c r="D204" s="1" t="s">
        <x:v>6698</x:v>
      </x:c>
    </x:row>
    <x:row r="205" ht="15" hidden="0" customHeight="1">
      <x:c r="A205" s="1" t="s">
        <x:v>924</x:v>
      </x:c>
      <x:c r="B205" s="1" t="s">
        <x:v>6122</x:v>
      </x:c>
      <x:c r="C205" s="1" t="n">
        <x:v>3</x:v>
      </x:c>
      <x:c r="D205" s="1" t="s">
        <x:v>6698</x:v>
      </x:c>
    </x:row>
    <x:row r="206" ht="15" hidden="0" customHeight="1">
      <x:c r="A206" s="1" t="s">
        <x:v>1563</x:v>
      </x:c>
      <x:c r="B206" s="1" t="s">
        <x:v>6122</x:v>
      </x:c>
      <x:c r="C206" s="1" t="n">
        <x:v>1</x:v>
      </x:c>
      <x:c r="D206" s="1" t="s">
        <x:v>6698</x:v>
      </x:c>
    </x:row>
    <x:row r="207" ht="15" hidden="0" customHeight="1">
      <x:c r="A207" s="1" t="s">
        <x:v>1493</x:v>
      </x:c>
      <x:c r="B207" s="1" t="s">
        <x:v>6122</x:v>
      </x:c>
      <x:c r="C207" s="1" t="n">
        <x:v>1</x:v>
      </x:c>
      <x:c r="D207" s="1" t="s">
        <x:v>6698</x:v>
      </x:c>
    </x:row>
    <x:row r="208" ht="15" hidden="0" customHeight="1">
      <x:c r="A208" s="1" t="s">
        <x:v>1297</x:v>
      </x:c>
      <x:c r="B208" s="1" t="s">
        <x:v>6122</x:v>
      </x:c>
      <x:c r="C208" s="1" t="n">
        <x:v>1</x:v>
      </x:c>
      <x:c r="D208" s="1" t="s">
        <x:v>6698</x:v>
      </x:c>
    </x:row>
    <x:row r="209" ht="15" hidden="0" customHeight="1">
      <x:c r="A209" s="1" t="s">
        <x:v>916</x:v>
      </x:c>
      <x:c r="B209" s="1" t="s">
        <x:v>6122</x:v>
      </x:c>
      <x:c r="C209" s="1" t="n">
        <x:v>1</x:v>
      </x:c>
      <x:c r="D209" s="1" t="s">
        <x:v>6698</x:v>
      </x:c>
    </x:row>
    <x:row r="210" ht="15" hidden="0" customHeight="1">
      <x:c r="A210" s="1" t="s">
        <x:v>904</x:v>
      </x:c>
      <x:c r="B210" s="1" t="s">
        <x:v>6122</x:v>
      </x:c>
      <x:c r="C210" s="1" t="n">
        <x:v>1</x:v>
      </x:c>
      <x:c r="D210" s="1" t="s">
        <x:v>6698</x:v>
      </x:c>
    </x:row>
    <x:row r="211" ht="15" hidden="0" customHeight="1">
      <x:c r="A211" s="1" t="s">
        <x:v>901</x:v>
      </x:c>
      <x:c r="B211" s="1" t="s">
        <x:v>6122</x:v>
      </x:c>
      <x:c r="C211" s="1" t="n">
        <x:v>1</x:v>
      </x:c>
      <x:c r="D211" s="1" t="s">
        <x:v>6698</x:v>
      </x:c>
    </x:row>
    <x:row r="212" ht="15" hidden="0" customHeight="1">
      <x:c r="A212" s="1" t="s">
        <x:v>5249</x:v>
      </x:c>
      <x:c r="B212" s="1" t="s">
        <x:v>6122</x:v>
      </x:c>
      <x:c r="C212" s="1" t="n">
        <x:v>1</x:v>
      </x:c>
      <x:c r="D212" s="1" t="s">
        <x:v>6698</x:v>
      </x:c>
    </x:row>
    <x:row r="213" ht="15" hidden="0" customHeight="1">
      <x:c r="A213" s="1" t="s">
        <x:v>5243</x:v>
      </x:c>
      <x:c r="B213" s="1" t="s">
        <x:v>6122</x:v>
      </x:c>
      <x:c r="C213" s="1" t="n">
        <x:v>1</x:v>
      </x:c>
      <x:c r="D213" s="1" t="s">
        <x:v>6698</x:v>
      </x:c>
    </x:row>
    <x:row r="214" ht="15" hidden="0" customHeight="1">
      <x:c r="A214" s="1" t="s">
        <x:v>891</x:v>
      </x:c>
      <x:c r="B214" s="1" t="s">
        <x:v>6122</x:v>
      </x:c>
      <x:c r="C214" s="1" t="n">
        <x:v>1</x:v>
      </x:c>
      <x:c r="D214" s="1" t="s">
        <x:v>6698</x:v>
      </x:c>
    </x:row>
    <x:row r="215" ht="15" hidden="0" customHeight="1">
      <x:c r="A215" s="1" t="s">
        <x:v>907</x:v>
      </x:c>
      <x:c r="B215" s="1" t="s">
        <x:v>6122</x:v>
      </x:c>
      <x:c r="C215" s="1" t="n">
        <x:v>1</x:v>
      </x:c>
      <x:c r="D215" s="1" t="s">
        <x:v>6698</x:v>
      </x:c>
    </x:row>
    <x:row r="216" ht="15" hidden="0" customHeight="1">
      <x:c r="A216" s="1" t="s">
        <x:v>127</x:v>
      </x:c>
      <x:c r="B216" s="1" t="s">
        <x:v>6122</x:v>
      </x:c>
      <x:c r="C216" s="1" t="n">
        <x:v>10</x:v>
      </x:c>
      <x:c r="D216" s="1" t="s">
        <x:v>6698</x:v>
      </x:c>
    </x:row>
    <x:row r="217" ht="15" hidden="0" customHeight="1">
      <x:c r="A217" s="1" t="s">
        <x:v>488</x:v>
      </x:c>
      <x:c r="B217" s="1" t="s">
        <x:v>6123</x:v>
      </x:c>
      <x:c r="C217" s="1" t="n">
        <x:v>2</x:v>
      </x:c>
      <x:c r="D217" s="1" t="s">
        <x:v>6698</x:v>
      </x:c>
    </x:row>
    <x:row r="218" ht="15" hidden="0" customHeight="1">
      <x:c r="A218" s="1" t="s">
        <x:v>1559</x:v>
      </x:c>
      <x:c r="B218" s="1" t="s">
        <x:v>6122</x:v>
      </x:c>
      <x:c r="C218" s="1" t="n">
        <x:v>1</x:v>
      </x:c>
      <x:c r="D218" s="1" t="s">
        <x:v>6698</x:v>
      </x:c>
    </x:row>
    <x:row r="219" ht="15" hidden="0" customHeight="1">
      <x:c r="A219" s="1" t="s">
        <x:v>214</x:v>
      </x:c>
      <x:c r="B219" s="1" t="s">
        <x:v>6122</x:v>
      </x:c>
      <x:c r="C219" s="1" t="n">
        <x:v>7</x:v>
      </x:c>
      <x:c r="D219" s="1" t="s">
        <x:v>6698</x:v>
      </x:c>
    </x:row>
    <x:row r="220" ht="15" hidden="0" customHeight="1">
      <x:c r="A220" s="1" t="s">
        <x:v>211</x:v>
      </x:c>
      <x:c r="B220" s="1" t="s">
        <x:v>6122</x:v>
      </x:c>
      <x:c r="C220" s="1" t="n">
        <x:v>3</x:v>
      </x:c>
      <x:c r="D220" s="1" t="s">
        <x:v>6698</x:v>
      </x:c>
    </x:row>
    <x:row r="221" ht="15" hidden="0" customHeight="1">
      <x:c r="A221" s="1" t="s">
        <x:v>208</x:v>
      </x:c>
      <x:c r="B221" s="1" t="s">
        <x:v>6122</x:v>
      </x:c>
      <x:c r="C221" s="1" t="n">
        <x:v>9</x:v>
      </x:c>
      <x:c r="D221" s="1" t="s">
        <x:v>6698</x:v>
      </x:c>
    </x:row>
    <x:row r="222" ht="15" hidden="0" customHeight="1">
      <x:c r="A222" s="1" t="s">
        <x:v>913</x:v>
      </x:c>
      <x:c r="B222" s="1" t="s">
        <x:v>6122</x:v>
      </x:c>
      <x:c r="C222" s="1" t="n">
        <x:v>1</x:v>
      </x:c>
      <x:c r="D222" s="1" t="s">
        <x:v>6698</x:v>
      </x:c>
    </x:row>
    <x:row r="223" ht="15" hidden="0" customHeight="1">
      <x:c r="A223" s="1" t="s">
        <x:v>1080</x:v>
      </x:c>
      <x:c r="B223" s="1" t="s">
        <x:v>6122</x:v>
      </x:c>
      <x:c r="C223" s="1" t="n">
        <x:v>1</x:v>
      </x:c>
      <x:c r="D223" s="1" t="s">
        <x:v>6698</x:v>
      </x:c>
    </x:row>
    <x:row r="224" ht="15" hidden="0" customHeight="1">
      <x:c r="A224" s="1" t="s">
        <x:v>1211</x:v>
      </x:c>
      <x:c r="B224" s="1" t="s">
        <x:v>6122</x:v>
      </x:c>
      <x:c r="C224" s="1" t="n">
        <x:v>1</x:v>
      </x:c>
      <x:c r="D224" s="1" t="s">
        <x:v>6698</x:v>
      </x:c>
    </x:row>
    <x:row r="225" ht="15" hidden="0" customHeight="1">
      <x:c r="A225" s="1" t="s">
        <x:v>1514</x:v>
      </x:c>
      <x:c r="B225" s="1" t="s">
        <x:v>6122</x:v>
      </x:c>
      <x:c r="C225" s="1" t="n">
        <x:v>1</x:v>
      </x:c>
      <x:c r="D225" s="1" t="s">
        <x:v>6698</x:v>
      </x:c>
    </x:row>
    <x:row r="226" ht="15" hidden="0" customHeight="1">
      <x:c r="A226" s="1" t="s">
        <x:v>1518</x:v>
      </x:c>
      <x:c r="B226" s="1" t="s">
        <x:v>6122</x:v>
      </x:c>
      <x:c r="C226" s="1" t="n">
        <x:v>1</x:v>
      </x:c>
      <x:c r="D226" s="1" t="s">
        <x:v>6698</x:v>
      </x:c>
    </x:row>
    <x:row r="227" ht="15" hidden="0" customHeight="1">
      <x:c r="A227" s="1" t="s">
        <x:v>1765</x:v>
      </x:c>
      <x:c r="B227" s="1" t="s">
        <x:v>6122</x:v>
      </x:c>
      <x:c r="C227" s="1" t="n">
        <x:v>1</x:v>
      </x:c>
      <x:c r="D227" s="1" t="s">
        <x:v>6698</x:v>
      </x:c>
    </x:row>
    <x:row r="228" ht="15" hidden="0" customHeight="1">
      <x:c r="A228" s="1" t="s">
        <x:v>3065</x:v>
      </x:c>
      <x:c r="B228" s="1" t="s">
        <x:v>6122</x:v>
      </x:c>
      <x:c r="C228" s="1" t="n">
        <x:v>1</x:v>
      </x:c>
      <x:c r="D228" s="1" t="s">
        <x:v>6698</x:v>
      </x:c>
    </x:row>
    <x:row r="229" ht="15" hidden="0" customHeight="1">
      <x:c r="A229" s="1" t="s">
        <x:v>3014</x:v>
      </x:c>
      <x:c r="B229" s="1" t="s">
        <x:v>6122</x:v>
      </x:c>
      <x:c r="C229" s="1" t="n">
        <x:v>1</x:v>
      </x:c>
      <x:c r="D229" s="1" t="s">
        <x:v>6698</x:v>
      </x:c>
    </x:row>
    <x:row r="230" ht="15" hidden="0" customHeight="1">
      <x:c r="A230" s="1" t="s">
        <x:v>5008</x:v>
      </x:c>
      <x:c r="B230" s="1" t="s">
        <x:v>6122</x:v>
      </x:c>
      <x:c r="C230" s="1" t="n">
        <x:v>1</x:v>
      </x:c>
      <x:c r="D230" s="1" t="s">
        <x:v>6698</x:v>
      </x:c>
    </x:row>
    <x:row r="231" ht="15" hidden="0" customHeight="1">
      <x:c r="A231" s="1" t="s">
        <x:v>5013</x:v>
      </x:c>
      <x:c r="B231" s="1" t="s">
        <x:v>6122</x:v>
      </x:c>
      <x:c r="C231" s="1" t="n">
        <x:v>1</x:v>
      </x:c>
      <x:c r="D231" s="1" t="s">
        <x:v>6698</x:v>
      </x:c>
    </x:row>
    <x:row r="232" ht="15" hidden="0" customHeight="1">
      <x:c r="A232" s="1" t="s">
        <x:v>3010</x:v>
      </x:c>
      <x:c r="B232" s="1" t="s">
        <x:v>6122</x:v>
      </x:c>
      <x:c r="C232" s="1" t="n">
        <x:v>1</x:v>
      </x:c>
      <x:c r="D232" s="1" t="s">
        <x:v>6698</x:v>
      </x:c>
    </x:row>
    <x:row r="233" ht="15" hidden="0" customHeight="1">
      <x:c r="A233" s="1" t="s">
        <x:v>3613</x:v>
      </x:c>
      <x:c r="B233" s="1" t="s">
        <x:v>6122</x:v>
      </x:c>
      <x:c r="C233" s="1" t="n">
        <x:v>1</x:v>
      </x:c>
      <x:c r="D233" s="1" t="s">
        <x:v>6698</x:v>
      </x:c>
    </x:row>
    <x:row r="234" ht="15" hidden="0" customHeight="1">
      <x:c r="A234" s="1" t="s">
        <x:v>4196</x:v>
      </x:c>
      <x:c r="B234" s="1" t="s">
        <x:v>6122</x:v>
      </x:c>
      <x:c r="C234" s="1" t="n">
        <x:v>1</x:v>
      </x:c>
      <x:c r="D234" s="1" t="s">
        <x:v>6698</x:v>
      </x:c>
    </x:row>
    <x:row r="235" ht="15" hidden="0" customHeight="1">
      <x:c r="A235" s="1" t="s">
        <x:v>2498</x:v>
      </x:c>
      <x:c r="B235" s="1" t="s">
        <x:v>6122</x:v>
      </x:c>
      <x:c r="C235" s="1" t="n">
        <x:v>1</x:v>
      </x:c>
      <x:c r="D235" s="1" t="s">
        <x:v>6698</x:v>
      </x:c>
    </x:row>
    <x:row r="236" ht="15" hidden="0" customHeight="1">
      <x:c r="A236" s="1" t="s">
        <x:v>4355</x:v>
      </x:c>
      <x:c r="B236" s="1" t="s">
        <x:v>6122</x:v>
      </x:c>
      <x:c r="C236" s="1" t="n">
        <x:v>1</x:v>
      </x:c>
      <x:c r="D236" s="1" t="s">
        <x:v>6698</x:v>
      </x:c>
    </x:row>
    <x:row r="237" ht="15" hidden="0" customHeight="1">
      <x:c r="A237" s="1" t="s">
        <x:v>3544</x:v>
      </x:c>
      <x:c r="B237" s="1" t="s">
        <x:v>6122</x:v>
      </x:c>
      <x:c r="C237" s="1" t="n">
        <x:v>1</x:v>
      </x:c>
      <x:c r="D237" s="1" t="s">
        <x:v>6698</x:v>
      </x:c>
    </x:row>
    <x:row r="238" ht="15" hidden="0" customHeight="1">
      <x:c r="A238" s="1" t="s">
        <x:v>3346</x:v>
      </x:c>
      <x:c r="B238" s="1" t="s">
        <x:v>6122</x:v>
      </x:c>
      <x:c r="C238" s="1" t="n">
        <x:v>1</x:v>
      </x:c>
      <x:c r="D238" s="1" t="s">
        <x:v>6698</x:v>
      </x:c>
    </x:row>
    <x:row r="239" ht="15" hidden="0" customHeight="1">
      <x:c r="A239" s="1" t="s">
        <x:v>2462</x:v>
      </x:c>
      <x:c r="B239" s="1" t="s">
        <x:v>6122</x:v>
      </x:c>
      <x:c r="C239" s="1" t="n">
        <x:v>1</x:v>
      </x:c>
      <x:c r="D239" s="1" t="s">
        <x:v>6698</x:v>
      </x:c>
    </x:row>
    <x:row r="240" ht="15" hidden="0" customHeight="1">
      <x:c r="A240" s="1" t="s">
        <x:v>2840</x:v>
      </x:c>
      <x:c r="B240" s="1" t="s">
        <x:v>6122</x:v>
      </x:c>
      <x:c r="C240" s="1" t="n">
        <x:v>1</x:v>
      </x:c>
      <x:c r="D240" s="1" t="s">
        <x:v>6698</x:v>
      </x:c>
    </x:row>
    <x:row r="241" ht="15" hidden="0" customHeight="1">
      <x:c r="A241" s="1" t="s">
        <x:v>2523</x:v>
      </x:c>
      <x:c r="B241" s="1" t="s">
        <x:v>6122</x:v>
      </x:c>
      <x:c r="C241" s="1" t="n">
        <x:v>1</x:v>
      </x:c>
      <x:c r="D241" s="1" t="s">
        <x:v>6698</x:v>
      </x:c>
    </x:row>
    <x:row r="242" ht="15" hidden="0" customHeight="1">
      <x:c r="A242" s="1" t="s">
        <x:v>4076</x:v>
      </x:c>
      <x:c r="B242" s="1" t="s">
        <x:v>6122</x:v>
      </x:c>
      <x:c r="C242" s="1" t="n">
        <x:v>1</x:v>
      </x:c>
      <x:c r="D242" s="1" t="s">
        <x:v>6698</x:v>
      </x:c>
    </x:row>
    <x:row r="243" ht="15" hidden="0" customHeight="1">
      <x:c r="A243" s="1" t="s">
        <x:v>3487</x:v>
      </x:c>
      <x:c r="B243" s="1" t="s">
        <x:v>6122</x:v>
      </x:c>
      <x:c r="C243" s="1" t="n">
        <x:v>1</x:v>
      </x:c>
      <x:c r="D243" s="1" t="s">
        <x:v>6698</x:v>
      </x:c>
    </x:row>
    <x:row r="244" ht="15" hidden="0" customHeight="1">
      <x:c r="A244" s="1" t="s">
        <x:v>5231</x:v>
      </x:c>
      <x:c r="B244" s="1" t="s">
        <x:v>6122</x:v>
      </x:c>
      <x:c r="C244" s="1" t="n">
        <x:v>1</x:v>
      </x:c>
      <x:c r="D244" s="1" t="s">
        <x:v>6698</x:v>
      </x:c>
    </x:row>
    <x:row r="245" ht="15" hidden="0" customHeight="1">
      <x:c r="A245" s="1" t="s">
        <x:v>1762</x:v>
      </x:c>
      <x:c r="B245" s="1" t="s">
        <x:v>6122</x:v>
      </x:c>
      <x:c r="C245" s="1" t="n">
        <x:v>1</x:v>
      </x:c>
      <x:c r="D245" s="1" t="s">
        <x:v>6698</x:v>
      </x:c>
    </x:row>
    <x:row r="246" ht="15" hidden="0" customHeight="1">
      <x:c r="A246" s="1" t="s">
        <x:v>1924</x:v>
      </x:c>
      <x:c r="B246" s="1" t="s">
        <x:v>6122</x:v>
      </x:c>
      <x:c r="C246" s="1" t="n">
        <x:v>1</x:v>
      </x:c>
      <x:c r="D246" s="1" t="s">
        <x:v>6698</x:v>
      </x:c>
    </x:row>
    <x:row r="247" ht="15" hidden="0" customHeight="1">
      <x:c r="A247" s="1" t="s">
        <x:v>4369</x:v>
      </x:c>
      <x:c r="B247" s="1" t="s">
        <x:v>6122</x:v>
      </x:c>
      <x:c r="C247" s="1" t="n">
        <x:v>1</x:v>
      </x:c>
      <x:c r="D247" s="1" t="s">
        <x:v>6698</x:v>
      </x:c>
    </x:row>
    <x:row r="248" ht="15" hidden="0" customHeight="1">
      <x:c r="A248" s="1" t="s">
        <x:v>4494</x:v>
      </x:c>
      <x:c r="B248" s="1" t="s">
        <x:v>6122</x:v>
      </x:c>
      <x:c r="C248" s="1" t="n">
        <x:v>1</x:v>
      </x:c>
      <x:c r="D248" s="1" t="s">
        <x:v>6698</x:v>
      </x:c>
    </x:row>
    <x:row r="249" ht="15" hidden="0" customHeight="1">
      <x:c r="A249" s="1" t="s">
        <x:v>2503</x:v>
      </x:c>
      <x:c r="B249" s="1" t="s">
        <x:v>6122</x:v>
      </x:c>
      <x:c r="C249" s="1" t="n">
        <x:v>1</x:v>
      </x:c>
      <x:c r="D249" s="1" t="s">
        <x:v>6698</x:v>
      </x:c>
    </x:row>
    <x:row r="250" ht="15" hidden="0" customHeight="1">
      <x:c r="A250" s="1" t="s">
        <x:v>3008</x:v>
      </x:c>
      <x:c r="B250" s="1" t="s">
        <x:v>6122</x:v>
      </x:c>
      <x:c r="C250" s="1" t="n">
        <x:v>1</x:v>
      </x:c>
      <x:c r="D250" s="1" t="s">
        <x:v>6698</x:v>
      </x:c>
    </x:row>
    <x:row r="251" ht="15" hidden="0" customHeight="1">
      <x:c r="A251" s="1" t="s">
        <x:v>3740</x:v>
      </x:c>
      <x:c r="B251" s="1" t="s">
        <x:v>6122</x:v>
      </x:c>
      <x:c r="C251" s="1" t="n">
        <x:v>1</x:v>
      </x:c>
      <x:c r="D251" s="1" t="s">
        <x:v>6698</x:v>
      </x:c>
    </x:row>
    <x:row r="252" ht="15" hidden="0" customHeight="1">
      <x:c r="A252" s="1" t="s">
        <x:v>4199</x:v>
      </x:c>
      <x:c r="B252" s="1" t="s">
        <x:v>6122</x:v>
      </x:c>
      <x:c r="C252" s="1" t="n">
        <x:v>2</x:v>
      </x:c>
      <x:c r="D252" s="1" t="s">
        <x:v>6698</x:v>
      </x:c>
    </x:row>
    <x:row r="253" ht="15" hidden="0" customHeight="1">
      <x:c r="A253" s="1" t="s">
        <x:v>3226</x:v>
      </x:c>
      <x:c r="B253" s="1" t="s">
        <x:v>6122</x:v>
      </x:c>
      <x:c r="C253" s="1" t="n">
        <x:v>1</x:v>
      </x:c>
      <x:c r="D253" s="1" t="s">
        <x:v>6698</x:v>
      </x:c>
    </x:row>
    <x:row r="254" ht="15" hidden="0" customHeight="1">
      <x:c r="A254" s="1" t="s">
        <x:v>5323</x:v>
      </x:c>
      <x:c r="B254" s="1" t="s">
        <x:v>6122</x:v>
      </x:c>
      <x:c r="C254" s="1" t="n">
        <x:v>1</x:v>
      </x:c>
      <x:c r="D254" s="1" t="s">
        <x:v>6698</x:v>
      </x:c>
    </x:row>
    <x:row r="255" ht="15" hidden="0" customHeight="1">
      <x:c r="A255" s="1" t="s">
        <x:v>3071</x:v>
      </x:c>
      <x:c r="B255" s="1" t="s">
        <x:v>6122</x:v>
      </x:c>
      <x:c r="C255" s="1" t="n">
        <x:v>1</x:v>
      </x:c>
      <x:c r="D255" s="1" t="s">
        <x:v>6698</x:v>
      </x:c>
    </x:row>
    <x:row r="256" ht="15" hidden="0" customHeight="1">
      <x:c r="A256" s="1" t="s">
        <x:v>1755</x:v>
      </x:c>
      <x:c r="B256" s="1" t="s">
        <x:v>6122</x:v>
      </x:c>
      <x:c r="C256" s="1" t="n">
        <x:v>5</x:v>
      </x:c>
      <x:c r="D256" s="1" t="s">
        <x:v>6698</x:v>
      </x:c>
    </x:row>
    <x:row r="257" ht="15" hidden="0" customHeight="1">
      <x:c r="A257" s="1" t="s">
        <x:v>3683</x:v>
      </x:c>
      <x:c r="B257" s="1" t="s">
        <x:v>6122</x:v>
      </x:c>
      <x:c r="C257" s="1" t="n">
        <x:v>2</x:v>
      </x:c>
      <x:c r="D257" s="1" t="s">
        <x:v>6698</x:v>
      </x:c>
    </x:row>
    <x:row r="258" ht="15" hidden="0" customHeight="1">
      <x:c r="A258" s="1" t="s">
        <x:v>3938</x:v>
      </x:c>
      <x:c r="B258" s="1" t="s">
        <x:v>6122</x:v>
      </x:c>
      <x:c r="C258" s="1" t="n">
        <x:v>1</x:v>
      </x:c>
      <x:c r="D258" s="1" t="s">
        <x:v>6698</x:v>
      </x:c>
    </x:row>
    <x:row r="259" ht="15" hidden="0" customHeight="1">
      <x:c r="A259" s="1" t="s">
        <x:v>2518</x:v>
      </x:c>
      <x:c r="B259" s="1" t="s">
        <x:v>6122</x:v>
      </x:c>
      <x:c r="C259" s="1" t="n">
        <x:v>1</x:v>
      </x:c>
      <x:c r="D259" s="1" t="s">
        <x:v>6698</x:v>
      </x:c>
    </x:row>
    <x:row r="260" ht="15" hidden="0" customHeight="1">
      <x:c r="A260" s="1" t="s">
        <x:v>3030</x:v>
      </x:c>
      <x:c r="B260" s="1" t="s">
        <x:v>6122</x:v>
      </x:c>
      <x:c r="C260" s="1" t="n">
        <x:v>1</x:v>
      </x:c>
      <x:c r="D260" s="1" t="s">
        <x:v>6698</x:v>
      </x:c>
    </x:row>
    <x:row r="261" ht="15" hidden="0" customHeight="1">
      <x:c r="A261" s="1" t="s">
        <x:v>4498</x:v>
      </x:c>
      <x:c r="B261" s="1" t="s">
        <x:v>6122</x:v>
      </x:c>
      <x:c r="C261" s="1" t="n">
        <x:v>1</x:v>
      </x:c>
      <x:c r="D261" s="1" t="s">
        <x:v>6698</x:v>
      </x:c>
    </x:row>
    <x:row r="262" ht="15" hidden="0" customHeight="1">
      <x:c r="A262" s="1" t="s">
        <x:v>4064</x:v>
      </x:c>
      <x:c r="B262" s="1" t="s">
        <x:v>6123</x:v>
      </x:c>
      <x:c r="C262" s="1" t="n">
        <x:v>1</x:v>
      </x:c>
      <x:c r="D262" s="1" t="s">
        <x:v>6698</x:v>
      </x:c>
    </x:row>
    <x:row r="263" ht="15" hidden="0" customHeight="1">
      <x:c r="A263" s="1" t="s">
        <x:v>3039</x:v>
      </x:c>
      <x:c r="B263" s="1" t="s">
        <x:v>6122</x:v>
      </x:c>
      <x:c r="C263" s="1" t="n">
        <x:v>1</x:v>
      </x:c>
      <x:c r="D263" s="1" t="s">
        <x:v>6698</x:v>
      </x:c>
    </x:row>
    <x:row r="264" ht="15" hidden="0" customHeight="1">
      <x:c r="A264" s="1" t="s">
        <x:v>2354</x:v>
      </x:c>
      <x:c r="B264" s="1" t="s">
        <x:v>6122</x:v>
      </x:c>
      <x:c r="C264" s="1" t="n">
        <x:v>2</x:v>
      </x:c>
      <x:c r="D264" s="1" t="s">
        <x:v>6698</x:v>
      </x:c>
    </x:row>
    <x:row r="265" ht="15" hidden="0" customHeight="1">
      <x:c r="A265" s="1" t="s">
        <x:v>3419</x:v>
      </x:c>
      <x:c r="B265" s="1" t="s">
        <x:v>6123</x:v>
      </x:c>
      <x:c r="C265" s="1" t="n">
        <x:v>1</x:v>
      </x:c>
      <x:c r="D265" s="1" t="s">
        <x:v>6698</x:v>
      </x:c>
    </x:row>
    <x:row r="266" ht="15" hidden="0" customHeight="1">
      <x:c r="A266" s="1" t="s">
        <x:v>5359</x:v>
      </x:c>
      <x:c r="B266" s="1" t="s">
        <x:v>6122</x:v>
      </x:c>
      <x:c r="C266" s="1" t="n">
        <x:v>1</x:v>
      </x:c>
      <x:c r="D266" s="1" t="s">
        <x:v>6698</x:v>
      </x:c>
    </x:row>
    <x:row r="267" ht="15" hidden="0" customHeight="1">
      <x:c r="A267" s="1" t="s">
        <x:v>5386</x:v>
      </x:c>
      <x:c r="B267" s="1" t="s">
        <x:v>6122</x:v>
      </x:c>
      <x:c r="C267" s="1" t="n">
        <x:v>1</x:v>
      </x:c>
      <x:c r="D267" s="1" t="s">
        <x:v>6698</x:v>
      </x:c>
    </x:row>
    <x:row r="268" ht="15" hidden="0" customHeight="1">
      <x:c r="A268" s="1" t="s">
        <x:v>4002</x:v>
      </x:c>
      <x:c r="B268" s="1" t="s">
        <x:v>6122</x:v>
      </x:c>
      <x:c r="C268" s="1" t="n">
        <x:v>2</x:v>
      </x:c>
      <x:c r="D268" s="1" t="s">
        <x:v>6698</x:v>
      </x:c>
    </x:row>
    <x:row r="269" ht="15" hidden="0" customHeight="1">
      <x:c r="A269" s="1" t="s">
        <x:v>2797</x:v>
      </x:c>
      <x:c r="B269" s="1" t="s">
        <x:v>6122</x:v>
      </x:c>
      <x:c r="C269" s="1" t="n">
        <x:v>1</x:v>
      </x:c>
      <x:c r="D269" s="1" t="s">
        <x:v>6698</x:v>
      </x:c>
    </x:row>
    <x:row r="270" ht="15" hidden="0" customHeight="1">
      <x:c r="A270" s="1" t="s">
        <x:v>4008</x:v>
      </x:c>
      <x:c r="B270" s="1" t="s">
        <x:v>6122</x:v>
      </x:c>
      <x:c r="C270" s="1" t="n">
        <x:v>1</x:v>
      </x:c>
      <x:c r="D270" s="1" t="s">
        <x:v>6698</x:v>
      </x:c>
    </x:row>
    <x:row r="271" ht="15" hidden="0" customHeight="1">
      <x:c r="A271" s="1" t="s">
        <x:v>2800</x:v>
      </x:c>
      <x:c r="B271" s="1" t="s">
        <x:v>6122</x:v>
      </x:c>
      <x:c r="C271" s="1" t="n">
        <x:v>1</x:v>
      </x:c>
      <x:c r="D271" s="1" t="s">
        <x:v>6698</x:v>
      </x:c>
    </x:row>
    <x:row r="272" ht="15" hidden="0" customHeight="1">
      <x:c r="A272" s="1" t="s">
        <x:v>3261</x:v>
      </x:c>
      <x:c r="B272" s="1" t="s">
        <x:v>6122</x:v>
      </x:c>
      <x:c r="C272" s="1" t="n">
        <x:v>2</x:v>
      </x:c>
      <x:c r="D272" s="1" t="s">
        <x:v>6698</x:v>
      </x:c>
    </x:row>
    <x:row r="273" ht="15" hidden="0" customHeight="1">
      <x:c r="A273" s="1" t="s">
        <x:v>1933</x:v>
      </x:c>
      <x:c r="B273" s="1" t="s">
        <x:v>6122</x:v>
      </x:c>
      <x:c r="C273" s="1" t="n">
        <x:v>1</x:v>
      </x:c>
      <x:c r="D273" s="1" t="s">
        <x:v>6698</x:v>
      </x:c>
    </x:row>
    <x:row r="274" ht="15" hidden="0" customHeight="1">
      <x:c r="A274" s="1" t="s">
        <x:v>4318</x:v>
      </x:c>
      <x:c r="B274" s="1" t="s">
        <x:v>6122</x:v>
      </x:c>
      <x:c r="C274" s="1" t="n">
        <x:v>1</x:v>
      </x:c>
      <x:c r="D274" s="1" t="s">
        <x:v>6698</x:v>
      </x:c>
    </x:row>
    <x:row r="275" ht="15" hidden="0" customHeight="1">
      <x:c r="A275" s="1" t="s">
        <x:v>3208</x:v>
      </x:c>
      <x:c r="B275" s="1" t="s">
        <x:v>6122</x:v>
      </x:c>
      <x:c r="C275" s="1" t="n">
        <x:v>5</x:v>
      </x:c>
      <x:c r="D275" s="1" t="s">
        <x:v>6698</x:v>
      </x:c>
    </x:row>
    <x:row r="276" ht="15" hidden="0" customHeight="1">
      <x:c r="A276" s="1" t="s">
        <x:v>4347</x:v>
      </x:c>
      <x:c r="B276" s="1" t="s">
        <x:v>6122</x:v>
      </x:c>
      <x:c r="C276" s="1" t="n">
        <x:v>1</x:v>
      </x:c>
      <x:c r="D276" s="1" t="s">
        <x:v>6698</x:v>
      </x:c>
    </x:row>
    <x:row r="277" ht="15" hidden="0" customHeight="1">
      <x:c r="A277" s="1" t="s">
        <x:v>3578</x:v>
      </x:c>
      <x:c r="B277" s="1" t="s">
        <x:v>6122</x:v>
      </x:c>
      <x:c r="C277" s="1" t="n">
        <x:v>1</x:v>
      </x:c>
      <x:c r="D277" s="1" t="s">
        <x:v>6698</x:v>
      </x:c>
    </x:row>
    <x:row r="278" ht="15" hidden="0" customHeight="1">
      <x:c r="A278" s="1" t="s">
        <x:v>2505</x:v>
      </x:c>
      <x:c r="B278" s="1" t="s">
        <x:v>6122</x:v>
      </x:c>
      <x:c r="C278" s="1" t="n">
        <x:v>1</x:v>
      </x:c>
      <x:c r="D278" s="1" t="s">
        <x:v>6698</x:v>
      </x:c>
    </x:row>
    <x:row r="279" ht="15" hidden="0" customHeight="1">
      <x:c r="A279" s="1" t="s">
        <x:v>2158</x:v>
      </x:c>
      <x:c r="B279" s="1" t="s">
        <x:v>6122</x:v>
      </x:c>
      <x:c r="C279" s="1" t="n">
        <x:v>3</x:v>
      </x:c>
      <x:c r="D279" s="1" t="s">
        <x:v>6698</x:v>
      </x:c>
    </x:row>
    <x:row r="280" ht="15" hidden="0" customHeight="1">
      <x:c r="A280" s="1" t="s">
        <x:v>4351</x:v>
      </x:c>
      <x:c r="B280" s="1" t="s">
        <x:v>6122</x:v>
      </x:c>
      <x:c r="C280" s="1" t="n">
        <x:v>1</x:v>
      </x:c>
      <x:c r="D280" s="1" t="s">
        <x:v>6698</x:v>
      </x:c>
    </x:row>
    <x:row r="281" ht="15" hidden="0" customHeight="1">
      <x:c r="A281" s="1" t="s">
        <x:v>3305</x:v>
      </x:c>
      <x:c r="B281" s="1" t="s">
        <x:v>6122</x:v>
      </x:c>
      <x:c r="C281" s="1" t="n">
        <x:v>1</x:v>
      </x:c>
      <x:c r="D281" s="1" t="s">
        <x:v>6698</x:v>
      </x:c>
    </x:row>
    <x:row r="282" ht="15" hidden="0" customHeight="1">
      <x:c r="A282" s="1" t="s">
        <x:v>4049</x:v>
      </x:c>
      <x:c r="B282" s="1" t="s">
        <x:v>6122</x:v>
      </x:c>
      <x:c r="C282" s="1" t="n">
        <x:v>1</x:v>
      </x:c>
      <x:c r="D282" s="1" t="s">
        <x:v>6698</x:v>
      </x:c>
    </x:row>
    <x:row r="283" ht="15" hidden="0" customHeight="1">
      <x:c r="A283" s="1" t="s">
        <x:v>3928</x:v>
      </x:c>
      <x:c r="B283" s="1" t="s">
        <x:v>6122</x:v>
      </x:c>
      <x:c r="C283" s="1" t="n">
        <x:v>1</x:v>
      </x:c>
      <x:c r="D283" s="1" t="s">
        <x:v>6698</x:v>
      </x:c>
    </x:row>
    <x:row r="284" ht="15" hidden="0" customHeight="1">
      <x:c r="A284" s="1" t="s">
        <x:v>3481</x:v>
      </x:c>
      <x:c r="B284" s="1" t="s">
        <x:v>6122</x:v>
      </x:c>
      <x:c r="C284" s="1" t="n">
        <x:v>3</x:v>
      </x:c>
      <x:c r="D284" s="1" t="s">
        <x:v>6698</x:v>
      </x:c>
    </x:row>
    <x:row r="285" ht="15" hidden="0" customHeight="1">
      <x:c r="A285" s="1" t="s">
        <x:v>3005</x:v>
      </x:c>
      <x:c r="B285" s="1" t="s">
        <x:v>6122</x:v>
      </x:c>
      <x:c r="C285" s="1" t="n">
        <x:v>1</x:v>
      </x:c>
      <x:c r="D285" s="1" t="s">
        <x:v>6698</x:v>
      </x:c>
    </x:row>
    <x:row r="286" ht="15" hidden="0" customHeight="1">
      <x:c r="A286" s="1" t="s">
        <x:v>2526</x:v>
      </x:c>
      <x:c r="B286" s="1" t="s">
        <x:v>6123</x:v>
      </x:c>
      <x:c r="C286" s="1" t="n">
        <x:v>1</x:v>
      </x:c>
      <x:c r="D286" s="1" t="s">
        <x:v>6698</x:v>
      </x:c>
    </x:row>
    <x:row r="287" ht="15" hidden="0" customHeight="1">
      <x:c r="A287" s="1" t="s">
        <x:v>3077</x:v>
      </x:c>
      <x:c r="B287" s="1" t="s">
        <x:v>6122</x:v>
      </x:c>
      <x:c r="C287" s="1" t="n">
        <x:v>2</x:v>
      </x:c>
      <x:c r="D287" s="1" t="s">
        <x:v>6698</x:v>
      </x:c>
    </x:row>
    <x:row r="288" ht="15" hidden="0" customHeight="1">
      <x:c r="A288" s="1" t="s">
        <x:v>1677</x:v>
      </x:c>
      <x:c r="B288" s="1" t="s">
        <x:v>6122</x:v>
      </x:c>
      <x:c r="C288" s="1" t="n">
        <x:v>1</x:v>
      </x:c>
      <x:c r="D288" s="1" t="s">
        <x:v>6698</x:v>
      </x:c>
    </x:row>
    <x:row r="289" ht="15" hidden="0" customHeight="1">
      <x:c r="A289" s="1" t="s">
        <x:v>3265</x:v>
      </x:c>
      <x:c r="B289" s="1" t="s">
        <x:v>6122</x:v>
      </x:c>
      <x:c r="C289" s="1" t="n">
        <x:v>1</x:v>
      </x:c>
      <x:c r="D289" s="1" t="s">
        <x:v>6698</x:v>
      </x:c>
    </x:row>
    <x:row r="290" ht="15" hidden="0" customHeight="1">
      <x:c r="A290" s="1" t="s">
        <x:v>3316</x:v>
      </x:c>
      <x:c r="B290" s="1" t="s">
        <x:v>6122</x:v>
      </x:c>
      <x:c r="C290" s="1" t="n">
        <x:v>1</x:v>
      </x:c>
      <x:c r="D290" s="1" t="s">
        <x:v>6698</x:v>
      </x:c>
    </x:row>
    <x:row r="291" ht="15" hidden="0" customHeight="1">
      <x:c r="A291" s="1" t="s">
        <x:v>3924</x:v>
      </x:c>
      <x:c r="B291" s="1" t="s">
        <x:v>6122</x:v>
      </x:c>
      <x:c r="C291" s="1" t="n">
        <x:v>1</x:v>
      </x:c>
      <x:c r="D291" s="1" t="s">
        <x:v>6698</x:v>
      </x:c>
    </x:row>
    <x:row r="292" ht="15" hidden="0" customHeight="1">
      <x:c r="A292" s="1" t="s">
        <x:v>1686</x:v>
      </x:c>
      <x:c r="B292" s="1" t="s">
        <x:v>6122</x:v>
      </x:c>
      <x:c r="C292" s="1" t="n">
        <x:v>1</x:v>
      </x:c>
      <x:c r="D292" s="1" t="s">
        <x:v>6698</x:v>
      </x:c>
    </x:row>
    <x:row r="293" ht="15" hidden="0" customHeight="1">
      <x:c r="A293" s="1" t="s">
        <x:v>4327</x:v>
      </x:c>
      <x:c r="B293" s="1" t="s">
        <x:v>6122</x:v>
      </x:c>
      <x:c r="C293" s="1" t="n">
        <x:v>1</x:v>
      </x:c>
      <x:c r="D293" s="1" t="s">
        <x:v>6698</x:v>
      </x:c>
    </x:row>
    <x:row r="294" ht="15" hidden="0" customHeight="1">
      <x:c r="A294" s="1" t="s">
        <x:v>3423</x:v>
      </x:c>
      <x:c r="B294" s="1" t="s">
        <x:v>6123</x:v>
      </x:c>
      <x:c r="C294" s="1" t="n">
        <x:v>1</x:v>
      </x:c>
      <x:c r="D294" s="1" t="s">
        <x:v>6698</x:v>
      </x:c>
    </x:row>
    <x:row r="295" ht="15" hidden="0" customHeight="1">
      <x:c r="A295" s="1" t="s">
        <x:v>3554</x:v>
      </x:c>
      <x:c r="B295" s="1" t="s">
        <x:v>6122</x:v>
      </x:c>
      <x:c r="C295" s="1" t="n">
        <x:v>1</x:v>
      </x:c>
      <x:c r="D295" s="1" t="s">
        <x:v>6698</x:v>
      </x:c>
    </x:row>
    <x:row r="296" ht="15" hidden="0" customHeight="1">
      <x:c r="A296" s="1" t="s">
        <x:v>3607</x:v>
      </x:c>
      <x:c r="B296" s="1" t="s">
        <x:v>6122</x:v>
      </x:c>
      <x:c r="C296" s="1" t="n">
        <x:v>2</x:v>
      </x:c>
      <x:c r="D296" s="1" t="s">
        <x:v>6698</x:v>
      </x:c>
    </x:row>
    <x:row r="297" ht="15" hidden="0" customHeight="1">
      <x:c r="A297" s="1" t="s">
        <x:v>4315</x:v>
      </x:c>
      <x:c r="B297" s="1" t="s">
        <x:v>6122</x:v>
      </x:c>
      <x:c r="C297" s="1" t="n">
        <x:v>1</x:v>
      </x:c>
      <x:c r="D297" s="1" t="s">
        <x:v>6698</x:v>
      </x:c>
    </x:row>
    <x:row r="298" ht="15" hidden="0" customHeight="1">
      <x:c r="A298" s="1" t="s">
        <x:v>3601</x:v>
      </x:c>
      <x:c r="B298" s="1" t="s">
        <x:v>6122</x:v>
      </x:c>
      <x:c r="C298" s="1" t="n">
        <x:v>1</x:v>
      </x:c>
      <x:c r="D298" s="1" t="s">
        <x:v>6698</x:v>
      </x:c>
    </x:row>
    <x:row r="299" ht="15" hidden="0" customHeight="1">
      <x:c r="A299" s="1" t="s">
        <x:v>3609</x:v>
      </x:c>
      <x:c r="B299" s="1" t="s">
        <x:v>6122</x:v>
      </x:c>
      <x:c r="C299" s="1" t="n">
        <x:v>1</x:v>
      </x:c>
      <x:c r="D299" s="1" t="s">
        <x:v>6698</x:v>
      </x:c>
    </x:row>
    <x:row r="300" ht="15" hidden="0" customHeight="1">
      <x:c r="A300" s="1" t="s">
        <x:v>3611</x:v>
      </x:c>
      <x:c r="B300" s="1" t="s">
        <x:v>6122</x:v>
      </x:c>
      <x:c r="C300" s="1" t="n">
        <x:v>1</x:v>
      </x:c>
      <x:c r="D300" s="1" t="s">
        <x:v>6698</x:v>
      </x:c>
    </x:row>
    <x:row r="301" ht="15" hidden="0" customHeight="1">
      <x:c r="A301" s="1" t="s">
        <x:v>2154</x:v>
      </x:c>
      <x:c r="B301" s="1" t="s">
        <x:v>6122</x:v>
      </x:c>
      <x:c r="C301" s="1" t="n">
        <x:v>6</x:v>
      </x:c>
      <x:c r="D301" s="1" t="s">
        <x:v>6698</x:v>
      </x:c>
    </x:row>
    <x:row r="302" ht="15" hidden="0" customHeight="1">
      <x:c r="A302" s="1" t="s">
        <x:v>1842</x:v>
      </x:c>
      <x:c r="B302" s="1" t="s">
        <x:v>6122</x:v>
      </x:c>
      <x:c r="C302" s="1" t="n">
        <x:v>6</x:v>
      </x:c>
      <x:c r="D302" s="1" t="s">
        <x:v>6698</x:v>
      </x:c>
    </x:row>
    <x:row r="303" ht="15" hidden="0" customHeight="1">
      <x:c r="A303" s="1" t="s">
        <x:v>3272</x:v>
      </x:c>
      <x:c r="B303" s="1" t="s">
        <x:v>6122</x:v>
      </x:c>
      <x:c r="C303" s="1" t="n">
        <x:v>1</x:v>
      </x:c>
      <x:c r="D303" s="1" t="s">
        <x:v>6698</x:v>
      </x:c>
    </x:row>
    <x:row r="304" ht="15" hidden="0" customHeight="1">
      <x:c r="A304" s="1" t="s">
        <x:v>1682</x:v>
      </x:c>
      <x:c r="B304" s="1" t="s">
        <x:v>6122</x:v>
      </x:c>
      <x:c r="C304" s="1" t="n">
        <x:v>13</x:v>
      </x:c>
      <x:c r="D304" s="1" t="s">
        <x:v>6698</x:v>
      </x:c>
    </x:row>
    <x:row r="305" ht="15" hidden="0" customHeight="1">
      <x:c r="A305" s="1" t="s">
        <x:v>2097</x:v>
      </x:c>
      <x:c r="B305" s="1" t="s">
        <x:v>6122</x:v>
      </x:c>
      <x:c r="C305" s="1" t="n">
        <x:v>1</x:v>
      </x:c>
      <x:c r="D305" s="1" t="s">
        <x:v>6698</x:v>
      </x:c>
    </x:row>
    <x:row r="306" ht="15" hidden="0" customHeight="1">
      <x:c r="A306" s="1" t="s">
        <x:v>1948</x:v>
      </x:c>
      <x:c r="B306" s="1" t="s">
        <x:v>6123</x:v>
      </x:c>
      <x:c r="C306" s="1" t="n">
        <x:v>17</x:v>
      </x:c>
      <x:c r="D306" s="1" t="s">
        <x:v>6698</x:v>
      </x:c>
    </x:row>
    <x:row r="307" ht="15" hidden="0" customHeight="1">
      <x:c r="A307" s="1" t="s">
        <x:v>4645</x:v>
      </x:c>
      <x:c r="B307" s="1" t="s">
        <x:v>6122</x:v>
      </x:c>
      <x:c r="C307" s="1" t="n">
        <x:v>1</x:v>
      </x:c>
      <x:c r="D307" s="1" t="s">
        <x:v>6698</x:v>
      </x:c>
    </x:row>
    <x:row r="308" ht="15" hidden="0" customHeight="1">
      <x:c r="A308" s="1" t="s">
        <x:v>3935</x:v>
      </x:c>
      <x:c r="B308" s="1" t="s">
        <x:v>6122</x:v>
      </x:c>
      <x:c r="C308" s="1" t="n">
        <x:v>1</x:v>
      </x:c>
      <x:c r="D308" s="1" t="s">
        <x:v>6698</x:v>
      </x:c>
    </x:row>
    <x:row r="309" ht="15" hidden="0" customHeight="1">
      <x:c r="A309" s="1" t="s">
        <x:v>2493</x:v>
      </x:c>
      <x:c r="B309" s="1" t="s">
        <x:v>6122</x:v>
      </x:c>
      <x:c r="C309" s="1" t="n">
        <x:v>1</x:v>
      </x:c>
      <x:c r="D309" s="1" t="s">
        <x:v>6698</x:v>
      </x:c>
    </x:row>
    <x:row r="310" ht="15" hidden="0" customHeight="1">
      <x:c r="A310" s="1" t="s">
        <x:v>2768</x:v>
      </x:c>
      <x:c r="B310" s="1" t="s">
        <x:v>6122</x:v>
      </x:c>
      <x:c r="C310" s="1" t="n">
        <x:v>1</x:v>
      </x:c>
      <x:c r="D310" s="1" t="s">
        <x:v>6698</x:v>
      </x:c>
    </x:row>
    <x:row r="311" ht="15" hidden="0" customHeight="1">
      <x:c r="A311" s="1" t="s">
        <x:v>2588</x:v>
      </x:c>
      <x:c r="B311" s="1" t="s">
        <x:v>6122</x:v>
      </x:c>
      <x:c r="C311" s="1" t="n">
        <x:v>8</x:v>
      </x:c>
      <x:c r="D311" s="1" t="s">
        <x:v>6698</x:v>
      </x:c>
    </x:row>
    <x:row r="312" ht="15" hidden="0" customHeight="1">
      <x:c r="A312" s="1" t="s">
        <x:v>2810</x:v>
      </x:c>
      <x:c r="B312" s="1" t="s">
        <x:v>6122</x:v>
      </x:c>
      <x:c r="C312" s="1" t="n">
        <x:v>1</x:v>
      </x:c>
      <x:c r="D312" s="1" t="s">
        <x:v>6698</x:v>
      </x:c>
    </x:row>
    <x:row r="313" ht="15" hidden="0" customHeight="1">
      <x:c r="A313" s="1" t="s">
        <x:v>3931</x:v>
      </x:c>
      <x:c r="B313" s="1" t="s">
        <x:v>6122</x:v>
      </x:c>
      <x:c r="C313" s="1" t="n">
        <x:v>1</x:v>
      </x:c>
      <x:c r="D313" s="1" t="s">
        <x:v>6698</x:v>
      </x:c>
    </x:row>
    <x:row r="314" ht="15" hidden="0" customHeight="1">
      <x:c r="A314" s="1" t="s">
        <x:v>2531</x:v>
      </x:c>
      <x:c r="B314" s="1" t="s">
        <x:v>6123</x:v>
      </x:c>
      <x:c r="C314" s="1" t="n">
        <x:v>4</x:v>
      </x:c>
      <x:c r="D314" s="1" t="s">
        <x:v>6698</x:v>
      </x:c>
    </x:row>
    <x:row r="315" ht="15" hidden="0" customHeight="1">
      <x:c r="A315" s="1" t="s">
        <x:v>1692</x:v>
      </x:c>
      <x:c r="B315" s="1" t="s">
        <x:v>6122</x:v>
      </x:c>
      <x:c r="C315" s="1" t="n">
        <x:v>1</x:v>
      </x:c>
      <x:c r="D315" s="1" t="s">
        <x:v>6698</x:v>
      </x:c>
    </x:row>
    <x:row r="316" ht="15" hidden="0" customHeight="1">
      <x:c r="A316" s="1" t="s">
        <x:v>2291</x:v>
      </x:c>
      <x:c r="B316" s="1" t="s">
        <x:v>6122</x:v>
      </x:c>
      <x:c r="C316" s="1" t="n">
        <x:v>5</x:v>
      </x:c>
      <x:c r="D316" s="1" t="s">
        <x:v>6698</x:v>
      </x:c>
    </x:row>
    <x:row r="317" ht="15" hidden="0" customHeight="1">
      <x:c r="A317" s="1" t="s">
        <x:v>3074</x:v>
      </x:c>
      <x:c r="B317" s="1" t="s">
        <x:v>6122</x:v>
      </x:c>
      <x:c r="C317" s="1" t="n">
        <x:v>1</x:v>
      </x:c>
      <x:c r="D317" s="1" t="s">
        <x:v>6698</x:v>
      </x:c>
    </x:row>
    <x:row r="318" ht="15" hidden="0" customHeight="1">
      <x:c r="A318" s="1" t="s">
        <x:v>4325</x:v>
      </x:c>
      <x:c r="B318" s="1" t="s">
        <x:v>6122</x:v>
      </x:c>
      <x:c r="C318" s="1" t="n">
        <x:v>1</x:v>
      </x:c>
      <x:c r="D318" s="1" t="s">
        <x:v>6698</x:v>
      </x:c>
    </x:row>
    <x:row r="319" ht="15" hidden="0" customHeight="1">
      <x:c r="A319" s="1" t="s">
        <x:v>4177</x:v>
      </x:c>
      <x:c r="B319" s="1" t="s">
        <x:v>6122</x:v>
      </x:c>
      <x:c r="C319" s="1" t="n">
        <x:v>1</x:v>
      </x:c>
      <x:c r="D319" s="1" t="s">
        <x:v>6698</x:v>
      </x:c>
    </x:row>
    <x:row r="320" ht="15" hidden="0" customHeight="1">
      <x:c r="A320" s="1" t="s">
        <x:v>2345</x:v>
      </x:c>
      <x:c r="B320" s="1" t="s">
        <x:v>6123</x:v>
      </x:c>
      <x:c r="C320" s="1" t="n">
        <x:v>5</x:v>
      </x:c>
      <x:c r="D320" s="1" t="s">
        <x:v>6698</x:v>
      </x:c>
    </x:row>
    <x:row r="321" ht="15" hidden="0" customHeight="1">
      <x:c r="A321" s="1" t="s">
        <x:v>2123</x:v>
      </x:c>
      <x:c r="B321" s="1" t="s">
        <x:v>6122</x:v>
      </x:c>
      <x:c r="C321" s="1" t="n">
        <x:v>4</x:v>
      </x:c>
      <x:c r="D321" s="1" t="s">
        <x:v>6698</x:v>
      </x:c>
    </x:row>
    <x:row r="322" ht="15" hidden="0" customHeight="1">
      <x:c r="A322" s="1" t="s">
        <x:v>3107</x:v>
      </x:c>
      <x:c r="B322" s="1" t="s">
        <x:v>6122</x:v>
      </x:c>
      <x:c r="C322" s="1" t="n">
        <x:v>1</x:v>
      </x:c>
      <x:c r="D322" s="1" t="s">
        <x:v>6698</x:v>
      </x:c>
    </x:row>
    <x:row r="323" ht="15" hidden="0" customHeight="1">
      <x:c r="A323" s="1" t="s">
        <x:v>1898</x:v>
      </x:c>
      <x:c r="B323" s="1" t="s">
        <x:v>6122</x:v>
      </x:c>
      <x:c r="C323" s="1" t="n">
        <x:v>5</x:v>
      </x:c>
      <x:c r="D323" s="1" t="s">
        <x:v>6698</x:v>
      </x:c>
    </x:row>
    <x:row r="324" ht="15" hidden="0" customHeight="1">
      <x:c r="A324" s="1" t="s">
        <x:v>4321</x:v>
      </x:c>
      <x:c r="B324" s="1" t="s">
        <x:v>6123</x:v>
      </x:c>
      <x:c r="C324" s="1" t="n">
        <x:v>1</x:v>
      </x:c>
      <x:c r="D324" s="1" t="s">
        <x:v>6698</x:v>
      </x:c>
    </x:row>
    <x:row r="325" ht="15" hidden="0" customHeight="1">
      <x:c r="A325" s="1" t="s">
        <x:v>5442</x:v>
      </x:c>
      <x:c r="B325" s="1" t="s">
        <x:v>6122</x:v>
      </x:c>
      <x:c r="C325" s="1" t="n">
        <x:v>1</x:v>
      </x:c>
      <x:c r="D325" s="1" t="s">
        <x:v>6698</x:v>
      </x:c>
    </x:row>
    <x:row r="326" ht="15" hidden="0" customHeight="1">
      <x:c r="A326" s="1" t="s">
        <x:v>4179</x:v>
      </x:c>
      <x:c r="B326" s="1" t="s">
        <x:v>6123</x:v>
      </x:c>
      <x:c r="C326" s="1" t="n">
        <x:v>1</x:v>
      </x:c>
      <x:c r="D326" s="1" t="s">
        <x:v>6698</x:v>
      </x:c>
    </x:row>
    <x:row r="327" ht="15" hidden="0" customHeight="1">
      <x:c r="A327" s="1" t="s">
        <x:v>4174</x:v>
      </x:c>
      <x:c r="B327" s="1" t="s">
        <x:v>6123</x:v>
      </x:c>
      <x:c r="C327" s="1" t="n">
        <x:v>1</x:v>
      </x:c>
      <x:c r="D327" s="1" t="s">
        <x:v>6698</x:v>
      </x:c>
    </x:row>
    <x:row r="328" ht="15" hidden="0" customHeight="1">
      <x:c r="A328" s="1" t="s">
        <x:v>2501</x:v>
      </x:c>
      <x:c r="B328" s="1" t="s">
        <x:v>6122</x:v>
      </x:c>
      <x:c r="C328" s="1" t="n">
        <x:v>1</x:v>
      </x:c>
      <x:c r="D328" s="1" t="s">
        <x:v>6698</x:v>
      </x:c>
    </x:row>
    <x:row r="329" ht="15" hidden="0" customHeight="1">
      <x:c r="A329" s="1" t="s">
        <x:v>3477</x:v>
      </x:c>
      <x:c r="B329" s="1" t="s">
        <x:v>6123</x:v>
      </x:c>
      <x:c r="C329" s="1" t="n">
        <x:v>1</x:v>
      </x:c>
      <x:c r="D329" s="1" t="s">
        <x:v>6698</x:v>
      </x:c>
    </x:row>
    <x:row r="330" ht="15" hidden="0" customHeight="1">
      <x:c r="A330" s="1" t="s">
        <x:v>2641</x:v>
      </x:c>
      <x:c r="B330" s="1" t="s">
        <x:v>6123</x:v>
      </x:c>
      <x:c r="C330" s="1" t="n">
        <x:v>1</x:v>
      </x:c>
      <x:c r="D330" s="1" t="s">
        <x:v>6698</x:v>
      </x:c>
    </x:row>
    <x:row r="331" ht="15" hidden="0" customHeight="1">
      <x:c r="A331" s="1" t="s">
        <x:v>2351</x:v>
      </x:c>
      <x:c r="B331" s="1" t="s">
        <x:v>6123</x:v>
      </x:c>
      <x:c r="C331" s="1" t="n">
        <x:v>4</x:v>
      </x:c>
      <x:c r="D331" s="1" t="s">
        <x:v>6698</x:v>
      </x:c>
    </x:row>
    <x:row r="332" ht="15" hidden="0" customHeight="1">
      <x:c r="A332" s="1" t="s">
        <x:v>4323</x:v>
      </x:c>
      <x:c r="B332" s="1" t="s">
        <x:v>6123</x:v>
      </x:c>
      <x:c r="C332" s="1" t="n">
        <x:v>1</x:v>
      </x:c>
      <x:c r="D332" s="1" t="s">
        <x:v>6698</x:v>
      </x:c>
    </x:row>
    <x:row r="333" ht="15" hidden="0" customHeight="1">
      <x:c r="A333" s="1" t="s">
        <x:v>1689</x:v>
      </x:c>
      <x:c r="B333" s="1" t="s">
        <x:v>6123</x:v>
      </x:c>
      <x:c r="C333" s="1" t="n">
        <x:v>3</x:v>
      </x:c>
      <x:c r="D333" s="1" t="s">
        <x:v>6698</x:v>
      </x:c>
    </x:row>
    <x:row r="334" ht="15" hidden="0" customHeight="1">
      <x:c r="A334" s="1" t="s">
        <x:v>3677</x:v>
      </x:c>
      <x:c r="B334" s="1" t="s">
        <x:v>6123</x:v>
      </x:c>
      <x:c r="C334" s="1" t="n">
        <x:v>1</x:v>
      </x:c>
      <x:c r="D334" s="1" t="s">
        <x:v>6698</x:v>
      </x:c>
    </x:row>
    <x:row r="335" ht="15" hidden="0" customHeight="1">
      <x:c r="A335" s="1" t="s">
        <x:v>1767</x:v>
      </x:c>
      <x:c r="B335" s="1" t="s">
        <x:v>6122</x:v>
      </x:c>
      <x:c r="C335" s="1" t="n">
        <x:v>1</x:v>
      </x:c>
      <x:c r="D335" s="1" t="s">
        <x:v>6698</x:v>
      </x:c>
    </x:row>
    <x:row r="336" ht="15" hidden="0" customHeight="1">
      <x:c r="A336" s="1" t="s">
        <x:v>4006</x:v>
      </x:c>
      <x:c r="B336" s="1" t="s">
        <x:v>6122</x:v>
      </x:c>
      <x:c r="C336" s="1" t="n">
        <x:v>1</x:v>
      </x:c>
      <x:c r="D336" s="1" t="s">
        <x:v>6698</x:v>
      </x:c>
    </x:row>
    <x:row r="337" ht="15" hidden="0" customHeight="1">
      <x:c r="A337" s="1" t="s">
        <x:v>1003</x:v>
      </x:c>
      <x:c r="B337" s="1" t="s">
        <x:v>6149</x:v>
      </x:c>
      <x:c r="C337" s="1" t="n">
        <x:v>2</x:v>
      </x:c>
      <x:c r="D337" s="1" t="s">
        <x:v>6698</x:v>
      </x:c>
    </x:row>
    <x:row r="338" ht="15" hidden="0" customHeight="1">
      <x:c r="A338" s="1" t="s">
        <x:v>342</x:v>
      </x:c>
      <x:c r="B338" s="1" t="s">
        <x:v>4449</x:v>
      </x:c>
      <x:c r="C338" s="1" t="n">
        <x:v>8</x:v>
      </x:c>
      <x:c r="D338" s="1" t="s">
        <x:v>6698</x:v>
      </x:c>
    </x:row>
    <x:row r="339" ht="15" hidden="0" customHeight="1">
      <x:c r="A339" s="1" t="s">
        <x:v>1555</x:v>
      </x:c>
      <x:c r="B339" s="1" t="s">
        <x:v>6149</x:v>
      </x:c>
      <x:c r="C339" s="1" t="n">
        <x:v>1</x:v>
      </x:c>
      <x:c r="D339" s="1" t="s">
        <x:v>6698</x:v>
      </x:c>
    </x:row>
    <x:row r="340" ht="15" hidden="0" customHeight="1">
      <x:c r="A340" s="1" t="s">
        <x:v>5027</x:v>
      </x:c>
      <x:c r="B340" s="1" t="s">
        <x:v>6149</x:v>
      </x:c>
      <x:c r="C340" s="1" t="n">
        <x:v>1</x:v>
      </x:c>
      <x:c r="D340" s="1" t="s">
        <x:v>6698</x:v>
      </x:c>
    </x:row>
    <x:row r="341" ht="15" hidden="0" customHeight="1">
      <x:c r="A341" s="1" t="s">
        <x:v>1541</x:v>
      </x:c>
      <x:c r="B341" s="1" t="s">
        <x:v>6149</x:v>
      </x:c>
      <x:c r="C341" s="1" t="n">
        <x:v>1</x:v>
      </x:c>
      <x:c r="D341" s="1" t="s">
        <x:v>6698</x:v>
      </x:c>
    </x:row>
    <x:row r="342" ht="15" hidden="0" customHeight="1">
      <x:c r="A342" s="1" t="s">
        <x:v>1537</x:v>
      </x:c>
      <x:c r="B342" s="1" t="s">
        <x:v>6149</x:v>
      </x:c>
      <x:c r="C342" s="1" t="n">
        <x:v>1</x:v>
      </x:c>
      <x:c r="D342" s="1" t="s">
        <x:v>6698</x:v>
      </x:c>
    </x:row>
    <x:row r="343" ht="15" hidden="0" customHeight="1">
      <x:c r="A343" s="1" t="s">
        <x:v>1544</x:v>
      </x:c>
      <x:c r="B343" s="1" t="s">
        <x:v>6149</x:v>
      </x:c>
      <x:c r="C343" s="1" t="n">
        <x:v>1</x:v>
      </x:c>
      <x:c r="D343" s="1" t="s">
        <x:v>6698</x:v>
      </x:c>
    </x:row>
    <x:row r="344" ht="15" hidden="0" customHeight="1">
      <x:c r="A344" s="1" t="s">
        <x:v>1142</x:v>
      </x:c>
      <x:c r="B344" s="1" t="s">
        <x:v>6149</x:v>
      </x:c>
      <x:c r="C344" s="1" t="n">
        <x:v>1</x:v>
      </x:c>
      <x:c r="D344" s="1" t="s">
        <x:v>6698</x:v>
      </x:c>
    </x:row>
    <x:row r="345" ht="15" hidden="0" customHeight="1">
      <x:c r="A345" s="1" t="s">
        <x:v>1147</x:v>
      </x:c>
      <x:c r="B345" s="1" t="s">
        <x:v>6149</x:v>
      </x:c>
      <x:c r="C345" s="1" t="n">
        <x:v>1</x:v>
      </x:c>
      <x:c r="D345" s="1" t="s">
        <x:v>6698</x:v>
      </x:c>
    </x:row>
    <x:row r="346" ht="15" hidden="0" customHeight="1">
      <x:c r="A346" s="1" t="s">
        <x:v>1150</x:v>
      </x:c>
      <x:c r="B346" s="1" t="s">
        <x:v>6149</x:v>
      </x:c>
      <x:c r="C346" s="1" t="n">
        <x:v>1</x:v>
      </x:c>
      <x:c r="D346" s="1" t="s">
        <x:v>6698</x:v>
      </x:c>
    </x:row>
    <x:row r="347" ht="15" hidden="0" customHeight="1">
      <x:c r="A347" s="1" t="s">
        <x:v>1153</x:v>
      </x:c>
      <x:c r="B347" s="1" t="s">
        <x:v>6149</x:v>
      </x:c>
      <x:c r="C347" s="1" t="n">
        <x:v>1</x:v>
      </x:c>
      <x:c r="D347" s="1" t="s">
        <x:v>6698</x:v>
      </x:c>
    </x:row>
    <x:row r="348" ht="15" hidden="0" customHeight="1">
      <x:c r="A348" s="1" t="s">
        <x:v>1156</x:v>
      </x:c>
      <x:c r="B348" s="1" t="s">
        <x:v>6149</x:v>
      </x:c>
      <x:c r="C348" s="1" t="n">
        <x:v>1</x:v>
      </x:c>
      <x:c r="D348" s="1" t="s">
        <x:v>6698</x:v>
      </x:c>
    </x:row>
    <x:row r="349" ht="15" hidden="0" customHeight="1">
      <x:c r="A349" s="1" t="s">
        <x:v>266</x:v>
      </x:c>
      <x:c r="B349" s="1" t="s">
        <x:v>6149</x:v>
      </x:c>
      <x:c r="C349" s="1" t="n">
        <x:v>6</x:v>
      </x:c>
      <x:c r="D349" s="1" t="s">
        <x:v>6698</x:v>
      </x:c>
    </x:row>
    <x:row r="350" ht="15" hidden="0" customHeight="1">
      <x:c r="A350" s="1" t="s">
        <x:v>1054</x:v>
      </x:c>
      <x:c r="B350" s="1" t="s">
        <x:v>6149</x:v>
      </x:c>
      <x:c r="C350" s="1" t="n">
        <x:v>1</x:v>
      </x:c>
      <x:c r="D350" s="1" t="s">
        <x:v>6698</x:v>
      </x:c>
    </x:row>
    <x:row r="351" ht="15" hidden="0" customHeight="1">
      <x:c r="A351" s="1" t="s">
        <x:v>1189</x:v>
      </x:c>
      <x:c r="B351" s="1" t="s">
        <x:v>6699</x:v>
      </x:c>
      <x:c r="C351" s="1" t="n">
        <x:v>2</x:v>
      </x:c>
      <x:c r="D351" s="1" t="s">
        <x:v>6698</x:v>
      </x:c>
    </x:row>
    <x:row r="352" ht="15" hidden="0" customHeight="1">
      <x:c r="A352" s="1" t="s">
        <x:v>4471</x:v>
      </x:c>
      <x:c r="B352" s="1" t="s">
        <x:v>4471</x:v>
      </x:c>
      <x:c r="C352" s="1" t="n">
        <x:v>4</x:v>
      </x:c>
      <x:c r="D352" s="1" t="s">
        <x:v>6698</x:v>
      </x:c>
    </x:row>
    <x:row r="353" ht="15" hidden="0" customHeight="1">
      <x:c r="A353" s="1" t="s">
        <x:v>3136</x:v>
      </x:c>
      <x:c r="B353" s="1" t="s">
        <x:v>4471</x:v>
      </x:c>
      <x:c r="C353" s="1" t="n">
        <x:v>1</x:v>
      </x:c>
      <x:c r="D353" s="1" t="s">
        <x:v>6698</x:v>
      </x:c>
    </x:row>
    <x:row r="354" ht="15" hidden="0" customHeight="1">
      <x:c r="A354" s="1" t="s">
        <x:v>1720</x:v>
      </x:c>
      <x:c r="B354" s="1" t="s">
        <x:v>4471</x:v>
      </x:c>
      <x:c r="C354" s="1" t="n">
        <x:v>1</x:v>
      </x:c>
      <x:c r="D354" s="1" t="s">
        <x:v>6698</x:v>
      </x:c>
    </x:row>
    <x:row r="355" ht="15" hidden="0" customHeight="1">
      <x:c r="A355" s="1" t="s">
        <x:v>1727</x:v>
      </x:c>
      <x:c r="B355" s="1" t="s">
        <x:v>4471</x:v>
      </x:c>
      <x:c r="C355" s="1" t="n">
        <x:v>1</x:v>
      </x:c>
      <x:c r="D355" s="1" t="s">
        <x:v>6698</x:v>
      </x:c>
    </x:row>
    <x:row r="356" ht="15" hidden="0" customHeight="1">
      <x:c r="A356" s="1" t="s">
        <x:v>1743</x:v>
      </x:c>
      <x:c r="B356" s="1" t="s">
        <x:v>4471</x:v>
      </x:c>
      <x:c r="C356" s="1" t="n">
        <x:v>1</x:v>
      </x:c>
      <x:c r="D356" s="1" t="s">
        <x:v>6698</x:v>
      </x:c>
    </x:row>
    <x:row r="357" ht="15" hidden="0" customHeight="1">
      <x:c r="A357" s="1" t="s">
        <x:v>3139</x:v>
      </x:c>
      <x:c r="B357" s="1" t="s">
        <x:v>4471</x:v>
      </x:c>
      <x:c r="C357" s="1" t="n">
        <x:v>1</x:v>
      </x:c>
      <x:c r="D357" s="1" t="s">
        <x:v>6698</x:v>
      </x:c>
    </x:row>
    <x:row r="358" ht="15" hidden="0" customHeight="1">
      <x:c r="A358" s="1" t="s">
        <x:v>3532</x:v>
      </x:c>
      <x:c r="B358" s="1" t="s">
        <x:v>4471</x:v>
      </x:c>
      <x:c r="C358" s="1" t="n">
        <x:v>1</x:v>
      </x:c>
      <x:c r="D358" s="1" t="s">
        <x:v>6698</x:v>
      </x:c>
    </x:row>
    <x:row r="359" ht="15" hidden="0" customHeight="1">
      <x:c r="A359" s="1" t="s">
        <x:v>1723</x:v>
      </x:c>
      <x:c r="B359" s="1" t="s">
        <x:v>4471</x:v>
      </x:c>
      <x:c r="C359" s="1" t="n">
        <x:v>2</x:v>
      </x:c>
      <x:c r="D359" s="1" t="s">
        <x:v>6698</x:v>
      </x:c>
    </x:row>
    <x:row r="360" ht="15" hidden="0" customHeight="1">
      <x:c r="A360" s="1" t="s">
        <x:v>3288</x:v>
      </x:c>
      <x:c r="B360" s="1" t="s">
        <x:v>4471</x:v>
      </x:c>
      <x:c r="C360" s="1" t="n">
        <x:v>2</x:v>
      </x:c>
      <x:c r="D360" s="1" t="s">
        <x:v>6698</x:v>
      </x:c>
    </x:row>
    <x:row r="361" ht="15" hidden="0" customHeight="1">
      <x:c r="A361" s="1" t="s">
        <x:v>4135</x:v>
      </x:c>
      <x:c r="B361" s="1" t="s">
        <x:v>4471</x:v>
      </x:c>
      <x:c r="C361" s="1" t="n">
        <x:v>1</x:v>
      </x:c>
      <x:c r="D361" s="1" t="s">
        <x:v>6698</x:v>
      </x:c>
    </x:row>
    <x:row r="362" ht="15" hidden="0" customHeight="1">
      <x:c r="A362" s="1" t="s">
        <x:v>3102</x:v>
      </x:c>
      <x:c r="B362" s="1" t="s">
        <x:v>4471</x:v>
      </x:c>
      <x:c r="C362" s="1" t="n">
        <x:v>1</x:v>
      </x:c>
      <x:c r="D362" s="1" t="s">
        <x:v>6698</x:v>
      </x:c>
    </x:row>
    <x:row r="363" ht="15" hidden="0" customHeight="1">
      <x:c r="A363" s="1" t="s">
        <x:v>1750</x:v>
      </x:c>
      <x:c r="B363" s="1" t="s">
        <x:v>4471</x:v>
      </x:c>
      <x:c r="C363" s="1" t="n">
        <x:v>1</x:v>
      </x:c>
      <x:c r="D363" s="1" t="s">
        <x:v>6698</x:v>
      </x:c>
    </x:row>
    <x:row r="364" ht="15" hidden="0" customHeight="1">
      <x:c r="A364" s="1" t="s">
        <x:v>4270</x:v>
      </x:c>
      <x:c r="B364" s="1" t="s">
        <x:v>4471</x:v>
      </x:c>
      <x:c r="C364" s="1" t="n">
        <x:v>1</x:v>
      </x:c>
      <x:c r="D364" s="1" t="s">
        <x:v>6698</x:v>
      </x:c>
    </x:row>
    <x:row r="365" ht="15" hidden="0" customHeight="1">
      <x:c r="A365" s="1" t="s">
        <x:v>2422</x:v>
      </x:c>
      <x:c r="B365" s="1" t="s">
        <x:v>4471</x:v>
      </x:c>
      <x:c r="C365" s="1" t="n">
        <x:v>1</x:v>
      </x:c>
      <x:c r="D365" s="1" t="s">
        <x:v>6698</x:v>
      </x:c>
    </x:row>
    <x:row r="366" ht="15" hidden="0" customHeight="1">
      <x:c r="A366" s="1" t="s">
        <x:v>3335</x:v>
      </x:c>
      <x:c r="B366" s="1" t="s">
        <x:v>4471</x:v>
      </x:c>
      <x:c r="C366" s="1" t="n">
        <x:v>1</x:v>
      </x:c>
      <x:c r="D366" s="1" t="s">
        <x:v>6698</x:v>
      </x:c>
    </x:row>
    <x:row r="367" ht="15" hidden="0" customHeight="1">
      <x:c r="A367" s="1" t="s">
        <x:v>4061</x:v>
      </x:c>
      <x:c r="B367" s="1" t="s">
        <x:v>4471</x:v>
      </x:c>
      <x:c r="C367" s="1" t="n">
        <x:v>1</x:v>
      </x:c>
      <x:c r="D367" s="1" t="s">
        <x:v>6698</x:v>
      </x:c>
    </x:row>
    <x:row r="368" ht="15" hidden="0" customHeight="1">
      <x:c r="A368" s="1" t="s">
        <x:v>1907</x:v>
      </x:c>
      <x:c r="B368" s="1" t="s">
        <x:v>4471</x:v>
      </x:c>
      <x:c r="C368" s="1" t="n">
        <x:v>1</x:v>
      </x:c>
      <x:c r="D368" s="1" t="s">
        <x:v>6698</x:v>
      </x:c>
    </x:row>
    <x:row r="369" ht="15" hidden="0" customHeight="1">
      <x:c r="A369" s="1" t="s">
        <x:v>2754</x:v>
      </x:c>
      <x:c r="B369" s="1" t="s">
        <x:v>6156</x:v>
      </x:c>
      <x:c r="C369" s="1" t="n">
        <x:v>1</x:v>
      </x:c>
      <x:c r="D369" s="1" t="s">
        <x:v>6698</x:v>
      </x:c>
    </x:row>
    <x:row r="370" ht="15" hidden="0" customHeight="1">
      <x:c r="A370" s="1" t="s">
        <x:v>2746</x:v>
      </x:c>
      <x:c r="B370" s="1" t="s">
        <x:v>6156</x:v>
      </x:c>
      <x:c r="C370" s="1" t="n">
        <x:v>1</x:v>
      </x:c>
      <x:c r="D370" s="1" t="s">
        <x:v>6698</x:v>
      </x:c>
    </x:row>
    <x:row r="371" ht="15" hidden="0" customHeight="1">
      <x:c r="A371" s="1" t="s">
        <x:v>2751</x:v>
      </x:c>
      <x:c r="B371" s="1" t="s">
        <x:v>6156</x:v>
      </x:c>
      <x:c r="C371" s="1" t="n">
        <x:v>1</x:v>
      </x:c>
      <x:c r="D371" s="1" t="s">
        <x:v>6698</x:v>
      </x:c>
    </x:row>
    <x:row r="372" ht="15" hidden="0" customHeight="1">
      <x:c r="A372" s="1" t="s">
        <x:v>2757</x:v>
      </x:c>
      <x:c r="B372" s="1" t="s">
        <x:v>6156</x:v>
      </x:c>
      <x:c r="C372" s="1" t="n">
        <x:v>1</x:v>
      </x:c>
      <x:c r="D372" s="1" t="s">
        <x:v>6698</x:v>
      </x:c>
    </x:row>
    <x:row r="373" ht="15" hidden="0" customHeight="1">
      <x:c r="A373" s="1" t="s">
        <x:v>4758</x:v>
      </x:c>
      <x:c r="B373" s="1" t="s">
        <x:v>6699</x:v>
      </x:c>
      <x:c r="C373" s="1" t="n">
        <x:v>1</x:v>
      </x:c>
      <x:c r="D373" s="1" t="s">
        <x:v>6698</x:v>
      </x:c>
    </x:row>
    <x:row r="374" ht="15" hidden="0" customHeight="1">
      <x:c r="A374" s="1" t="s">
        <x:v>2002</x:v>
      </x:c>
      <x:c r="B374" s="1" t="s">
        <x:v>6699</x:v>
      </x:c>
      <x:c r="C374" s="1" t="n">
        <x:v>1</x:v>
      </x:c>
      <x:c r="D374" s="1" t="s">
        <x:v>6698</x:v>
      </x:c>
    </x:row>
    <x:row r="375" ht="15" hidden="0" customHeight="1">
      <x:c r="A375" s="1" t="s">
        <x:v>4440</x:v>
      </x:c>
      <x:c r="B375" s="1" t="s">
        <x:v>6699</x:v>
      </x:c>
      <x:c r="C375" s="1" t="n">
        <x:v>3</x:v>
      </x:c>
      <x:c r="D375" s="1" t="s">
        <x:v>6698</x:v>
      </x:c>
    </x:row>
    <x:row r="376" ht="15" hidden="0" customHeight="1">
      <x:c r="A376" s="1" t="s">
        <x:v>3095</x:v>
      </x:c>
      <x:c r="B376" s="1" t="s">
        <x:v>6699</x:v>
      </x:c>
      <x:c r="C376" s="1" t="n">
        <x:v>1</x:v>
      </x:c>
      <x:c r="D376" s="1" t="s">
        <x:v>6698</x:v>
      </x:c>
    </x:row>
    <x:row r="377" ht="15" hidden="0" customHeight="1">
      <x:c r="A377" s="1" t="s">
        <x:v>3143</x:v>
      </x:c>
      <x:c r="B377" s="1" t="s">
        <x:v>6699</x:v>
      </x:c>
      <x:c r="C377" s="1" t="n">
        <x:v>1</x:v>
      </x:c>
      <x:c r="D377" s="1" t="s">
        <x:v>6698</x:v>
      </x:c>
    </x:row>
    <x:row r="378" ht="15" hidden="0" customHeight="1">
      <x:c r="A378" s="1" t="s">
        <x:v>1895</x:v>
      </x:c>
      <x:c r="B378" s="1" t="s">
        <x:v>6699</x:v>
      </x:c>
      <x:c r="C378" s="1" t="n">
        <x:v>1</x:v>
      </x:c>
      <x:c r="D378" s="1" t="s">
        <x:v>6698</x:v>
      </x:c>
    </x:row>
    <x:row r="379" ht="15" hidden="0" customHeight="1">
      <x:c r="A379" s="1" t="s">
        <x:v>4721</x:v>
      </x:c>
      <x:c r="B379" s="1" t="s">
        <x:v>4721</x:v>
      </x:c>
      <x:c r="C379" s="1" t="n">
        <x:v>5</x:v>
      </x:c>
      <x:c r="D379" s="1" t="s">
        <x:v>6698</x:v>
      </x:c>
    </x:row>
    <x:row r="380" ht="15" hidden="0" customHeight="1">
      <x:c r="A380" s="1" t="s">
        <x:v>2816</x:v>
      </x:c>
      <x:c r="B380" s="1" t="s">
        <x:v>4721</x:v>
      </x:c>
      <x:c r="C380" s="1" t="n">
        <x:v>1</x:v>
      </x:c>
      <x:c r="D380" s="1" t="s">
        <x:v>6698</x:v>
      </x:c>
    </x:row>
    <x:row r="381" ht="15" hidden="0" customHeight="1">
      <x:c r="A381" s="1" t="s">
        <x:v>4034</x:v>
      </x:c>
      <x:c r="B381" s="1" t="s">
        <x:v>4721</x:v>
      </x:c>
      <x:c r="C381" s="1" t="n">
        <x:v>1</x:v>
      </x:c>
      <x:c r="D381" s="1" t="s">
        <x:v>6698</x:v>
      </x:c>
    </x:row>
    <x:row r="382" ht="15" hidden="0" customHeight="1">
      <x:c r="A382" s="1" t="s">
        <x:v>4359</x:v>
      </x:c>
      <x:c r="B382" s="1" t="s">
        <x:v>4721</x:v>
      </x:c>
      <x:c r="C382" s="1" t="n">
        <x:v>1</x:v>
      </x:c>
      <x:c r="D382" s="1" t="s">
        <x:v>6698</x:v>
      </x:c>
    </x:row>
    <x:row r="383" ht="15" hidden="0" customHeight="1">
      <x:c r="A383" s="1" t="s">
        <x:v>3845</x:v>
      </x:c>
      <x:c r="B383" s="1" t="s">
        <x:v>4721</x:v>
      </x:c>
      <x:c r="C383" s="1" t="n">
        <x:v>1</x:v>
      </x:c>
      <x:c r="D383" s="1" t="s">
        <x:v>6698</x:v>
      </x:c>
    </x:row>
    <x:row r="384" ht="15" hidden="0" customHeight="1">
      <x:c r="A384" s="1" t="s">
        <x:v>3728</x:v>
      </x:c>
      <x:c r="B384" s="1" t="s">
        <x:v>4721</x:v>
      </x:c>
      <x:c r="C384" s="1" t="n">
        <x:v>1</x:v>
      </x:c>
      <x:c r="D384" s="1" t="s">
        <x:v>6698</x:v>
      </x:c>
    </x:row>
    <x:row r="385" ht="15" hidden="0" customHeight="1">
      <x:c r="A385" s="1" t="s">
        <x:v>2823</x:v>
      </x:c>
      <x:c r="B385" s="1" t="s">
        <x:v>4721</x:v>
      </x:c>
      <x:c r="C385" s="1" t="n">
        <x:v>1</x:v>
      </x:c>
      <x:c r="D385" s="1" t="s">
        <x:v>6698</x:v>
      </x:c>
    </x:row>
    <x:row r="386" ht="15" hidden="0" customHeight="1">
      <x:c r="A386" s="1" t="s">
        <x:v>3491</x:v>
      </x:c>
      <x:c r="B386" s="1" t="s">
        <x:v>4721</x:v>
      </x:c>
      <x:c r="C386" s="1" t="n">
        <x:v>1</x:v>
      </x:c>
      <x:c r="D386" s="1" t="s">
        <x:v>6698</x:v>
      </x:c>
    </x:row>
    <x:row r="387" ht="15" hidden="0" customHeight="1">
      <x:c r="A387" s="1" t="s">
        <x:v>3083</x:v>
      </x:c>
      <x:c r="B387" s="1" t="s">
        <x:v>4721</x:v>
      </x:c>
      <x:c r="C387" s="1" t="n">
        <x:v>1</x:v>
      </x:c>
      <x:c r="D387" s="1" t="s">
        <x:v>6698</x:v>
      </x:c>
    </x:row>
    <x:row r="388" ht="15" hidden="0" customHeight="1">
      <x:c r="A388" s="1" t="s">
        <x:v>3849</x:v>
      </x:c>
      <x:c r="B388" s="1" t="s">
        <x:v>4721</x:v>
      </x:c>
      <x:c r="C388" s="1" t="n">
        <x:v>1</x:v>
      </x:c>
      <x:c r="D388" s="1" t="s">
        <x:v>6698</x:v>
      </x:c>
    </x:row>
    <x:row r="389" ht="15" hidden="0" customHeight="1">
      <x:c r="A389" s="1" t="s">
        <x:v>3513</x:v>
      </x:c>
      <x:c r="B389" s="1" t="s">
        <x:v>4721</x:v>
      </x:c>
      <x:c r="C389" s="1" t="n">
        <x:v>1</x:v>
      </x:c>
      <x:c r="D389" s="1" t="s">
        <x:v>6698</x:v>
      </x:c>
    </x:row>
    <x:row r="390" ht="15" hidden="0" customHeight="1">
      <x:c r="A390" s="1" t="s">
        <x:v>3941</x:v>
      </x:c>
      <x:c r="B390" s="1" t="s">
        <x:v>4721</x:v>
      </x:c>
      <x:c r="C390" s="1" t="n">
        <x:v>1</x:v>
      </x:c>
      <x:c r="D390" s="1" t="s">
        <x:v>6698</x:v>
      </x:c>
    </x:row>
    <x:row r="391" ht="15" hidden="0" customHeight="1">
      <x:c r="A391" s="1" t="s">
        <x:v>1860</x:v>
      </x:c>
      <x:c r="B391" s="1" t="s">
        <x:v>4721</x:v>
      </x:c>
      <x:c r="C391" s="1" t="n">
        <x:v>4</x:v>
      </x:c>
      <x:c r="D391" s="1" t="s">
        <x:v>6698</x:v>
      </x:c>
    </x:row>
    <x:row r="392" ht="15" hidden="0" customHeight="1">
      <x:c r="A392" s="1" t="s">
        <x:v>2360</x:v>
      </x:c>
      <x:c r="B392" s="1" t="s">
        <x:v>4721</x:v>
      </x:c>
      <x:c r="C392" s="1" t="n">
        <x:v>1</x:v>
      </x:c>
      <x:c r="D392" s="1" t="s">
        <x:v>6698</x:v>
      </x:c>
    </x:row>
    <x:row r="393" ht="15" hidden="0" customHeight="1">
      <x:c r="A393" s="1" t="s">
        <x:v>3883</x:v>
      </x:c>
      <x:c r="B393" s="1" t="s">
        <x:v>4721</x:v>
      </x:c>
      <x:c r="C393" s="1" t="n">
        <x:v>1</x:v>
      </x:c>
      <x:c r="D393" s="1" t="s">
        <x:v>6698</x:v>
      </x:c>
    </x:row>
    <x:row r="394" ht="15" hidden="0" customHeight="1">
      <x:c r="A394" s="1" t="s">
        <x:v>1770</x:v>
      </x:c>
      <x:c r="B394" s="1" t="s">
        <x:v>4721</x:v>
      </x:c>
      <x:c r="C394" s="1" t="n">
        <x:v>2</x:v>
      </x:c>
      <x:c r="D394" s="1" t="s">
        <x:v>6698</x:v>
      </x:c>
    </x:row>
    <x:row r="395" ht="15" hidden="0" customHeight="1">
      <x:c r="A395" s="1" t="s">
        <x:v>4031</x:v>
      </x:c>
      <x:c r="B395" s="1" t="s">
        <x:v>4721</x:v>
      </x:c>
      <x:c r="C395" s="1" t="n">
        <x:v>1</x:v>
      </x:c>
      <x:c r="D395" s="1" t="s">
        <x:v>6698</x:v>
      </x:c>
    </x:row>
    <x:row r="396" ht="15" hidden="0" customHeight="1">
      <x:c r="A396" s="1" t="s">
        <x:v>2849</x:v>
      </x:c>
      <x:c r="B396" s="1" t="s">
        <x:v>4721</x:v>
      </x:c>
      <x:c r="C396" s="1" t="n">
        <x:v>1</x:v>
      </x:c>
      <x:c r="D396" s="1" t="s">
        <x:v>6698</x:v>
      </x:c>
    </x:row>
    <x:row r="397" ht="15" hidden="0" customHeight="1">
      <x:c r="A397" s="1" t="s">
        <x:v>2819</x:v>
      </x:c>
      <x:c r="B397" s="1" t="s">
        <x:v>4721</x:v>
      </x:c>
      <x:c r="C397" s="1" t="n">
        <x:v>1</x:v>
      </x:c>
      <x:c r="D397" s="1" t="s">
        <x:v>6698</x:v>
      </x:c>
    </x:row>
    <x:row r="398" ht="15" hidden="0" customHeight="1">
      <x:c r="A398" s="1" t="s">
        <x:v>4204</x:v>
      </x:c>
      <x:c r="B398" s="1" t="s">
        <x:v>4721</x:v>
      </x:c>
      <x:c r="C398" s="1" t="n">
        <x:v>1</x:v>
      </x:c>
      <x:c r="D398" s="1" t="s">
        <x:v>6698</x:v>
      </x:c>
    </x:row>
    <x:row r="399" ht="15" hidden="0" customHeight="1">
      <x:c r="A399" s="1" t="s">
        <x:v>4201</x:v>
      </x:c>
      <x:c r="B399" s="1" t="s">
        <x:v>4721</x:v>
      </x:c>
      <x:c r="C399" s="1" t="n">
        <x:v>1</x:v>
      </x:c>
      <x:c r="D399" s="1" t="s">
        <x:v>6698</x:v>
      </x:c>
    </x:row>
    <x:row r="400" ht="15" hidden="0" customHeight="1">
      <x:c r="A400" s="1" t="s">
        <x:v>2277</x:v>
      </x:c>
      <x:c r="B400" s="1" t="s">
        <x:v>4721</x:v>
      </x:c>
      <x:c r="C400" s="1" t="n">
        <x:v>1</x:v>
      </x:c>
      <x:c r="D400" s="1" t="s">
        <x:v>6698</x:v>
      </x:c>
    </x:row>
    <x:row r="401" ht="15" hidden="0" customHeight="1">
      <x:c r="A401" s="1" t="s">
        <x:v>1862</x:v>
      </x:c>
      <x:c r="B401" s="1" t="s">
        <x:v>4721</x:v>
      </x:c>
      <x:c r="C401" s="1" t="n">
        <x:v>2</x:v>
      </x:c>
      <x:c r="D401" s="1" t="s">
        <x:v>6698</x:v>
      </x:c>
    </x:row>
    <x:row r="402" ht="15" hidden="0" customHeight="1">
      <x:c r="A402" s="1" t="s">
        <x:v>3353</x:v>
      </x:c>
      <x:c r="B402" s="1" t="s">
        <x:v>4721</x:v>
      </x:c>
      <x:c r="C402" s="1" t="n">
        <x:v>1</x:v>
      </x:c>
      <x:c r="D402" s="1" t="s">
        <x:v>6698</x:v>
      </x:c>
    </x:row>
    <x:row r="403" ht="15" hidden="0" customHeight="1">
      <x:c r="A403" s="1" t="s">
        <x:v>3686</x:v>
      </x:c>
      <x:c r="B403" s="1" t="s">
        <x:v>4721</x:v>
      </x:c>
      <x:c r="C403" s="1" t="n">
        <x:v>1</x:v>
      </x:c>
      <x:c r="D403" s="1" t="s">
        <x:v>6698</x:v>
      </x:c>
    </x:row>
    <x:row r="404" ht="15" hidden="0" customHeight="1">
      <x:c r="A404" s="1" t="s">
        <x:v>2161</x:v>
      </x:c>
      <x:c r="B404" s="1" t="s">
        <x:v>4721</x:v>
      </x:c>
      <x:c r="C404" s="1" t="n">
        <x:v>16</x:v>
      </x:c>
      <x:c r="D404" s="1" t="s">
        <x:v>6698</x:v>
      </x:c>
    </x:row>
    <x:row r="405" ht="15" hidden="0" customHeight="1">
      <x:c r="A405" s="1" t="s">
        <x:v>2946</x:v>
      </x:c>
      <x:c r="B405" s="1" t="s">
        <x:v>4721</x:v>
      </x:c>
      <x:c r="C405" s="1" t="n">
        <x:v>1</x:v>
      </x:c>
      <x:c r="D405" s="1" t="s">
        <x:v>6698</x:v>
      </x:c>
    </x:row>
    <x:row r="406" ht="15" hidden="0" customHeight="1">
      <x:c r="A406" s="1" t="s">
        <x:v>2813</x:v>
      </x:c>
      <x:c r="B406" s="1" t="s">
        <x:v>4721</x:v>
      </x:c>
      <x:c r="C406" s="1" t="n">
        <x:v>1</x:v>
      </x:c>
      <x:c r="D406" s="1" t="s">
        <x:v>6698</x:v>
      </x:c>
    </x:row>
    <x:row r="407" ht="15" hidden="0" customHeight="1">
      <x:c r="A407" s="1" t="s">
        <x:v>4652</x:v>
      </x:c>
      <x:c r="B407" s="1" t="s">
        <x:v>4721</x:v>
      </x:c>
      <x:c r="C407" s="1" t="n">
        <x:v>3</x:v>
      </x:c>
      <x:c r="D407" s="1" t="s">
        <x:v>6698</x:v>
      </x:c>
    </x:row>
    <x:row r="408" ht="15" hidden="0" customHeight="1">
      <x:c r="A408" s="1" t="s">
        <x:v>3292</x:v>
      </x:c>
      <x:c r="B408" s="1" t="s">
        <x:v>6152</x:v>
      </x:c>
      <x:c r="C408" s="1" t="n">
        <x:v>1</x:v>
      </x:c>
      <x:c r="D408" s="1" t="s">
        <x:v>6698</x:v>
      </x:c>
    </x:row>
    <x:row r="409" ht="15" hidden="0" customHeight="1">
      <x:c r="A409" s="1" t="s">
        <x:v>3132</x:v>
      </x:c>
      <x:c r="B409" s="1" t="s">
        <x:v>6152</x:v>
      </x:c>
      <x:c r="C409" s="1" t="n">
        <x:v>1</x:v>
      </x:c>
      <x:c r="D409" s="1" t="s">
        <x:v>6698</x:v>
      </x:c>
    </x:row>
    <x:row r="410" ht="15" hidden="0" customHeight="1">
      <x:c r="A410" s="1" t="s">
        <x:v>2638</x:v>
      </x:c>
      <x:c r="B410" s="1" t="s">
        <x:v>6152</x:v>
      </x:c>
      <x:c r="C410" s="1" t="n">
        <x:v>1</x:v>
      </x:c>
      <x:c r="D410" s="1" t="s">
        <x:v>6698</x:v>
      </x:c>
    </x:row>
    <x:row r="411" ht="15" hidden="0" customHeight="1">
      <x:c r="A411" s="1" t="s">
        <x:v>4992</x:v>
      </x:c>
      <x:c r="B411" s="1" t="s">
        <x:v>6152</x:v>
      </x:c>
      <x:c r="C411" s="1" t="n">
        <x:v>1</x:v>
      </x:c>
      <x:c r="D411" s="1" t="s">
        <x:v>6698</x:v>
      </x:c>
    </x:row>
    <x:row r="412" ht="15" hidden="0" customHeight="1">
      <x:c r="A412" s="1" t="s">
        <x:v>4889</x:v>
      </x:c>
      <x:c r="B412" s="1" t="s">
        <x:v>6152</x:v>
      </x:c>
      <x:c r="C412" s="1" t="n">
        <x:v>1</x:v>
      </x:c>
      <x:c r="D412" s="1" t="s">
        <x:v>6698</x:v>
      </x:c>
    </x:row>
    <x:row r="413" ht="15" hidden="0" customHeight="1">
      <x:c r="A413" s="1" t="s">
        <x:v>184</x:v>
      </x:c>
      <x:c r="B413" s="1" t="s">
        <x:v>6152</x:v>
      </x:c>
      <x:c r="C413" s="1" t="n">
        <x:v>24</x:v>
      </x:c>
      <x:c r="D413" s="1" t="s">
        <x:v>6698</x:v>
      </x:c>
    </x:row>
    <x:row r="414" ht="15" hidden="0" customHeight="1">
      <x:c r="A414" s="1" t="s">
        <x:v>1868</x:v>
      </x:c>
      <x:c r="B414" s="1" t="s">
        <x:v>6152</x:v>
      </x:c>
      <x:c r="C414" s="1" t="n">
        <x:v>1</x:v>
      </x:c>
      <x:c r="D414" s="1" t="s">
        <x:v>6698</x:v>
      </x:c>
    </x:row>
    <x:row r="415" ht="15" hidden="0" customHeight="1">
      <x:c r="A415" s="1" t="s">
        <x:v>4777</x:v>
      </x:c>
      <x:c r="B415" s="1" t="s">
        <x:v>6152</x:v>
      </x:c>
      <x:c r="C415" s="1" t="n">
        <x:v>1</x:v>
      </x:c>
      <x:c r="D415" s="1" t="s">
        <x:v>6698</x:v>
      </x:c>
    </x:row>
    <x:row r="416" ht="15" hidden="0" customHeight="1">
      <x:c r="A416" s="1" t="s">
        <x:v>2540</x:v>
      </x:c>
      <x:c r="B416" s="1" t="s">
        <x:v>6152</x:v>
      </x:c>
      <x:c r="C416" s="1" t="n">
        <x:v>1</x:v>
      </x:c>
      <x:c r="D416" s="1" t="s">
        <x:v>6698</x:v>
      </x:c>
    </x:row>
    <x:row r="417" ht="15" hidden="0" customHeight="1">
      <x:c r="A417" s="1" t="s">
        <x:v>4773</x:v>
      </x:c>
      <x:c r="B417" s="1" t="s">
        <x:v>6152</x:v>
      </x:c>
      <x:c r="C417" s="1" t="n">
        <x:v>1</x:v>
      </x:c>
      <x:c r="D417" s="1" t="s">
        <x:v>6698</x:v>
      </x:c>
    </x:row>
    <x:row r="418" ht="15" hidden="0" customHeight="1">
      <x:c r="A418" s="1" t="s">
        <x:v>3805</x:v>
      </x:c>
      <x:c r="B418" s="1" t="s">
        <x:v>6152</x:v>
      </x:c>
      <x:c r="C418" s="1" t="n">
        <x:v>1</x:v>
      </x:c>
      <x:c r="D418" s="1" t="s">
        <x:v>6698</x:v>
      </x:c>
    </x:row>
    <x:row r="419" ht="15" hidden="0" customHeight="1">
      <x:c r="A419" s="1" t="s">
        <x:v>2080</x:v>
      </x:c>
      <x:c r="B419" s="1" t="s">
        <x:v>6152</x:v>
      </x:c>
      <x:c r="C419" s="1" t="n">
        <x:v>1</x:v>
      </x:c>
      <x:c r="D419" s="1" t="s">
        <x:v>6698</x:v>
      </x:c>
    </x:row>
    <x:row r="420" ht="15" hidden="0" customHeight="1">
      <x:c r="A420" s="1" t="s">
        <x:v>1803</x:v>
      </x:c>
      <x:c r="B420" s="1" t="s">
        <x:v>6152</x:v>
      </x:c>
      <x:c r="C420" s="1" t="n">
        <x:v>1</x:v>
      </x:c>
      <x:c r="D420" s="1" t="s">
        <x:v>6698</x:v>
      </x:c>
    </x:row>
    <x:row r="421" ht="15" hidden="0" customHeight="1">
      <x:c r="A421" s="1" t="s">
        <x:v>3450</x:v>
      </x:c>
      <x:c r="B421" s="1" t="s">
        <x:v>6152</x:v>
      </x:c>
      <x:c r="C421" s="1" t="n">
        <x:v>1</x:v>
      </x:c>
      <x:c r="D421" s="1" t="s">
        <x:v>6698</x:v>
      </x:c>
    </x:row>
    <x:row r="422" ht="15" hidden="0" customHeight="1">
      <x:c r="A422" s="1" t="s">
        <x:v>4825</x:v>
      </x:c>
      <x:c r="B422" s="1" t="s">
        <x:v>6152</x:v>
      </x:c>
      <x:c r="C422" s="1" t="n">
        <x:v>1</x:v>
      </x:c>
      <x:c r="D422" s="1" t="s">
        <x:v>6698</x:v>
      </x:c>
    </x:row>
    <x:row r="423" ht="15" hidden="0" customHeight="1">
      <x:c r="A423" s="1" t="s">
        <x:v>4989</x:v>
      </x:c>
      <x:c r="B423" s="1" t="s">
        <x:v>6152</x:v>
      </x:c>
      <x:c r="C423" s="1" t="n">
        <x:v>1</x:v>
      </x:c>
      <x:c r="D423" s="1" t="s">
        <x:v>6698</x:v>
      </x:c>
    </x:row>
    <x:row r="424" ht="15" hidden="0" customHeight="1">
      <x:c r="A424" s="1" t="s">
        <x:v>3947</x:v>
      </x:c>
      <x:c r="B424" s="1" t="s">
        <x:v>6152</x:v>
      </x:c>
      <x:c r="C424" s="1" t="n">
        <x:v>1</x:v>
      </x:c>
      <x:c r="D424" s="1" t="s">
        <x:v>6698</x:v>
      </x:c>
    </x:row>
    <x:row r="425" ht="15" hidden="0" customHeight="1">
      <x:c r="A425" s="1" t="s">
        <x:v>427</x:v>
      </x:c>
      <x:c r="B425" s="1" t="s">
        <x:v>6152</x:v>
      </x:c>
      <x:c r="C425" s="1" t="n">
        <x:v>4</x:v>
      </x:c>
      <x:c r="D425" s="1" t="s">
        <x:v>6698</x:v>
      </x:c>
    </x:row>
    <x:row r="426" ht="15" hidden="0" customHeight="1">
      <x:c r="A426" s="1" t="s">
        <x:v>3748</x:v>
      </x:c>
      <x:c r="B426" s="1" t="s">
        <x:v>6152</x:v>
      </x:c>
      <x:c r="C426" s="1" t="n">
        <x:v>1</x:v>
      </x:c>
      <x:c r="D426" s="1" t="s">
        <x:v>6698</x:v>
      </x:c>
    </x:row>
    <x:row r="427" ht="15" hidden="0" customHeight="1">
      <x:c r="A427" s="1" t="s">
        <x:v>2340</x:v>
      </x:c>
      <x:c r="B427" s="1" t="s">
        <x:v>6152</x:v>
      </x:c>
      <x:c r="C427" s="1" t="n">
        <x:v>1</x:v>
      </x:c>
      <x:c r="D427" s="1" t="s">
        <x:v>6698</x:v>
      </x:c>
    </x:row>
    <x:row r="428" ht="15" hidden="0" customHeight="1">
      <x:c r="A428" s="1" t="s">
        <x:v>4545</x:v>
      </x:c>
      <x:c r="B428" s="1" t="s">
        <x:v>6152</x:v>
      </x:c>
      <x:c r="C428" s="1" t="n">
        <x:v>1</x:v>
      </x:c>
      <x:c r="D428" s="1" t="s">
        <x:v>6698</x:v>
      </x:c>
    </x:row>
    <x:row r="429" ht="15" hidden="0" customHeight="1">
      <x:c r="A429" s="1" t="s">
        <x:v>2418</x:v>
      </x:c>
      <x:c r="B429" s="1" t="s">
        <x:v>6152</x:v>
      </x:c>
      <x:c r="C429" s="1" t="n">
        <x:v>1</x:v>
      </x:c>
      <x:c r="D429" s="1" t="s">
        <x:v>6698</x:v>
      </x:c>
    </x:row>
    <x:row r="430" ht="15" hidden="0" customHeight="1">
      <x:c r="A430" s="1" t="s">
        <x:v>3427</x:v>
      </x:c>
      <x:c r="B430" s="1" t="s">
        <x:v>6152</x:v>
      </x:c>
      <x:c r="C430" s="1" t="n">
        <x:v>1</x:v>
      </x:c>
      <x:c r="D430" s="1" t="s">
        <x:v>6698</x:v>
      </x:c>
    </x:row>
    <x:row r="431" ht="15" hidden="0" customHeight="1">
      <x:c r="A431" s="1" t="s">
        <x:v>3433</x:v>
      </x:c>
      <x:c r="B431" s="1" t="s">
        <x:v>6152</x:v>
      </x:c>
      <x:c r="C431" s="1" t="n">
        <x:v>1</x:v>
      </x:c>
      <x:c r="D431" s="1" t="s">
        <x:v>6698</x:v>
      </x:c>
    </x:row>
    <x:row r="432" ht="15" hidden="0" customHeight="1">
      <x:c r="A432" s="1" t="s">
        <x:v>3371</x:v>
      </x:c>
      <x:c r="B432" s="1" t="s">
        <x:v>6152</x:v>
      </x:c>
      <x:c r="C432" s="1" t="n">
        <x:v>1</x:v>
      </x:c>
      <x:c r="D432" s="1" t="s">
        <x:v>6698</x:v>
      </x:c>
    </x:row>
    <x:row r="433" ht="15" hidden="0" customHeight="1">
      <x:c r="A433" s="1" t="s">
        <x:v>3021</x:v>
      </x:c>
      <x:c r="B433" s="1" t="s">
        <x:v>6152</x:v>
      </x:c>
      <x:c r="C433" s="1" t="n">
        <x:v>1</x:v>
      </x:c>
      <x:c r="D433" s="1" t="s">
        <x:v>6698</x:v>
      </x:c>
    </x:row>
    <x:row r="434" ht="15" hidden="0" customHeight="1">
      <x:c r="A434" s="1" t="s">
        <x:v>3436</x:v>
      </x:c>
      <x:c r="B434" s="1" t="s">
        <x:v>6152</x:v>
      </x:c>
      <x:c r="C434" s="1" t="n">
        <x:v>1</x:v>
      </x:c>
      <x:c r="D434" s="1" t="s">
        <x:v>6698</x:v>
      </x:c>
    </x:row>
    <x:row r="435" ht="15" hidden="0" customHeight="1">
      <x:c r="A435" s="1" t="s">
        <x:v>3462</x:v>
      </x:c>
      <x:c r="B435" s="1" t="s">
        <x:v>6152</x:v>
      </x:c>
      <x:c r="C435" s="1" t="n">
        <x:v>1</x:v>
      </x:c>
      <x:c r="D435" s="1" t="s">
        <x:v>6698</x:v>
      </x:c>
    </x:row>
    <x:row r="436" ht="15" hidden="0" customHeight="1">
      <x:c r="A436" s="1" t="s">
        <x:v>3243</x:v>
      </x:c>
      <x:c r="B436" s="1" t="s">
        <x:v>6152</x:v>
      </x:c>
      <x:c r="C436" s="1" t="n">
        <x:v>1</x:v>
      </x:c>
      <x:c r="D436" s="1" t="s">
        <x:v>6698</x:v>
      </x:c>
    </x:row>
    <x:row r="437" ht="15" hidden="0" customHeight="1">
      <x:c r="A437" s="1" t="s">
        <x:v>2219</x:v>
      </x:c>
      <x:c r="B437" s="1" t="s">
        <x:v>6152</x:v>
      </x:c>
      <x:c r="C437" s="1" t="n">
        <x:v>2</x:v>
      </x:c>
      <x:c r="D437" s="1" t="s">
        <x:v>6698</x:v>
      </x:c>
    </x:row>
    <x:row r="438" ht="15" hidden="0" customHeight="1">
      <x:c r="A438" s="1" t="s">
        <x:v>190</x:v>
      </x:c>
      <x:c r="B438" s="1" t="s">
        <x:v>6152</x:v>
      </x:c>
      <x:c r="C438" s="1" t="n">
        <x:v>19</x:v>
      </x:c>
      <x:c r="D438" s="1" t="s">
        <x:v>6698</x:v>
      </x:c>
    </x:row>
    <x:row r="439" ht="15" hidden="0" customHeight="1">
      <x:c r="A439" s="1" t="s">
        <x:v>4468</x:v>
      </x:c>
      <x:c r="B439" s="1" t="s">
        <x:v>6152</x:v>
      </x:c>
      <x:c r="C439" s="1" t="n">
        <x:v>1</x:v>
      </x:c>
      <x:c r="D439" s="1" t="s">
        <x:v>6698</x:v>
      </x:c>
    </x:row>
    <x:row r="440" ht="15" hidden="0" customHeight="1">
      <x:c r="A440" s="1" t="s">
        <x:v>2489</x:v>
      </x:c>
      <x:c r="B440" s="1" t="s">
        <x:v>6152</x:v>
      </x:c>
      <x:c r="C440" s="1" t="n">
        <x:v>1</x:v>
      </x:c>
      <x:c r="D440" s="1" t="s">
        <x:v>6698</x:v>
      </x:c>
    </x:row>
    <x:row r="441" ht="15" hidden="0" customHeight="1">
      <x:c r="A441" s="1" t="s">
        <x:v>3456</x:v>
      </x:c>
      <x:c r="B441" s="1" t="s">
        <x:v>6152</x:v>
      </x:c>
      <x:c r="C441" s="1" t="n">
        <x:v>1</x:v>
      </x:c>
      <x:c r="D441" s="1" t="s">
        <x:v>6698</x:v>
      </x:c>
    </x:row>
    <x:row r="442" ht="15" hidden="0" customHeight="1">
      <x:c r="A442" s="1" t="s">
        <x:v>5401</x:v>
      </x:c>
      <x:c r="B442" s="1" t="s">
        <x:v>6152</x:v>
      </x:c>
      <x:c r="C442" s="1" t="n">
        <x:v>1</x:v>
      </x:c>
      <x:c r="D442" s="1" t="s">
        <x:v>6698</x:v>
      </x:c>
    </x:row>
    <x:row r="443" ht="15" hidden="0" customHeight="1">
      <x:c r="A443" s="1" t="s">
        <x:v>5168</x:v>
      </x:c>
      <x:c r="B443" s="1" t="s">
        <x:v>6152</x:v>
      </x:c>
      <x:c r="C443" s="1" t="n">
        <x:v>1</x:v>
      </x:c>
      <x:c r="D443" s="1" t="s">
        <x:v>6698</x:v>
      </x:c>
    </x:row>
    <x:row r="444" ht="15" hidden="0" customHeight="1">
      <x:c r="A444" s="1" t="s">
        <x:v>3529</x:v>
      </x:c>
      <x:c r="B444" s="1" t="s">
        <x:v>6152</x:v>
      </x:c>
      <x:c r="C444" s="1" t="n">
        <x:v>1</x:v>
      </x:c>
      <x:c r="D444" s="1" t="s">
        <x:v>6698</x:v>
      </x:c>
    </x:row>
    <x:row r="445" ht="15" hidden="0" customHeight="1">
      <x:c r="A445" s="1" t="s">
        <x:v>1711</x:v>
      </x:c>
      <x:c r="B445" s="1" t="s">
        <x:v>6152</x:v>
      </x:c>
      <x:c r="C445" s="1" t="n">
        <x:v>1</x:v>
      </x:c>
      <x:c r="D445" s="1" t="s">
        <x:v>6698</x:v>
      </x:c>
    </x:row>
    <x:row r="446" ht="15" hidden="0" customHeight="1">
      <x:c r="A446" s="1" t="s">
        <x:v>4464</x:v>
      </x:c>
      <x:c r="B446" s="1" t="s">
        <x:v>6152</x:v>
      </x:c>
      <x:c r="C446" s="1" t="n">
        <x:v>1</x:v>
      </x:c>
      <x:c r="D446" s="1" t="s">
        <x:v>6698</x:v>
      </x:c>
    </x:row>
    <x:row r="447" ht="15" hidden="0" customHeight="1">
      <x:c r="A447" s="1" t="s">
        <x:v>4542</x:v>
      </x:c>
      <x:c r="B447" s="1" t="s">
        <x:v>6152</x:v>
      </x:c>
      <x:c r="C447" s="1" t="n">
        <x:v>1</x:v>
      </x:c>
      <x:c r="D447" s="1" t="s">
        <x:v>6698</x:v>
      </x:c>
    </x:row>
    <x:row r="448" ht="15" hidden="0" customHeight="1">
      <x:c r="A448" s="1" t="s">
        <x:v>2431</x:v>
      </x:c>
      <x:c r="B448" s="1" t="s">
        <x:v>6152</x:v>
      </x:c>
      <x:c r="C448" s="1" t="n">
        <x:v>2</x:v>
      </x:c>
      <x:c r="D448" s="1" t="s">
        <x:v>6698</x:v>
      </x:c>
    </x:row>
    <x:row r="449" ht="15" hidden="0" customHeight="1">
      <x:c r="A449" s="1" t="s">
        <x:v>3591</x:v>
      </x:c>
      <x:c r="B449" s="1" t="s">
        <x:v>6152</x:v>
      </x:c>
      <x:c r="C449" s="1" t="n">
        <x:v>1</x:v>
      </x:c>
      <x:c r="D449" s="1" t="s">
        <x:v>6698</x:v>
      </x:c>
    </x:row>
    <x:row r="450" ht="15" hidden="0" customHeight="1">
      <x:c r="A450" s="1" t="s">
        <x:v>4695</x:v>
      </x:c>
      <x:c r="B450" s="1" t="s">
        <x:v>6152</x:v>
      </x:c>
      <x:c r="C450" s="1" t="n">
        <x:v>1</x:v>
      </x:c>
      <x:c r="D450" s="1" t="s">
        <x:v>6698</x:v>
      </x:c>
    </x:row>
    <x:row r="451" ht="15" hidden="0" customHeight="1">
      <x:c r="A451" s="1" t="s">
        <x:v>2435</x:v>
      </x:c>
      <x:c r="B451" s="1" t="s">
        <x:v>6152</x:v>
      </x:c>
      <x:c r="C451" s="1" t="n">
        <x:v>1</x:v>
      </x:c>
      <x:c r="D451" s="1" t="s">
        <x:v>6698</x:v>
      </x:c>
    </x:row>
    <x:row r="452" ht="15" hidden="0" customHeight="1">
      <x:c r="A452" s="1" t="s">
        <x:v>2451</x:v>
      </x:c>
      <x:c r="B452" s="1" t="s">
        <x:v>6152</x:v>
      </x:c>
      <x:c r="C452" s="1" t="n">
        <x:v>2</x:v>
      </x:c>
      <x:c r="D452" s="1" t="s">
        <x:v>6698</x:v>
      </x:c>
    </x:row>
    <x:row r="453" ht="15" hidden="0" customHeight="1">
      <x:c r="A453" s="1" t="s">
        <x:v>4460</x:v>
      </x:c>
      <x:c r="B453" s="1" t="s">
        <x:v>6152</x:v>
      </x:c>
      <x:c r="C453" s="1" t="n">
        <x:v>1</x:v>
      </x:c>
      <x:c r="D453" s="1" t="s">
        <x:v>6698</x:v>
      </x:c>
    </x:row>
    <x:row r="454" ht="15" hidden="0" customHeight="1">
      <x:c r="A454" s="1" t="s">
        <x:v>4266</x:v>
      </x:c>
      <x:c r="B454" s="1" t="s">
        <x:v>6152</x:v>
      </x:c>
      <x:c r="C454" s="1" t="n">
        <x:v>1</x:v>
      </x:c>
      <x:c r="D454" s="1" t="s">
        <x:v>6698</x:v>
      </x:c>
    </x:row>
    <x:row r="455" ht="15" hidden="0" customHeight="1">
      <x:c r="A455" s="1" t="s">
        <x:v>4131</x:v>
      </x:c>
      <x:c r="B455" s="1" t="s">
        <x:v>6152</x:v>
      </x:c>
      <x:c r="C455" s="1" t="n">
        <x:v>1</x:v>
      </x:c>
      <x:c r="D455" s="1" t="s">
        <x:v>6698</x:v>
      </x:c>
    </x:row>
    <x:row r="456" ht="15" hidden="0" customHeight="1">
      <x:c r="A456" s="1" t="s">
        <x:v>3525</x:v>
      </x:c>
      <x:c r="B456" s="1" t="s">
        <x:v>6152</x:v>
      </x:c>
      <x:c r="C456" s="1" t="n">
        <x:v>1</x:v>
      </x:c>
      <x:c r="D456" s="1" t="s">
        <x:v>6698</x:v>
      </x:c>
    </x:row>
    <x:row r="457" ht="15" hidden="0" customHeight="1">
      <x:c r="A457" s="1" t="s">
        <x:v>350</x:v>
      </x:c>
      <x:c r="B457" s="1" t="s">
        <x:v>6152</x:v>
      </x:c>
      <x:c r="C457" s="1" t="n">
        <x:v>1</x:v>
      </x:c>
      <x:c r="D457" s="1" t="s">
        <x:v>6698</x:v>
      </x:c>
    </x:row>
    <x:row r="458" ht="15" hidden="0" customHeight="1">
      <x:c r="A458" s="1" t="s">
        <x:v>2514</x:v>
      </x:c>
      <x:c r="B458" s="1" t="s">
        <x:v>6152</x:v>
      </x:c>
      <x:c r="C458" s="1" t="n">
        <x:v>1</x:v>
      </x:c>
      <x:c r="D458" s="1" t="s">
        <x:v>6698</x:v>
      </x:c>
    </x:row>
    <x:row r="459" ht="15" hidden="0" customHeight="1">
      <x:c r="A459" s="1" t="s">
        <x:v>4885</x:v>
      </x:c>
      <x:c r="B459" s="1" t="s">
        <x:v>6152</x:v>
      </x:c>
      <x:c r="C459" s="1" t="n">
        <x:v>1</x:v>
      </x:c>
      <x:c r="D459" s="1" t="s">
        <x:v>6698</x:v>
      </x:c>
    </x:row>
    <x:row r="460" ht="15" hidden="0" customHeight="1">
      <x:c r="A460" s="1" t="s">
        <x:v>5038</x:v>
      </x:c>
      <x:c r="B460" s="1" t="s">
        <x:v>6152</x:v>
      </x:c>
      <x:c r="C460" s="1" t="n">
        <x:v>1</x:v>
      </x:c>
      <x:c r="D460" s="1" t="s">
        <x:v>6698</x:v>
      </x:c>
    </x:row>
    <x:row r="461" ht="15" hidden="0" customHeight="1">
      <x:c r="A461" s="1" t="s">
        <x:v>3324</x:v>
      </x:c>
      <x:c r="B461" s="1" t="s">
        <x:v>6152</x:v>
      </x:c>
      <x:c r="C461" s="1" t="n">
        <x:v>1</x:v>
      </x:c>
      <x:c r="D461" s="1" t="s">
        <x:v>6698</x:v>
      </x:c>
    </x:row>
    <x:row r="462" ht="15" hidden="0" customHeight="1">
      <x:c r="A462" s="1" t="s">
        <x:v>1904</x:v>
      </x:c>
      <x:c r="B462" s="1" t="s">
        <x:v>6152</x:v>
      </x:c>
      <x:c r="C462" s="1" t="n">
        <x:v>1</x:v>
      </x:c>
      <x:c r="D462" s="1" t="s">
        <x:v>6698</x:v>
      </x:c>
    </x:row>
    <x:row r="463" ht="15" hidden="0" customHeight="1">
      <x:c r="A463" s="1" t="s">
        <x:v>4058</x:v>
      </x:c>
      <x:c r="B463" s="1" t="s">
        <x:v>6152</x:v>
      </x:c>
      <x:c r="C463" s="1" t="n">
        <x:v>1</x:v>
      </x:c>
      <x:c r="D463" s="1" t="s">
        <x:v>6698</x:v>
      </x:c>
    </x:row>
    <x:row r="464" ht="15" hidden="0" customHeight="1">
      <x:c r="A464" s="1" t="s">
        <x:v>2953</x:v>
      </x:c>
      <x:c r="B464" s="1" t="s">
        <x:v>6152</x:v>
      </x:c>
      <x:c r="C464" s="1" t="n">
        <x:v>1</x:v>
      </x:c>
      <x:c r="D464" s="1" t="s">
        <x:v>6698</x:v>
      </x:c>
    </x:row>
    <x:row r="465" ht="15" hidden="0" customHeight="1">
      <x:c r="A465" s="1" t="s">
        <x:v>1716</x:v>
      </x:c>
      <x:c r="B465" s="1" t="s">
        <x:v>6152</x:v>
      </x:c>
      <x:c r="C465" s="1" t="n">
        <x:v>1</x:v>
      </x:c>
      <x:c r="D465" s="1" t="s">
        <x:v>6698</x:v>
      </x:c>
    </x:row>
    <x:row r="466" ht="15" hidden="0" customHeight="1">
      <x:c r="A466" s="1" t="s">
        <x:v>3025</x:v>
      </x:c>
      <x:c r="B466" s="1" t="s">
        <x:v>6152</x:v>
      </x:c>
      <x:c r="C466" s="1" t="n">
        <x:v>1</x:v>
      </x:c>
      <x:c r="D466" s="1" t="s">
        <x:v>6698</x:v>
      </x:c>
    </x:row>
    <x:row r="467" ht="15" hidden="0" customHeight="1">
      <x:c r="A467" s="1" t="s">
        <x:v>3641</x:v>
      </x:c>
      <x:c r="B467" s="1" t="s">
        <x:v>6152</x:v>
      </x:c>
      <x:c r="C467" s="1" t="n">
        <x:v>1</x:v>
      </x:c>
      <x:c r="D467" s="1" t="s">
        <x:v>6698</x:v>
      </x:c>
    </x:row>
    <x:row r="468" ht="15" hidden="0" customHeight="1">
      <x:c r="A468" s="1" t="s">
        <x:v>3320</x:v>
      </x:c>
      <x:c r="B468" s="1" t="s">
        <x:v>6152</x:v>
      </x:c>
      <x:c r="C468" s="1" t="n">
        <x:v>1</x:v>
      </x:c>
      <x:c r="D468" s="1" t="s">
        <x:v>6698</x:v>
      </x:c>
    </x:row>
    <x:row r="469" ht="15" hidden="0" customHeight="1">
      <x:c r="A469" s="1" t="s">
        <x:v>2053</x:v>
      </x:c>
      <x:c r="B469" s="1" t="s">
        <x:v>6140</x:v>
      </x:c>
      <x:c r="C469" s="1" t="n">
        <x:v>1</x:v>
      </x:c>
      <x:c r="D469" s="1" t="s">
        <x:v>6698</x:v>
      </x:c>
    </x:row>
    <x:row r="470" ht="15" hidden="0" customHeight="1">
      <x:c r="A470" s="1" t="s">
        <x:v>1780</x:v>
      </x:c>
      <x:c r="B470" s="1" t="s">
        <x:v>6139</x:v>
      </x:c>
      <x:c r="C470" s="1" t="n">
        <x:v>1</x:v>
      </x:c>
      <x:c r="D470" s="1" t="s">
        <x:v>6698</x:v>
      </x:c>
    </x:row>
    <x:row r="471" ht="15" hidden="0" customHeight="1">
      <x:c r="A471" s="1" t="s">
        <x:v>2374</x:v>
      </x:c>
      <x:c r="B471" s="1" t="s">
        <x:v>6139</x:v>
      </x:c>
      <x:c r="C471" s="1" t="n">
        <x:v>1</x:v>
      </x:c>
      <x:c r="D471" s="1" t="s">
        <x:v>6698</x:v>
      </x:c>
    </x:row>
    <x:row r="472" ht="15" hidden="0" customHeight="1">
      <x:c r="A472" s="1" t="s">
        <x:v>4028</x:v>
      </x:c>
      <x:c r="B472" s="1" t="s">
        <x:v>6139</x:v>
      </x:c>
      <x:c r="C472" s="1" t="n">
        <x:v>1</x:v>
      </x:c>
      <x:c r="D472" s="1" t="s">
        <x:v>6698</x:v>
      </x:c>
    </x:row>
    <x:row r="473" ht="15" hidden="0" customHeight="1">
      <x:c r="A473" s="1" t="s">
        <x:v>4256</x:v>
      </x:c>
      <x:c r="B473" s="1" t="s">
        <x:v>6139</x:v>
      </x:c>
      <x:c r="C473" s="1" t="n">
        <x:v>1</x:v>
      </x:c>
      <x:c r="D473" s="1" t="s">
        <x:v>6698</x:v>
      </x:c>
    </x:row>
    <x:row r="474" ht="15" hidden="0" customHeight="1">
      <x:c r="A474" s="1" t="s">
        <x:v>4312</x:v>
      </x:c>
      <x:c r="B474" s="1" t="s">
        <x:v>6139</x:v>
      </x:c>
      <x:c r="C474" s="1" t="n">
        <x:v>1</x:v>
      </x:c>
      <x:c r="D474" s="1" t="s">
        <x:v>6698</x:v>
      </x:c>
    </x:row>
    <x:row r="475" ht="15" hidden="0" customHeight="1">
      <x:c r="A475" s="1" t="s">
        <x:v>4161</x:v>
      </x:c>
      <x:c r="B475" s="1" t="s">
        <x:v>6139</x:v>
      </x:c>
      <x:c r="C475" s="1" t="n">
        <x:v>2</x:v>
      </x:c>
      <x:c r="D475" s="1" t="s">
        <x:v>6698</x:v>
      </x:c>
    </x:row>
    <x:row r="476" ht="15" hidden="0" customHeight="1">
      <x:c r="A476" s="1" t="s">
        <x:v>3658</x:v>
      </x:c>
      <x:c r="B476" s="1" t="s">
        <x:v>6139</x:v>
      </x:c>
      <x:c r="C476" s="1" t="n">
        <x:v>1</x:v>
      </x:c>
      <x:c r="D476" s="1" t="s">
        <x:v>6698</x:v>
      </x:c>
    </x:row>
    <x:row r="477" ht="15" hidden="0" customHeight="1">
      <x:c r="A477" s="1" t="s">
        <x:v>4025</x:v>
      </x:c>
      <x:c r="B477" s="1" t="s">
        <x:v>6139</x:v>
      </x:c>
      <x:c r="C477" s="1" t="n">
        <x:v>1</x:v>
      </x:c>
      <x:c r="D477" s="1" t="s">
        <x:v>6698</x:v>
      </x:c>
    </x:row>
    <x:row r="478" ht="15" hidden="0" customHeight="1">
      <x:c r="A478" s="1" t="s">
        <x:v>3819</x:v>
      </x:c>
      <x:c r="B478" s="1" t="s">
        <x:v>6139</x:v>
      </x:c>
      <x:c r="C478" s="1" t="n">
        <x:v>1</x:v>
      </x:c>
      <x:c r="D478" s="1" t="s">
        <x:v>6698</x:v>
      </x:c>
    </x:row>
    <x:row r="479" ht="15" hidden="0" customHeight="1">
      <x:c r="A479" s="1" t="s">
        <x:v>4309</x:v>
      </x:c>
      <x:c r="B479" s="1" t="s">
        <x:v>6139</x:v>
      </x:c>
      <x:c r="C479" s="1" t="n">
        <x:v>1</x:v>
      </x:c>
      <x:c r="D479" s="1" t="s">
        <x:v>6698</x:v>
      </x:c>
    </x:row>
    <x:row r="480" ht="15" hidden="0" customHeight="1">
      <x:c r="A480" s="1" t="s">
        <x:v>3825</x:v>
      </x:c>
      <x:c r="B480" s="1" t="s">
        <x:v>6139</x:v>
      </x:c>
      <x:c r="C480" s="1" t="n">
        <x:v>1</x:v>
      </x:c>
      <x:c r="D480" s="1" t="s">
        <x:v>6698</x:v>
      </x:c>
    </x:row>
    <x:row r="481" ht="15" hidden="0" customHeight="1">
      <x:c r="A481" s="1" t="s">
        <x:v>4306</x:v>
      </x:c>
      <x:c r="B481" s="1" t="s">
        <x:v>6139</x:v>
      </x:c>
      <x:c r="C481" s="1" t="n">
        <x:v>1</x:v>
      </x:c>
      <x:c r="D481" s="1" t="s">
        <x:v>6698</x:v>
      </x:c>
    </x:row>
    <x:row r="482" ht="15" hidden="0" customHeight="1">
      <x:c r="A482" s="1" t="s">
        <x:v>4163</x:v>
      </x:c>
      <x:c r="B482" s="1" t="s">
        <x:v>4749</x:v>
      </x:c>
      <x:c r="C482" s="1" t="n">
        <x:v>1</x:v>
      </x:c>
      <x:c r="D482" s="1" t="s">
        <x:v>6698</x:v>
      </x:c>
    </x:row>
    <x:row r="483" ht="15" hidden="0" customHeight="1">
      <x:c r="A483" s="1" t="s">
        <x:v>3971</x:v>
      </x:c>
      <x:c r="B483" s="1" t="s">
        <x:v>6139</x:v>
      </x:c>
      <x:c r="C483" s="1" t="n">
        <x:v>1</x:v>
      </x:c>
      <x:c r="D483" s="1" t="s">
        <x:v>6698</x:v>
      </x:c>
    </x:row>
    <x:row r="484" ht="15" hidden="0" customHeight="1">
      <x:c r="A484" s="1" t="s">
        <x:v>3655</x:v>
      </x:c>
      <x:c r="B484" s="1" t="s">
        <x:v>6139</x:v>
      </x:c>
      <x:c r="C484" s="1" t="n">
        <x:v>1</x:v>
      </x:c>
      <x:c r="D484" s="1" t="s">
        <x:v>6698</x:v>
      </x:c>
    </x:row>
    <x:row r="485" ht="15" hidden="0" customHeight="1">
      <x:c r="A485" s="1" t="s">
        <x:v>3975</x:v>
      </x:c>
      <x:c r="B485" s="1" t="s">
        <x:v>6139</x:v>
      </x:c>
      <x:c r="C485" s="1" t="n">
        <x:v>1</x:v>
      </x:c>
      <x:c r="D485" s="1" t="s">
        <x:v>6698</x:v>
      </x:c>
    </x:row>
    <x:row r="486" ht="15" hidden="0" customHeight="1">
      <x:c r="A486" s="1" t="s">
        <x:v>3979</x:v>
      </x:c>
      <x:c r="B486" s="1" t="s">
        <x:v>6139</x:v>
      </x:c>
      <x:c r="C486" s="1" t="n">
        <x:v>1</x:v>
      </x:c>
      <x:c r="D486" s="1" t="s">
        <x:v>6698</x:v>
      </x:c>
    </x:row>
    <x:row r="487" ht="15" hidden="0" customHeight="1">
      <x:c r="A487" s="1" t="s">
        <x:v>3878</x:v>
      </x:c>
      <x:c r="B487" s="1" t="s">
        <x:v>6139</x:v>
      </x:c>
      <x:c r="C487" s="1" t="n">
        <x:v>1</x:v>
      </x:c>
      <x:c r="D487" s="1" t="s">
        <x:v>6698</x:v>
      </x:c>
    </x:row>
    <x:row r="488" ht="15" hidden="0" customHeight="1">
      <x:c r="A488" s="1" t="s">
        <x:v>2056</x:v>
      </x:c>
      <x:c r="B488" s="1" t="s">
        <x:v>6140</x:v>
      </x:c>
      <x:c r="C488" s="1" t="n">
        <x:v>1</x:v>
      </x:c>
      <x:c r="D488" s="1" t="s">
        <x:v>6698</x:v>
      </x:c>
    </x:row>
    <x:row r="489" ht="15" hidden="0" customHeight="1">
      <x:c r="A489" s="1" t="s">
        <x:v>2107</x:v>
      </x:c>
      <x:c r="B489" s="1" t="s">
        <x:v>6139</x:v>
      </x:c>
      <x:c r="C489" s="1" t="n">
        <x:v>1</x:v>
      </x:c>
      <x:c r="D489" s="1" t="s">
        <x:v>6698</x:v>
      </x:c>
    </x:row>
    <x:row r="490" ht="15" hidden="0" customHeight="1">
      <x:c r="A490" s="1" t="s">
        <x:v>2100</x:v>
      </x:c>
      <x:c r="B490" s="1" t="s">
        <x:v>6139</x:v>
      </x:c>
      <x:c r="C490" s="1" t="n">
        <x:v>1</x:v>
      </x:c>
      <x:c r="D490" s="1" t="s">
        <x:v>6698</x:v>
      </x:c>
    </x:row>
    <x:row r="491" ht="15" hidden="0" customHeight="1">
      <x:c r="A491" s="1" t="s">
        <x:v>2104</x:v>
      </x:c>
      <x:c r="B491" s="1" t="s">
        <x:v>6139</x:v>
      </x:c>
      <x:c r="C491" s="1" t="n">
        <x:v>1</x:v>
      </x:c>
      <x:c r="D491" s="1" t="s">
        <x:v>6698</x:v>
      </x:c>
    </x:row>
    <x:row r="492" ht="15" hidden="0" customHeight="1">
      <x:c r="A492" s="1" t="s">
        <x:v>2632</x:v>
      </x:c>
      <x:c r="B492" s="1" t="s">
        <x:v>6139</x:v>
      </x:c>
      <x:c r="C492" s="1" t="n">
        <x:v>1</x:v>
      </x:c>
      <x:c r="D492" s="1" t="s">
        <x:v>6698</x:v>
      </x:c>
    </x:row>
    <x:row r="493" ht="15" hidden="0" customHeight="1">
      <x:c r="A493" s="1" t="s">
        <x:v>3991</x:v>
      </x:c>
      <x:c r="B493" s="1" t="s">
        <x:v>6139</x:v>
      </x:c>
      <x:c r="C493" s="1" t="n">
        <x:v>1</x:v>
      </x:c>
      <x:c r="D493" s="1" t="s">
        <x:v>6698</x:v>
      </x:c>
    </x:row>
    <x:row r="494" ht="15" hidden="0" customHeight="1">
      <x:c r="A494" s="1" t="s">
        <x:v>3987</x:v>
      </x:c>
      <x:c r="B494" s="1" t="s">
        <x:v>6139</x:v>
      </x:c>
      <x:c r="C494" s="1" t="n">
        <x:v>1</x:v>
      </x:c>
      <x:c r="D494" s="1" t="s">
        <x:v>6698</x:v>
      </x:c>
    </x:row>
    <x:row r="495" ht="15" hidden="0" customHeight="1">
      <x:c r="A495" s="1" t="s">
        <x:v>3880</x:v>
      </x:c>
      <x:c r="B495" s="1" t="s">
        <x:v>6140</x:v>
      </x:c>
      <x:c r="C495" s="1" t="n">
        <x:v>1</x:v>
      </x:c>
      <x:c r="D495" s="1" t="s">
        <x:v>6698</x:v>
      </x:c>
    </x:row>
    <x:row r="496" ht="15" hidden="0" customHeight="1">
      <x:c r="A496" s="1" t="s">
        <x:v>5199</x:v>
      </x:c>
      <x:c r="B496" s="1" t="s">
        <x:v>6139</x:v>
      </x:c>
      <x:c r="C496" s="1" t="n">
        <x:v>1</x:v>
      </x:c>
      <x:c r="D496" s="1" t="s">
        <x:v>6698</x:v>
      </x:c>
    </x:row>
    <x:row r="497" ht="15" hidden="0" customHeight="1">
      <x:c r="A497" s="1" t="s">
        <x:v>3151</x:v>
      </x:c>
      <x:c r="B497" s="1" t="s">
        <x:v>6139</x:v>
      </x:c>
      <x:c r="C497" s="1" t="n">
        <x:v>1</x:v>
      </x:c>
      <x:c r="D497" s="1" t="s">
        <x:v>6698</x:v>
      </x:c>
    </x:row>
    <x:row r="498" ht="15" hidden="0" customHeight="1">
      <x:c r="A498" s="1" t="s">
        <x:v>1784</x:v>
      </x:c>
      <x:c r="B498" s="1" t="s">
        <x:v>6139</x:v>
      </x:c>
      <x:c r="C498" s="1" t="n">
        <x:v>1</x:v>
      </x:c>
      <x:c r="D498" s="1" t="s">
        <x:v>6698</x:v>
      </x:c>
    </x:row>
    <x:row r="499" ht="15" hidden="0" customHeight="1">
      <x:c r="A499" s="1" t="s">
        <x:v>2709</x:v>
      </x:c>
      <x:c r="B499" s="1" t="s">
        <x:v>6140</x:v>
      </x:c>
      <x:c r="C499" s="1" t="n">
        <x:v>1</x:v>
      </x:c>
      <x:c r="D499" s="1" t="s">
        <x:v>6698</x:v>
      </x:c>
    </x:row>
    <x:row r="500" ht="15" hidden="0" customHeight="1">
      <x:c r="A500" s="1" t="s">
        <x:v>2711</x:v>
      </x:c>
      <x:c r="B500" s="1" t="s">
        <x:v>6140</x:v>
      </x:c>
      <x:c r="C500" s="1" t="n">
        <x:v>1</x:v>
      </x:c>
      <x:c r="D500" s="1" t="s">
        <x:v>6698</x:v>
      </x:c>
    </x:row>
    <x:row r="501" ht="15" hidden="0" customHeight="1">
      <x:c r="A501" s="1" t="s">
        <x:v>2693</x:v>
      </x:c>
      <x:c r="B501" s="1" t="s">
        <x:v>6139</x:v>
      </x:c>
      <x:c r="C501" s="1" t="n">
        <x:v>1</x:v>
      </x:c>
      <x:c r="D501" s="1" t="s">
        <x:v>6698</x:v>
      </x:c>
    </x:row>
    <x:row r="502" ht="15" hidden="0" customHeight="1">
      <x:c r="A502" s="1" t="s">
        <x:v>2697</x:v>
      </x:c>
      <x:c r="B502" s="1" t="s">
        <x:v>6139</x:v>
      </x:c>
      <x:c r="C502" s="1" t="n">
        <x:v>1</x:v>
      </x:c>
      <x:c r="D502" s="1" t="s">
        <x:v>6698</x:v>
      </x:c>
    </x:row>
    <x:row r="503" ht="15" hidden="0" customHeight="1">
      <x:c r="A503" s="1" t="s">
        <x:v>2701</x:v>
      </x:c>
      <x:c r="B503" s="1" t="s">
        <x:v>4749</x:v>
      </x:c>
      <x:c r="C503" s="1" t="n">
        <x:v>1</x:v>
      </x:c>
      <x:c r="D503" s="1" t="s">
        <x:v>6698</x:v>
      </x:c>
    </x:row>
    <x:row r="504" ht="15" hidden="0" customHeight="1">
      <x:c r="A504" s="1" t="s">
        <x:v>2705</x:v>
      </x:c>
      <x:c r="B504" s="1" t="s">
        <x:v>4749</x:v>
      </x:c>
      <x:c r="C504" s="1" t="n">
        <x:v>1</x:v>
      </x:c>
      <x:c r="D504" s="1" t="s">
        <x:v>6698</x:v>
      </x:c>
    </x:row>
    <x:row r="505" ht="15" hidden="0" customHeight="1">
      <x:c r="A505" s="1" t="s">
        <x:v>2689</x:v>
      </x:c>
      <x:c r="B505" s="1" t="s">
        <x:v>6139</x:v>
      </x:c>
      <x:c r="C505" s="1" t="n">
        <x:v>1</x:v>
      </x:c>
      <x:c r="D505" s="1" t="s">
        <x:v>6698</x:v>
      </x:c>
    </x:row>
    <x:row r="506" ht="15" hidden="0" customHeight="1">
      <x:c r="A506" s="1" t="s">
        <x:v>2707</x:v>
      </x:c>
      <x:c r="B506" s="1" t="s">
        <x:v>6140</x:v>
      </x:c>
      <x:c r="C506" s="1" t="n">
        <x:v>1</x:v>
      </x:c>
      <x:c r="D506" s="1" t="s">
        <x:v>6698</x:v>
      </x:c>
    </x:row>
    <x:row r="507" ht="15" hidden="0" customHeight="1">
      <x:c r="A507" s="1" t="s">
        <x:v>2110</x:v>
      </x:c>
      <x:c r="B507" s="1" t="s">
        <x:v>6139</x:v>
      </x:c>
      <x:c r="C507" s="1" t="n">
        <x:v>1</x:v>
      </x:c>
      <x:c r="D507" s="1" t="s">
        <x:v>6698</x:v>
      </x:c>
    </x:row>
    <x:row r="508" ht="15" hidden="0" customHeight="1">
      <x:c r="A508" s="1" t="s">
        <x:v>2050</x:v>
      </x:c>
      <x:c r="B508" s="1" t="s">
        <x:v>6140</x:v>
      </x:c>
      <x:c r="C508" s="1" t="n">
        <x:v>1</x:v>
      </x:c>
      <x:c r="D508" s="1" t="s">
        <x:v>6698</x:v>
      </x:c>
    </x:row>
    <x:row r="509" ht="15" hidden="0" customHeight="1">
      <x:c r="A509" s="1" t="s">
        <x:v>1864</x:v>
      </x:c>
      <x:c r="B509" s="1" t="s">
        <x:v>6138</x:v>
      </x:c>
      <x:c r="C509" s="1" t="n">
        <x:v>29</x:v>
      </x:c>
      <x:c r="D509" s="1" t="s">
        <x:v>6698</x:v>
      </x:c>
    </x:row>
    <x:row r="510" ht="15" hidden="0" customHeight="1">
      <x:c r="A510" s="1" t="s">
        <x:v>4259</x:v>
      </x:c>
      <x:c r="B510" s="1" t="s">
        <x:v>6140</x:v>
      </x:c>
      <x:c r="C510" s="1" t="n">
        <x:v>1</x:v>
      </x:c>
      <x:c r="D510" s="1" t="s">
        <x:v>6698</x:v>
      </x:c>
    </x:row>
    <x:row r="511" ht="15" hidden="0" customHeight="1">
      <x:c r="A511" s="1" t="s">
        <x:v>4166</x:v>
      </x:c>
      <x:c r="B511" s="1" t="s">
        <x:v>6140</x:v>
      </x:c>
      <x:c r="C511" s="1" t="n">
        <x:v>1</x:v>
      </x:c>
      <x:c r="D511" s="1" t="s">
        <x:v>6698</x:v>
      </x:c>
    </x:row>
    <x:row r="512" ht="15" hidden="0" customHeight="1">
      <x:c r="A512" s="1" t="s">
        <x:v>3018</x:v>
      </x:c>
      <x:c r="B512" s="1" t="s">
        <x:v>6121</x:v>
      </x:c>
      <x:c r="C512" s="1" t="n">
        <x:v>1</x:v>
      </x:c>
      <x:c r="D512" s="1" t="s">
        <x:v>6698</x:v>
      </x:c>
    </x:row>
    <x:row r="513" ht="15" hidden="0" customHeight="1">
      <x:c r="A513" s="1" t="s">
        <x:v>4611</x:v>
      </x:c>
      <x:c r="B513" s="1" t="s">
        <x:v>6121</x:v>
      </x:c>
      <x:c r="C513" s="1" t="n">
        <x:v>1</x:v>
      </x:c>
      <x:c r="D513" s="1" t="s">
        <x:v>6698</x:v>
      </x:c>
    </x:row>
    <x:row r="514" ht="15" hidden="0" customHeight="1">
      <x:c r="A514" s="1" t="s">
        <x:v>4626</x:v>
      </x:c>
      <x:c r="B514" s="1" t="s">
        <x:v>6121</x:v>
      </x:c>
      <x:c r="C514" s="1" t="n">
        <x:v>1</x:v>
      </x:c>
      <x:c r="D514" s="1" t="s">
        <x:v>6698</x:v>
      </x:c>
    </x:row>
    <x:row r="515" ht="15" hidden="0" customHeight="1">
      <x:c r="A515" s="1" t="s">
        <x:v>1747</x:v>
      </x:c>
      <x:c r="B515" s="1" t="s">
        <x:v>6121</x:v>
      </x:c>
      <x:c r="C515" s="1" t="n">
        <x:v>2</x:v>
      </x:c>
      <x:c r="D515" s="1" t="s">
        <x:v>6698</x:v>
      </x:c>
    </x:row>
    <x:row r="516" ht="15" hidden="0" customHeight="1">
      <x:c r="A516" s="1" t="s">
        <x:v>4566</x:v>
      </x:c>
      <x:c r="B516" s="1" t="s">
        <x:v>6121</x:v>
      </x:c>
      <x:c r="C516" s="1" t="n">
        <x:v>3</x:v>
      </x:c>
      <x:c r="D516" s="1" t="s">
        <x:v>6698</x:v>
      </x:c>
    </x:row>
    <x:row r="517" ht="15" hidden="0" customHeight="1">
      <x:c r="A517" s="1" t="s">
        <x:v>2456</x:v>
      </x:c>
      <x:c r="B517" s="1" t="s">
        <x:v>6121</x:v>
      </x:c>
      <x:c r="C517" s="1" t="n">
        <x:v>1</x:v>
      </x:c>
      <x:c r="D517" s="1" t="s">
        <x:v>6698</x:v>
      </x:c>
    </x:row>
    <x:row r="518" ht="15" hidden="0" customHeight="1">
      <x:c r="A518" s="1" t="s">
        <x:v>2445</x:v>
      </x:c>
      <x:c r="B518" s="1" t="s">
        <x:v>6121</x:v>
      </x:c>
      <x:c r="C518" s="1" t="n">
        <x:v>1</x:v>
      </x:c>
      <x:c r="D518" s="1" t="s">
        <x:v>6698</x:v>
      </x:c>
    </x:row>
    <x:row r="519" ht="15" hidden="0" customHeight="1">
      <x:c r="A519" s="1" t="s">
        <x:v>3331</x:v>
      </x:c>
      <x:c r="B519" s="1" t="s">
        <x:v>6149</x:v>
      </x:c>
      <x:c r="C519" s="1" t="n">
        <x:v>1</x:v>
      </x:c>
      <x:c r="D519" s="1" t="s">
        <x:v>6698</x:v>
      </x:c>
    </x:row>
    <x:row r="520" ht="15" hidden="0" customHeight="1">
      <x:c r="A520" s="1" t="s">
        <x:v>3737</x:v>
      </x:c>
      <x:c r="B520" s="1" t="s">
        <x:v>6149</x:v>
      </x:c>
      <x:c r="C520" s="1" t="n">
        <x:v>1</x:v>
      </x:c>
      <x:c r="D520" s="1" t="s">
        <x:v>6698</x:v>
      </x:c>
    </x:row>
    <x:row r="521" ht="15" hidden="0" customHeight="1">
      <x:c r="A521" s="1" t="s">
        <x:v>4524</x:v>
      </x:c>
      <x:c r="B521" s="1" t="s">
        <x:v>6149</x:v>
      </x:c>
      <x:c r="C521" s="1" t="n">
        <x:v>1</x:v>
      </x:c>
      <x:c r="D521" s="1" t="s">
        <x:v>6698</x:v>
      </x:c>
    </x:row>
    <x:row r="522" ht="15" hidden="0" customHeight="1">
      <x:c r="A522" s="1" t="s">
        <x:v>3368</x:v>
      </x:c>
      <x:c r="B522" s="1" t="s">
        <x:v>6149</x:v>
      </x:c>
      <x:c r="C522" s="1" t="n">
        <x:v>1</x:v>
      </x:c>
      <x:c r="D522" s="1" t="s">
        <x:v>6698</x:v>
      </x:c>
    </x:row>
    <x:row r="523" ht="15" hidden="0" customHeight="1">
      <x:c r="A523" s="1" t="s">
        <x:v>3280</x:v>
      </x:c>
      <x:c r="B523" s="1" t="s">
        <x:v>6149</x:v>
      </x:c>
      <x:c r="C523" s="1" t="n">
        <x:v>1</x:v>
      </x:c>
      <x:c r="D523" s="1" t="s">
        <x:v>6698</x:v>
      </x:c>
    </x:row>
    <x:row r="524" ht="15" hidden="0" customHeight="1">
      <x:c r="A524" s="1" t="s">
        <x:v>3284</x:v>
      </x:c>
      <x:c r="B524" s="1" t="s">
        <x:v>6149</x:v>
      </x:c>
      <x:c r="C524" s="1" t="n">
        <x:v>1</x:v>
      </x:c>
      <x:c r="D524" s="1" t="s">
        <x:v>6698</x:v>
      </x:c>
    </x:row>
    <x:row r="525" ht="15" hidden="0" customHeight="1">
      <x:c r="A525" s="1" t="s">
        <x:v>2129</x:v>
      </x:c>
      <x:c r="B525" s="1" t="s">
        <x:v>6149</x:v>
      </x:c>
      <x:c r="C525" s="1" t="n">
        <x:v>9</x:v>
      </x:c>
      <x:c r="D525" s="1" t="s">
        <x:v>6698</x:v>
      </x:c>
    </x:row>
    <x:row r="526" ht="15" hidden="0" customHeight="1">
      <x:c r="A526" s="1" t="s">
        <x:v>3239</x:v>
      </x:c>
      <x:c r="B526" s="1" t="s">
        <x:v>6149</x:v>
      </x:c>
      <x:c r="C526" s="1" t="n">
        <x:v>4</x:v>
      </x:c>
      <x:c r="D526" s="1" t="s">
        <x:v>6698</x:v>
      </x:c>
    </x:row>
    <x:row r="527" ht="15" hidden="0" customHeight="1">
      <x:c r="A527" s="1" t="s">
        <x:v>2015</x:v>
      </x:c>
      <x:c r="B527" s="1" t="s">
        <x:v>6149</x:v>
      </x:c>
      <x:c r="C527" s="1" t="n">
        <x:v>1</x:v>
      </x:c>
      <x:c r="D527" s="1" t="s">
        <x:v>6698</x:v>
      </x:c>
    </x:row>
    <x:row r="528" ht="15" hidden="0" customHeight="1">
      <x:c r="A528" s="1" t="s">
        <x:v>3364</x:v>
      </x:c>
      <x:c r="B528" s="1" t="s">
        <x:v>6149</x:v>
      </x:c>
      <x:c r="C528" s="1" t="n">
        <x:v>1</x:v>
      </x:c>
      <x:c r="D528" s="1" t="s">
        <x:v>6698</x:v>
      </x:c>
    </x:row>
    <x:row r="529" ht="15" hidden="0" customHeight="1">
      <x:c r="A529" s="1" t="s">
        <x:v>3581</x:v>
      </x:c>
      <x:c r="B529" s="1" t="s">
        <x:v>6149</x:v>
      </x:c>
      <x:c r="C529" s="1" t="n">
        <x:v>1</x:v>
      </x:c>
      <x:c r="D529" s="1" t="s">
        <x:v>6698</x:v>
      </x:c>
    </x:row>
    <x:row r="530" ht="15" hidden="0" customHeight="1">
      <x:c r="A530" s="1" t="s">
        <x:v>5021</x:v>
      </x:c>
      <x:c r="B530" s="1" t="s">
        <x:v>6149</x:v>
      </x:c>
      <x:c r="C530" s="1" t="n">
        <x:v>1</x:v>
      </x:c>
      <x:c r="D530" s="1" t="s">
        <x:v>6698</x:v>
      </x:c>
    </x:row>
    <x:row r="531" ht="15" hidden="0" customHeight="1">
      <x:c r="A531" s="1" t="s">
        <x:v>3920</x:v>
      </x:c>
      <x:c r="B531" s="1" t="s">
        <x:v>6149</x:v>
      </x:c>
      <x:c r="C531" s="1" t="n">
        <x:v>1</x:v>
      </x:c>
      <x:c r="D531" s="1" t="s">
        <x:v>6698</x:v>
      </x:c>
    </x:row>
    <x:row r="532" ht="15" hidden="0" customHeight="1">
      <x:c r="A532" s="1" t="s">
        <x:v>971</x:v>
      </x:c>
      <x:c r="B532" s="1" t="s">
        <x:v>6139</x:v>
      </x:c>
      <x:c r="C532" s="1" t="n">
        <x:v>1</x:v>
      </x:c>
      <x:c r="D532" s="1" t="s">
        <x:v>6698</x:v>
      </x:c>
    </x:row>
    <x:row r="533" ht="15" hidden="0" customHeight="1">
      <x:c r="A533" s="1" t="s">
        <x:v>243</x:v>
      </x:c>
      <x:c r="B533" s="1" t="s">
        <x:v>6139</x:v>
      </x:c>
      <x:c r="C533" s="1" t="n">
        <x:v>3</x:v>
      </x:c>
      <x:c r="D533" s="1" t="s">
        <x:v>6698</x:v>
      </x:c>
    </x:row>
    <x:row r="534" ht="15" hidden="0" customHeight="1">
      <x:c r="A534" s="1" t="s">
        <x:v>151</x:v>
      </x:c>
      <x:c r="B534" s="1" t="s">
        <x:v>6139</x:v>
      </x:c>
      <x:c r="C534" s="1" t="n">
        <x:v>1</x:v>
      </x:c>
      <x:c r="D534" s="1" t="s">
        <x:v>6698</x:v>
      </x:c>
    </x:row>
    <x:row r="535" ht="15" hidden="0" customHeight="1">
      <x:c r="A535" s="1" t="s">
        <x:v>157</x:v>
      </x:c>
      <x:c r="B535" s="1" t="s">
        <x:v>6140</x:v>
      </x:c>
      <x:c r="C535" s="1" t="n">
        <x:v>10</x:v>
      </x:c>
      <x:c r="D535" s="1" t="s">
        <x:v>6698</x:v>
      </x:c>
    </x:row>
    <x:row r="536" ht="15" hidden="0" customHeight="1">
      <x:c r="A536" s="1" t="s">
        <x:v>383</x:v>
      </x:c>
      <x:c r="B536" s="1" t="s">
        <x:v>6139</x:v>
      </x:c>
      <x:c r="C536" s="1" t="n">
        <x:v>2</x:v>
      </x:c>
      <x:c r="D536" s="1" t="s">
        <x:v>6698</x:v>
      </x:c>
    </x:row>
    <x:row r="537" ht="15" hidden="0" customHeight="1">
      <x:c r="A537" s="1" t="s">
        <x:v>1227</x:v>
      </x:c>
      <x:c r="B537" s="1" t="s">
        <x:v>6139</x:v>
      </x:c>
      <x:c r="C537" s="1" t="n">
        <x:v>1</x:v>
      </x:c>
      <x:c r="D537" s="1" t="s">
        <x:v>6698</x:v>
      </x:c>
    </x:row>
    <x:row r="538" ht="15" hidden="0" customHeight="1">
      <x:c r="A538" s="1" t="s">
        <x:v>505</x:v>
      </x:c>
      <x:c r="B538" s="1" t="s">
        <x:v>6139</x:v>
      </x:c>
      <x:c r="C538" s="1" t="n">
        <x:v>3</x:v>
      </x:c>
      <x:c r="D538" s="1" t="s">
        <x:v>6698</x:v>
      </x:c>
    </x:row>
    <x:row r="539" ht="15" hidden="0" customHeight="1">
      <x:c r="A539" s="1" t="s">
        <x:v>1230</x:v>
      </x:c>
      <x:c r="B539" s="1" t="s">
        <x:v>6139</x:v>
      </x:c>
      <x:c r="C539" s="1" t="n">
        <x:v>1</x:v>
      </x:c>
      <x:c r="D539" s="1" t="s">
        <x:v>6698</x:v>
      </x:c>
    </x:row>
    <x:row r="540" ht="15" hidden="0" customHeight="1">
      <x:c r="A540" s="1" t="s">
        <x:v>146</x:v>
      </x:c>
      <x:c r="B540" s="1" t="s">
        <x:v>6139</x:v>
      </x:c>
      <x:c r="C540" s="1" t="n">
        <x:v>1</x:v>
      </x:c>
      <x:c r="D540" s="1" t="s">
        <x:v>6698</x:v>
      </x:c>
    </x:row>
    <x:row r="541" ht="15" hidden="0" customHeight="1">
      <x:c r="A541" s="1" t="s">
        <x:v>154</x:v>
      </x:c>
      <x:c r="B541" s="1" t="s">
        <x:v>4749</x:v>
      </x:c>
      <x:c r="C541" s="1" t="n">
        <x:v>6</x:v>
      </x:c>
      <x:c r="D541" s="1" t="s">
        <x:v>6698</x:v>
      </x:c>
    </x:row>
    <x:row r="542" ht="15" hidden="0" customHeight="1">
      <x:c r="A542" s="1" t="s">
        <x:v>248</x:v>
      </x:c>
      <x:c r="B542" s="1" t="s">
        <x:v>6139</x:v>
      </x:c>
      <x:c r="C542" s="1" t="n">
        <x:v>1</x:v>
      </x:c>
      <x:c r="D542" s="1" t="s">
        <x:v>6698</x:v>
      </x:c>
    </x:row>
    <x:row r="543" ht="15" hidden="0" customHeight="1">
      <x:c r="A543" s="1" t="s">
        <x:v>142</x:v>
      </x:c>
      <x:c r="B543" s="1" t="s">
        <x:v>6138</x:v>
      </x:c>
      <x:c r="C543" s="1" t="n">
        <x:v>14</x:v>
      </x:c>
      <x:c r="D543" s="1" t="s">
        <x:v>6698</x:v>
      </x:c>
    </x:row>
    <x:row r="544" ht="15" hidden="0" customHeight="1">
      <x:c r="A544" s="1" t="s">
        <x:v>380</x:v>
      </x:c>
      <x:c r="B544" s="1" t="s">
        <x:v>6139</x:v>
      </x:c>
      <x:c r="C544" s="1" t="n">
        <x:v>1</x:v>
      </x:c>
      <x:c r="D544" s="1" t="s">
        <x:v>6698</x:v>
      </x:c>
    </x:row>
    <x:row r="545" ht="15" hidden="0" customHeight="1">
      <x:c r="A545" s="1" t="s">
        <x:v>4725</x:v>
      </x:c>
      <x:c r="B545" s="1" t="s">
        <x:v>4725</x:v>
      </x:c>
      <x:c r="C545" s="1" t="n">
        <x:v>2</x:v>
      </x:c>
      <x:c r="D545" s="1" t="s">
        <x:v>6698</x:v>
      </x:c>
    </x:row>
    <x:row r="546" ht="15" hidden="0" customHeight="1">
      <x:c r="A546" s="1" t="s">
        <x:v>3360</x:v>
      </x:c>
      <x:c r="B546" s="1" t="s">
        <x:v>4725</x:v>
      </x:c>
      <x:c r="C546" s="1" t="n">
        <x:v>1</x:v>
      </x:c>
      <x:c r="D546" s="1" t="s">
        <x:v>6698</x:v>
      </x:c>
    </x:row>
    <x:row r="547" ht="15" hidden="0" customHeight="1">
      <x:c r="A547" s="1" t="s">
        <x:v>2842</x:v>
      </x:c>
      <x:c r="B547" s="1" t="s">
        <x:v>4725</x:v>
      </x:c>
      <x:c r="C547" s="1" t="n">
        <x:v>1</x:v>
      </x:c>
      <x:c r="D547" s="1" t="s">
        <x:v>6698</x:v>
      </x:c>
    </x:row>
    <x:row r="548" ht="15" hidden="0" customHeight="1">
      <x:c r="A548" s="1" t="s">
        <x:v>3495</x:v>
      </x:c>
      <x:c r="B548" s="1" t="s">
        <x:v>4725</x:v>
      </x:c>
      <x:c r="C548" s="1" t="n">
        <x:v>1</x:v>
      </x:c>
      <x:c r="D548" s="1" t="s">
        <x:v>6698</x:v>
      </x:c>
    </x:row>
    <x:row r="549" ht="15" hidden="0" customHeight="1">
      <x:c r="A549" s="1" t="s">
        <x:v>3218</x:v>
      </x:c>
      <x:c r="B549" s="1" t="s">
        <x:v>4725</x:v>
      </x:c>
      <x:c r="C549" s="1" t="n">
        <x:v>1</x:v>
      </x:c>
      <x:c r="D549" s="1" t="s">
        <x:v>6698</x:v>
      </x:c>
    </x:row>
    <x:row r="550" ht="15" hidden="0" customHeight="1">
      <x:c r="A550" s="1" t="s">
        <x:v>3559</x:v>
      </x:c>
      <x:c r="B550" s="1" t="s">
        <x:v>4725</x:v>
      </x:c>
      <x:c r="C550" s="1" t="n">
        <x:v>1</x:v>
      </x:c>
      <x:c r="D550" s="1" t="s">
        <x:v>6698</x:v>
      </x:c>
    </x:row>
    <x:row r="551" ht="15" hidden="0" customHeight="1">
      <x:c r="A551" s="1" t="s">
        <x:v>3516</x:v>
      </x:c>
      <x:c r="B551" s="1" t="s">
        <x:v>4725</x:v>
      </x:c>
      <x:c r="C551" s="1" t="n">
        <x:v>1</x:v>
      </x:c>
      <x:c r="D551" s="1" t="s">
        <x:v>6698</x:v>
      </x:c>
    </x:row>
    <x:row r="552" ht="15" hidden="0" customHeight="1">
      <x:c r="A552" s="1" t="s">
        <x:v>3518</x:v>
      </x:c>
      <x:c r="B552" s="1" t="s">
        <x:v>4725</x:v>
      </x:c>
      <x:c r="C552" s="1" t="n">
        <x:v>1</x:v>
      </x:c>
      <x:c r="D552" s="1" t="s">
        <x:v>6698</x:v>
      </x:c>
    </x:row>
    <x:row r="553" ht="15" hidden="0" customHeight="1">
      <x:c r="A553" s="1" t="s">
        <x:v>3308</x:v>
      </x:c>
      <x:c r="B553" s="1" t="s">
        <x:v>4725</x:v>
      </x:c>
      <x:c r="C553" s="1" t="n">
        <x:v>1</x:v>
      </x:c>
      <x:c r="D553" s="1" t="s">
        <x:v>6698</x:v>
      </x:c>
    </x:row>
    <x:row r="554" ht="15" hidden="0" customHeight="1">
      <x:c r="A554" s="1" t="s">
        <x:v>1943</x:v>
      </x:c>
      <x:c r="B554" s="1" t="s">
        <x:v>4725</x:v>
      </x:c>
      <x:c r="C554" s="1" t="n">
        <x:v>6</x:v>
      </x:c>
      <x:c r="D554" s="1" t="s">
        <x:v>6698</x:v>
      </x:c>
    </x:row>
    <x:row r="555" ht="15" hidden="0" customHeight="1">
      <x:c r="A555" s="1" t="s">
        <x:v>3567</x:v>
      </x:c>
      <x:c r="B555" s="1" t="s">
        <x:v>4725</x:v>
      </x:c>
      <x:c r="C555" s="1" t="n">
        <x:v>1</x:v>
      </x:c>
      <x:c r="D555" s="1" t="s">
        <x:v>6698</x:v>
      </x:c>
    </x:row>
    <x:row r="556" ht="15" hidden="0" customHeight="1">
      <x:c r="A556" s="1" t="s">
        <x:v>3229</x:v>
      </x:c>
      <x:c r="B556" s="1" t="s">
        <x:v>4725</x:v>
      </x:c>
      <x:c r="C556" s="1" t="n">
        <x:v>1</x:v>
      </x:c>
      <x:c r="D556" s="1" t="s">
        <x:v>6698</x:v>
      </x:c>
    </x:row>
    <x:row r="557" ht="15" hidden="0" customHeight="1">
      <x:c r="A557" s="1" t="s">
        <x:v>2091</x:v>
      </x:c>
      <x:c r="B557" s="1" t="s">
        <x:v>4725</x:v>
      </x:c>
      <x:c r="C557" s="1" t="n">
        <x:v>1</x:v>
      </x:c>
      <x:c r="D557" s="1" t="s">
        <x:v>6698</x:v>
      </x:c>
    </x:row>
    <x:row r="558" ht="15" hidden="0" customHeight="1">
      <x:c r="A558" s="1" t="s">
        <x:v>4366</x:v>
      </x:c>
      <x:c r="B558" s="1" t="s">
        <x:v>4725</x:v>
      </x:c>
      <x:c r="C558" s="1" t="n">
        <x:v>1</x:v>
      </x:c>
      <x:c r="D558" s="1" t="s">
        <x:v>6698</x:v>
      </x:c>
    </x:row>
    <x:row r="559" ht="15" hidden="0" customHeight="1">
      <x:c r="A559" s="1" t="s">
        <x:v>4362</x:v>
      </x:c>
      <x:c r="B559" s="1" t="s">
        <x:v>4725</x:v>
      </x:c>
      <x:c r="C559" s="1" t="n">
        <x:v>1</x:v>
      </x:c>
      <x:c r="D559" s="1" t="s">
        <x:v>6698</x:v>
      </x:c>
    </x:row>
    <x:row r="560" ht="15" hidden="0" customHeight="1">
      <x:c r="A560" s="1" t="s">
        <x:v>1921</x:v>
      </x:c>
      <x:c r="B560" s="1" t="s">
        <x:v>4725</x:v>
      </x:c>
      <x:c r="C560" s="1" t="n">
        <x:v>1</x:v>
      </x:c>
      <x:c r="D560" s="1" t="s">
        <x:v>6698</x:v>
      </x:c>
    </x:row>
    <x:row r="561" ht="15" hidden="0" customHeight="1">
      <x:c r="A561" s="1" t="s">
        <x:v>2827</x:v>
      </x:c>
      <x:c r="B561" s="1" t="s">
        <x:v>4725</x:v>
      </x:c>
      <x:c r="C561" s="1" t="n">
        <x:v>1</x:v>
      </x:c>
      <x:c r="D561" s="1" t="s">
        <x:v>6698</x:v>
      </x:c>
    </x:row>
    <x:row r="562" ht="15" hidden="0" customHeight="1">
      <x:c r="A562" s="1" t="s">
        <x:v>1626</x:v>
      </x:c>
      <x:c r="B562" s="1" t="s">
        <x:v>4725</x:v>
      </x:c>
      <x:c r="C562" s="1" t="n">
        <x:v>7</x:v>
      </x:c>
      <x:c r="D562" s="1" t="s">
        <x:v>6698</x:v>
      </x:c>
    </x:row>
    <x:row r="563" ht="15" hidden="0" customHeight="1">
      <x:c r="A563" s="1" t="s">
        <x:v>4301</x:v>
      </x:c>
      <x:c r="B563" s="1" t="s">
        <x:v>4725</x:v>
      </x:c>
      <x:c r="C563" s="1" t="n">
        <x:v>1</x:v>
      </x:c>
      <x:c r="D563" s="1" t="s">
        <x:v>6698</x:v>
      </x:c>
    </x:row>
    <x:row r="564" ht="15" hidden="0" customHeight="1">
      <x:c r="A564" s="1" t="s">
        <x:v>4248</x:v>
      </x:c>
      <x:c r="B564" s="1" t="s">
        <x:v>4725</x:v>
      </x:c>
      <x:c r="C564" s="1" t="n">
        <x:v>1</x:v>
      </x:c>
      <x:c r="D564" s="1" t="s">
        <x:v>6698</x:v>
      </x:c>
    </x:row>
    <x:row r="565" ht="15" hidden="0" customHeight="1">
      <x:c r="A565" s="1" t="s">
        <x:v>3816</x:v>
      </x:c>
      <x:c r="B565" s="1" t="s">
        <x:v>4725</x:v>
      </x:c>
      <x:c r="C565" s="1" t="n">
        <x:v>1</x:v>
      </x:c>
      <x:c r="D565" s="1" t="s">
        <x:v>6698</x:v>
      </x:c>
    </x:row>
    <x:row r="566" ht="15" hidden="0" customHeight="1">
      <x:c r="A566" s="1" t="s">
        <x:v>3257</x:v>
      </x:c>
      <x:c r="B566" s="1" t="s">
        <x:v>4725</x:v>
      </x:c>
      <x:c r="C566" s="1" t="n">
        <x:v>1</x:v>
      </x:c>
      <x:c r="D566" s="1" t="s">
        <x:v>6698</x:v>
      </x:c>
    </x:row>
    <x:row r="567" ht="15" hidden="0" customHeight="1">
      <x:c r="A567" s="1" t="s">
        <x:v>2911</x:v>
      </x:c>
      <x:c r="B567" s="1" t="s">
        <x:v>4725</x:v>
      </x:c>
      <x:c r="C567" s="1" t="n">
        <x:v>6</x:v>
      </x:c>
      <x:c r="D567" s="1" t="s">
        <x:v>6698</x:v>
      </x:c>
    </x:row>
    <x:row r="568" ht="15" hidden="0" customHeight="1">
      <x:c r="A568" s="1" t="s">
        <x:v>3858</x:v>
      </x:c>
      <x:c r="B568" s="1" t="s">
        <x:v>4725</x:v>
      </x:c>
      <x:c r="C568" s="1" t="n">
        <x:v>1</x:v>
      </x:c>
      <x:c r="D568" s="1" t="s">
        <x:v>6698</x:v>
      </x:c>
    </x:row>
    <x:row r="569" ht="15" hidden="0" customHeight="1">
      <x:c r="A569" s="1" t="s">
        <x:v>2330</x:v>
      </x:c>
      <x:c r="B569" s="1" t="s">
        <x:v>4725</x:v>
      </x:c>
      <x:c r="C569" s="1" t="n">
        <x:v>1</x:v>
      </x:c>
      <x:c r="D569" s="1" t="s">
        <x:v>6698</x:v>
      </x:c>
    </x:row>
    <x:row r="570" ht="15" hidden="0" customHeight="1">
      <x:c r="A570" s="1" t="s">
        <x:v>4803</x:v>
      </x:c>
      <x:c r="B570" s="1" t="s">
        <x:v>1640</x:v>
      </x:c>
      <x:c r="C570" s="1" t="n">
        <x:v>1</x:v>
      </x:c>
      <x:c r="D570" s="1" t="s">
        <x:v>6698</x:v>
      </x:c>
    </x:row>
    <x:row r="571" ht="15" hidden="0" customHeight="1">
      <x:c r="A571" s="1" t="s">
        <x:v>5283</x:v>
      </x:c>
      <x:c r="B571" s="1" t="s">
        <x:v>1640</x:v>
      </x:c>
      <x:c r="C571" s="1" t="n">
        <x:v>1</x:v>
      </x:c>
      <x:c r="D571" s="1" t="s">
        <x:v>6698</x:v>
      </x:c>
    </x:row>
    <x:row r="572" ht="15" hidden="0" customHeight="1">
      <x:c r="A572" s="1" t="s">
        <x:v>5286</x:v>
      </x:c>
      <x:c r="B572" s="1" t="s">
        <x:v>1640</x:v>
      </x:c>
      <x:c r="C572" s="1" t="n">
        <x:v>1</x:v>
      </x:c>
      <x:c r="D572" s="1" t="s">
        <x:v>6698</x:v>
      </x:c>
    </x:row>
    <x:row r="573" ht="15" hidden="0" customHeight="1">
      <x:c r="A573" s="1" t="s">
        <x:v>512</x:v>
      </x:c>
      <x:c r="B573" s="1" t="s">
        <x:v>6141</x:v>
      </x:c>
      <x:c r="C573" s="1" t="n">
        <x:v>1</x:v>
      </x:c>
      <x:c r="D573" s="1" t="s">
        <x:v>6698</x:v>
      </x:c>
    </x:row>
    <x:row r="574" ht="15" hidden="0" customHeight="1">
      <x:c r="A574" s="1" t="s">
        <x:v>1797</x:v>
      </x:c>
      <x:c r="B574" s="1" t="s">
        <x:v>4742</x:v>
      </x:c>
      <x:c r="C574" s="1" t="n">
        <x:v>1</x:v>
      </x:c>
      <x:c r="D574" s="1" t="s">
        <x:v>6698</x:v>
      </x:c>
    </x:row>
    <x:row r="575" ht="15" hidden="0" customHeight="1">
      <x:c r="A575" s="1" t="s">
        <x:v>4015</x:v>
      </x:c>
      <x:c r="B575" s="1" t="s">
        <x:v>4742</x:v>
      </x:c>
      <x:c r="C575" s="1" t="n">
        <x:v>1</x:v>
      </x:c>
      <x:c r="D575" s="1" t="s">
        <x:v>6698</x:v>
      </x:c>
    </x:row>
    <x:row r="576" ht="15" hidden="0" customHeight="1">
      <x:c r="A576" s="1" t="s">
        <x:v>1090</x:v>
      </x:c>
      <x:c r="B576" s="1" t="s">
        <x:v>4742</x:v>
      </x:c>
      <x:c r="C576" s="1" t="n">
        <x:v>5</x:v>
      </x:c>
      <x:c r="D576" s="1" t="s">
        <x:v>6698</x:v>
      </x:c>
    </x:row>
    <x:row r="577" ht="15" hidden="0" customHeight="1">
      <x:c r="A577" s="1" t="s">
        <x:v>2790</x:v>
      </x:c>
      <x:c r="B577" s="1" t="s">
        <x:v>4742</x:v>
      </x:c>
      <x:c r="C577" s="1" t="n">
        <x:v>1</x:v>
      </x:c>
      <x:c r="D577" s="1" t="s">
        <x:v>6698</x:v>
      </x:c>
    </x:row>
    <x:row r="578" ht="15" hidden="0" customHeight="1">
      <x:c r="A578" s="1" t="s">
        <x:v>4012</x:v>
      </x:c>
      <x:c r="B578" s="1" t="s">
        <x:v>4742</x:v>
      </x:c>
      <x:c r="C578" s="1" t="n">
        <x:v>1</x:v>
      </x:c>
      <x:c r="D578" s="1" t="s">
        <x:v>6698</x:v>
      </x:c>
    </x:row>
    <x:row r="579" ht="15" hidden="0" customHeight="1">
      <x:c r="A579" s="1" t="s">
        <x:v>515</x:v>
      </x:c>
      <x:c r="B579" s="1" t="s">
        <x:v>6141</x:v>
      </x:c>
      <x:c r="C579" s="1" t="n">
        <x:v>1</x:v>
      </x:c>
      <x:c r="D579" s="1" t="s">
        <x:v>6698</x:v>
      </x:c>
    </x:row>
    <x:row r="580" ht="15" hidden="0" customHeight="1">
      <x:c r="A580" s="1" t="s">
        <x:v>3873</x:v>
      </x:c>
      <x:c r="B580" s="1" t="s">
        <x:v>6141</x:v>
      </x:c>
      <x:c r="C580" s="1" t="n">
        <x:v>1</x:v>
      </x:c>
      <x:c r="D580" s="1" t="s">
        <x:v>6698</x:v>
      </x:c>
    </x:row>
    <x:row r="581" ht="15" hidden="0" customHeight="1">
      <x:c r="A581" s="1" t="s">
        <x:v>4728</x:v>
      </x:c>
      <x:c r="B581" s="1" t="s">
        <x:v>6141</x:v>
      </x:c>
      <x:c r="C581" s="1" t="n">
        <x:v>1</x:v>
      </x:c>
      <x:c r="D581" s="1" t="s">
        <x:v>6698</x:v>
      </x:c>
    </x:row>
    <x:row r="582" ht="15" hidden="0" customHeight="1">
      <x:c r="A582" s="1" t="s">
        <x:v>1242</x:v>
      </x:c>
      <x:c r="B582" s="1" t="s">
        <x:v>6141</x:v>
      </x:c>
      <x:c r="C582" s="1" t="n">
        <x:v>1</x:v>
      </x:c>
      <x:c r="D582" s="1" t="s">
        <x:v>6698</x:v>
      </x:c>
    </x:row>
    <x:row r="583" ht="15" hidden="0" customHeight="1">
      <x:c r="A583" s="1" t="s">
        <x:v>2717</x:v>
      </x:c>
      <x:c r="B583" s="1" t="s">
        <x:v>6141</x:v>
      </x:c>
      <x:c r="C583" s="1" t="n">
        <x:v>1</x:v>
      </x:c>
      <x:c r="D583" s="1" t="s">
        <x:v>6698</x:v>
      </x:c>
    </x:row>
    <x:row r="584" ht="15" hidden="0" customHeight="1">
      <x:c r="A584" s="1" t="s">
        <x:v>259</x:v>
      </x:c>
      <x:c r="B584" s="1" t="s">
        <x:v>6142</x:v>
      </x:c>
      <x:c r="C584" s="1" t="n">
        <x:v>4</x:v>
      </x:c>
      <x:c r="D584" s="1" t="s">
        <x:v>6698</x:v>
      </x:c>
    </x:row>
    <x:row r="585" ht="15" hidden="0" customHeight="1">
      <x:c r="A585" s="1" t="s">
        <x:v>3638</x:v>
      </x:c>
      <x:c r="B585" s="1" t="s">
        <x:v>6141</x:v>
      </x:c>
      <x:c r="C585" s="1" t="n">
        <x:v>1</x:v>
      </x:c>
      <x:c r="D585" s="1" t="s">
        <x:v>6698</x:v>
      </x:c>
    </x:row>
    <x:row r="586" ht="15" hidden="0" customHeight="1">
      <x:c r="A586" s="1" t="s">
        <x:v>3809</x:v>
      </x:c>
      <x:c r="B586" s="1" t="s">
        <x:v>6141</x:v>
      </x:c>
      <x:c r="C586" s="1" t="n">
        <x:v>1</x:v>
      </x:c>
      <x:c r="D586" s="1" t="s">
        <x:v>6698</x:v>
      </x:c>
    </x:row>
    <x:row r="587" ht="15" hidden="0" customHeight="1">
      <x:c r="A587" s="1" t="s">
        <x:v>3536</x:v>
      </x:c>
      <x:c r="B587" s="1" t="s">
        <x:v>6141</x:v>
      </x:c>
      <x:c r="C587" s="1" t="n">
        <x:v>3</x:v>
      </x:c>
      <x:c r="D587" s="1" t="s">
        <x:v>6698</x:v>
      </x:c>
    </x:row>
    <x:row r="588" ht="15" hidden="0" customHeight="1">
      <x:c r="A588" s="1" t="s">
        <x:v>1529</x:v>
      </x:c>
      <x:c r="B588" s="1" t="s">
        <x:v>6143</x:v>
      </x:c>
      <x:c r="C588" s="1" t="n">
        <x:v>2</x:v>
      </x:c>
      <x:c r="D588" s="1" t="s">
        <x:v>6698</x:v>
      </x:c>
    </x:row>
    <x:row r="589" ht="15" hidden="0" customHeight="1">
      <x:c r="A589" s="1" t="s">
        <x:v>2625</x:v>
      </x:c>
      <x:c r="B589" s="1" t="s">
        <x:v>6141</x:v>
      </x:c>
      <x:c r="C589" s="1" t="n">
        <x:v>1</x:v>
      </x:c>
      <x:c r="D589" s="1" t="s">
        <x:v>6698</x:v>
      </x:c>
    </x:row>
    <x:row r="590" ht="15" hidden="0" customHeight="1">
      <x:c r="A590" s="1" t="s">
        <x:v>3635</x:v>
      </x:c>
      <x:c r="B590" s="1" t="s">
        <x:v>6141</x:v>
      </x:c>
      <x:c r="C590" s="1" t="n">
        <x:v>1</x:v>
      </x:c>
      <x:c r="D590" s="1" t="s">
        <x:v>6698</x:v>
      </x:c>
    </x:row>
    <x:row r="591" ht="15" hidden="0" customHeight="1">
      <x:c r="A591" s="1" t="s">
        <x:v>1092</x:v>
      </x:c>
      <x:c r="B591" s="1" t="s">
        <x:v>6142</x:v>
      </x:c>
      <x:c r="C591" s="1" t="n">
        <x:v>3</x:v>
      </x:c>
      <x:c r="D591" s="1" t="s">
        <x:v>6698</x:v>
      </x:c>
    </x:row>
    <x:row r="592" ht="15" hidden="0" customHeight="1">
      <x:c r="A592" s="1" t="s">
        <x:v>179</x:v>
      </x:c>
      <x:c r="B592" s="1" t="s">
        <x:v>6141</x:v>
      </x:c>
      <x:c r="C592" s="1" t="n">
        <x:v>6</x:v>
      </x:c>
      <x:c r="D592" s="1" t="s">
        <x:v>6698</x:v>
      </x:c>
    </x:row>
    <x:row r="593" ht="15" hidden="0" customHeight="1">
      <x:c r="A593" s="1" t="s">
        <x:v>2794</x:v>
      </x:c>
      <x:c r="B593" s="1" t="s">
        <x:v>6141</x:v>
      </x:c>
      <x:c r="C593" s="1" t="n">
        <x:v>1</x:v>
      </x:c>
      <x:c r="D593" s="1" t="s">
        <x:v>6698</x:v>
      </x:c>
    </x:row>
    <x:row r="594" ht="15" hidden="0" customHeight="1">
      <x:c r="A594" s="1" t="s">
        <x:v>1799</x:v>
      </x:c>
      <x:c r="B594" s="1" t="s">
        <x:v>6141</x:v>
      </x:c>
      <x:c r="C594" s="1" t="n">
        <x:v>1</x:v>
      </x:c>
      <x:c r="D594" s="1" t="s">
        <x:v>6698</x:v>
      </x:c>
    </x:row>
    <x:row r="595" ht="15" hidden="0" customHeight="1">
      <x:c r="A595" s="1" t="s">
        <x:v>4018</x:v>
      </x:c>
      <x:c r="B595" s="1" t="s">
        <x:v>6141</x:v>
      </x:c>
      <x:c r="C595" s="1" t="n">
        <x:v>1</x:v>
      </x:c>
      <x:c r="D595" s="1" t="s">
        <x:v>6698</x:v>
      </x:c>
    </x:row>
    <x:row r="596" ht="15" hidden="0" customHeight="1">
      <x:c r="A596" s="1" t="s">
        <x:v>2628</x:v>
      </x:c>
      <x:c r="B596" s="1" t="s">
        <x:v>6141</x:v>
      </x:c>
      <x:c r="C596" s="1" t="n">
        <x:v>1</x:v>
      </x:c>
      <x:c r="D596" s="1" t="s">
        <x:v>6698</x:v>
      </x:c>
    </x:row>
    <x:row r="597" ht="15" hidden="0" customHeight="1">
      <x:c r="A597" s="1" t="s">
        <x:v>2630</x:v>
      </x:c>
      <x:c r="B597" s="1" t="s">
        <x:v>6141</x:v>
      </x:c>
      <x:c r="C597" s="1" t="n">
        <x:v>1</x:v>
      </x:c>
      <x:c r="D597" s="1" t="s">
        <x:v>6698</x:v>
      </x:c>
    </x:row>
    <x:row r="598" ht="15" hidden="0" customHeight="1">
      <x:c r="A598" s="1" t="s">
        <x:v>3215</x:v>
      </x:c>
      <x:c r="B598" s="1" t="s">
        <x:v>6123</x:v>
      </x:c>
      <x:c r="C598" s="1" t="n">
        <x:v>1</x:v>
      </x:c>
      <x:c r="D598" s="1" t="s">
        <x:v>6698</x:v>
      </x:c>
    </x:row>
    <x:row r="599" ht="15" hidden="0" customHeight="1">
      <x:c r="A599" s="1" t="s">
        <x:v>3484</x:v>
      </x:c>
      <x:c r="B599" s="1" t="s">
        <x:v>6123</x:v>
      </x:c>
      <x:c r="C599" s="1" t="n">
        <x:v>1</x:v>
      </x:c>
      <x:c r="D599" s="1" t="s">
        <x:v>6698</x:v>
      </x:c>
    </x:row>
    <x:row r="600" ht="15" hidden="0" customHeight="1">
      <x:c r="A600" s="1" t="s">
        <x:v>4037</x:v>
      </x:c>
      <x:c r="B600" s="1" t="s">
        <x:v>6123</x:v>
      </x:c>
      <x:c r="C600" s="1" t="n">
        <x:v>1</x:v>
      </x:c>
      <x:c r="D600" s="1" t="s">
        <x:v>6698</x:v>
      </x:c>
    </x:row>
    <x:row r="601" ht="15" hidden="0" customHeight="1">
      <x:c r="A601" s="1" t="s">
        <x:v>2412</x:v>
      </x:c>
      <x:c r="B601" s="1" t="s">
        <x:v>6123</x:v>
      </x:c>
      <x:c r="C601" s="1" t="n">
        <x:v>2</x:v>
      </x:c>
      <x:c r="D601" s="1" t="s">
        <x:v>6698</x:v>
      </x:c>
    </x:row>
    <x:row r="602" ht="15" hidden="0" customHeight="1">
      <x:c r="A602" s="1" t="s">
        <x:v>2994</x:v>
      </x:c>
      <x:c r="B602" s="1" t="s">
        <x:v>6123</x:v>
      </x:c>
      <x:c r="C602" s="1" t="n">
        <x:v>1</x:v>
      </x:c>
      <x:c r="D602" s="1" t="s">
        <x:v>6698</x:v>
      </x:c>
    </x:row>
    <x:row r="603" ht="15" hidden="0" customHeight="1">
      <x:c r="A603" s="1" t="s">
        <x:v>3692</x:v>
      </x:c>
      <x:c r="B603" s="1" t="s">
        <x:v>6123</x:v>
      </x:c>
      <x:c r="C603" s="1" t="n">
        <x:v>2</x:v>
      </x:c>
      <x:c r="D603" s="1" t="s">
        <x:v>6698</x:v>
      </x:c>
    </x:row>
    <x:row r="604" ht="15" hidden="0" customHeight="1">
      <x:c r="A604" s="1" t="s">
        <x:v>3036</x:v>
      </x:c>
      <x:c r="B604" s="1" t="s">
        <x:v>6123</x:v>
      </x:c>
      <x:c r="C604" s="1" t="n">
        <x:v>1</x:v>
      </x:c>
      <x:c r="D604" s="1" t="s">
        <x:v>6698</x:v>
      </x:c>
    </x:row>
    <x:row r="605" ht="15" hidden="0" customHeight="1">
      <x:c r="A605" s="1" t="s">
        <x:v>4502</x:v>
      </x:c>
      <x:c r="B605" s="1" t="s">
        <x:v>6123</x:v>
      </x:c>
      <x:c r="C605" s="1" t="n">
        <x:v>1</x:v>
      </x:c>
      <x:c r="D605" s="1" t="s">
        <x:v>6698</x:v>
      </x:c>
    </x:row>
    <x:row r="606" ht="15" hidden="0" customHeight="1">
      <x:c r="A606" s="1" t="s">
        <x:v>3185</x:v>
      </x:c>
      <x:c r="B606" s="1" t="s">
        <x:v>6123</x:v>
      </x:c>
      <x:c r="C606" s="1" t="n">
        <x:v>1</x:v>
      </x:c>
      <x:c r="D606" s="1" t="s">
        <x:v>6698</x:v>
      </x:c>
    </x:row>
    <x:row r="607" ht="15" hidden="0" customHeight="1">
      <x:c r="A607" s="1" t="s">
        <x:v>3312</x:v>
      </x:c>
      <x:c r="B607" s="1" t="s">
        <x:v>6123</x:v>
      </x:c>
      <x:c r="C607" s="1" t="n">
        <x:v>1</x:v>
      </x:c>
      <x:c r="D607" s="1" t="s">
        <x:v>6698</x:v>
      </x:c>
    </x:row>
    <x:row r="608" ht="15" hidden="0" customHeight="1">
      <x:c r="A608" s="1" t="s">
        <x:v>2472</x:v>
      </x:c>
      <x:c r="B608" s="1" t="s">
        <x:v>6123</x:v>
      </x:c>
      <x:c r="C608" s="1" t="n">
        <x:v>1</x:v>
      </x:c>
      <x:c r="D608" s="1" t="s">
        <x:v>6698</x:v>
      </x:c>
    </x:row>
    <x:row r="609" ht="15" hidden="0" customHeight="1">
      <x:c r="A609" s="1" t="s">
        <x:v>3203</x:v>
      </x:c>
      <x:c r="B609" s="1" t="s">
        <x:v>6123</x:v>
      </x:c>
      <x:c r="C609" s="1" t="n">
        <x:v>1</x:v>
      </x:c>
      <x:c r="D609" s="1" t="s">
        <x:v>6698</x:v>
      </x:c>
    </x:row>
    <x:row r="610" ht="15" hidden="0" customHeight="1">
      <x:c r="A610" s="1" t="s">
        <x:v>2125</x:v>
      </x:c>
      <x:c r="B610" s="1" t="s">
        <x:v>6123</x:v>
      </x:c>
      <x:c r="C610" s="1" t="n">
        <x:v>1</x:v>
      </x:c>
      <x:c r="D610" s="1" t="s">
        <x:v>6698</x:v>
      </x:c>
    </x:row>
    <x:row r="611" ht="15" hidden="0" customHeight="1">
      <x:c r="A611" s="1" t="s">
        <x:v>4127</x:v>
      </x:c>
      <x:c r="B611" s="1" t="s">
        <x:v>6123</x:v>
      </x:c>
      <x:c r="C611" s="1" t="n">
        <x:v>1</x:v>
      </x:c>
      <x:c r="D611" s="1" t="s">
        <x:v>6698</x:v>
      </x:c>
    </x:row>
    <x:row r="612" ht="15" hidden="0" customHeight="1">
      <x:c r="A612" s="1" t="s">
        <x:v>3092</x:v>
      </x:c>
      <x:c r="B612" s="1" t="s">
        <x:v>6123</x:v>
      </x:c>
      <x:c r="C612" s="1" t="n">
        <x:v>1</x:v>
      </x:c>
      <x:c r="D612" s="1" t="s">
        <x:v>6698</x:v>
      </x:c>
    </x:row>
    <x:row r="613" ht="15" hidden="0" customHeight="1">
      <x:c r="A613" s="1" t="s">
        <x:v>3232</x:v>
      </x:c>
      <x:c r="B613" s="1" t="s">
        <x:v>6123</x:v>
      </x:c>
      <x:c r="C613" s="1" t="n">
        <x:v>1</x:v>
      </x:c>
      <x:c r="D613" s="1" t="s">
        <x:v>6698</x:v>
      </x:c>
    </x:row>
    <x:row r="614" ht="15" hidden="0" customHeight="1">
      <x:c r="A614" s="1" t="s">
        <x:v>3128</x:v>
      </x:c>
      <x:c r="B614" s="1" t="s">
        <x:v>6123</x:v>
      </x:c>
      <x:c r="C614" s="1" t="n">
        <x:v>1</x:v>
      </x:c>
      <x:c r="D614" s="1" t="s">
        <x:v>6698</x:v>
      </x:c>
    </x:row>
    <x:row r="615" ht="15" hidden="0" customHeight="1">
      <x:c r="A615" s="1" t="s">
        <x:v>3356</x:v>
      </x:c>
      <x:c r="B615" s="1" t="s">
        <x:v>6123</x:v>
      </x:c>
      <x:c r="C615" s="1" t="n">
        <x:v>1</x:v>
      </x:c>
      <x:c r="D615" s="1" t="s">
        <x:v>6698</x:v>
      </x:c>
    </x:row>
    <x:row r="616" ht="15" hidden="0" customHeight="1">
      <x:c r="A616" s="1" t="s">
        <x:v>3840</x:v>
      </x:c>
      <x:c r="B616" s="1" t="s">
        <x:v>6123</x:v>
      </x:c>
      <x:c r="C616" s="1" t="n">
        <x:v>1</x:v>
      </x:c>
      <x:c r="D616" s="1" t="s">
        <x:v>6698</x:v>
      </x:c>
    </x:row>
    <x:row r="617" ht="15" hidden="0" customHeight="1">
      <x:c r="A617" s="1" t="s">
        <x:v>3983</x:v>
      </x:c>
      <x:c r="B617" s="1" t="s">
        <x:v>6123</x:v>
      </x:c>
      <x:c r="C617" s="1" t="n">
        <x:v>1</x:v>
      </x:c>
      <x:c r="D617" s="1" t="s">
        <x:v>6698</x:v>
      </x:c>
    </x:row>
    <x:row r="618" ht="15" hidden="0" customHeight="1">
      <x:c r="A618" s="1" t="s">
        <x:v>1824</x:v>
      </x:c>
      <x:c r="B618" s="1" t="s">
        <x:v>6123</x:v>
      </x:c>
      <x:c r="C618" s="1" t="n">
        <x:v>1</x:v>
      </x:c>
      <x:c r="D618" s="1" t="s">
        <x:v>6698</x:v>
      </x:c>
    </x:row>
    <x:row r="619" ht="15" hidden="0" customHeight="1">
      <x:c r="A619" s="1" t="s">
        <x:v>4845</x:v>
      </x:c>
      <x:c r="B619" s="1" t="s">
        <x:v>6123</x:v>
      </x:c>
      <x:c r="C619" s="1" t="n">
        <x:v>1</x:v>
      </x:c>
      <x:c r="D619" s="1" t="s">
        <x:v>6698</x:v>
      </x:c>
    </x:row>
    <x:row r="620" ht="15" hidden="0" customHeight="1">
      <x:c r="A620" s="1" t="s">
        <x:v>2357</x:v>
      </x:c>
      <x:c r="B620" s="1" t="s">
        <x:v>6123</x:v>
      </x:c>
      <x:c r="C620" s="1" t="n">
        <x:v>1</x:v>
      </x:c>
      <x:c r="D620" s="1" t="s">
        <x:v>6698</x:v>
      </x:c>
    </x:row>
    <x:row r="621" ht="15" hidden="0" customHeight="1">
      <x:c r="A621" s="1" t="s">
        <x:v>4184</x:v>
      </x:c>
      <x:c r="B621" s="1" t="s">
        <x:v>6123</x:v>
      </x:c>
      <x:c r="C621" s="1" t="n">
        <x:v>1</x:v>
      </x:c>
      <x:c r="D621" s="1" t="s">
        <x:v>6698</x:v>
      </x:c>
    </x:row>
    <x:row r="622" ht="15" hidden="0" customHeight="1">
      <x:c r="A622" s="1" t="s">
        <x:v>2468</x:v>
      </x:c>
      <x:c r="B622" s="1" t="s">
        <x:v>6123</x:v>
      </x:c>
      <x:c r="C622" s="1" t="n">
        <x:v>1</x:v>
      </x:c>
      <x:c r="D622" s="1" t="s">
        <x:v>6698</x:v>
      </x:c>
    </x:row>
    <x:row r="623" ht="15" hidden="0" customHeight="1">
      <x:c r="A623" s="1" t="s">
        <x:v>1881</x:v>
      </x:c>
      <x:c r="B623" s="1" t="s">
        <x:v>6123</x:v>
      </x:c>
      <x:c r="C623" s="1" t="n">
        <x:v>1</x:v>
      </x:c>
      <x:c r="D623" s="1" t="s">
        <x:v>6698</x:v>
      </x:c>
    </x:row>
    <x:row r="624" ht="15" hidden="0" customHeight="1">
      <x:c r="A624" s="1" t="s">
        <x:v>4040</x:v>
      </x:c>
      <x:c r="B624" s="1" t="s">
        <x:v>6123</x:v>
      </x:c>
      <x:c r="C624" s="1" t="n">
        <x:v>1</x:v>
      </x:c>
      <x:c r="D624" s="1" t="s">
        <x:v>6698</x:v>
      </x:c>
    </x:row>
    <x:row r="625" ht="15" hidden="0" customHeight="1">
      <x:c r="A625" s="1" t="s">
        <x:v>4329</x:v>
      </x:c>
      <x:c r="B625" s="1" t="s">
        <x:v>6123</x:v>
      </x:c>
      <x:c r="C625" s="1" t="n">
        <x:v>1</x:v>
      </x:c>
      <x:c r="D625" s="1" t="s">
        <x:v>6698</x:v>
      </x:c>
    </x:row>
    <x:row r="626" ht="15" hidden="0" customHeight="1">
      <x:c r="A626" s="1" t="s">
        <x:v>4042</x:v>
      </x:c>
      <x:c r="B626" s="1" t="s">
        <x:v>6123</x:v>
      </x:c>
      <x:c r="C626" s="1" t="n">
        <x:v>1</x:v>
      </x:c>
      <x:c r="D626" s="1" t="s">
        <x:v>6698</x:v>
      </x:c>
    </x:row>
    <x:row r="627" ht="15" hidden="0" customHeight="1">
      <x:c r="A627" s="1" t="s">
        <x:v>5279</x:v>
      </x:c>
      <x:c r="B627" s="1" t="s">
        <x:v>6123</x:v>
      </x:c>
      <x:c r="C627" s="1" t="n">
        <x:v>1</x:v>
      </x:c>
      <x:c r="D627" s="1" t="s">
        <x:v>6698</x:v>
      </x:c>
    </x:row>
    <x:row r="628" ht="15" hidden="0" customHeight="1">
      <x:c r="A628" s="1" t="s">
        <x:v>2671</x:v>
      </x:c>
      <x:c r="B628" s="1" t="s">
        <x:v>6123</x:v>
      </x:c>
      <x:c r="C628" s="1" t="n">
        <x:v>4</x:v>
      </x:c>
      <x:c r="D628" s="1" t="s">
        <x:v>6698</x:v>
      </x:c>
    </x:row>
    <x:row r="629" ht="15" hidden="0" customHeight="1">
      <x:c r="A629" s="1" t="s">
        <x:v>3050</x:v>
      </x:c>
      <x:c r="B629" s="1" t="s">
        <x:v>6123</x:v>
      </x:c>
      <x:c r="C629" s="1" t="n">
        <x:v>1</x:v>
      </x:c>
      <x:c r="D629" s="1" t="s">
        <x:v>6698</x:v>
      </x:c>
    </x:row>
    <x:row r="630" ht="15" hidden="0" customHeight="1">
      <x:c r="A630" s="1" t="s">
        <x:v>2294</x:v>
      </x:c>
      <x:c r="B630" s="1" t="s">
        <x:v>6123</x:v>
      </x:c>
      <x:c r="C630" s="1" t="n">
        <x:v>1</x:v>
      </x:c>
      <x:c r="D630" s="1" t="s">
        <x:v>6698</x:v>
      </x:c>
    </x:row>
    <x:row r="631" ht="15" hidden="0" customHeight="1">
      <x:c r="A631" s="1" t="s">
        <x:v>1884</x:v>
      </x:c>
      <x:c r="B631" s="1" t="s">
        <x:v>6123</x:v>
      </x:c>
      <x:c r="C631" s="1" t="n">
        <x:v>2</x:v>
      </x:c>
      <x:c r="D631" s="1" t="s">
        <x:v>6698</x:v>
      </x:c>
    </x:row>
    <x:row r="632" ht="15" hidden="0" customHeight="1">
      <x:c r="A632" s="1" t="s">
        <x:v>2857</x:v>
      </x:c>
      <x:c r="B632" s="1" t="s">
        <x:v>6123</x:v>
      </x:c>
      <x:c r="C632" s="1" t="n">
        <x:v>1</x:v>
      </x:c>
      <x:c r="D632" s="1" t="s">
        <x:v>6698</x:v>
      </x:c>
    </x:row>
    <x:row r="633" ht="15" hidden="0" customHeight="1">
      <x:c r="A633" s="1" t="s">
        <x:v>4381</x:v>
      </x:c>
      <x:c r="B633" s="1" t="s">
        <x:v>6123</x:v>
      </x:c>
      <x:c r="C633" s="1" t="n">
        <x:v>1</x:v>
      </x:c>
      <x:c r="D633" s="1" t="s">
        <x:v>6698</x:v>
      </x:c>
    </x:row>
    <x:row r="634" ht="15" hidden="0" customHeight="1">
      <x:c r="A634" s="1" t="s">
        <x:v>5017</x:v>
      </x:c>
      <x:c r="B634" s="1" t="s">
        <x:v>6123</x:v>
      </x:c>
      <x:c r="C634" s="1" t="n">
        <x:v>1</x:v>
      </x:c>
      <x:c r="D634" s="1" t="s">
        <x:v>6698</x:v>
      </x:c>
    </x:row>
    <x:row r="635" ht="15" hidden="0" customHeight="1">
      <x:c r="A635" s="1" t="s">
        <x:v>3053</x:v>
      </x:c>
      <x:c r="B635" s="1" t="s">
        <x:v>6123</x:v>
      </x:c>
      <x:c r="C635" s="1" t="n">
        <x:v>1</x:v>
      </x:c>
      <x:c r="D635" s="1" t="s">
        <x:v>6698</x:v>
      </x:c>
    </x:row>
    <x:row r="636" ht="15" hidden="0" customHeight="1">
      <x:c r="A636" s="1" t="s">
        <x:v>3042</x:v>
      </x:c>
      <x:c r="B636" s="1" t="s">
        <x:v>6123</x:v>
      </x:c>
      <x:c r="C636" s="1" t="n">
        <x:v>1</x:v>
      </x:c>
      <x:c r="D636" s="1" t="s">
        <x:v>6698</x:v>
      </x:c>
    </x:row>
    <x:row r="637" ht="15" hidden="0" customHeight="1">
      <x:c r="A637" s="1" t="s">
        <x:v>4649</x:v>
      </x:c>
      <x:c r="B637" s="1" t="s">
        <x:v>6123</x:v>
      </x:c>
      <x:c r="C637" s="1" t="n">
        <x:v>1</x:v>
      </x:c>
      <x:c r="D637" s="1" t="s">
        <x:v>6698</x:v>
      </x:c>
    </x:row>
    <x:row r="638" ht="15" hidden="0" customHeight="1">
      <x:c r="A638" s="1" t="s">
        <x:v>2860</x:v>
      </x:c>
      <x:c r="B638" s="1" t="s">
        <x:v>6123</x:v>
      </x:c>
      <x:c r="C638" s="1" t="n">
        <x:v>1</x:v>
      </x:c>
      <x:c r="D638" s="1" t="s">
        <x:v>6698</x:v>
      </x:c>
    </x:row>
    <x:row r="639" ht="15" hidden="0" customHeight="1">
      <x:c r="A639" s="1" t="s">
        <x:v>2076</x:v>
      </x:c>
      <x:c r="B639" s="1" t="s">
        <x:v>6123</x:v>
      </x:c>
      <x:c r="C639" s="1" t="n">
        <x:v>1</x:v>
      </x:c>
      <x:c r="D639" s="1" t="s">
        <x:v>6698</x:v>
      </x:c>
    </x:row>
    <x:row r="640" ht="15" hidden="0" customHeight="1">
      <x:c r="A640" s="1" t="s">
        <x:v>3944</x:v>
      </x:c>
      <x:c r="B640" s="1" t="s">
        <x:v>6123</x:v>
      </x:c>
      <x:c r="C640" s="1" t="n">
        <x:v>1</x:v>
      </x:c>
      <x:c r="D640" s="1" t="s">
        <x:v>6698</x:v>
      </x:c>
    </x:row>
    <x:row r="641" ht="15" hidden="0" customHeight="1">
      <x:c r="A641" s="1" t="s">
        <x:v>3089</x:v>
      </x:c>
      <x:c r="B641" s="1" t="s">
        <x:v>6123</x:v>
      </x:c>
      <x:c r="C641" s="1" t="n">
        <x:v>1</x:v>
      </x:c>
      <x:c r="D641" s="1" t="s">
        <x:v>6698</x:v>
      </x:c>
    </x:row>
    <x:row r="642" ht="15" hidden="0" customHeight="1">
      <x:c r="A642" s="1" t="s">
        <x:v>1945</x:v>
      </x:c>
      <x:c r="B642" s="1" t="s">
        <x:v>6123</x:v>
      </x:c>
      <x:c r="C642" s="1" t="n">
        <x:v>8</x:v>
      </x:c>
      <x:c r="D642" s="1" t="s">
        <x:v>6698</x:v>
      </x:c>
    </x:row>
    <x:row r="643" ht="15" hidden="0" customHeight="1">
      <x:c r="A643" s="1" t="s">
        <x:v>2206</x:v>
      </x:c>
      <x:c r="B643" s="1" t="s">
        <x:v>6123</x:v>
      </x:c>
      <x:c r="C643" s="1" t="n">
        <x:v>1</x:v>
      </x:c>
      <x:c r="D643" s="1" t="s">
        <x:v>6698</x:v>
      </x:c>
    </x:row>
    <x:row r="644" ht="15" hidden="0" customHeight="1">
      <x:c r="A644" s="1" t="s">
        <x:v>2537</x:v>
      </x:c>
      <x:c r="B644" s="1" t="s">
        <x:v>6123</x:v>
      </x:c>
      <x:c r="C644" s="1" t="n">
        <x:v>1</x:v>
      </x:c>
      <x:c r="D644" s="1" t="s">
        <x:v>6698</x:v>
      </x:c>
    </x:row>
    <x:row r="645" ht="15" hidden="0" customHeight="1">
      <x:c r="A645" s="1" t="s">
        <x:v>4053</x:v>
      </x:c>
      <x:c r="B645" s="1" t="s">
        <x:v>6123</x:v>
      </x:c>
      <x:c r="C645" s="1" t="n">
        <x:v>1</x:v>
      </x:c>
      <x:c r="D645" s="1" t="s">
        <x:v>6698</x:v>
      </x:c>
    </x:row>
    <x:row r="646" ht="15" hidden="0" customHeight="1">
      <x:c r="A646" s="1" t="s">
        <x:v>4842</x:v>
      </x:c>
      <x:c r="B646" s="1" t="s">
        <x:v>6123</x:v>
      </x:c>
      <x:c r="C646" s="1" t="n">
        <x:v>1</x:v>
      </x:c>
      <x:c r="D646" s="1" t="s">
        <x:v>6698</x:v>
      </x:c>
    </x:row>
    <x:row r="647" ht="15" hidden="0" customHeight="1">
      <x:c r="A647" s="1" t="s">
        <x:v>2475</x:v>
      </x:c>
      <x:c r="B647" s="1" t="s">
        <x:v>6123</x:v>
      </x:c>
      <x:c r="C647" s="1" t="n">
        <x:v>1</x:v>
      </x:c>
      <x:c r="D647" s="1" t="s">
        <x:v>6698</x:v>
      </x:c>
    </x:row>
    <x:row r="648" ht="15" hidden="0" customHeight="1">
      <x:c r="A648" s="1" t="s">
        <x:v>2533</x:v>
      </x:c>
      <x:c r="B648" s="1" t="s">
        <x:v>6123</x:v>
      </x:c>
      <x:c r="C648" s="1" t="n">
        <x:v>1</x:v>
      </x:c>
      <x:c r="D648" s="1" t="s">
        <x:v>6698</x:v>
      </x:c>
    </x:row>
    <x:row r="649" ht="15" hidden="0" customHeight="1">
      <x:c r="A649" s="1" t="s">
        <x:v>4538</x:v>
      </x:c>
      <x:c r="B649" s="1" t="s">
        <x:v>6123</x:v>
      </x:c>
      <x:c r="C649" s="1" t="n">
        <x:v>1</x:v>
      </x:c>
      <x:c r="D649" s="1" t="s">
        <x:v>6698</x:v>
      </x:c>
    </x:row>
    <x:row r="650" ht="15" hidden="0" customHeight="1">
      <x:c r="A650" s="1" t="s">
        <x:v>3080</x:v>
      </x:c>
      <x:c r="B650" s="1" t="s">
        <x:v>6123</x:v>
      </x:c>
      <x:c r="C650" s="1" t="n">
        <x:v>1</x:v>
      </x:c>
      <x:c r="D650" s="1" t="s">
        <x:v>6698</x:v>
      </x:c>
    </x:row>
    <x:row r="651" ht="15" hidden="0" customHeight="1">
      <x:c r="A651" s="1" t="s">
        <x:v>2892</x:v>
      </x:c>
      <x:c r="B651" s="1" t="s">
        <x:v>6123</x:v>
      </x:c>
      <x:c r="C651" s="1" t="n">
        <x:v>1</x:v>
      </x:c>
      <x:c r="D651" s="1" t="s">
        <x:v>6698</x:v>
      </x:c>
    </x:row>
    <x:row r="652" ht="15" hidden="0" customHeight="1">
      <x:c r="A652" s="1" t="s">
        <x:v>4116</x:v>
      </x:c>
      <x:c r="B652" s="1" t="s">
        <x:v>6123</x:v>
      </x:c>
      <x:c r="C652" s="1" t="n">
        <x:v>1</x:v>
      </x:c>
      <x:c r="D652" s="1" t="s">
        <x:v>6698</x:v>
      </x:c>
    </x:row>
    <x:row r="653" ht="15" hidden="0" customHeight="1">
      <x:c r="A653" s="1" t="s">
        <x:v>2166</x:v>
      </x:c>
      <x:c r="B653" s="1" t="s">
        <x:v>6123</x:v>
      </x:c>
      <x:c r="C653" s="1" t="n">
        <x:v>1</x:v>
      </x:c>
      <x:c r="D653" s="1" t="s">
        <x:v>6698</x:v>
      </x:c>
    </x:row>
    <x:row r="654" ht="15" hidden="0" customHeight="1">
      <x:c r="A654" s="1" t="s">
        <x:v>2713</x:v>
      </x:c>
      <x:c r="B654" s="1" t="s">
        <x:v>6123</x:v>
      </x:c>
      <x:c r="C654" s="1" t="n">
        <x:v>1</x:v>
      </x:c>
      <x:c r="D654" s="1" t="s">
        <x:v>6698</x:v>
      </x:c>
    </x:row>
    <x:row r="655" ht="15" hidden="0" customHeight="1">
      <x:c r="A655" s="1" t="s">
        <x:v>2164</x:v>
      </x:c>
      <x:c r="B655" s="1" t="s">
        <x:v>6123</x:v>
      </x:c>
      <x:c r="C655" s="1" t="n">
        <x:v>1</x:v>
      </x:c>
      <x:c r="D655" s="1" t="s">
        <x:v>6698</x:v>
      </x:c>
    </x:row>
    <x:row r="656" ht="15" hidden="0" customHeight="1">
      <x:c r="A656" s="1" t="s">
        <x:v>4186</x:v>
      </x:c>
      <x:c r="B656" s="1" t="s">
        <x:v>6123</x:v>
      </x:c>
      <x:c r="C656" s="1" t="n">
        <x:v>1</x:v>
      </x:c>
      <x:c r="D656" s="1" t="s">
        <x:v>6698</x:v>
      </x:c>
    </x:row>
    <x:row r="657" ht="15" hidden="0" customHeight="1">
      <x:c r="A657" s="1" t="s">
        <x:v>1877</x:v>
      </x:c>
      <x:c r="B657" s="1" t="s">
        <x:v>6123</x:v>
      </x:c>
      <x:c r="C657" s="1" t="n">
        <x:v>1</x:v>
      </x:c>
      <x:c r="D657" s="1" t="s">
        <x:v>6698</x:v>
      </x:c>
    </x:row>
    <x:row r="658" ht="15" hidden="0" customHeight="1">
      <x:c r="A658" s="1" t="s">
        <x:v>3235</x:v>
      </x:c>
      <x:c r="B658" s="1" t="s">
        <x:v>6123</x:v>
      </x:c>
      <x:c r="C658" s="1" t="n">
        <x:v>1</x:v>
      </x:c>
      <x:c r="D658" s="1" t="s">
        <x:v>6698</x:v>
      </x:c>
    </x:row>
    <x:row r="659" ht="15" hidden="0" customHeight="1">
      <x:c r="A659" s="1" t="s">
        <x:v>4110</x:v>
      </x:c>
      <x:c r="B659" s="1" t="s">
        <x:v>6123</x:v>
      </x:c>
      <x:c r="C659" s="1" t="n">
        <x:v>1</x:v>
      </x:c>
      <x:c r="D659" s="1" t="s">
        <x:v>6698</x:v>
      </x:c>
    </x:row>
    <x:row r="660" ht="15" hidden="0" customHeight="1">
      <x:c r="A660" s="1" t="s">
        <x:v>4209</x:v>
      </x:c>
      <x:c r="B660" s="1" t="s">
        <x:v>6123</x:v>
      </x:c>
      <x:c r="C660" s="1" t="n">
        <x:v>1</x:v>
      </x:c>
      <x:c r="D660" s="1" t="s">
        <x:v>6698</x:v>
      </x:c>
    </x:row>
    <x:row r="661" ht="15" hidden="0" customHeight="1">
      <x:c r="A661" s="1" t="s">
        <x:v>1122</x:v>
      </x:c>
      <x:c r="B661" s="1" t="s">
        <x:v>6121</x:v>
      </x:c>
      <x:c r="C661" s="1" t="n">
        <x:v>4</x:v>
      </x:c>
      <x:c r="D661" s="1" t="s">
        <x:v>6698</x:v>
      </x:c>
    </x:row>
    <x:row r="662" ht="15" hidden="0" customHeight="1">
      <x:c r="A662" s="1" t="s">
        <x:v>886</x:v>
      </x:c>
      <x:c r="B662" s="1" t="s">
        <x:v>6121</x:v>
      </x:c>
      <x:c r="C662" s="1" t="n">
        <x:v>6</x:v>
      </x:c>
      <x:c r="D662" s="1" t="s">
        <x:v>6698</x:v>
      </x:c>
    </x:row>
    <x:row r="663" ht="15" hidden="0" customHeight="1">
      <x:c r="A663" s="1" t="s">
        <x:v>4372</x:v>
      </x:c>
      <x:c r="B663" s="1" t="s">
        <x:v>6121</x:v>
      </x:c>
      <x:c r="C663" s="1" t="n">
        <x:v>2</x:v>
      </x:c>
      <x:c r="D663" s="1" t="s">
        <x:v>6698</x:v>
      </x:c>
    </x:row>
    <x:row r="664" ht="15" hidden="0" customHeight="1">
      <x:c r="A664" s="1" t="s">
        <x:v>1704</x:v>
      </x:c>
      <x:c r="B664" s="1" t="s">
        <x:v>6121</x:v>
      </x:c>
      <x:c r="C664" s="1" t="n">
        <x:v>18</x:v>
      </x:c>
      <x:c r="D664" s="1" t="s">
        <x:v>6698</x:v>
      </x:c>
    </x:row>
    <x:row r="665" ht="15" hidden="0" customHeight="1">
      <x:c r="A665" s="1" t="s">
        <x:v>4490</x:v>
      </x:c>
      <x:c r="B665" s="1" t="s">
        <x:v>6121</x:v>
      </x:c>
      <x:c r="C665" s="1" t="n">
        <x:v>4</x:v>
      </x:c>
      <x:c r="D665" s="1" t="s">
        <x:v>6698</x:v>
      </x:c>
    </x:row>
    <x:row r="666" ht="15" hidden="0" customHeight="1">
      <x:c r="A666" s="1" t="s">
        <x:v>1731</x:v>
      </x:c>
      <x:c r="B666" s="1" t="s">
        <x:v>6121</x:v>
      </x:c>
      <x:c r="C666" s="1" t="n">
        <x:v>2</x:v>
      </x:c>
      <x:c r="D666" s="1" t="s">
        <x:v>6698</x:v>
      </x:c>
    </x:row>
    <x:row r="667" ht="15" hidden="0" customHeight="1">
      <x:c r="A667" s="1" t="s">
        <x:v>106</x:v>
      </x:c>
      <x:c r="B667" s="1" t="s">
        <x:v>6121</x:v>
      </x:c>
      <x:c r="C667" s="1" t="n">
        <x:v>25</x:v>
      </x:c>
      <x:c r="D667" s="1" t="s">
        <x:v>6698</x:v>
      </x:c>
    </x:row>
    <x:row r="668" ht="15" hidden="0" customHeight="1">
      <x:c r="A668" s="1" t="s">
        <x:v>4749</x:v>
      </x:c>
      <x:c r="B668" s="1" t="s">
        <x:v>4749</x:v>
      </x:c>
      <x:c r="C668" s="1" t="n">
        <x:v>1</x:v>
      </x:c>
      <x:c r="D668" s="1" t="s">
        <x:v>6698</x:v>
      </x:c>
    </x:row>
    <x:row r="669" ht="15" hidden="0" customHeight="1">
      <x:c r="A669" s="1" t="s">
        <x:v>3396</x:v>
      </x:c>
      <x:c r="B669" s="1" t="s">
        <x:v>4749</x:v>
      </x:c>
      <x:c r="C669" s="1" t="n">
        <x:v>1</x:v>
      </x:c>
      <x:c r="D669" s="1" t="s">
        <x:v>6698</x:v>
      </x:c>
    </x:row>
    <x:row r="670" ht="15" hidden="0" customHeight="1">
      <x:c r="A670" s="1" t="s">
        <x:v>2635</x:v>
      </x:c>
      <x:c r="B670" s="1" t="s">
        <x:v>4749</x:v>
      </x:c>
      <x:c r="C670" s="1" t="n">
        <x:v>1</x:v>
      </x:c>
      <x:c r="D670" s="1" t="s">
        <x:v>6698</x:v>
      </x:c>
    </x:row>
    <x:row r="671" ht="15" hidden="0" customHeight="1">
      <x:c r="A671" s="1" t="s">
        <x:v>2040</x:v>
      </x:c>
      <x:c r="B671" s="1" t="s">
        <x:v>4749</x:v>
      </x:c>
      <x:c r="C671" s="1" t="n">
        <x:v>2</x:v>
      </x:c>
      <x:c r="D671" s="1" t="s">
        <x:v>6698</x:v>
      </x:c>
    </x:row>
    <x:row r="672" ht="15" hidden="0" customHeight="1">
      <x:c r="A672" s="1" t="s">
        <x:v>2199</x:v>
      </x:c>
      <x:c r="B672" s="1" t="s">
        <x:v>4749</x:v>
      </x:c>
      <x:c r="C672" s="1" t="n">
        <x:v>9</x:v>
      </x:c>
      <x:c r="D672" s="1" t="s">
        <x:v>6698</x:v>
      </x:c>
    </x:row>
    <x:row r="673" ht="15" hidden="0" customHeight="1">
      <x:c r="A673" s="1" t="s">
        <x:v>2909</x:v>
      </x:c>
      <x:c r="B673" s="1" t="s">
        <x:v>4749</x:v>
      </x:c>
      <x:c r="C673" s="1" t="n">
        <x:v>1</x:v>
      </x:c>
      <x:c r="D673" s="1" t="s">
        <x:v>6698</x:v>
      </x:c>
    </x:row>
    <x:row r="674" ht="15" hidden="0" customHeight="1">
      <x:c r="A674" s="1" t="s">
        <x:v>5439</x:v>
      </x:c>
      <x:c r="B674" s="1" t="s">
        <x:v>4749</x:v>
      </x:c>
      <x:c r="C674" s="1" t="n">
        <x:v>1</x:v>
      </x:c>
      <x:c r="D674" s="1" t="s">
        <x:v>6698</x:v>
      </x:c>
    </x:row>
    <x:row r="675" ht="15" hidden="0" customHeight="1">
      <x:c r="A675" s="1" t="s">
        <x:v>1961</x:v>
      </x:c>
      <x:c r="B675" s="1" t="s">
        <x:v>4749</x:v>
      </x:c>
      <x:c r="C675" s="1" t="n">
        <x:v>5</x:v>
      </x:c>
      <x:c r="D675" s="1" t="s">
        <x:v>6698</x:v>
      </x:c>
    </x:row>
    <x:row r="676" ht="15" hidden="0" customHeight="1">
      <x:c r="A676" s="1" t="s">
        <x:v>2982</x:v>
      </x:c>
      <x:c r="B676" s="1" t="s">
        <x:v>4749</x:v>
      </x:c>
      <x:c r="C676" s="1" t="n">
        <x:v>1</x:v>
      </x:c>
      <x:c r="D676" s="1" t="s">
        <x:v>6698</x:v>
      </x:c>
    </x:row>
    <x:row r="677" ht="15" hidden="0" customHeight="1">
      <x:c r="A677" s="1" t="s">
        <x:v>1918</x:v>
      </x:c>
      <x:c r="B677" s="1" t="s">
        <x:v>4749</x:v>
      </x:c>
      <x:c r="C677" s="1" t="n">
        <x:v>1</x:v>
      </x:c>
      <x:c r="D677" s="1" t="s">
        <x:v>6698</x:v>
      </x:c>
    </x:row>
    <x:row r="678" ht="15" hidden="0" customHeight="1">
      <x:c r="A678" s="1" t="s">
        <x:v>3596</x:v>
      </x:c>
      <x:c r="B678" s="1" t="s">
        <x:v>6153</x:v>
      </x:c>
      <x:c r="C678" s="1" t="n">
        <x:v>1</x:v>
      </x:c>
      <x:c r="D678" s="1" t="s">
        <x:v>6698</x:v>
      </x:c>
    </x:row>
    <x:row r="679" ht="15" hidden="0" customHeight="1">
      <x:c r="A679" s="1" t="s">
        <x:v>2479</x:v>
      </x:c>
      <x:c r="B679" s="1" t="s">
        <x:v>6153</x:v>
      </x:c>
      <x:c r="C679" s="1" t="n">
        <x:v>1</x:v>
      </x:c>
      <x:c r="D679" s="1" t="s">
        <x:v>6698</x:v>
      </x:c>
    </x:row>
    <x:row r="680" ht="15" hidden="0" customHeight="1">
      <x:c r="A680" s="1" t="s">
        <x:v>1929</x:v>
      </x:c>
      <x:c r="B680" s="1" t="s">
        <x:v>6153</x:v>
      </x:c>
      <x:c r="C680" s="1" t="n">
        <x:v>1</x:v>
      </x:c>
      <x:c r="D680" s="1" t="s">
        <x:v>6698</x:v>
      </x:c>
    </x:row>
    <x:row r="681" ht="15" hidden="0" customHeight="1">
      <x:c r="A681" s="1" t="s">
        <x:v>871</x:v>
      </x:c>
      <x:c r="B681" s="1" t="s">
        <x:v>6154</x:v>
      </x:c>
      <x:c r="C681" s="1" t="n">
        <x:v>25</x:v>
      </x:c>
      <x:c r="D681" s="1" t="s">
        <x:v>6698</x:v>
      </x:c>
    </x:row>
    <x:row r="682" ht="15" hidden="0" customHeight="1">
      <x:c r="A682" s="1" t="s">
        <x:v>4141</x:v>
      </x:c>
      <x:c r="B682" s="1" t="s">
        <x:v>6154</x:v>
      </x:c>
      <x:c r="C682" s="1" t="n">
        <x:v>1</x:v>
      </x:c>
      <x:c r="D682" s="1" t="s">
        <x:v>6698</x:v>
      </x:c>
    </x:row>
    <x:row r="683" ht="15" hidden="0" customHeight="1">
      <x:c r="A683" s="1" t="s">
        <x:v>1576</x:v>
      </x:c>
      <x:c r="B683" s="1" t="s">
        <x:v>6154</x:v>
      </x:c>
      <x:c r="C683" s="1" t="n">
        <x:v>1</x:v>
      </x:c>
      <x:c r="D683" s="1" t="s">
        <x:v>6698</x:v>
      </x:c>
    </x:row>
    <x:row r="684" ht="15" hidden="0" customHeight="1">
      <x:c r="A684" s="1" t="s">
        <x:v>4138</x:v>
      </x:c>
      <x:c r="B684" s="1" t="s">
        <x:v>6154</x:v>
      </x:c>
      <x:c r="C684" s="1" t="n">
        <x:v>1</x:v>
      </x:c>
      <x:c r="D684" s="1" t="s">
        <x:v>6698</x:v>
      </x:c>
    </x:row>
    <x:row r="685" ht="15" hidden="0" customHeight="1">
      <x:c r="A685" s="1" t="s">
        <x:v>1066</x:v>
      </x:c>
      <x:c r="B685" s="1" t="s">
        <x:v>6155</x:v>
      </x:c>
      <x:c r="C685" s="1" t="n">
        <x:v>7</x:v>
      </x:c>
      <x:c r="D685" s="1" t="s">
        <x:v>6698</x:v>
      </x:c>
    </x:row>
    <x:row r="686" ht="15" hidden="0" customHeight="1">
      <x:c r="A686" s="1" t="s">
        <x:v>2510</x:v>
      </x:c>
      <x:c r="B686" s="1" t="s">
        <x:v>6155</x:v>
      </x:c>
      <x:c r="C686" s="1" t="n">
        <x:v>1</x:v>
      </x:c>
      <x:c r="D686" s="1" t="s">
        <x:v>6698</x:v>
      </x:c>
    </x:row>
    <x:row r="687" ht="15" hidden="0" customHeight="1">
      <x:c r="A687" s="1" t="s">
        <x:v>2135</x:v>
      </x:c>
      <x:c r="B687" s="1" t="s">
        <x:v>6153</x:v>
      </x:c>
      <x:c r="C687" s="1" t="n">
        <x:v>1</x:v>
      </x:c>
      <x:c r="D687" s="1" t="s">
        <x:v>6698</x:v>
      </x:c>
    </x:row>
    <x:row r="688" ht="15" hidden="0" customHeight="1">
      <x:c r="A688" s="1" t="s">
        <x:v>3756</x:v>
      </x:c>
      <x:c r="B688" s="1" t="s">
        <x:v>6155</x:v>
      </x:c>
      <x:c r="C688" s="1" t="n">
        <x:v>1</x:v>
      </x:c>
      <x:c r="D688" s="1" t="s">
        <x:v>6698</x:v>
      </x:c>
    </x:row>
    <x:row r="689" ht="15" hidden="0" customHeight="1">
      <x:c r="A689" s="1" t="s">
        <x:v>3837</x:v>
      </x:c>
      <x:c r="B689" s="1" t="s">
        <x:v>6154</x:v>
      </x:c>
      <x:c r="C689" s="1" t="n">
        <x:v>3</x:v>
      </x:c>
      <x:c r="D689" s="1" t="s">
        <x:v>6698</x:v>
      </x:c>
    </x:row>
    <x:row r="690" ht="15" hidden="0" customHeight="1">
      <x:c r="A690" s="1" t="s">
        <x:v>1584</x:v>
      </x:c>
      <x:c r="B690" s="1" t="s">
        <x:v>6154</x:v>
      </x:c>
      <x:c r="C690" s="1" t="n">
        <x:v>1</x:v>
      </x:c>
      <x:c r="D690" s="1" t="s">
        <x:v>6698</x:v>
      </x:c>
    </x:row>
    <x:row r="691" ht="15" hidden="0" customHeight="1">
      <x:c r="A691" s="1" t="s">
        <x:v>2486</x:v>
      </x:c>
      <x:c r="B691" s="1" t="s">
        <x:v>6155</x:v>
      </x:c>
      <x:c r="C691" s="1" t="n">
        <x:v>1</x:v>
      </x:c>
      <x:c r="D691" s="1" t="s">
        <x:v>6698</x:v>
      </x:c>
    </x:row>
    <x:row r="692" ht="15" hidden="0" customHeight="1">
      <x:c r="A692" s="1" t="s">
        <x:v>2507</x:v>
      </x:c>
      <x:c r="B692" s="1" t="s">
        <x:v>6153</x:v>
      </x:c>
      <x:c r="C692" s="1" t="n">
        <x:v>1</x:v>
      </x:c>
      <x:c r="D692" s="1" t="s">
        <x:v>6698</x:v>
      </x:c>
    </x:row>
    <x:row r="693" ht="15" hidden="0" customHeight="1">
      <x:c r="A693" s="1" t="s">
        <x:v>4783</x:v>
      </x:c>
      <x:c r="B693" s="1" t="s">
        <x:v>6153</x:v>
      </x:c>
      <x:c r="C693" s="1" t="n">
        <x:v>1</x:v>
      </x:c>
      <x:c r="D693" s="1" t="s">
        <x:v>6698</x:v>
      </x:c>
    </x:row>
    <x:row r="694" ht="15" hidden="0" customHeight="1">
      <x:c r="A694" s="1" t="s">
        <x:v>2440</x:v>
      </x:c>
      <x:c r="B694" s="1" t="s">
        <x:v>6154</x:v>
      </x:c>
      <x:c r="C694" s="1" t="n">
        <x:v>1</x:v>
      </x:c>
      <x:c r="D694" s="1" t="s">
        <x:v>6698</x:v>
      </x:c>
    </x:row>
    <x:row r="695" ht="15" hidden="0" customHeight="1">
      <x:c r="A695" s="1" t="s">
        <x:v>2550</x:v>
      </x:c>
      <x:c r="B695" s="1" t="s">
        <x:v>6153</x:v>
      </x:c>
      <x:c r="C695" s="1" t="n">
        <x:v>1</x:v>
      </x:c>
      <x:c r="D695" s="1" t="s">
        <x:v>6698</x:v>
      </x:c>
    </x:row>
    <x:row r="696" ht="15" hidden="0" customHeight="1">
      <x:c r="A696" s="1" t="s">
        <x:v>2410</x:v>
      </x:c>
      <x:c r="B696" s="1" t="s">
        <x:v>6153</x:v>
      </x:c>
      <x:c r="C696" s="1" t="n">
        <x:v>1</x:v>
      </x:c>
      <x:c r="D696" s="1" t="s">
        <x:v>6698</x:v>
      </x:c>
    </x:row>
    <x:row r="697" ht="15" hidden="0" customHeight="1">
      <x:c r="A697" s="1" t="s">
        <x:v>5262</x:v>
      </x:c>
      <x:c r="B697" s="1" t="s">
        <x:v>6153</x:v>
      </x:c>
      <x:c r="C697" s="1" t="n">
        <x:v>1</x:v>
      </x:c>
      <x:c r="D697" s="1" t="s">
        <x:v>6698</x:v>
      </x:c>
    </x:row>
    <x:row r="698" ht="15" hidden="0" customHeight="1">
      <x:c r="A698" s="1" t="s">
        <x:v>4477</x:v>
      </x:c>
      <x:c r="B698" s="1" t="s">
        <x:v>6156</x:v>
      </x:c>
      <x:c r="C698" s="1" t="n">
        <x:v>3</x:v>
      </x:c>
      <x:c r="D698" s="1" t="s">
        <x:v>6698</x:v>
      </x:c>
    </x:row>
    <x:row r="699" ht="15" hidden="0" customHeight="1">
      <x:c r="A699" s="1" t="s">
        <x:v>1101</x:v>
      </x:c>
      <x:c r="B699" s="1" t="s">
        <x:v>6156</x:v>
      </x:c>
      <x:c r="C699" s="1" t="n">
        <x:v>5</x:v>
      </x:c>
      <x:c r="D699" s="1" t="s">
        <x:v>6698</x:v>
      </x:c>
    </x:row>
    <x:row r="700" ht="15" hidden="0" customHeight="1">
      <x:c r="A700" s="1" t="s">
        <x:v>1424</x:v>
      </x:c>
      <x:c r="B700" s="1" t="s">
        <x:v>6151</x:v>
      </x:c>
      <x:c r="C700" s="1" t="n">
        <x:v>4</x:v>
      </x:c>
      <x:c r="D700" s="1" t="s">
        <x:v>6698</x:v>
      </x:c>
    </x:row>
    <x:row r="701" ht="15" hidden="0" customHeight="1">
      <x:c r="A701" s="1" t="s">
        <x:v>4535</x:v>
      </x:c>
      <x:c r="B701" s="1" t="s">
        <x:v>6151</x:v>
      </x:c>
      <x:c r="C701" s="1" t="n">
        <x:v>1</x:v>
      </x:c>
      <x:c r="D701" s="1" t="s">
        <x:v>6698</x:v>
      </x:c>
    </x:row>
    <x:row r="702" ht="15" hidden="0" customHeight="1">
      <x:c r="A702" s="1" t="s">
        <x:v>4873</x:v>
      </x:c>
      <x:c r="B702" s="1" t="s">
        <x:v>6151</x:v>
      </x:c>
      <x:c r="C702" s="1" t="n">
        <x:v>1</x:v>
      </x:c>
      <x:c r="D702" s="1" t="s">
        <x:v>6698</x:v>
      </x:c>
    </x:row>
    <x:row r="703" ht="15" hidden="0" customHeight="1">
      <x:c r="A703" s="1" t="s">
        <x:v>5056</x:v>
      </x:c>
      <x:c r="B703" s="1" t="s">
        <x:v>6151</x:v>
      </x:c>
      <x:c r="C703" s="1" t="n">
        <x:v>1</x:v>
      </x:c>
      <x:c r="D703" s="1" t="s">
        <x:v>6698</x:v>
      </x:c>
    </x:row>
    <x:row r="704" ht="15" hidden="0" customHeight="1">
      <x:c r="A704" s="1" t="s">
        <x:v>5062</x:v>
      </x:c>
      <x:c r="B704" s="1" t="s">
        <x:v>6151</x:v>
      </x:c>
      <x:c r="C704" s="1" t="n">
        <x:v>1</x:v>
      </x:c>
      <x:c r="D704" s="1" t="s">
        <x:v>6698</x:v>
      </x:c>
    </x:row>
    <x:row r="705" ht="15" hidden="0" customHeight="1">
      <x:c r="A705" s="1" t="s">
        <x:v>2384</x:v>
      </x:c>
      <x:c r="B705" s="1" t="s">
        <x:v>6151</x:v>
      </x:c>
      <x:c r="C705" s="1" t="n">
        <x:v>1</x:v>
      </x:c>
      <x:c r="D705" s="1" t="s">
        <x:v>6698</x:v>
      </x:c>
    </x:row>
    <x:row r="706" ht="15" hidden="0" customHeight="1">
      <x:c r="A706" s="1" t="s">
        <x:v>4689</x:v>
      </x:c>
      <x:c r="B706" s="1" t="s">
        <x:v>6151</x:v>
      </x:c>
      <x:c r="C706" s="1" t="n">
        <x:v>1</x:v>
      </x:c>
      <x:c r="D706" s="1" t="s">
        <x:v>6698</x:v>
      </x:c>
    </x:row>
    <x:row r="707" ht="15" hidden="0" customHeight="1">
      <x:c r="A707" s="1" t="s">
        <x:v>2175</x:v>
      </x:c>
      <x:c r="B707" s="1" t="s">
        <x:v>6151</x:v>
      </x:c>
      <x:c r="C707" s="1" t="n">
        <x:v>1</x:v>
      </x:c>
      <x:c r="D707" s="1" t="s">
        <x:v>6698</x:v>
      </x:c>
    </x:row>
    <x:row r="708" ht="15" hidden="0" customHeight="1">
      <x:c r="A708" s="1" t="s">
        <x:v>5455</x:v>
      </x:c>
      <x:c r="B708" s="1" t="s">
        <x:v>6151</x:v>
      </x:c>
      <x:c r="C708" s="1" t="n">
        <x:v>1</x:v>
      </x:c>
      <x:c r="D708" s="1" t="s">
        <x:v>6698</x:v>
      </x:c>
    </x:row>
    <x:row r="709" ht="15" hidden="0" customHeight="1">
      <x:c r="A709" s="1" t="s">
        <x:v>4274</x:v>
      </x:c>
      <x:c r="B709" s="1" t="s">
        <x:v>6151</x:v>
      </x:c>
      <x:c r="C709" s="1" t="n">
        <x:v>1</x:v>
      </x:c>
      <x:c r="D709" s="1" t="s">
        <x:v>6698</x:v>
      </x:c>
    </x:row>
    <x:row r="710" ht="15" hidden="0" customHeight="1">
      <x:c r="A710" s="1" t="s">
        <x:v>4527</x:v>
      </x:c>
      <x:c r="B710" s="1" t="s">
        <x:v>6151</x:v>
      </x:c>
      <x:c r="C710" s="1" t="n">
        <x:v>1</x:v>
      </x:c>
      <x:c r="D710" s="1" t="s">
        <x:v>6698</x:v>
      </x:c>
    </x:row>
    <x:row r="711" ht="15" hidden="0" customHeight="1">
      <x:c r="A711" s="1" t="s">
        <x:v>4531</x:v>
      </x:c>
      <x:c r="B711" s="1" t="s">
        <x:v>6151</x:v>
      </x:c>
      <x:c r="C711" s="1" t="n">
        <x:v>1</x:v>
      </x:c>
      <x:c r="D711" s="1" t="s">
        <x:v>6698</x:v>
      </x:c>
    </x:row>
    <x:row r="712" ht="15" hidden="0" customHeight="1">
      <x:c r="A712" s="1" t="s">
        <x:v>4978</x:v>
      </x:c>
      <x:c r="B712" s="1" t="s">
        <x:v>6151</x:v>
      </x:c>
      <x:c r="C712" s="1" t="n">
        <x:v>1</x:v>
      </x:c>
      <x:c r="D712" s="1" t="s">
        <x:v>6698</x:v>
      </x:c>
    </x:row>
    <x:row r="713" ht="15" hidden="0" customHeight="1">
      <x:c r="A713" s="1" t="s">
        <x:v>4973</x:v>
      </x:c>
      <x:c r="B713" s="1" t="s">
        <x:v>6151</x:v>
      </x:c>
      <x:c r="C713" s="1" t="n">
        <x:v>1</x:v>
      </x:c>
      <x:c r="D713" s="1" t="s">
        <x:v>6698</x:v>
      </x:c>
    </x:row>
    <x:row r="714" ht="15" hidden="0" customHeight="1">
      <x:c r="A714" s="1" t="s">
        <x:v>5148</x:v>
      </x:c>
      <x:c r="B714" s="1" t="s">
        <x:v>6151</x:v>
      </x:c>
      <x:c r="C714" s="1" t="n">
        <x:v>1</x:v>
      </x:c>
      <x:c r="D714" s="1" t="s">
        <x:v>6698</x:v>
      </x:c>
    </x:row>
    <x:row r="715" ht="15" hidden="0" customHeight="1">
      <x:c r="A715" s="1" t="s">
        <x:v>2019</x:v>
      </x:c>
      <x:c r="B715" s="1" t="s">
        <x:v>6151</x:v>
      </x:c>
      <x:c r="C715" s="1" t="n">
        <x:v>1</x:v>
      </x:c>
      <x:c r="D715" s="1" t="s">
        <x:v>6698</x:v>
      </x:c>
    </x:row>
    <x:row r="716" ht="15" hidden="0" customHeight="1">
      <x:c r="A716" s="1" t="s">
        <x:v>2023</x:v>
      </x:c>
      <x:c r="B716" s="1" t="s">
        <x:v>6151</x:v>
      </x:c>
      <x:c r="C716" s="1" t="n">
        <x:v>1</x:v>
      </x:c>
      <x:c r="D716" s="1" t="s">
        <x:v>6698</x:v>
      </x:c>
    </x:row>
    <x:row r="717" ht="15" hidden="0" customHeight="1">
      <x:c r="A717" s="1" t="s">
        <x:v>3589</x:v>
      </x:c>
      <x:c r="B717" s="1" t="s">
        <x:v>6151</x:v>
      </x:c>
      <x:c r="C717" s="1" t="n">
        <x:v>1</x:v>
      </x:c>
      <x:c r="D717" s="1" t="s">
        <x:v>6698</x:v>
      </x:c>
    </x:row>
    <x:row r="718" ht="15" hidden="0" customHeight="1">
      <x:c r="A718" s="1" t="s">
        <x:v>3585</x:v>
      </x:c>
      <x:c r="B718" s="1" t="s">
        <x:v>6151</x:v>
      </x:c>
      <x:c r="C718" s="1" t="n">
        <x:v>1</x:v>
      </x:c>
      <x:c r="D718" s="1" t="s">
        <x:v>6698</x:v>
      </x:c>
    </x:row>
    <x:row r="719" ht="15" hidden="0" customHeight="1">
      <x:c r="A719" s="1" t="s">
        <x:v>270</x:v>
      </x:c>
      <x:c r="B719" s="1" t="s">
        <x:v>6151</x:v>
      </x:c>
      <x:c r="C719" s="1" t="n">
        <x:v>8</x:v>
      </x:c>
      <x:c r="D719" s="1" t="s">
        <x:v>6698</x:v>
      </x:c>
    </x:row>
    <x:row r="720" ht="15" hidden="0" customHeight="1">
      <x:c r="A720" s="1" t="s">
        <x:v>4822</x:v>
      </x:c>
      <x:c r="B720" s="1" t="s">
        <x:v>6151</x:v>
      </x:c>
      <x:c r="C720" s="1" t="n">
        <x:v>1</x:v>
      </x:c>
      <x:c r="D720" s="1" t="s">
        <x:v>6698</x:v>
      </x:c>
    </x:row>
    <x:row r="721" ht="15" hidden="0" customHeight="1">
      <x:c r="A721" s="1" t="s">
        <x:v>1552</x:v>
      </x:c>
      <x:c r="B721" s="1" t="s">
        <x:v>6151</x:v>
      </x:c>
      <x:c r="C721" s="1" t="n">
        <x:v>1</x:v>
      </x:c>
      <x:c r="D721" s="1" t="s">
        <x:v>6698</x:v>
      </x:c>
    </x:row>
    <x:row r="722" ht="15" hidden="0" customHeight="1">
      <x:c r="A722" s="1" t="s">
        <x:v>3915</x:v>
      </x:c>
      <x:c r="B722" s="1" t="s">
        <x:v>6151</x:v>
      </x:c>
      <x:c r="C722" s="1" t="n">
        <x:v>1</x:v>
      </x:c>
      <x:c r="D722" s="1" t="s">
        <x:v>6698</x:v>
      </x:c>
    </x:row>
    <x:row r="723" ht="15" hidden="0" customHeight="1">
      <x:c r="A723" s="1" t="s">
        <x:v>4457</x:v>
      </x:c>
      <x:c r="B723" s="1" t="s">
        <x:v>6151</x:v>
      </x:c>
      <x:c r="C723" s="1" t="n">
        <x:v>1</x:v>
      </x:c>
      <x:c r="D723" s="1" t="s">
        <x:v>6698</x:v>
      </x:c>
    </x:row>
    <x:row r="724" ht="15" hidden="0" customHeight="1">
      <x:c r="A724" s="1" t="s">
        <x:v>1970</x:v>
      </x:c>
      <x:c r="B724" s="1" t="s">
        <x:v>6151</x:v>
      </x:c>
      <x:c r="C724" s="1" t="n">
        <x:v>1</x:v>
      </x:c>
      <x:c r="D724" s="1" t="s">
        <x:v>6698</x:v>
      </x:c>
    </x:row>
    <x:row r="725" ht="15" hidden="0" customHeight="1">
      <x:c r="A725" s="1" t="s">
        <x:v>2381</x:v>
      </x:c>
      <x:c r="B725" s="1" t="s">
        <x:v>6151</x:v>
      </x:c>
      <x:c r="C725" s="1" t="n">
        <x:v>1</x:v>
      </x:c>
      <x:c r="D725" s="1" t="s">
        <x:v>6698</x:v>
      </x:c>
    </x:row>
    <x:row r="726" ht="15" hidden="0" customHeight="1">
      <x:c r="A726" s="1" t="s">
        <x:v>2743</x:v>
      </x:c>
      <x:c r="B726" s="1" t="s">
        <x:v>6151</x:v>
      </x:c>
      <x:c r="C726" s="1" t="n">
        <x:v>1</x:v>
      </x:c>
      <x:c r="D726" s="1" t="s">
        <x:v>6698</x:v>
      </x:c>
    </x:row>
    <x:row r="727" ht="15" hidden="0" customHeight="1">
      <x:c r="A727" s="1" t="s">
        <x:v>1037</x:v>
      </x:c>
      <x:c r="B727" s="1" t="s">
        <x:v>6151</x:v>
      </x:c>
      <x:c r="C727" s="1" t="n">
        <x:v>2</x:v>
      </x:c>
      <x:c r="D727" s="1" t="s">
        <x:v>6698</x:v>
      </x:c>
    </x:row>
    <x:row r="728" ht="15" hidden="0" customHeight="1">
      <x:c r="A728" s="1" t="s">
        <x:v>1034</x:v>
      </x:c>
      <x:c r="B728" s="1" t="s">
        <x:v>6151</x:v>
      </x:c>
      <x:c r="C728" s="1" t="n">
        <x:v>2</x:v>
      </x:c>
      <x:c r="D728" s="1" t="s">
        <x:v>6698</x:v>
      </x:c>
    </x:row>
    <x:row r="729" ht="15" hidden="0" customHeight="1">
      <x:c r="A729" s="1" t="s">
        <x:v>4686</x:v>
      </x:c>
      <x:c r="B729" s="1" t="s">
        <x:v>6151</x:v>
      </x:c>
      <x:c r="C729" s="1" t="n">
        <x:v>1</x:v>
      </x:c>
      <x:c r="D729" s="1" t="s">
        <x:v>6698</x:v>
      </x:c>
    </x:row>
    <x:row r="730" ht="15" hidden="0" customHeight="1">
      <x:c r="A730" s="1" t="s">
        <x:v>4454</x:v>
      </x:c>
      <x:c r="B730" s="1" t="s">
        <x:v>6151</x:v>
      </x:c>
      <x:c r="C730" s="1" t="n">
        <x:v>1</x:v>
      </x:c>
      <x:c r="D730" s="1" t="s">
        <x:v>6698</x:v>
      </x:c>
    </x:row>
    <x:row r="731" ht="15" hidden="0" customHeight="1">
      <x:c r="A731" s="1" t="s">
        <x:v>3644</x:v>
      </x:c>
      <x:c r="B731" s="1" t="s">
        <x:v>6151</x:v>
      </x:c>
      <x:c r="C731" s="1" t="n">
        <x:v>1</x:v>
      </x:c>
      <x:c r="D731" s="1" t="s">
        <x:v>6698</x:v>
      </x:c>
    </x:row>
    <x:row r="732" ht="15" hidden="0" customHeight="1">
      <x:c r="A732" s="1" t="s">
        <x:v>3123</x:v>
      </x:c>
      <x:c r="B732" s="1" t="s">
        <x:v>6151</x:v>
      </x:c>
      <x:c r="C732" s="1" t="n">
        <x:v>1</x:v>
      </x:c>
      <x:c r="D732" s="1" t="s">
        <x:v>6698</x:v>
      </x:c>
    </x:row>
    <x:row r="733" ht="15" hidden="0" customHeight="1">
      <x:c r="A733" s="1" t="s">
        <x:v>422</x:v>
      </x:c>
      <x:c r="B733" s="1" t="s">
        <x:v>6151</x:v>
      </x:c>
      <x:c r="C733" s="1" t="n">
        <x:v>5</x:v>
      </x:c>
      <x:c r="D733" s="1" t="s">
        <x:v>6698</x:v>
      </x:c>
    </x:row>
    <x:row r="734" ht="15" hidden="0" customHeight="1">
      <x:c r="A734" s="1" t="s">
        <x:v>1975</x:v>
      </x:c>
      <x:c r="B734" s="1" t="s">
        <x:v>6151</x:v>
      </x:c>
      <x:c r="C734" s="1" t="n">
        <x:v>1</x:v>
      </x:c>
      <x:c r="D734" s="1" t="s">
        <x:v>6698</x:v>
      </x:c>
    </x:row>
    <x:row r="735" ht="15" hidden="0" customHeight="1">
      <x:c r="A735" s="1" t="s">
        <x:v>3126</x:v>
      </x:c>
      <x:c r="B735" s="1" t="s">
        <x:v>6151</x:v>
      </x:c>
      <x:c r="C735" s="1" t="n">
        <x:v>1</x:v>
      </x:c>
      <x:c r="D735" s="1" t="s">
        <x:v>6698</x:v>
      </x:c>
    </x:row>
    <x:row r="736" ht="15" hidden="0" customHeight="1">
      <x:c r="A736" s="1" t="s">
        <x:v>1808</x:v>
      </x:c>
      <x:c r="B736" s="1" t="s">
        <x:v>6151</x:v>
      </x:c>
      <x:c r="C736" s="1" t="n">
        <x:v>1</x:v>
      </x:c>
      <x:c r="D736" s="1" t="s">
        <x:v>6698</x:v>
      </x:c>
    </x:row>
    <x:row r="737" ht="15" hidden="0" customHeight="1">
      <x:c r="A737" s="1" t="s">
        <x:v>5381</x:v>
      </x:c>
      <x:c r="B737" s="1" t="s">
        <x:v>6151</x:v>
      </x:c>
      <x:c r="C737" s="1" t="n">
        <x:v>2</x:v>
      </x:c>
      <x:c r="D737" s="1" t="s">
        <x:v>6698</x:v>
      </x:c>
    </x:row>
    <x:row r="738" ht="15" hidden="0" customHeight="1">
      <x:c r="A738" s="1" t="s">
        <x:v>2300</x:v>
      </x:c>
      <x:c r="B738" s="1" t="s">
        <x:v>6151</x:v>
      </x:c>
      <x:c r="C738" s="1" t="n">
        <x:v>1</x:v>
      </x:c>
      <x:c r="D738" s="1" t="s">
        <x:v>6698</x:v>
      </x:c>
    </x:row>
    <x:row r="739" ht="15" hidden="0" customHeight="1">
      <x:c r="A739" s="1" t="s">
        <x:v>2304</x:v>
      </x:c>
      <x:c r="B739" s="1" t="s">
        <x:v>6151</x:v>
      </x:c>
      <x:c r="C739" s="1" t="n">
        <x:v>1</x:v>
      </x:c>
      <x:c r="D739" s="1" t="s">
        <x:v>6698</x:v>
      </x:c>
    </x:row>
    <x:row r="740" ht="15" hidden="0" customHeight="1">
      <x:c r="A740" s="1" t="s">
        <x:v>1973</x:v>
      </x:c>
      <x:c r="B740" s="1" t="s">
        <x:v>6151</x:v>
      </x:c>
      <x:c r="C740" s="1" t="n">
        <x:v>1</x:v>
      </x:c>
      <x:c r="D740" s="1" t="s">
        <x:v>6698</x:v>
      </x:c>
    </x:row>
    <x:row r="741" ht="15" hidden="0" customHeight="1">
      <x:c r="A741" s="1" t="s">
        <x:v>2259</x:v>
      </x:c>
      <x:c r="B741" s="1" t="s">
        <x:v>6151</x:v>
      </x:c>
      <x:c r="C741" s="1" t="n">
        <x:v>1</x:v>
      </x:c>
      <x:c r="D741" s="1" t="s">
        <x:v>6698</x:v>
      </x:c>
    </x:row>
    <x:row r="742" ht="15" hidden="0" customHeight="1">
      <x:c r="A742" s="1" t="s">
        <x:v>2297</x:v>
      </x:c>
      <x:c r="B742" s="1" t="s">
        <x:v>6151</x:v>
      </x:c>
      <x:c r="C742" s="1" t="n">
        <x:v>1</x:v>
      </x:c>
      <x:c r="D742" s="1" t="s">
        <x:v>6698</x:v>
      </x:c>
    </x:row>
    <x:row r="743" ht="15" hidden="0" customHeight="1">
      <x:c r="A743" s="1" t="s">
        <x:v>2302</x:v>
      </x:c>
      <x:c r="B743" s="1" t="s">
        <x:v>6151</x:v>
      </x:c>
      <x:c r="C743" s="1" t="n">
        <x:v>1</x:v>
      </x:c>
      <x:c r="D743" s="1" t="s">
        <x:v>6698</x:v>
      </x:c>
    </x:row>
    <x:row r="744" ht="15" hidden="0" customHeight="1">
      <x:c r="A744" s="1" t="s">
        <x:v>5290</x:v>
      </x:c>
      <x:c r="B744" s="1" t="s">
        <x:v>6151</x:v>
      </x:c>
      <x:c r="C744" s="1" t="n">
        <x:v>1</x:v>
      </x:c>
      <x:c r="D744" s="1" t="s">
        <x:v>6698</x:v>
      </x:c>
    </x:row>
    <x:row r="745" ht="15" hidden="0" customHeight="1">
      <x:c r="A745" s="1" t="s">
        <x:v>2262</x:v>
      </x:c>
      <x:c r="B745" s="1" t="s">
        <x:v>6151</x:v>
      </x:c>
      <x:c r="C745" s="1" t="n">
        <x:v>1</x:v>
      </x:c>
      <x:c r="D745" s="1" t="s">
        <x:v>6698</x:v>
      </x:c>
    </x:row>
    <x:row r="746" ht="15" hidden="0" customHeight="1">
      <x:c r="A746" s="1" t="s">
        <x:v>2169</x:v>
      </x:c>
      <x:c r="B746" s="1" t="s">
        <x:v>6151</x:v>
      </x:c>
      <x:c r="C746" s="1" t="n">
        <x:v>1</x:v>
      </x:c>
      <x:c r="D746" s="1" t="s">
        <x:v>6698</x:v>
      </x:c>
    </x:row>
    <x:row r="747" ht="15" hidden="0" customHeight="1">
      <x:c r="A747" s="1" t="s">
        <x:v>2173</x:v>
      </x:c>
      <x:c r="B747" s="1" t="s">
        <x:v>6151</x:v>
      </x:c>
      <x:c r="C747" s="1" t="n">
        <x:v>1</x:v>
      </x:c>
      <x:c r="D747" s="1" t="s">
        <x:v>6698</x:v>
      </x:c>
    </x:row>
    <x:row r="748" ht="15" hidden="0" customHeight="1">
      <x:c r="A748" s="1" t="s">
        <x:v>5297</x:v>
      </x:c>
      <x:c r="B748" s="1" t="s">
        <x:v>6151</x:v>
      </x:c>
      <x:c r="C748" s="1" t="n">
        <x:v>1</x:v>
      </x:c>
      <x:c r="D748" s="1" t="s">
        <x:v>6698</x:v>
      </x:c>
    </x:row>
    <x:row r="749" ht="15" hidden="0" customHeight="1">
      <x:c r="A749" s="1" t="s">
        <x:v>345</x:v>
      </x:c>
      <x:c r="B749" s="1" t="s">
        <x:v>6151</x:v>
      </x:c>
      <x:c r="C749" s="1" t="n">
        <x:v>3</x:v>
      </x:c>
      <x:c r="D749" s="1" t="s">
        <x:v>6698</x:v>
      </x:c>
    </x:row>
    <x:row r="750" ht="15" hidden="0" customHeight="1">
      <x:c r="A750" s="1" t="s">
        <x:v>1185</x:v>
      </x:c>
      <x:c r="B750" s="1" t="s">
        <x:v>6151</x:v>
      </x:c>
      <x:c r="C750" s="1" t="n">
        <x:v>1</x:v>
      </x:c>
      <x:c r="D750" s="1" t="s">
        <x:v>6698</x:v>
      </x:c>
    </x:row>
    <x:row r="751" ht="15" hidden="0" customHeight="1">
      <x:c r="A751" s="1" t="s">
        <x:v>1016</x:v>
      </x:c>
      <x:c r="B751" s="1" t="s">
        <x:v>6151</x:v>
      </x:c>
      <x:c r="C751" s="1" t="n">
        <x:v>2</x:v>
      </x:c>
      <x:c r="D751" s="1" t="s">
        <x:v>6698</x:v>
      </x:c>
    </x:row>
    <x:row r="752" ht="15" hidden="0" customHeight="1">
      <x:c r="A752" s="1" t="s">
        <x:v>1011</x:v>
      </x:c>
      <x:c r="B752" s="1" t="s">
        <x:v>6151</x:v>
      </x:c>
      <x:c r="C752" s="1" t="n">
        <x:v>2</x:v>
      </x:c>
      <x:c r="D752" s="1" t="s">
        <x:v>6698</x:v>
      </x:c>
    </x:row>
    <x:row r="753" ht="15" hidden="0" customHeight="1">
      <x:c r="A753" s="1" t="s">
        <x:v>5033</x:v>
      </x:c>
      <x:c r="B753" s="1" t="s">
        <x:v>6151</x:v>
      </x:c>
      <x:c r="C753" s="1" t="n">
        <x:v>1</x:v>
      </x:c>
      <x:c r="D753" s="1" t="s">
        <x:v>6698</x:v>
      </x:c>
    </x:row>
    <x:row r="754" ht="15" hidden="0" customHeight="1">
      <x:c r="A754" s="1" t="s">
        <x:v>5131</x:v>
      </x:c>
      <x:c r="B754" s="1" t="s">
        <x:v>6151</x:v>
      </x:c>
      <x:c r="C754" s="1" t="n">
        <x:v>2</x:v>
      </x:c>
      <x:c r="D754" s="1" t="s">
        <x:v>6698</x:v>
      </x:c>
    </x:row>
    <x:row r="755" ht="15" hidden="0" customHeight="1">
      <x:c r="A755" s="1" t="s">
        <x:v>4604</x:v>
      </x:c>
      <x:c r="B755" s="1" t="s">
        <x:v>6151</x:v>
      </x:c>
      <x:c r="C755" s="1" t="n">
        <x:v>1</x:v>
      </x:c>
      <x:c r="D755" s="1" t="s">
        <x:v>6698</x:v>
      </x:c>
    </x:row>
    <x:row r="756" ht="15" hidden="0" customHeight="1">
      <x:c r="A756" s="1" t="s">
        <x:v>2217</x:v>
      </x:c>
      <x:c r="B756" s="1" t="s">
        <x:v>6151</x:v>
      </x:c>
      <x:c r="C756" s="1" t="n">
        <x:v>1</x:v>
      </x:c>
      <x:c r="D756" s="1" t="s">
        <x:v>6698</x:v>
      </x:c>
    </x:row>
    <x:row r="757" ht="15" hidden="0" customHeight="1">
      <x:c r="A757" s="1" t="s">
        <x:v>2214</x:v>
      </x:c>
      <x:c r="B757" s="1" t="s">
        <x:v>6151</x:v>
      </x:c>
      <x:c r="C757" s="1" t="n">
        <x:v>1</x:v>
      </x:c>
      <x:c r="D757" s="1" t="s">
        <x:v>6698</x:v>
      </x:c>
    </x:row>
    <x:row r="758" ht="15" hidden="0" customHeight="1">
      <x:c r="A758" s="1" t="s">
        <x:v>5451</x:v>
      </x:c>
      <x:c r="B758" s="1" t="s">
        <x:v>6151</x:v>
      </x:c>
      <x:c r="C758" s="1" t="n">
        <x:v>1</x:v>
      </x:c>
      <x:c r="D758" s="1" t="s">
        <x:v>6698</x:v>
      </x:c>
    </x:row>
    <x:row r="759" ht="15" hidden="0" customHeight="1">
      <x:c r="A759" s="1" t="s">
        <x:v>5120</x:v>
      </x:c>
      <x:c r="B759" s="1" t="s">
        <x:v>6151</x:v>
      </x:c>
      <x:c r="C759" s="1" t="n">
        <x:v>1</x:v>
      </x:c>
      <x:c r="D759" s="1" t="s">
        <x:v>6698</x:v>
      </x:c>
    </x:row>
    <x:row r="760" ht="15" hidden="0" customHeight="1">
      <x:c r="A760" s="1" t="s">
        <x:v>5178</x:v>
      </x:c>
      <x:c r="B760" s="1" t="s">
        <x:v>6151</x:v>
      </x:c>
      <x:c r="C760" s="1" t="n">
        <x:v>1</x:v>
      </x:c>
      <x:c r="D760" s="1" t="s">
        <x:v>6698</x:v>
      </x:c>
    </x:row>
    <x:row r="761" ht="15" hidden="0" customHeight="1">
      <x:c r="A761" s="1" t="s">
        <x:v>4682</x:v>
      </x:c>
      <x:c r="B761" s="1" t="s">
        <x:v>6151</x:v>
      </x:c>
      <x:c r="C761" s="1" t="n">
        <x:v>1</x:v>
      </x:c>
      <x:c r="D761" s="1" t="s">
        <x:v>6698</x:v>
      </x:c>
    </x:row>
    <x:row r="762" ht="15" hidden="0" customHeight="1">
      <x:c r="A762" s="1" t="s">
        <x:v>4768</x:v>
      </x:c>
      <x:c r="B762" s="1" t="s">
        <x:v>6151</x:v>
      </x:c>
      <x:c r="C762" s="1" t="n">
        <x:v>1</x:v>
      </x:c>
      <x:c r="D762" s="1" t="s">
        <x:v>6698</x:v>
      </x:c>
    </x:row>
    <x:row r="763" ht="15" hidden="0" customHeight="1">
      <x:c r="A763" s="1" t="s">
        <x:v>5258</x:v>
      </x:c>
      <x:c r="B763" s="1" t="s">
        <x:v>6151</x:v>
      </x:c>
      <x:c r="C763" s="1" t="n">
        <x:v>1</x:v>
      </x:c>
      <x:c r="D763" s="1" t="s">
        <x:v>6698</x:v>
      </x:c>
    </x:row>
    <x:row r="764" ht="15" hidden="0" customHeight="1">
      <x:c r="A764" s="1" t="s">
        <x:v>5065</x:v>
      </x:c>
      <x:c r="B764" s="1" t="s">
        <x:v>6151</x:v>
      </x:c>
      <x:c r="C764" s="1" t="n">
        <x:v>1</x:v>
      </x:c>
      <x:c r="D764" s="1" t="s">
        <x:v>6698</x:v>
      </x:c>
    </x:row>
    <x:row r="765" ht="15" hidden="0" customHeight="1">
      <x:c r="A765" s="1" t="s">
        <x:v>5074</x:v>
      </x:c>
      <x:c r="B765" s="1" t="s">
        <x:v>6151</x:v>
      </x:c>
      <x:c r="C765" s="1" t="n">
        <x:v>1</x:v>
      </x:c>
      <x:c r="D765" s="1" t="s">
        <x:v>6698</x:v>
      </x:c>
    </x:row>
    <x:row r="766" ht="15" hidden="0" customHeight="1">
      <x:c r="A766" s="1" t="s">
        <x:v>1027</x:v>
      </x:c>
      <x:c r="B766" s="1" t="s">
        <x:v>6151</x:v>
      </x:c>
      <x:c r="C766" s="1" t="n">
        <x:v>2</x:v>
      </x:c>
      <x:c r="D766" s="1" t="s">
        <x:v>6698</x:v>
      </x:c>
    </x:row>
    <x:row r="767" ht="15" hidden="0" customHeight="1">
      <x:c r="A767" s="1" t="s">
        <x:v>1024</x:v>
      </x:c>
      <x:c r="B767" s="1" t="s">
        <x:v>6151</x:v>
      </x:c>
      <x:c r="C767" s="1" t="n">
        <x:v>2</x:v>
      </x:c>
      <x:c r="D767" s="1" t="s">
        <x:v>6698</x:v>
      </x:c>
    </x:row>
    <x:row r="768" ht="15" hidden="0" customHeight="1">
      <x:c r="A768" s="1" t="s">
        <x:v>4867</x:v>
      </x:c>
      <x:c r="B768" s="1" t="s">
        <x:v>6151</x:v>
      </x:c>
      <x:c r="C768" s="1" t="n">
        <x:v>1</x:v>
      </x:c>
      <x:c r="D768" s="1" t="s">
        <x:v>6698</x:v>
      </x:c>
    </x:row>
    <x:row r="769" ht="15" hidden="0" customHeight="1">
      <x:c r="A769" s="1" t="s">
        <x:v>5091</x:v>
      </x:c>
      <x:c r="B769" s="1" t="s">
        <x:v>6151</x:v>
      </x:c>
      <x:c r="C769" s="1" t="n">
        <x:v>1</x:v>
      </x:c>
      <x:c r="D769" s="1" t="s">
        <x:v>6698</x:v>
      </x:c>
    </x:row>
    <x:row r="770" ht="15" hidden="0" customHeight="1">
      <x:c r="A770" s="1" t="s">
        <x:v>4692</x:v>
      </x:c>
      <x:c r="B770" s="1" t="s">
        <x:v>6151</x:v>
      </x:c>
      <x:c r="C770" s="1" t="n">
        <x:v>1</x:v>
      </x:c>
      <x:c r="D770" s="1" t="s">
        <x:v>6698</x:v>
      </x:c>
    </x:row>
    <x:row r="771" ht="15" hidden="0" customHeight="1">
      <x:c r="A771" s="1" t="s">
        <x:v>4870</x:v>
      </x:c>
      <x:c r="B771" s="1" t="s">
        <x:v>6151</x:v>
      </x:c>
      <x:c r="C771" s="1" t="n">
        <x:v>1</x:v>
      </x:c>
      <x:c r="D771" s="1" t="s">
        <x:v>6698</x:v>
      </x:c>
    </x:row>
    <x:row r="772" ht="15" hidden="0" customHeight="1">
      <x:c r="A772" s="1" t="s">
        <x:v>4882</x:v>
      </x:c>
      <x:c r="B772" s="1" t="s">
        <x:v>6151</x:v>
      </x:c>
      <x:c r="C772" s="1" t="n">
        <x:v>1</x:v>
      </x:c>
      <x:c r="D772" s="1" t="s">
        <x:v>6698</x:v>
      </x:c>
    </x:row>
    <x:row r="773" ht="15" hidden="0" customHeight="1">
      <x:c r="A773" s="1" t="s">
        <x:v>2223</x:v>
      </x:c>
      <x:c r="B773" s="1" t="s">
        <x:v>6151</x:v>
      </x:c>
      <x:c r="C773" s="1" t="n">
        <x:v>1</x:v>
      </x:c>
      <x:c r="D773" s="1" t="s">
        <x:v>6698</x:v>
      </x:c>
    </x:row>
    <x:row r="774" ht="15" hidden="0" customHeight="1">
      <x:c r="A774" s="1" t="s">
        <x:v>2416</x:v>
      </x:c>
      <x:c r="B774" s="1" t="s">
        <x:v>6151</x:v>
      </x:c>
      <x:c r="C774" s="1" t="n">
        <x:v>1</x:v>
      </x:c>
      <x:c r="D774" s="1" t="s">
        <x:v>6698</x:v>
      </x:c>
    </x:row>
    <x:row r="775" ht="15" hidden="0" customHeight="1">
      <x:c r="A775" s="1" t="s">
        <x:v>1047</x:v>
      </x:c>
      <x:c r="B775" s="1" t="s">
        <x:v>6151</x:v>
      </x:c>
      <x:c r="C775" s="1" t="n">
        <x:v>2</x:v>
      </x:c>
      <x:c r="D775" s="1" t="s">
        <x:v>6698</x:v>
      </x:c>
    </x:row>
    <x:row r="776" ht="15" hidden="0" customHeight="1">
      <x:c r="A776" s="1" t="s">
        <x:v>1044</x:v>
      </x:c>
      <x:c r="B776" s="1" t="s">
        <x:v>6151</x:v>
      </x:c>
      <x:c r="C776" s="1" t="n">
        <x:v>2</x:v>
      </x:c>
      <x:c r="D776" s="1" t="s">
        <x:v>6698</x:v>
      </x:c>
    </x:row>
    <x:row r="777" ht="15" hidden="0" customHeight="1">
      <x:c r="A777" s="1" t="s">
        <x:v>4933</x:v>
      </x:c>
      <x:c r="B777" s="1" t="s">
        <x:v>6121</x:v>
      </x:c>
      <x:c r="C777" s="1" t="n">
        <x:v>1</x:v>
      </x:c>
      <x:c r="D777" s="1" t="s">
        <x:v>6698</x:v>
      </x:c>
    </x:row>
    <x:row r="778" ht="15" hidden="0" customHeight="1">
      <x:c r="A778" s="1" t="s">
        <x:v>1737</x:v>
      </x:c>
      <x:c r="B778" s="1" t="s">
        <x:v>6121</x:v>
      </x:c>
      <x:c r="C778" s="1" t="n">
        <x:v>1</x:v>
      </x:c>
      <x:c r="D778" s="1" t="s">
        <x:v>6698</x:v>
      </x:c>
    </x:row>
    <x:row r="779" ht="15" hidden="0" customHeight="1">
      <x:c r="A779" s="1" t="s">
        <x:v>1740</x:v>
      </x:c>
      <x:c r="B779" s="1" t="s">
        <x:v>6121</x:v>
      </x:c>
      <x:c r="C779" s="1" t="n">
        <x:v>1</x:v>
      </x:c>
      <x:c r="D779" s="1" t="s">
        <x:v>6698</x:v>
      </x:c>
    </x:row>
    <x:row r="780" ht="15" hidden="0" customHeight="1">
      <x:c r="A780" s="1" t="s">
        <x:v>4937</x:v>
      </x:c>
      <x:c r="B780" s="1" t="s">
        <x:v>6121</x:v>
      </x:c>
      <x:c r="C780" s="1" t="n">
        <x:v>1</x:v>
      </x:c>
      <x:c r="D780" s="1" t="s">
        <x:v>6698</x:v>
      </x:c>
    </x:row>
    <x:row r="781" ht="15" hidden="0" customHeight="1">
      <x:c r="A781" s="1" t="s">
        <x:v>4929</x:v>
      </x:c>
      <x:c r="B781" s="1" t="s">
        <x:v>6121</x:v>
      </x:c>
      <x:c r="C781" s="1" t="n">
        <x:v>1</x:v>
      </x:c>
      <x:c r="D781" s="1" t="s">
        <x:v>6698</x:v>
      </x:c>
    </x:row>
    <x:row r="782" ht="15" hidden="0" customHeight="1">
      <x:c r="A782" s="1" t="s">
        <x:v>4926</x:v>
      </x:c>
      <x:c r="B782" s="1" t="s">
        <x:v>6121</x:v>
      </x:c>
      <x:c r="C782" s="1" t="n">
        <x:v>2</x:v>
      </x:c>
      <x:c r="D782" s="1" t="s">
        <x:v>6698</x:v>
      </x:c>
    </x:row>
    <x:row r="783" ht="15" hidden="0" customHeight="1">
      <x:c r="A783" s="1" t="s">
        <x:v>4555</x:v>
      </x:c>
      <x:c r="B783" s="1" t="s">
        <x:v>6121</x:v>
      </x:c>
      <x:c r="C783" s="1" t="n">
        <x:v>5</x:v>
      </x:c>
      <x:c r="D783" s="1" t="s">
        <x:v>6698</x:v>
      </x:c>
    </x:row>
    <x:row r="784" ht="15" hidden="0" customHeight="1">
      <x:c r="A784" s="1" t="s">
        <x:v>4562</x:v>
      </x:c>
      <x:c r="B784" s="1" t="s">
        <x:v>6121</x:v>
      </x:c>
      <x:c r="C784" s="1" t="n">
        <x:v>2</x:v>
      </x:c>
      <x:c r="D784" s="1" t="s">
        <x:v>6698</x:v>
      </x:c>
    </x:row>
    <x:row r="785" ht="15" hidden="0" customHeight="1">
      <x:c r="A785" s="1" t="s">
        <x:v>764</x:v>
      </x:c>
      <x:c r="B785" s="1" t="s">
        <x:v>6146</x:v>
      </x:c>
      <x:c r="C785" s="1" t="n">
        <x:v>5</x:v>
      </x:c>
      <x:c r="D785" s="1" t="s">
        <x:v>6698</x:v>
      </x:c>
    </x:row>
    <x:row r="786" ht="15" hidden="0" customHeight="1">
      <x:c r="A786" s="1" t="s">
        <x:v>546</x:v>
      </x:c>
      <x:c r="B786" s="1" t="s">
        <x:v>6700</x:v>
      </x:c>
      <x:c r="C786" s="1" t="n">
        <x:v>3</x:v>
      </x:c>
      <x:c r="D786" s="1" t="s">
        <x:v>6698</x:v>
      </x:c>
    </x:row>
    <x:row r="787" ht="15" hidden="0" customHeight="1">
      <x:c r="A787" s="1" t="s">
        <x:v>549</x:v>
      </x:c>
      <x:c r="B787" s="1" t="s">
        <x:v>6148</x:v>
      </x:c>
      <x:c r="C787" s="1" t="n">
        <x:v>6</x:v>
      </x:c>
      <x:c r="D787" s="1" t="s">
        <x:v>6698</x:v>
      </x:c>
    </x:row>
    <x:row r="788" ht="15" hidden="0" customHeight="1">
      <x:c r="A788" s="1" t="s">
        <x:v>3789</x:v>
      </x:c>
      <x:c r="B788" s="1" t="s">
        <x:v>6147</x:v>
      </x:c>
      <x:c r="C788" s="1" t="n">
        <x:v>1</x:v>
      </x:c>
      <x:c r="D788" s="1" t="s">
        <x:v>6698</x:v>
      </x:c>
    </x:row>
    <x:row r="789" ht="15" hidden="0" customHeight="1">
      <x:c r="A789" s="1" t="s">
        <x:v>768</x:v>
      </x:c>
      <x:c r="B789" s="1" t="s">
        <x:v>6147</x:v>
      </x:c>
      <x:c r="C789" s="1" t="n">
        <x:v>5</x:v>
      </x:c>
      <x:c r="D789" s="1" t="s">
        <x:v>6698</x:v>
      </x:c>
    </x:row>
    <x:row r="790" ht="15" hidden="0" customHeight="1">
      <x:c r="A790" s="1" t="s">
        <x:v>3777</x:v>
      </x:c>
      <x:c r="B790" s="1" t="s">
        <x:v>6147</x:v>
      </x:c>
      <x:c r="C790" s="1" t="n">
        <x:v>1</x:v>
      </x:c>
      <x:c r="D790" s="1" t="s">
        <x:v>6698</x:v>
      </x:c>
    </x:row>
    <x:row r="791" ht="15" hidden="0" customHeight="1">
      <x:c r="A791" s="1" t="s">
        <x:v>3781</x:v>
      </x:c>
      <x:c r="B791" s="1" t="s">
        <x:v>6147</x:v>
      </x:c>
      <x:c r="C791" s="1" t="n">
        <x:v>1</x:v>
      </x:c>
      <x:c r="D791" s="1" t="s">
        <x:v>6698</x:v>
      </x:c>
    </x:row>
    <x:row r="792" ht="15" hidden="0" customHeight="1">
      <x:c r="A792" s="1" t="s">
        <x:v>1096</x:v>
      </x:c>
      <x:c r="B792" s="1" t="s">
        <x:v>6145</x:v>
      </x:c>
      <x:c r="C792" s="1" t="n">
        <x:v>4</x:v>
      </x:c>
      <x:c r="D792" s="1" t="s">
        <x:v>6698</x:v>
      </x:c>
    </x:row>
    <x:row r="793" ht="15" hidden="0" customHeight="1">
      <x:c r="A793" s="1" t="s">
        <x:v>3791</x:v>
      </x:c>
      <x:c r="B793" s="1" t="s">
        <x:v>6148</x:v>
      </x:c>
      <x:c r="C793" s="1" t="n">
        <x:v>1</x:v>
      </x:c>
      <x:c r="D793" s="1" t="s">
        <x:v>6698</x:v>
      </x:c>
    </x:row>
    <x:row r="794" ht="15" hidden="0" customHeight="1">
      <x:c r="A794" s="1" t="s">
        <x:v>2885</x:v>
      </x:c>
      <x:c r="B794" s="1" t="s">
        <x:v>6701</x:v>
      </x:c>
      <x:c r="C794" s="1" t="n">
        <x:v>1</x:v>
      </x:c>
      <x:c r="D794" s="1" t="s">
        <x:v>6698</x:v>
      </x:c>
    </x:row>
    <x:row r="795" ht="15" hidden="0" customHeight="1">
      <x:c r="A795" s="1" t="s">
        <x:v>2069</x:v>
      </x:c>
      <x:c r="B795" s="1" t="s">
        <x:v>6701</x:v>
      </x:c>
      <x:c r="C795" s="1" t="n">
        <x:v>1</x:v>
      </x:c>
      <x:c r="D795" s="1" t="s">
        <x:v>6698</x:v>
      </x:c>
    </x:row>
    <x:row r="796" ht="15" hidden="0" customHeight="1">
      <x:c r="A796" s="1" t="s">
        <x:v>411</x:v>
      </x:c>
      <x:c r="B796" s="1" t="s">
        <x:v>6701</x:v>
      </x:c>
      <x:c r="C796" s="1" t="n">
        <x:v>2</x:v>
      </x:c>
      <x:c r="D796" s="1" t="s">
        <x:v>6698</x:v>
      </x:c>
    </x:row>
    <x:row r="797" ht="15" hidden="0" customHeight="1">
      <x:c r="A797" s="1" t="s">
        <x:v>3573</x:v>
      </x:c>
      <x:c r="B797" s="1" t="s">
        <x:v>990</x:v>
      </x:c>
      <x:c r="C797" s="1" t="n">
        <x:v>1</x:v>
      </x:c>
      <x:c r="D797" s="1" t="s">
        <x:v>6698</x:v>
      </x:c>
    </x:row>
    <x:row r="798" ht="15" hidden="0" customHeight="1">
      <x:c r="A798" s="1" t="s">
        <x:v>2614</x:v>
      </x:c>
      <x:c r="B798" s="1" t="s">
        <x:v>6135</x:v>
      </x:c>
      <x:c r="C798" s="1" t="n">
        <x:v>1</x:v>
      </x:c>
      <x:c r="D798" s="1" t="s">
        <x:v>6698</x:v>
      </x:c>
    </x:row>
    <x:row r="799" ht="15" hidden="0" customHeight="1">
      <x:c r="A799" s="1" t="s">
        <x:v>167</x:v>
      </x:c>
      <x:c r="B799" s="1" t="s">
        <x:v>6135</x:v>
      </x:c>
      <x:c r="C799" s="1" t="n">
        <x:v>33</x:v>
      </x:c>
      <x:c r="D799" s="1" t="s">
        <x:v>6698</x:v>
      </x:c>
    </x:row>
    <x:row r="800" ht="15" hidden="0" customHeight="1">
      <x:c r="A800" s="1" t="s">
        <x:v>1655</x:v>
      </x:c>
      <x:c r="B800" s="1" t="s">
        <x:v>6135</x:v>
      </x:c>
      <x:c r="C800" s="1" t="n">
        <x:v>2</x:v>
      </x:c>
      <x:c r="D800" s="1" t="s">
        <x:v>6698</x:v>
      </x:c>
    </x:row>
    <x:row r="801" ht="15" hidden="0" customHeight="1">
      <x:c r="A801" s="1" t="s">
        <x:v>2735</x:v>
      </x:c>
      <x:c r="B801" s="1" t="s">
        <x:v>990</x:v>
      </x:c>
      <x:c r="C801" s="1" t="n">
        <x:v>1</x:v>
      </x:c>
      <x:c r="D801" s="1" t="s">
        <x:v>6698</x:v>
      </x:c>
    </x:row>
    <x:row r="802" ht="15" hidden="0" customHeight="1">
      <x:c r="A802" s="1" t="s">
        <x:v>1366</x:v>
      </x:c>
      <x:c r="B802" s="1" t="s">
        <x:v>6701</x:v>
      </x:c>
      <x:c r="C802" s="1" t="n">
        <x:v>2</x:v>
      </x:c>
      <x:c r="D802" s="1" t="s">
        <x:v>6698</x:v>
      </x:c>
    </x:row>
    <x:row r="803" ht="15" hidden="0" customHeight="1">
      <x:c r="A803" s="1" t="s">
        <x:v>1368</x:v>
      </x:c>
      <x:c r="B803" s="1" t="s">
        <x:v>6701</x:v>
      </x:c>
      <x:c r="C803" s="1" t="n">
        <x:v>2</x:v>
      </x:c>
      <x:c r="D803" s="1" t="s">
        <x:v>6698</x:v>
      </x:c>
    </x:row>
    <x:row r="804" ht="15" hidden="0" customHeight="1">
      <x:c r="A804" s="1" t="s">
        <x:v>3509</x:v>
      </x:c>
      <x:c r="B804" s="1" t="s">
        <x:v>6135</x:v>
      </x:c>
      <x:c r="C804" s="1" t="n">
        <x:v>1</x:v>
      </x:c>
      <x:c r="D804" s="1" t="s">
        <x:v>6698</x:v>
      </x:c>
    </x:row>
    <x:row r="805" ht="15" hidden="0" customHeight="1">
      <x:c r="A805" s="1" t="s">
        <x:v>3511</x:v>
      </x:c>
      <x:c r="B805" s="1" t="s">
        <x:v>990</x:v>
      </x:c>
      <x:c r="C805" s="1" t="n">
        <x:v>1</x:v>
      </x:c>
      <x:c r="D805" s="1" t="s">
        <x:v>6698</x:v>
      </x:c>
    </x:row>
    <x:row r="806" ht="15" hidden="0" customHeight="1">
      <x:c r="A806" s="1" t="s">
        <x:v>3403</x:v>
      </x:c>
      <x:c r="B806" s="1" t="s">
        <x:v>6133</x:v>
      </x:c>
      <x:c r="C806" s="1" t="n">
        <x:v>1</x:v>
      </x:c>
      <x:c r="D806" s="1" t="s">
        <x:v>6698</x:v>
      </x:c>
    </x:row>
    <x:row r="807" ht="15" hidden="0" customHeight="1">
      <x:c r="A807" s="1" t="s">
        <x:v>3405</x:v>
      </x:c>
      <x:c r="B807" s="1" t="s">
        <x:v>990</x:v>
      </x:c>
      <x:c r="C807" s="1" t="n">
        <x:v>1</x:v>
      </x:c>
      <x:c r="D807" s="1" t="s">
        <x:v>6698</x:v>
      </x:c>
    </x:row>
    <x:row r="808" ht="15" hidden="0" customHeight="1">
      <x:c r="A808" s="1" t="s">
        <x:v>4817</x:v>
      </x:c>
      <x:c r="B808" s="1" t="s">
        <x:v>6137</x:v>
      </x:c>
      <x:c r="C808" s="1" t="n">
        <x:v>2</x:v>
      </x:c>
      <x:c r="D808" s="1" t="s">
        <x:v>6698</x:v>
      </x:c>
    </x:row>
    <x:row r="809" ht="15" hidden="0" customHeight="1">
      <x:c r="A809" s="1" t="s">
        <x:v>5203</x:v>
      </x:c>
      <x:c r="B809" s="1" t="s">
        <x:v>6701</x:v>
      </x:c>
      <x:c r="C809" s="1" t="n">
        <x:v>1</x:v>
      </x:c>
      <x:c r="D809" s="1" t="s">
        <x:v>6698</x:v>
      </x:c>
    </x:row>
    <x:row r="810" ht="15" hidden="0" customHeight="1">
      <x:c r="A810" s="1" t="s">
        <x:v>1382</x:v>
      </x:c>
      <x:c r="B810" s="1" t="s">
        <x:v>990</x:v>
      </x:c>
      <x:c r="C810" s="1" t="n">
        <x:v>2</x:v>
      </x:c>
      <x:c r="D810" s="1" t="s">
        <x:v>6698</x:v>
      </x:c>
    </x:row>
    <x:row r="811" ht="15" hidden="0" customHeight="1">
      <x:c r="A811" s="1" t="s">
        <x:v>1378</x:v>
      </x:c>
      <x:c r="B811" s="1" t="s">
        <x:v>6701</x:v>
      </x:c>
      <x:c r="C811" s="1" t="n">
        <x:v>1</x:v>
      </x:c>
      <x:c r="D811" s="1" t="s">
        <x:v>6698</x:v>
      </x:c>
    </x:row>
    <x:row r="812" ht="15" hidden="0" customHeight="1">
      <x:c r="A812" s="1" t="s">
        <x:v>2888</x:v>
      </x:c>
      <x:c r="B812" s="1" t="s">
        <x:v>6701</x:v>
      </x:c>
      <x:c r="C812" s="1" t="n">
        <x:v>1</x:v>
      </x:c>
      <x:c r="D812" s="1" t="s">
        <x:v>6698</x:v>
      </x:c>
    </x:row>
    <x:row r="813" ht="15" hidden="0" customHeight="1">
      <x:c r="A813" s="1" t="s">
        <x:v>2619</x:v>
      </x:c>
      <x:c r="B813" s="1" t="s">
        <x:v>6701</x:v>
      </x:c>
      <x:c r="C813" s="1" t="n">
        <x:v>1</x:v>
      </x:c>
      <x:c r="D813" s="1" t="s">
        <x:v>6698</x:v>
      </x:c>
    </x:row>
    <x:row r="814" ht="15" hidden="0" customHeight="1">
      <x:c r="A814" s="1" t="s">
        <x:v>2120</x:v>
      </x:c>
      <x:c r="B814" s="1" t="s">
        <x:v>6701</x:v>
      </x:c>
      <x:c r="C814" s="1" t="n">
        <x:v>1</x:v>
      </x:c>
      <x:c r="D814" s="1" t="s">
        <x:v>6698</x:v>
      </x:c>
    </x:row>
    <x:row r="815" ht="15" hidden="0" customHeight="1">
      <x:c r="A815" s="1" t="s">
        <x:v>992</x:v>
      </x:c>
      <x:c r="B815" s="1" t="s">
        <x:v>6702</x:v>
      </x:c>
      <x:c r="C815" s="1" t="n">
        <x:v>3</x:v>
      </x:c>
      <x:c r="D815" s="1" t="s">
        <x:v>6698</x:v>
      </x:c>
    </x:row>
    <x:row r="816" ht="15" hidden="0" customHeight="1">
      <x:c r="A816" s="1" t="s">
        <x:v>3911</x:v>
      </x:c>
      <x:c r="B816" s="1" t="s">
        <x:v>6702</x:v>
      </x:c>
      <x:c r="C816" s="1" t="n">
        <x:v>1</x:v>
      </x:c>
      <x:c r="D816" s="1" t="s">
        <x:v>6698</x:v>
      </x:c>
    </x:row>
    <x:row r="817" ht="15" hidden="0" customHeight="1">
      <x:c r="A817" s="1" t="s">
        <x:v>2114</x:v>
      </x:c>
      <x:c r="B817" s="1" t="s">
        <x:v>6701</x:v>
      </x:c>
      <x:c r="C817" s="1" t="n">
        <x:v>3</x:v>
      </x:c>
      <x:c r="D817" s="1" t="s">
        <x:v>6698</x:v>
      </x:c>
    </x:row>
    <x:row r="818" ht="15" hidden="0" customHeight="1">
      <x:c r="A818" s="1" t="s">
        <x:v>995</x:v>
      </x:c>
      <x:c r="B818" s="1" t="s">
        <x:v>990</x:v>
      </x:c>
      <x:c r="C818" s="1" t="n">
        <x:v>1</x:v>
      </x:c>
      <x:c r="D818" s="1" t="s">
        <x:v>6698</x:v>
      </x:c>
    </x:row>
    <x:row r="819" ht="15" hidden="0" customHeight="1">
      <x:c r="A819" s="1" t="s">
        <x:v>170</x:v>
      </x:c>
      <x:c r="B819" s="1" t="s">
        <x:v>990</x:v>
      </x:c>
      <x:c r="C819" s="1" t="n">
        <x:v>26</x:v>
      </x:c>
      <x:c r="D819" s="1" t="s">
        <x:v>6698</x:v>
      </x:c>
    </x:row>
    <x:row r="820" ht="15" hidden="0" customHeight="1">
      <x:c r="A820" s="1" t="s">
        <x:v>1660</x:v>
      </x:c>
      <x:c r="B820" s="1" t="s">
        <x:v>990</x:v>
      </x:c>
      <x:c r="C820" s="1" t="n">
        <x:v>1</x:v>
      </x:c>
      <x:c r="D820" s="1" t="s">
        <x:v>6698</x:v>
      </x:c>
    </x:row>
    <x:row r="821" ht="15" hidden="0" customHeight="1">
      <x:c r="A821" s="1" t="s">
        <x:v>2561</x:v>
      </x:c>
      <x:c r="B821" s="1" t="s">
        <x:v>990</x:v>
      </x:c>
      <x:c r="C821" s="1" t="n">
        <x:v>1</x:v>
      </x:c>
      <x:c r="D821" s="1" t="s">
        <x:v>6698</x:v>
      </x:c>
    </x:row>
    <x:row r="822" ht="15" hidden="0" customHeight="1">
      <x:c r="A822" s="1" t="s">
        <x:v>3831</x:v>
      </x:c>
      <x:c r="B822" s="1" t="s">
        <x:v>990</x:v>
      </x:c>
      <x:c r="C822" s="1" t="n">
        <x:v>1</x:v>
      </x:c>
      <x:c r="D822" s="1" t="s">
        <x:v>6698</x:v>
      </x:c>
    </x:row>
    <x:row r="823" ht="15" hidden="0" customHeight="1">
      <x:c r="A823" s="1" t="s">
        <x:v>2617</x:v>
      </x:c>
      <x:c r="B823" s="1" t="s">
        <x:v>990</x:v>
      </x:c>
      <x:c r="C823" s="1" t="n">
        <x:v>1</x:v>
      </x:c>
      <x:c r="D823" s="1" t="s">
        <x:v>6698</x:v>
      </x:c>
    </x:row>
    <x:row r="824" ht="15" hidden="0" customHeight="1">
      <x:c r="A824" s="1" t="s">
        <x:v>2563</x:v>
      </x:c>
      <x:c r="B824" s="1" t="s">
        <x:v>990</x:v>
      </x:c>
      <x:c r="C824" s="1" t="n">
        <x:v>1</x:v>
      </x:c>
      <x:c r="D824" s="1" t="s">
        <x:v>6698</x:v>
      </x:c>
    </x:row>
    <x:row r="825" ht="15" hidden="0" customHeight="1">
      <x:c r="A825" s="1" t="s">
        <x:v>1658</x:v>
      </x:c>
      <x:c r="B825" s="1" t="s">
        <x:v>990</x:v>
      </x:c>
      <x:c r="C825" s="1" t="n">
        <x:v>1</x:v>
      </x:c>
      <x:c r="D825" s="1" t="s">
        <x:v>6698</x:v>
      </x:c>
    </x:row>
    <x:row r="826" ht="15" hidden="0" customHeight="1">
      <x:c r="A826" s="1" t="s">
        <x:v>329</x:v>
      </x:c>
      <x:c r="B826" s="1" t="s">
        <x:v>6701</x:v>
      </x:c>
      <x:c r="C826" s="1" t="n">
        <x:v>1</x:v>
      </x:c>
      <x:c r="D826" s="1" t="s">
        <x:v>6698</x:v>
      </x:c>
    </x:row>
    <x:row r="827" ht="15" hidden="0" customHeight="1">
      <x:c r="A827" s="1" t="s">
        <x:v>1662</x:v>
      </x:c>
      <x:c r="B827" s="1" t="s">
        <x:v>6133</x:v>
      </x:c>
      <x:c r="C827" s="1" t="n">
        <x:v>1</x:v>
      </x:c>
      <x:c r="D827" s="1" t="s">
        <x:v>6698</x:v>
      </x:c>
    </x:row>
    <x:row r="828" ht="15" hidden="0" customHeight="1">
      <x:c r="A828" s="1" t="s">
        <x:v>1664</x:v>
      </x:c>
      <x:c r="B828" s="1" t="s">
        <x:v>6133</x:v>
      </x:c>
      <x:c r="C828" s="1" t="n">
        <x:v>1</x:v>
      </x:c>
      <x:c r="D828" s="1" t="s">
        <x:v>6698</x:v>
      </x:c>
    </x:row>
    <x:row r="829" ht="15" hidden="0" customHeight="1">
      <x:c r="A829" s="1" t="s">
        <x:v>173</x:v>
      </x:c>
      <x:c r="B829" s="1" t="s">
        <x:v>6136</x:v>
      </x:c>
      <x:c r="C829" s="1" t="n">
        <x:v>3</x:v>
      </x:c>
      <x:c r="D829" s="1" t="s">
        <x:v>6698</x:v>
      </x:c>
    </x:row>
    <x:row r="830" ht="15" hidden="0" customHeight="1">
      <x:c r="A830" s="1" t="s">
        <x:v>326</x:v>
      </x:c>
      <x:c r="B830" s="1" t="s">
        <x:v>6136</x:v>
      </x:c>
      <x:c r="C830" s="1" t="n">
        <x:v>2</x:v>
      </x:c>
      <x:c r="D830" s="1" t="s">
        <x:v>6698</x:v>
      </x:c>
    </x:row>
    <x:row r="831" ht="15" hidden="0" customHeight="1">
      <x:c r="A831" s="1" t="s">
        <x:v>3115</x:v>
      </x:c>
      <x:c r="B831" s="1" t="s">
        <x:v>6136</x:v>
      </x:c>
      <x:c r="C831" s="1" t="n">
        <x:v>1</x:v>
      </x:c>
      <x:c r="D831" s="1" t="s">
        <x:v>6698</x:v>
      </x:c>
    </x:row>
    <x:row r="832" ht="15" hidden="0" customHeight="1">
      <x:c r="A832" s="1" t="s">
        <x:v>986</x:v>
      </x:c>
      <x:c r="B832" s="1" t="s">
        <x:v>6136</x:v>
      </x:c>
      <x:c r="C832" s="1" t="n">
        <x:v>1</x:v>
      </x:c>
      <x:c r="D832" s="1" t="s">
        <x:v>6698</x:v>
      </x:c>
    </x:row>
    <x:row r="833" ht="15" hidden="0" customHeight="1">
      <x:c r="A833" s="1" t="s">
        <x:v>405</x:v>
      </x:c>
      <x:c r="B833" s="1" t="s">
        <x:v>6701</x:v>
      </x:c>
      <x:c r="C833" s="1" t="n">
        <x:v>1</x:v>
      </x:c>
      <x:c r="D833" s="1" t="s">
        <x:v>6698</x:v>
      </x:c>
    </x:row>
    <x:row r="834" ht="15" hidden="0" customHeight="1">
      <x:c r="A834" s="1" t="s">
        <x:v>1889</x:v>
      </x:c>
      <x:c r="B834" s="1" t="s">
        <x:v>6136</x:v>
      </x:c>
      <x:c r="C834" s="1" t="n">
        <x:v>16</x:v>
      </x:c>
      <x:c r="D834" s="1" t="s">
        <x:v>6698</x:v>
      </x:c>
    </x:row>
    <x:row r="835" ht="15" hidden="0" customHeight="1">
      <x:c r="A835" s="1" t="s">
        <x:v>3112</x:v>
      </x:c>
      <x:c r="B835" s="1" t="s">
        <x:v>6136</x:v>
      </x:c>
      <x:c r="C835" s="1" t="n">
        <x:v>1</x:v>
      </x:c>
      <x:c r="D835" s="1" t="s">
        <x:v>6698</x:v>
      </x:c>
    </x:row>
    <x:row r="836" ht="15" hidden="0" customHeight="1">
      <x:c r="A836" s="1" t="s">
        <x:v>1674</x:v>
      </x:c>
      <x:c r="B836" s="1" t="s">
        <x:v>6136</x:v>
      </x:c>
      <x:c r="C836" s="1" t="n">
        <x:v>1</x:v>
      </x:c>
      <x:c r="D836" s="1" t="s">
        <x:v>6698</x:v>
      </x:c>
    </x:row>
    <x:row r="837" ht="15" hidden="0" customHeight="1">
      <x:c r="A837" s="1" t="s">
        <x:v>1666</x:v>
      </x:c>
      <x:c r="B837" s="1" t="s">
        <x:v>6136</x:v>
      </x:c>
      <x:c r="C837" s="1" t="n">
        <x:v>1</x:v>
      </x:c>
      <x:c r="D837" s="1" t="s">
        <x:v>6698</x:v>
      </x:c>
    </x:row>
    <x:row r="838" ht="15" hidden="0" customHeight="1">
      <x:c r="A838" s="1" t="s">
        <x:v>417</x:v>
      </x:c>
      <x:c r="B838" s="1" t="s">
        <x:v>6701</x:v>
      </x:c>
      <x:c r="C838" s="1" t="n">
        <x:v>4</x:v>
      </x:c>
      <x:c r="D838" s="1" t="s">
        <x:v>6698</x:v>
      </x:c>
    </x:row>
    <x:row r="839" ht="15" hidden="0" customHeight="1">
      <x:c r="A839" s="1" t="s">
        <x:v>2609</x:v>
      </x:c>
      <x:c r="B839" s="1" t="s">
        <x:v>6701</x:v>
      </x:c>
      <x:c r="C839" s="1" t="n">
        <x:v>1</x:v>
      </x:c>
      <x:c r="D839" s="1" t="s">
        <x:v>6698</x:v>
      </x:c>
    </x:row>
    <x:row r="840" ht="15" hidden="0" customHeight="1">
      <x:c r="A840" s="1" t="s">
        <x:v>524</x:v>
      </x:c>
      <x:c r="B840" s="1" t="s">
        <x:v>990</x:v>
      </x:c>
      <x:c r="C840" s="1" t="n">
        <x:v>2</x:v>
      </x:c>
      <x:c r="D840" s="1" t="s">
        <x:v>6698</x:v>
      </x:c>
    </x:row>
    <x:row r="841" ht="15" hidden="0" customHeight="1">
      <x:c r="A841" s="1" t="s">
        <x:v>3059</x:v>
      </x:c>
      <x:c r="B841" s="1" t="s">
        <x:v>6701</x:v>
      </x:c>
      <x:c r="C841" s="1" t="n">
        <x:v>1</x:v>
      </x:c>
      <x:c r="D841" s="1" t="s">
        <x:v>6698</x:v>
      </x:c>
    </x:row>
    <x:row r="842" ht="15" hidden="0" customHeight="1">
      <x:c r="A842" s="1" t="s">
        <x:v>161</x:v>
      </x:c>
      <x:c r="B842" s="1" t="s">
        <x:v>6701</x:v>
      </x:c>
      <x:c r="C842" s="1" t="n">
        <x:v>3</x:v>
      </x:c>
      <x:c r="D842" s="1" t="s">
        <x:v>6698</x:v>
      </x:c>
    </x:row>
    <x:row r="843" ht="15" hidden="0" customHeight="1">
      <x:c r="A843" s="1" t="s">
        <x:v>318</x:v>
      </x:c>
      <x:c r="B843" s="1" t="s">
        <x:v>6133</x:v>
      </x:c>
      <x:c r="C843" s="1" t="n">
        <x:v>34</x:v>
      </x:c>
      <x:c r="D843" s="1" t="s">
        <x:v>6698</x:v>
      </x:c>
    </x:row>
    <x:row r="844" ht="15" hidden="0" customHeight="1">
      <x:c r="A844" s="1" t="s">
        <x:v>2369</x:v>
      </x:c>
      <x:c r="B844" s="1" t="s">
        <x:v>6133</x:v>
      </x:c>
      <x:c r="C844" s="1" t="n">
        <x:v>1</x:v>
      </x:c>
      <x:c r="D844" s="1" t="s">
        <x:v>6698</x:v>
      </x:c>
    </x:row>
    <x:row r="845" ht="15" hidden="0" customHeight="1">
      <x:c r="A845" s="1" t="s">
        <x:v>2247</x:v>
      </x:c>
      <x:c r="B845" s="1" t="s">
        <x:v>6133</x:v>
      </x:c>
      <x:c r="C845" s="1" t="n">
        <x:v>1</x:v>
      </x:c>
      <x:c r="D845" s="1" t="s">
        <x:v>6698</x:v>
      </x:c>
    </x:row>
    <x:row r="846" ht="15" hidden="0" customHeight="1">
      <x:c r="A846" s="1" t="s">
        <x:v>1648</x:v>
      </x:c>
      <x:c r="B846" s="1" t="s">
        <x:v>6133</x:v>
      </x:c>
      <x:c r="C846" s="1" t="n">
        <x:v>5</x:v>
      </x:c>
      <x:c r="D846" s="1" t="s">
        <x:v>6698</x:v>
      </x:c>
    </x:row>
    <x:row r="847" ht="15" hidden="0" customHeight="1">
      <x:c r="A847" s="1" t="s">
        <x:v>2907</x:v>
      </x:c>
      <x:c r="B847" s="1" t="s">
        <x:v>6133</x:v>
      </x:c>
      <x:c r="C847" s="1" t="n">
        <x:v>1</x:v>
      </x:c>
      <x:c r="D847" s="1" t="s">
        <x:v>6698</x:v>
      </x:c>
    </x:row>
    <x:row r="848" ht="15" hidden="0" customHeight="1">
      <x:c r="A848" s="1" t="s">
        <x:v>1650</x:v>
      </x:c>
      <x:c r="B848" s="1" t="s">
        <x:v>6133</x:v>
      </x:c>
      <x:c r="C848" s="1" t="n">
        <x:v>1</x:v>
      </x:c>
      <x:c r="D848" s="1" t="s">
        <x:v>6698</x:v>
      </x:c>
    </x:row>
    <x:row r="849" ht="15" hidden="0" customHeight="1">
      <x:c r="A849" s="1" t="s">
        <x:v>4297</x:v>
      </x:c>
      <x:c r="B849" s="1" t="s">
        <x:v>6133</x:v>
      </x:c>
      <x:c r="C849" s="1" t="n">
        <x:v>1</x:v>
      </x:c>
      <x:c r="D849" s="1" t="s">
        <x:v>6698</x:v>
      </x:c>
    </x:row>
    <x:row r="850" ht="15" hidden="0" customHeight="1">
      <x:c r="A850" s="1" t="s">
        <x:v>1830</x:v>
      </x:c>
      <x:c r="B850" s="1" t="s">
        <x:v>6133</x:v>
      </x:c>
      <x:c r="C850" s="1" t="n">
        <x:v>1</x:v>
      </x:c>
      <x:c r="D850" s="1" t="s">
        <x:v>6698</x:v>
      </x:c>
    </x:row>
    <x:row r="851" ht="15" hidden="0" customHeight="1">
      <x:c r="A851" s="1" t="s">
        <x:v>1832</x:v>
      </x:c>
      <x:c r="B851" s="1" t="s">
        <x:v>6133</x:v>
      </x:c>
      <x:c r="C851" s="1" t="n">
        <x:v>1</x:v>
      </x:c>
      <x:c r="D851" s="1" t="s">
        <x:v>6698</x:v>
      </x:c>
    </x:row>
    <x:row r="852" ht="15" hidden="0" customHeight="1">
      <x:c r="A852" s="1" t="s">
        <x:v>2249</x:v>
      </x:c>
      <x:c r="B852" s="1" t="s">
        <x:v>6133</x:v>
      </x:c>
      <x:c r="C852" s="1" t="n">
        <x:v>1</x:v>
      </x:c>
      <x:c r="D852" s="1" t="s">
        <x:v>6698</x:v>
      </x:c>
    </x:row>
    <x:row r="853" ht="15" hidden="0" customHeight="1">
      <x:c r="A853" s="1" t="s">
        <x:v>408</x:v>
      </x:c>
      <x:c r="B853" s="1" t="s">
        <x:v>6133</x:v>
      </x:c>
      <x:c r="C853" s="1" t="n">
        <x:v>7</x:v>
      </x:c>
      <x:c r="D853" s="1" t="s">
        <x:v>6698</x:v>
      </x:c>
    </x:row>
    <x:row r="854" ht="15" hidden="0" customHeight="1">
      <x:c r="A854" s="1" t="s">
        <x:v>2882</x:v>
      </x:c>
      <x:c r="B854" s="1" t="s">
        <x:v>6701</x:v>
      </x:c>
      <x:c r="C854" s="1" t="n">
        <x:v>1</x:v>
      </x:c>
      <x:c r="D854" s="1" t="s">
        <x:v>6698</x:v>
      </x:c>
    </x:row>
    <x:row r="855" ht="15" hidden="0" customHeight="1">
      <x:c r="A855" s="1" t="s">
        <x:v>3707</x:v>
      </x:c>
      <x:c r="B855" s="1" t="s">
        <x:v>990</x:v>
      </x:c>
      <x:c r="C855" s="1" t="n">
        <x:v>4</x:v>
      </x:c>
      <x:c r="D855" s="1" t="s">
        <x:v>6698</x:v>
      </x:c>
    </x:row>
    <x:row r="856" ht="15" hidden="0" customHeight="1">
      <x:c r="A856" s="1" t="s">
        <x:v>2252</x:v>
      </x:c>
      <x:c r="B856" s="1" t="s">
        <x:v>990</x:v>
      </x:c>
      <x:c r="C856" s="1" t="n">
        <x:v>2</x:v>
      </x:c>
      <x:c r="D856" s="1" t="s">
        <x:v>6698</x:v>
      </x:c>
    </x:row>
    <x:row r="857" ht="15" hidden="0" customHeight="1">
      <x:c r="A857" s="1" t="s">
        <x:v>3178</x:v>
      </x:c>
      <x:c r="B857" s="1" t="s">
        <x:v>6701</x:v>
      </x:c>
      <x:c r="C857" s="1" t="n">
        <x:v>1</x:v>
      </x:c>
      <x:c r="D857" s="1" t="s">
        <x:v>6698</x:v>
      </x:c>
    </x:row>
    <x:row r="858" ht="15" hidden="0" customHeight="1">
      <x:c r="A858" s="1" t="s">
        <x:v>3062</x:v>
      </x:c>
      <x:c r="B858" s="1" t="s">
        <x:v>6701</x:v>
      </x:c>
      <x:c r="C858" s="1" t="n">
        <x:v>1</x:v>
      </x:c>
      <x:c r="D858" s="1" t="s">
        <x:v>6698</x:v>
      </x:c>
    </x:row>
    <x:row r="859" ht="15" hidden="0" customHeight="1">
      <x:c r="A859" s="1" t="s">
        <x:v>3176</x:v>
      </x:c>
      <x:c r="B859" s="1" t="s">
        <x:v>6701</x:v>
      </x:c>
      <x:c r="C859" s="1" t="n">
        <x:v>1</x:v>
      </x:c>
      <x:c r="D859" s="1" t="s">
        <x:v>6698</x:v>
      </x:c>
    </x:row>
    <x:row r="860" ht="15" hidden="0" customHeight="1">
      <x:c r="A860" s="1" t="s">
        <x:v>2318</x:v>
      </x:c>
      <x:c r="B860" s="1" t="s">
        <x:v>6701</x:v>
      </x:c>
      <x:c r="C860" s="1" t="n">
        <x:v>1</x:v>
      </x:c>
      <x:c r="D860" s="1" t="s">
        <x:v>6698</x:v>
      </x:c>
    </x:row>
    <x:row r="861" ht="15" hidden="0" customHeight="1">
      <x:c r="A861" s="1" t="s">
        <x:v>1838</x:v>
      </x:c>
      <x:c r="B861" s="1" t="s">
        <x:v>6701</x:v>
      </x:c>
      <x:c r="C861" s="1" t="n">
        <x:v>1</x:v>
      </x:c>
      <x:c r="D861" s="1" t="s">
        <x:v>6698</x:v>
      </x:c>
    </x:row>
    <x:row r="862" ht="15" hidden="0" customHeight="1">
      <x:c r="A862" s="1" t="s">
        <x:v>983</x:v>
      </x:c>
      <x:c r="B862" s="1" t="s">
        <x:v>6701</x:v>
      </x:c>
      <x:c r="C862" s="1" t="n">
        <x:v>1</x:v>
      </x:c>
      <x:c r="D862" s="1" t="s">
        <x:v>6698</x:v>
      </x:c>
    </x:row>
    <x:row r="863" ht="15" hidden="0" customHeight="1">
      <x:c r="A863" s="1" t="s">
        <x:v>164</x:v>
      </x:c>
      <x:c r="B863" s="1" t="s">
        <x:v>6132</x:v>
      </x:c>
      <x:c r="C863" s="1" t="n">
        <x:v>45</x:v>
      </x:c>
      <x:c r="D863" s="1" t="s">
        <x:v>6698</x:v>
      </x:c>
    </x:row>
    <x:row r="864" ht="15" hidden="0" customHeight="1">
      <x:c r="A864" s="1" t="s">
        <x:v>1643</x:v>
      </x:c>
      <x:c r="B864" s="1" t="s">
        <x:v>6132</x:v>
      </x:c>
      <x:c r="C864" s="1" t="n">
        <x:v>1</x:v>
      </x:c>
      <x:c r="D864" s="1" t="s">
        <x:v>6698</x:v>
      </x:c>
    </x:row>
    <x:row r="865" ht="15" hidden="0" customHeight="1">
      <x:c r="A865" s="1" t="s">
        <x:v>1645</x:v>
      </x:c>
      <x:c r="B865" s="1" t="s">
        <x:v>6132</x:v>
      </x:c>
      <x:c r="C865" s="1" t="n">
        <x:v>1</x:v>
      </x:c>
      <x:c r="D865" s="1" t="s">
        <x:v>6698</x:v>
      </x:c>
    </x:row>
    <x:row r="866" ht="15" hidden="0" customHeight="1">
      <x:c r="A866" s="1" t="s">
        <x:v>5355</x:v>
      </x:c>
      <x:c r="B866" s="1" t="s">
        <x:v>6701</x:v>
      </x:c>
      <x:c r="C866" s="1" t="n">
        <x:v>1</x:v>
      </x:c>
      <x:c r="D866" s="1" t="s">
        <x:v>6698</x:v>
      </x:c>
    </x:row>
    <x:row r="867" ht="15" hidden="0" customHeight="1">
      <x:c r="A867" s="1" t="s">
        <x:v>1827</x:v>
      </x:c>
      <x:c r="B867" s="1" t="s">
        <x:v>6701</x:v>
      </x:c>
      <x:c r="C867" s="1" t="n">
        <x:v>1</x:v>
      </x:c>
      <x:c r="D867" s="1" t="s">
        <x:v>6698</x:v>
      </x:c>
    </x:row>
    <x:row r="868" ht="15" hidden="0" customHeight="1">
      <x:c r="A868" s="1" t="s">
        <x:v>3833</x:v>
      </x:c>
      <x:c r="B868" s="1" t="s">
        <x:v>6701</x:v>
      </x:c>
      <x:c r="C868" s="1" t="n">
        <x:v>1</x:v>
      </x:c>
      <x:c r="D868" s="1" t="s">
        <x:v>6698</x:v>
      </x:c>
    </x:row>
    <x:row r="869" ht="15" hidden="0" customHeight="1">
      <x:c r="A869" s="1" t="s">
        <x:v>1394</x:v>
      </x:c>
      <x:c r="B869" s="1" t="s">
        <x:v>6701</x:v>
      </x:c>
      <x:c r="C869" s="1" t="n">
        <x:v>3</x:v>
      </x:c>
      <x:c r="D869" s="1" t="s">
        <x:v>6698</x:v>
      </x:c>
    </x:row>
    <x:row r="870" ht="15" hidden="0" customHeight="1">
      <x:c r="A870" s="1" t="s">
        <x:v>1834</x:v>
      </x:c>
      <x:c r="B870" s="1" t="s">
        <x:v>6701</x:v>
      </x:c>
      <x:c r="C870" s="1" t="n">
        <x:v>1</x:v>
      </x:c>
      <x:c r="D870" s="1" t="s">
        <x:v>6698</x:v>
      </x:c>
    </x:row>
    <x:row r="871" ht="15" hidden="0" customHeight="1">
      <x:c r="A871" s="1" t="s">
        <x:v>1836</x:v>
      </x:c>
      <x:c r="B871" s="1" t="s">
        <x:v>6701</x:v>
      </x:c>
      <x:c r="C871" s="1" t="n">
        <x:v>1</x:v>
      </x:c>
      <x:c r="D871" s="1" t="s">
        <x:v>6698</x:v>
      </x:c>
    </x:row>
    <x:row r="872" ht="15" hidden="0" customHeight="1">
      <x:c r="A872" s="1" t="s">
        <x:v>3576</x:v>
      </x:c>
      <x:c r="B872" s="1" t="s">
        <x:v>990</x:v>
      </x:c>
      <x:c r="C872" s="1" t="n">
        <x:v>1</x:v>
      </x:c>
      <x:c r="D872" s="1" t="s">
        <x:v>6698</x:v>
      </x:c>
    </x:row>
    <x:row r="873" ht="15" hidden="0" customHeight="1">
      <x:c r="A873" s="1" t="s">
        <x:v>2094</x:v>
      </x:c>
      <x:c r="B873" s="1" t="s">
        <x:v>6701</x:v>
      </x:c>
      <x:c r="C873" s="1" t="n">
        <x:v>1</x:v>
      </x:c>
      <x:c r="D873" s="1" t="s">
        <x:v>6698</x:v>
      </x:c>
    </x:row>
    <x:row r="874" ht="15" hidden="0" customHeight="1">
      <x:c r="A874" s="1" t="s">
        <x:v>2073</x:v>
      </x:c>
      <x:c r="B874" s="1" t="s">
        <x:v>6701</x:v>
      </x:c>
      <x:c r="C874" s="1" t="n">
        <x:v>1</x:v>
      </x:c>
      <x:c r="D874" s="1" t="s">
        <x:v>6698</x:v>
      </x:c>
    </x:row>
    <x:row r="875" ht="15" hidden="0" customHeight="1">
      <x:c r="A875" s="1" t="s">
        <x:v>4812</x:v>
      </x:c>
      <x:c r="B875" s="1" t="s">
        <x:v>6701</x:v>
      </x:c>
      <x:c r="C875" s="1" t="n">
        <x:v>2</x:v>
      </x:c>
      <x:c r="D875" s="1" t="s">
        <x:v>6698</x:v>
      </x:c>
    </x:row>
    <x:row r="876" ht="15" hidden="0" customHeight="1">
      <x:c r="A876" s="1" t="s">
        <x:v>1652</x:v>
      </x:c>
      <x:c r="B876" s="1" t="s">
        <x:v>6134</x:v>
      </x:c>
      <x:c r="C876" s="1" t="n">
        <x:v>15</x:v>
      </x:c>
      <x:c r="D876" s="1" t="s">
        <x:v>6698</x:v>
      </x:c>
    </x:row>
    <x:row r="877" ht="15" hidden="0" customHeight="1">
      <x:c r="A877" s="1" t="s">
        <x:v>3906</x:v>
      </x:c>
      <x:c r="B877" s="1" t="s">
        <x:v>6134</x:v>
      </x:c>
      <x:c r="C877" s="1" t="n">
        <x:v>1</x:v>
      </x:c>
      <x:c r="D877" s="1" t="s">
        <x:v>6698</x:v>
      </x:c>
    </x:row>
    <x:row r="878" ht="15" hidden="0" customHeight="1">
      <x:c r="A878" s="1" t="s">
        <x:v>3908</x:v>
      </x:c>
      <x:c r="B878" s="1" t="s">
        <x:v>6134</x:v>
      </x:c>
      <x:c r="C878" s="1" t="n">
        <x:v>1</x:v>
      </x:c>
      <x:c r="D878" s="1" t="s">
        <x:v>6698</x:v>
      </x:c>
    </x:row>
    <x:row r="879" ht="15" hidden="0" customHeight="1">
      <x:c r="A879" s="1" t="s">
        <x:v>4215</x:v>
      </x:c>
      <x:c r="B879" s="1" t="s">
        <x:v>990</x:v>
      </x:c>
      <x:c r="C879" s="1" t="n">
        <x:v>1</x:v>
      </x:c>
      <x:c r="D879" s="1" t="s">
        <x:v>6698</x:v>
      </x:c>
    </x:row>
    <x:row r="880" ht="15" hidden="0" customHeight="1">
      <x:c r="A880" s="1" t="s">
        <x:v>1997</x:v>
      </x:c>
      <x:c r="B880" s="1" t="s">
        <x:v>6701</x:v>
      </x:c>
      <x:c r="C880" s="1" t="n">
        <x:v>1</x:v>
      </x:c>
      <x:c r="D880" s="1" t="s">
        <x:v>6698</x:v>
      </x:c>
    </x:row>
    <x:row r="881" ht="15" hidden="0" customHeight="1">
      <x:c r="A881" s="1" t="s">
        <x:v>2783</x:v>
      </x:c>
      <x:c r="B881" s="1" t="s">
        <x:v>6701</x:v>
      </x:c>
      <x:c r="C881" s="1" t="n">
        <x:v>1</x:v>
      </x:c>
      <x:c r="D881" s="1" t="s">
        <x:v>6698</x:v>
      </x:c>
    </x:row>
    <x:row r="882" ht="15" hidden="0" customHeight="1">
      <x:c r="A882" s="1" t="s">
        <x:v>2875</x:v>
      </x:c>
      <x:c r="B882" s="1" t="s">
        <x:v>6701</x:v>
      </x:c>
      <x:c r="C882" s="1" t="n">
        <x:v>1</x:v>
      </x:c>
      <x:c r="D882" s="1" t="s">
        <x:v>6698</x:v>
      </x:c>
    </x:row>
    <x:row r="883" ht="15" hidden="0" customHeight="1">
      <x:c r="A883" s="1" t="s">
        <x:v>2031</x:v>
      </x:c>
      <x:c r="B883" s="1" t="s">
        <x:v>6701</x:v>
      </x:c>
      <x:c r="C883" s="1" t="n">
        <x:v>1</x:v>
      </x:c>
      <x:c r="D883" s="1" t="s">
        <x:v>6698</x:v>
      </x:c>
    </x:row>
    <x:row r="884" ht="15" hidden="0" customHeight="1">
      <x:c r="A884" s="1" t="s">
        <x:v>1892</x:v>
      </x:c>
      <x:c r="B884" s="1" t="s">
        <x:v>6137</x:v>
      </x:c>
      <x:c r="C884" s="1" t="n">
        <x:v>7</x:v>
      </x:c>
      <x:c r="D884" s="1" t="s">
        <x:v>6698</x:v>
      </x:c>
    </x:row>
    <x:row r="885" ht="15" hidden="0" customHeight="1">
      <x:c r="A885" s="1" t="s">
        <x:v>1672</x:v>
      </x:c>
      <x:c r="B885" s="1" t="s">
        <x:v>6137</x:v>
      </x:c>
      <x:c r="C885" s="1" t="n">
        <x:v>1</x:v>
      </x:c>
      <x:c r="D885" s="1" t="s">
        <x:v>6698</x:v>
      </x:c>
    </x:row>
    <x:row r="886" ht="15" hidden="0" customHeight="1">
      <x:c r="A886" s="1" t="s">
        <x:v>5226</x:v>
      </x:c>
      <x:c r="B886" s="1" t="s">
        <x:v>6137</x:v>
      </x:c>
      <x:c r="C886" s="1" t="n">
        <x:v>1</x:v>
      </x:c>
      <x:c r="D886" s="1" t="s">
        <x:v>6698</x:v>
      </x:c>
    </x:row>
    <x:row r="887" ht="15" hidden="0" customHeight="1">
      <x:c r="A887" s="1" t="s">
        <x:v>1669</x:v>
      </x:c>
      <x:c r="B887" s="1" t="s">
        <x:v>6137</x:v>
      </x:c>
      <x:c r="C887" s="1" t="n">
        <x:v>1</x:v>
      </x:c>
      <x:c r="D887" s="1" t="s">
        <x:v>6698</x:v>
      </x:c>
    </x:row>
    <x:row r="888" ht="15" hidden="0" customHeight="1">
      <x:c r="A888" s="1" t="s">
        <x:v>3835</x:v>
      </x:c>
      <x:c r="B888" s="1" t="s">
        <x:v>6137</x:v>
      </x:c>
      <x:c r="C888" s="1" t="n">
        <x:v>1</x:v>
      </x:c>
      <x:c r="D888" s="1" t="s">
        <x:v>6698</x:v>
      </x:c>
    </x:row>
    <x:row r="889" ht="15" hidden="0" customHeight="1">
      <x:c r="A889" s="1" t="s">
        <x:v>463</x:v>
      </x:c>
      <x:c r="B889" s="1" t="s">
        <x:v>6136</x:v>
      </x:c>
      <x:c r="C889" s="1" t="n">
        <x:v>6</x:v>
      </x:c>
      <x:c r="D889" s="1" t="s">
        <x:v>6698</x:v>
      </x:c>
    </x:row>
    <x:row r="890" ht="15" hidden="0" customHeight="1">
      <x:c r="A890" s="1" t="s">
        <x:v>176</x:v>
      </x:c>
      <x:c r="B890" s="1" t="s">
        <x:v>6137</x:v>
      </x:c>
      <x:c r="C890" s="1" t="n">
        <x:v>9</x:v>
      </x:c>
      <x:c r="D890" s="1" t="s">
        <x:v>6698</x:v>
      </x:c>
    </x:row>
    <x:row r="891" ht="15" hidden="0" customHeight="1">
      <x:c r="A891" s="1" t="s">
        <x:v>1380</x:v>
      </x:c>
      <x:c r="B891" s="1" t="s">
        <x:v>6134</x:v>
      </x:c>
      <x:c r="C891" s="1" t="n">
        <x:v>2</x:v>
      </x:c>
      <x:c r="D891" s="1" t="s">
        <x:v>6698</x:v>
      </x:c>
    </x:row>
    <x:row r="892" ht="15" hidden="0" customHeight="1">
      <x:c r="A892" s="1" t="s">
        <x:v>1375</x:v>
      </x:c>
      <x:c r="B892" s="1" t="s">
        <x:v>6134</x:v>
      </x:c>
      <x:c r="C892" s="1" t="n">
        <x:v>1</x:v>
      </x:c>
      <x:c r="D892" s="1" t="s">
        <x:v>6698</x:v>
      </x:c>
    </x:row>
    <x:row r="893" ht="15" hidden="0" customHeight="1">
      <x:c r="A893" s="1" t="s">
        <x:v>402</x:v>
      </x:c>
      <x:c r="B893" s="1" t="s">
        <x:v>4749</x:v>
      </x:c>
      <x:c r="C893" s="1" t="n">
        <x:v>10</x:v>
      </x:c>
      <x:c r="D893" s="1" t="s">
        <x:v>6698</x:v>
      </x:c>
    </x:row>
    <x:row r="894" ht="65" customHeight="1">
      <x:c r="A894" s="14" t="str">
        <x:v>architecture.prior_blocks</x:v>
      </x:c>
      <x:c r="B894" s="14" t="str">
        <x:v>layers</x:v>
      </x:c>
      <x:c r="C894" s="14" t="n">
        <x:v>1</x:v>
      </x:c>
      <x:c r="D894" s="14" t="str">
        <x:v>B16 explicit mapping; original field path retained.</x:v>
      </x:c>
    </x:row>
    <x:row r="895" ht="65" customHeight="1">
      <x:c r="A895" s="14" t="str">
        <x:v>architecture.prior_scales</x:v>
      </x:c>
      <x:c r="B895" s="14" t="str">
        <x:v>architecture</x:v>
      </x:c>
      <x:c r="C895" s="14" t="n">
        <x:v>1</x:v>
      </x:c>
      <x:c r="D895" s="14" t="str">
        <x:v>B16 explicit mapping; original field path retained.</x:v>
      </x:c>
    </x:row>
    <x:row r="896" ht="65" customHeight="1">
      <x:c r="A896" s="14" t="str">
        <x:v>architecture.bilinear_hidden_layers</x:v>
      </x:c>
      <x:c r="B896" s="14" t="str">
        <x:v>layers</x:v>
      </x:c>
      <x:c r="C896" s="14" t="n">
        <x:v>1</x:v>
      </x:c>
      <x:c r="D896" s="14" t="str">
        <x:v>B16 explicit mapping; original field path retained.</x:v>
      </x:c>
    </x:row>
    <x:row r="897" ht="65" customHeight="1">
      <x:c r="A897" s="14" t="str">
        <x:v>architecture.bilinear_activations</x:v>
      </x:c>
      <x:c r="B897" s="14" t="str">
        <x:v>activations</x:v>
      </x:c>
      <x:c r="C897" s="14" t="n">
        <x:v>1</x:v>
      </x:c>
      <x:c r="D897" s="14" t="str">
        <x:v>B16 explicit mapping; original field path retained.</x:v>
      </x:c>
    </x:row>
    <x:row r="898" ht="65" customHeight="1">
      <x:c r="A898" s="14" t="str">
        <x:v>architecture.prior_output_activation</x:v>
      </x:c>
      <x:c r="B898" s="14" t="str">
        <x:v>activations</x:v>
      </x:c>
      <x:c r="C898" s="14" t="n">
        <x:v>1</x:v>
      </x:c>
      <x:c r="D898" s="14" t="str">
        <x:v>B16 explicit mapping; original field path retained.</x:v>
      </x:c>
    </x:row>
    <x:row r="899" ht="65" customHeight="1">
      <x:c r="A899" s="14" t="str">
        <x:v>architecture.prior_parameter_count</x:v>
      </x:c>
      <x:c r="B899" s="14" t="str">
        <x:v>parameters</x:v>
      </x:c>
      <x:c r="C899" s="14" t="n">
        <x:v>1</x:v>
      </x:c>
      <x:c r="D899" s="14" t="str">
        <x:v>B16 explicit mapping; original field path retained.</x:v>
      </x:c>
    </x:row>
    <x:row r="900" ht="65" customHeight="1">
      <x:c r="A900" s="14" t="str">
        <x:v>architecture.solver_iterations</x:v>
      </x:c>
      <x:c r="B900" s="14" t="str">
        <x:v>architecture</x:v>
      </x:c>
      <x:c r="C900" s="14" t="n">
        <x:v>1</x:v>
      </x:c>
      <x:c r="D900" s="14" t="str">
        <x:v>B16 explicit mapping; original field path retained.</x:v>
      </x:c>
    </x:row>
    <x:row r="901" ht="65" customHeight="1">
      <x:c r="A901" s="14" t="str">
        <x:v>ablations.solver_iterations</x:v>
      </x:c>
      <x:c r="B901" s="14" t="str">
        <x:v>ablations</x:v>
      </x:c>
      <x:c r="C901" s="14" t="n">
        <x:v>1</x:v>
      </x:c>
      <x:c r="D901" s="14" t="str">
        <x:v>B16 explicit mapping; original field path retained.</x:v>
      </x:c>
    </x:row>
    <x:row r="902" ht="65" customHeight="1">
      <x:c r="A902" s="14" t="str">
        <x:v>assimilation.augmented_state</x:v>
      </x:c>
      <x:c r="B902" s="14" t="str">
        <x:v>assimilation</x:v>
      </x:c>
      <x:c r="C902" s="14" t="n">
        <x:v>1</x:v>
      </x:c>
      <x:c r="D902" s="14" t="str">
        <x:v>B16 explicit mapping; original field path retained.</x:v>
      </x:c>
    </x:row>
    <x:row r="903" ht="65" customHeight="1">
      <x:c r="A903" s="14" t="str">
        <x:v>assimilation.initialization</x:v>
      </x:c>
      <x:c r="B903" s="14" t="str">
        <x:v>assimilation</x:v>
      </x:c>
      <x:c r="C903" s="14" t="n">
        <x:v>1</x:v>
      </x:c>
      <x:c r="D903" s="14" t="str">
        <x:v>B16 explicit mapping; original field path retained.</x:v>
      </x:c>
    </x:row>
    <x:row r="904" ht="65" customHeight="1">
      <x:c r="A904" s="14" t="str">
        <x:v>preprocessing.missing_anomaly</x:v>
      </x:c>
      <x:c r="B904" s="14" t="str">
        <x:v>preprocessing</x:v>
      </x:c>
      <x:c r="C904" s="14" t="n">
        <x:v>1</x:v>
      </x:c>
      <x:c r="D904" s="14" t="str">
        <x:v>B16 explicit mapping; original field path retained.</x:v>
      </x:c>
    </x:row>
    <x:row r="905" ht="65" customHeight="1">
      <x:c r="A905" s="14" t="str">
        <x:v>loss.nested_objectives</x:v>
      </x:c>
      <x:c r="B905" s="14" t="str">
        <x:v>loss_total</x:v>
      </x:c>
      <x:c r="C905" s="14" t="n">
        <x:v>1</x:v>
      </x:c>
      <x:c r="D905" s="14" t="str">
        <x:v>B16 explicit mapping; original field path retained.</x:v>
      </x:c>
    </x:row>
    <x:row r="906" ht="65" customHeight="1">
      <x:c r="A906" s="14" t="str">
        <x:v>inputs.patch_shape</x:v>
      </x:c>
      <x:c r="B906" s="14" t="str">
        <x:v>inputs</x:v>
      </x:c>
      <x:c r="C906" s="14" t="n">
        <x:v>1</x:v>
      </x:c>
      <x:c r="D906" s="14" t="str">
        <x:v>B16 explicit mapping; original field path retained.</x:v>
      </x:c>
    </x:row>
    <x:row r="907" ht="65" customHeight="1">
      <x:c r="A907" s="14" t="str">
        <x:v>assimilation.window_days</x:v>
      </x:c>
      <x:c r="B907" s="14" t="str">
        <x:v>assimilation</x:v>
      </x:c>
      <x:c r="C907" s="14" t="n">
        <x:v>1</x:v>
      </x:c>
      <x:c r="D907" s="14" t="str">
        <x:v>B16 explicit mapping; original field path retained.</x:v>
      </x:c>
    </x:row>
    <x:row r="908" ht="65" customHeight="1">
      <x:c r="A908" s="14" t="str">
        <x:v>limitations.memory</x:v>
      </x:c>
      <x:c r="B908" s="14" t="str">
        <x:v>limitations</x:v>
      </x:c>
      <x:c r="C908" s="14" t="n">
        <x:v>1</x:v>
      </x:c>
      <x:c r="D908" s="14" t="str">
        <x:v>B16 explicit mapping; original field path retained.</x:v>
      </x:c>
    </x:row>
    <x:row r="909" ht="65" customHeight="1">
      <x:c r="A909" s="14" t="str">
        <x:v>reproducibility.code_archive</x:v>
      </x:c>
      <x:c r="B909" s="14" t="str">
        <x:v>code</x:v>
      </x:c>
      <x:c r="C909" s="14" t="n">
        <x:v>1</x:v>
      </x:c>
      <x:c r="D909" s="14" t="str">
        <x:v>B16 explicit mapping; original field path retained.</x:v>
      </x:c>
    </x:row>
    <x:row r="910" ht="65" customHeight="1">
      <x:c r="A910" s="14" t="str">
        <x:v>limitations.swot_noise</x:v>
      </x:c>
      <x:c r="B910" s="14" t="str">
        <x:v>limitations</x:v>
      </x:c>
      <x:c r="C910" s="14" t="n">
        <x:v>1</x:v>
      </x:c>
      <x:c r="D910" s="14" t="str">
        <x:v>B16 explicit mapping; original field path retained.</x:v>
      </x:c>
    </x:row>
    <x:row r="911" ht="65" customHeight="1">
      <x:c r="A911" s="14" t="str">
        <x:v>future_work.noisy_swot</x:v>
      </x:c>
      <x:c r="B911" s="14" t="str">
        <x:v>future_work</x:v>
      </x:c>
      <x:c r="C911" s="14" t="n">
        <x:v>1</x:v>
      </x:c>
      <x:c r="D911" s="14" t="str">
        <x:v>B16 explicit mapping; original field path retained.</x:v>
      </x:c>
    </x:row>
    <x:row r="912" ht="65" customHeight="1">
      <x:c r="A912" s="14" t="str">
        <x:v>future_work.global</x:v>
      </x:c>
      <x:c r="B912" s="14" t="str">
        <x:v>future_work</x:v>
      </x:c>
      <x:c r="C912" s="14" t="n">
        <x:v>1</x:v>
      </x:c>
      <x:c r="D912" s="14" t="str">
        <x:v>B16 explicit mapping; original field path retained.</x:v>
      </x:c>
    </x:row>
    <x:row r="913" ht="65" customHeight="1">
      <x:c r="A913" s="14" t="str">
        <x:v>architecture.fourier_operator</x:v>
      </x:c>
      <x:c r="B913" s="14" t="str">
        <x:v>fourier</x:v>
      </x:c>
      <x:c r="C913" s="14" t="n">
        <x:v>1</x:v>
      </x:c>
      <x:c r="D913" s="14" t="str">
        <x:v>B16 explicit mapping; original field path retained.</x:v>
      </x:c>
    </x:row>
    <x:row r="914" ht="65" customHeight="1">
      <x:c r="A914" s="14" t="str">
        <x:v>training.parallelism</x:v>
      </x:c>
      <x:c r="B914" s="14" t="str">
        <x:v>training_other</x:v>
      </x:c>
      <x:c r="C914" s="14" t="n">
        <x:v>1</x:v>
      </x:c>
      <x:c r="D914" s="14" t="str">
        <x:v>B16 explicit mapping; original field path retained.</x:v>
      </x:c>
    </x:row>
    <x:row r="915" ht="65" customHeight="1">
      <x:c r="A915" s="14" t="str">
        <x:v>training.memory_strategy</x:v>
      </x:c>
      <x:c r="B915" s="14" t="str">
        <x:v>training_other</x:v>
      </x:c>
      <x:c r="C915" s="14" t="n">
        <x:v>1</x:v>
      </x:c>
      <x:c r="D915" s="14" t="str">
        <x:v>B16 explicit mapping; original field path retained.</x:v>
      </x:c>
    </x:row>
    <x:row r="916" ht="65" customHeight="1">
      <x:c r="A916" s="14" t="str">
        <x:v>datasets.validation_year</x:v>
      </x:c>
      <x:c r="B916" s="14" t="str">
        <x:v>datasets</x:v>
      </x:c>
      <x:c r="C916" s="14" t="n">
        <x:v>1</x:v>
      </x:c>
      <x:c r="D916" s="14" t="str">
        <x:v>B16 explicit mapping; original field path retained.</x:v>
      </x:c>
    </x:row>
    <x:row r="917" ht="65" customHeight="1">
      <x:c r="A917" s="14" t="str">
        <x:v>datasets.test_initialization</x:v>
      </x:c>
      <x:c r="B917" s="14" t="str">
        <x:v>initial_conditions</x:v>
      </x:c>
      <x:c r="C917" s="14" t="n">
        <x:v>1</x:v>
      </x:c>
      <x:c r="D917" s="14" t="str">
        <x:v>B16 explicit mapping; original field path retained.</x:v>
      </x:c>
    </x:row>
    <x:row r="918" ht="65" customHeight="1">
      <x:c r="A918" s="14" t="str">
        <x:v>preprocessing.training_shuffle</x:v>
      </x:c>
      <x:c r="B918" s="14" t="str">
        <x:v>preprocessing</x:v>
      </x:c>
      <x:c r="C918" s="14" t="n">
        <x:v>1</x:v>
      </x:c>
      <x:c r="D918" s="14" t="str">
        <x:v>B16 explicit mapping; original field path retained.</x:v>
      </x:c>
    </x:row>
    <x:row r="919" ht="65" customHeight="1">
      <x:c r="A919" s="14" t="str">
        <x:v>training.pretraining_horizon</x:v>
      </x:c>
      <x:c r="B919" s="14" t="str">
        <x:v>training_other</x:v>
      </x:c>
      <x:c r="C919" s="14" t="n">
        <x:v>1</x:v>
      </x:c>
      <x:c r="D919" s="14" t="str">
        <x:v>B16 explicit mapping; original field path retained.</x:v>
      </x:c>
    </x:row>
    <x:row r="920" ht="65" customHeight="1">
      <x:c r="A920" s="14" t="str">
        <x:v>training.finetuning_backpropagation</x:v>
      </x:c>
      <x:c r="B920" s="14" t="str">
        <x:v>training_other</x:v>
      </x:c>
      <x:c r="C920" s="14" t="n">
        <x:v>1</x:v>
      </x:c>
      <x:c r="D920" s="14" t="str">
        <x:v>B16 explicit mapping; original field path retained.</x:v>
      </x:c>
    </x:row>
    <x:row r="921" ht="65" customHeight="1">
      <x:c r="A921" s="14" t="str">
        <x:v>outputs.rollout</x:v>
      </x:c>
      <x:c r="B921" s="14" t="str">
        <x:v>outputs</x:v>
      </x:c>
      <x:c r="C921" s="14" t="n">
        <x:v>1</x:v>
      </x:c>
      <x:c r="D921" s="14" t="str">
        <x:v>B16 explicit mapping; original field path retained.</x:v>
      </x:c>
    </x:row>
    <x:row r="922" ht="65" customHeight="1">
      <x:c r="A922" s="14" t="str">
        <x:v>loss.specification_caveat</x:v>
      </x:c>
      <x:c r="B922" s="14" t="str">
        <x:v>loss_total</x:v>
      </x:c>
      <x:c r="C922" s="14" t="n">
        <x:v>1</x:v>
      </x:c>
      <x:c r="D922" s="14" t="str">
        <x:v>B16 explicit mapping; original field path retained.</x:v>
      </x:c>
    </x:row>
    <x:row r="923" ht="65" customHeight="1">
      <x:c r="A923" s="14" t="str">
        <x:v>datasets.validation_observations</x:v>
      </x:c>
      <x:c r="B923" s="14" t="str">
        <x:v>datasets</x:v>
      </x:c>
      <x:c r="C923" s="14" t="n">
        <x:v>1</x:v>
      </x:c>
      <x:c r="D923" s="14" t="str">
        <x:v>B16 explicit mapping; original field path retained.</x:v>
      </x:c>
    </x:row>
    <x:row r="924" ht="65" customHeight="1">
      <x:c r="A924" s="14" t="str">
        <x:v>datasets.current_observation_depth</x:v>
      </x:c>
      <x:c r="B924" s="14" t="str">
        <x:v>datasets</x:v>
      </x:c>
      <x:c r="C924" s="14" t="n">
        <x:v>1</x:v>
      </x:c>
      <x:c r="D924" s="14" t="str">
        <x:v>B16 explicit mapping; original field path retained.</x:v>
      </x:c>
    </x:row>
    <x:row r="925" ht="65" customHeight="1">
      <x:c r="A925" s="14" t="str">
        <x:v>metrics.pointwise</x:v>
      </x:c>
      <x:c r="B925" s="14" t="str">
        <x:v>metrics</x:v>
      </x:c>
      <x:c r="C925" s="14" t="n">
        <x:v>1</x:v>
      </x:c>
      <x:c r="D925" s="14" t="str">
        <x:v>B16 explicit mapping; original field path retained.</x:v>
      </x:c>
    </x:row>
    <x:row r="926" ht="65" customHeight="1">
      <x:c r="A926" s="14" t="str">
        <x:v>architecture.legacy_conflict</x:v>
      </x:c>
      <x:c r="B926" s="14" t="str">
        <x:v>architecture</x:v>
      </x:c>
      <x:c r="C926" s="14" t="n">
        <x:v>1</x:v>
      </x:c>
      <x:c r="D926" s="14" t="str">
        <x:v>B16 explicit mapping; original field path retained.</x:v>
      </x:c>
    </x:row>
    <x:row r="927" ht="65" customHeight="1">
      <x:c r="A927" s="14" t="str">
        <x:v>metrics.mae</x:v>
      </x:c>
      <x:c r="B927" s="14" t="str">
        <x:v>metrics</x:v>
      </x:c>
      <x:c r="C927" s="14" t="n">
        <x:v>1</x:v>
      </x:c>
      <x:c r="D927" s="14" t="str">
        <x:v>B16 explicit mapping; original field path retained.</x:v>
      </x:c>
    </x:row>
    <x:row r="928" ht="65" customHeight="1">
      <x:c r="A928" s="14" t="str">
        <x:v>reproducibility.supplement_search</x:v>
      </x:c>
      <x:c r="B928" s="14" t="str">
        <x:v>reproducibility</x:v>
      </x:c>
      <x:c r="C928" s="14" t="n">
        <x:v>1</x:v>
      </x:c>
      <x:c r="D928" s="14" t="str">
        <x:v>B16 explicit mapping; original field path retained.</x:v>
      </x:c>
    </x:row>
    <x:row r="929" ht="65" customHeight="1">
      <x:c r="A929" s="14" t="str">
        <x:v>datasets.forecast_system</x:v>
      </x:c>
      <x:c r="B929" s="14" t="str">
        <x:v>datasets</x:v>
      </x:c>
      <x:c r="C929" s="14" t="n">
        <x:v>1</x:v>
      </x:c>
      <x:c r="D929" s="14" t="str">
        <x:v>B16 explicit mapping; original field path retained.</x:v>
      </x:c>
    </x:row>
    <x:row r="930" ht="65" customHeight="1">
      <x:c r="A930" s="14" t="str">
        <x:v>datasets.reference</x:v>
      </x:c>
      <x:c r="B930" s="14" t="str">
        <x:v>datasets</x:v>
      </x:c>
      <x:c r="C930" s="14" t="n">
        <x:v>1</x:v>
      </x:c>
      <x:c r="D930" s="14" t="str">
        <x:v>B16 explicit mapping; original field path retained.</x:v>
      </x:c>
    </x:row>
    <x:row r="931" ht="65" customHeight="1">
      <x:c r="A931" s="14" t="str">
        <x:v>datasets.forecast_length</x:v>
      </x:c>
      <x:c r="B931" s="14" t="str">
        <x:v>datasets</x:v>
      </x:c>
      <x:c r="C931" s="14" t="n">
        <x:v>1</x:v>
      </x:c>
      <x:c r="D931" s="14" t="str">
        <x:v>B16 explicit mapping; original field path retained.</x:v>
      </x:c>
    </x:row>
    <x:row r="932" ht="65" customHeight="1">
      <x:c r="A932" s="14" t="str">
        <x:v>preprocessing.ensemble</x:v>
      </x:c>
      <x:c r="B932" s="14" t="str">
        <x:v>preprocessing</x:v>
      </x:c>
      <x:c r="C932" s="14" t="n">
        <x:v>1</x:v>
      </x:c>
      <x:c r="D932" s="14" t="str">
        <x:v>B16 explicit mapping; original field path retained.</x:v>
      </x:c>
    </x:row>
    <x:row r="933" ht="65" customHeight="1">
      <x:c r="A933" s="14" t="str">
        <x:v>datasets.common_grid</x:v>
      </x:c>
      <x:c r="B933" s="14" t="str">
        <x:v>datasets</x:v>
      </x:c>
      <x:c r="C933" s="14" t="n">
        <x:v>1</x:v>
      </x:c>
      <x:c r="D933" s="14" t="str">
        <x:v>B16 explicit mapping; original field path retained.</x:v>
      </x:c>
    </x:row>
    <x:row r="934" ht="65" customHeight="1">
      <x:c r="A934" s="14" t="str">
        <x:v>datasets.domain</x:v>
      </x:c>
      <x:c r="B934" s="14" t="str">
        <x:v>datasets</x:v>
      </x:c>
      <x:c r="C934" s="14" t="n">
        <x:v>1</x:v>
      </x:c>
      <x:c r="D934" s="14" t="str">
        <x:v>B16 explicit mapping; original field path retained.</x:v>
      </x:c>
    </x:row>
    <x:row r="935" ht="65" customHeight="1">
      <x:c r="A935" s="14" t="str">
        <x:v>datasets.train_period</x:v>
      </x:c>
      <x:c r="B935" s="14" t="str">
        <x:v>datasets</x:v>
      </x:c>
      <x:c r="C935" s="14" t="n">
        <x:v>1</x:v>
      </x:c>
      <x:c r="D935" s="14" t="str">
        <x:v>B16 explicit mapping; original field path retained.</x:v>
      </x:c>
    </x:row>
    <x:row r="936" ht="65" customHeight="1">
      <x:c r="A936" s="14" t="str">
        <x:v>architecture.lead_models</x:v>
      </x:c>
      <x:c r="B936" s="14" t="str">
        <x:v>architecture</x:v>
      </x:c>
      <x:c r="C936" s="14" t="n">
        <x:v>1</x:v>
      </x:c>
      <x:c r="D936" s="14" t="str">
        <x:v>B16 explicit mapping; original field path retained.</x:v>
      </x:c>
    </x:row>
    <x:row r="937" ht="65" customHeight="1">
      <x:c r="A937" s="14" t="str">
        <x:v>preprocessing.mhw_threshold</x:v>
      </x:c>
      <x:c r="B937" s="14" t="str">
        <x:v>preprocessing</x:v>
      </x:c>
      <x:c r="C937" s="14" t="n">
        <x:v>1</x:v>
      </x:c>
      <x:c r="D937" s="14" t="str">
        <x:v>B16 explicit mapping; original field path retained.</x:v>
      </x:c>
    </x:row>
    <x:row r="938" ht="65" customHeight="1">
      <x:c r="A938" s="14" t="str">
        <x:v>preprocessing.mhw_min_duration</x:v>
      </x:c>
      <x:c r="B938" s="14" t="str">
        <x:v>preprocessing</x:v>
      </x:c>
      <x:c r="C938" s="14" t="n">
        <x:v>1</x:v>
      </x:c>
      <x:c r="D938" s="14" t="str">
        <x:v>B16 explicit mapping; original field path retained.</x:v>
      </x:c>
    </x:row>
    <x:row r="939" ht="65" customHeight="1">
      <x:c r="A939" s="14" t="str">
        <x:v>architecture.encoder_stages</x:v>
      </x:c>
      <x:c r="B939" s="14" t="str">
        <x:v>encoder</x:v>
      </x:c>
      <x:c r="C939" s="14" t="n">
        <x:v>1</x:v>
      </x:c>
      <x:c r="D939" s="14" t="str">
        <x:v>B16 explicit mapping; original field path retained.</x:v>
      </x:c>
    </x:row>
    <x:row r="940" ht="65" customHeight="1">
      <x:c r="A940" s="14" t="str">
        <x:v>architecture.decoder_stages</x:v>
      </x:c>
      <x:c r="B940" s="14" t="str">
        <x:v>decoder</x:v>
      </x:c>
      <x:c r="C940" s="14" t="n">
        <x:v>1</x:v>
      </x:c>
      <x:c r="D940" s="14" t="str">
        <x:v>B16 explicit mapping; original field path retained.</x:v>
      </x:c>
    </x:row>
    <x:row r="941" ht="65" customHeight="1">
      <x:c r="A941" s="14" t="str">
        <x:v>architecture.encoder_convolutions</x:v>
      </x:c>
      <x:c r="B941" s="14" t="str">
        <x:v>layers</x:v>
      </x:c>
      <x:c r="C941" s="14" t="n">
        <x:v>1</x:v>
      </x:c>
      <x:c r="D941" s="14" t="str">
        <x:v>B16 explicit mapping; original field path retained.</x:v>
      </x:c>
    </x:row>
    <x:row r="942" ht="65" customHeight="1">
      <x:c r="A942" s="14" t="str">
        <x:v>architecture.conv_kernel</x:v>
      </x:c>
      <x:c r="B942" s="14" t="str">
        <x:v>convolution</x:v>
      </x:c>
      <x:c r="C942" s="14" t="n">
        <x:v>1</x:v>
      </x:c>
      <x:c r="D942" s="14" t="str">
        <x:v>B16 explicit mapping; original field path retained.</x:v>
      </x:c>
    </x:row>
    <x:row r="943" ht="65" customHeight="1">
      <x:c r="A943" s="14" t="str">
        <x:v>architecture.pool_stride</x:v>
      </x:c>
      <x:c r="B943" s="14" t="str">
        <x:v>encoder</x:v>
      </x:c>
      <x:c r="C943" s="14" t="n">
        <x:v>1</x:v>
      </x:c>
      <x:c r="D943" s="14" t="str">
        <x:v>B16 explicit mapping; original field path retained.</x:v>
      </x:c>
    </x:row>
    <x:row r="944" ht="65" customHeight="1">
      <x:c r="A944" s="14" t="str">
        <x:v>architecture.decoder_transpose_kernel</x:v>
      </x:c>
      <x:c r="B944" s="14" t="str">
        <x:v>decoder</x:v>
      </x:c>
      <x:c r="C944" s="14" t="n">
        <x:v>1</x:v>
      </x:c>
      <x:c r="D944" s="14" t="str">
        <x:v>B16 explicit mapping; original field path retained.</x:v>
      </x:c>
    </x:row>
    <x:row r="945" ht="65" customHeight="1">
      <x:c r="A945" s="14" t="str">
        <x:v>architecture.decoder_transpose_stride</x:v>
      </x:c>
      <x:c r="B945" s="14" t="str">
        <x:v>decoder</x:v>
      </x:c>
      <x:c r="C945" s="14" t="n">
        <x:v>1</x:v>
      </x:c>
      <x:c r="D945" s="14" t="str">
        <x:v>B16 explicit mapping; original field path retained.</x:v>
      </x:c>
    </x:row>
    <x:row r="946" ht="65" customHeight="1">
      <x:c r="A946" s="14" t="str">
        <x:v>architecture.aspp_dilations</x:v>
      </x:c>
      <x:c r="B946" s="14" t="str">
        <x:v>convolution</x:v>
      </x:c>
      <x:c r="C946" s="14" t="n">
        <x:v>1</x:v>
      </x:c>
      <x:c r="D946" s="14" t="str">
        <x:v>B16 explicit mapping; original field path retained.</x:v>
      </x:c>
    </x:row>
    <x:row r="947" ht="65" customHeight="1">
      <x:c r="A947" s="14" t="str">
        <x:v>inputs.tensor_shape</x:v>
      </x:c>
      <x:c r="B947" s="14" t="str">
        <x:v>inputs</x:v>
      </x:c>
      <x:c r="C947" s="14" t="n">
        <x:v>1</x:v>
      </x:c>
      <x:c r="D947" s="14" t="str">
        <x:v>B16 explicit mapping; original field path retained.</x:v>
      </x:c>
    </x:row>
    <x:row r="948" ht="65" customHeight="1">
      <x:c r="A948" s="14" t="str">
        <x:v>outputs.tensor_shape</x:v>
      </x:c>
      <x:c r="B948" s="14" t="str">
        <x:v>outputs</x:v>
      </x:c>
      <x:c r="C948" s="14" t="n">
        <x:v>1</x:v>
      </x:c>
      <x:c r="D948" s="14" t="str">
        <x:v>B16 explicit mapping; original field path retained.</x:v>
      </x:c>
    </x:row>
    <x:row r="949" ht="65" customHeight="1">
      <x:c r="A949" s="14" t="str">
        <x:v>outputs.residual</x:v>
      </x:c>
      <x:c r="B949" s="14" t="str">
        <x:v>outputs</x:v>
      </x:c>
      <x:c r="C949" s="14" t="n">
        <x:v>1</x:v>
      </x:c>
      <x:c r="D949" s="14" t="str">
        <x:v>B16 explicit mapping; original field path retained.</x:v>
      </x:c>
    </x:row>
    <x:row r="950" ht="65" customHeight="1">
      <x:c r="A950" s="14" t="str">
        <x:v>training.learning_rate_min</x:v>
      </x:c>
      <x:c r="B950" s="14" t="str">
        <x:v>learning_rate</x:v>
      </x:c>
      <x:c r="C950" s="14" t="n">
        <x:v>1</x:v>
      </x:c>
      <x:c r="D950" s="14" t="str">
        <x:v>B16 explicit mapping; original field path retained.</x:v>
      </x:c>
    </x:row>
    <x:row r="951" ht="65" customHeight="1">
      <x:c r="A951" s="14" t="str">
        <x:v>reproducibility.software</x:v>
      </x:c>
      <x:c r="B951" s="14" t="str">
        <x:v>reproducibility</x:v>
      </x:c>
      <x:c r="C951" s="14" t="n">
        <x:v>1</x:v>
      </x:c>
      <x:c r="D951" s="14" t="str">
        <x:v>B16 explicit mapping; original field path retained.</x:v>
      </x:c>
    </x:row>
    <x:row r="952" ht="65" customHeight="1">
      <x:c r="A952" s="14" t="str">
        <x:v>loss.component_regression</x:v>
      </x:c>
      <x:c r="B952" s="14" t="str">
        <x:v>loss_components</x:v>
      </x:c>
      <x:c r="C952" s="14" t="n">
        <x:v>1</x:v>
      </x:c>
      <x:c r="D952" s="14" t="str">
        <x:v>B16 explicit mapping; original field path retained.</x:v>
      </x:c>
    </x:row>
    <x:row r="953" ht="65" customHeight="1">
      <x:c r="A953" s="14" t="str">
        <x:v>loss.component_detection</x:v>
      </x:c>
      <x:c r="B953" s="14" t="str">
        <x:v>loss_components</x:v>
      </x:c>
      <x:c r="C953" s="14" t="n">
        <x:v>1</x:v>
      </x:c>
      <x:c r="D953" s="14" t="str">
        <x:v>B16 explicit mapping; original field path retained.</x:v>
      </x:c>
    </x:row>
    <x:row r="954" ht="65" customHeight="1">
      <x:c r="A954" s="14" t="str">
        <x:v>loss.weight_selection</x:v>
      </x:c>
      <x:c r="B954" s="14" t="str">
        <x:v>loss_weights</x:v>
      </x:c>
      <x:c r="C954" s="14" t="n">
        <x:v>1</x:v>
      </x:c>
      <x:c r="D954" s="14" t="str">
        <x:v>B16 explicit mapping; original field path retained.</x:v>
      </x:c>
    </x:row>
    <x:row r="955" ht="65" customHeight="1">
      <x:c r="A955" s="14" t="str">
        <x:v>methods.interpretability</x:v>
      </x:c>
      <x:c r="B955" s="14" t="str">
        <x:v>other</x:v>
      </x:c>
      <x:c r="C955" s="14" t="n">
        <x:v>1</x:v>
      </x:c>
      <x:c r="D955" s="14" t="str">
        <x:v>B16 explicit mapping; original field path retained.</x:v>
      </x:c>
    </x:row>
    <x:row r="956" ht="65" customHeight="1">
      <x:c r="A956" s="14" t="str">
        <x:v>limitations.missing_physics</x:v>
      </x:c>
      <x:c r="B956" s="14" t="str">
        <x:v>limitations</x:v>
      </x:c>
      <x:c r="C956" s="14" t="n">
        <x:v>1</x:v>
      </x:c>
      <x:c r="D956" s="14" t="str">
        <x:v>B16 explicit mapping; original field path retained.</x:v>
      </x:c>
    </x:row>
    <x:row r="957" ht="65" customHeight="1">
      <x:c r="A957" s="14" t="str">
        <x:v>datasets.swot</x:v>
      </x:c>
      <x:c r="B957" s="14" t="str">
        <x:v>datasets</x:v>
      </x:c>
      <x:c r="C957" s="14" t="n">
        <x:v>1</x:v>
      </x:c>
      <x:c r="D957" s="14" t="str">
        <x:v>B16 explicit mapping; original field path retained.</x:v>
      </x:c>
    </x:row>
    <x:row r="958" ht="65" customHeight="1">
      <x:c r="A958" s="14" t="str">
        <x:v>preprocessing.match_radius</x:v>
      </x:c>
      <x:c r="B958" s="14" t="str">
        <x:v>preprocessing</x:v>
      </x:c>
      <x:c r="C958" s="14" t="n">
        <x:v>1</x:v>
      </x:c>
      <x:c r="D958" s="14" t="str">
        <x:v>B16 explicit mapping; original field path retained.</x:v>
      </x:c>
    </x:row>
    <x:row r="959" ht="65" customHeight="1">
      <x:c r="A959" s="14" t="str">
        <x:v>preprocessing.match_window</x:v>
      </x:c>
      <x:c r="B959" s="14" t="str">
        <x:v>preprocessing</x:v>
      </x:c>
      <x:c r="C959" s="14" t="n">
        <x:v>1</x:v>
      </x:c>
      <x:c r="D959" s="14" t="str">
        <x:v>B16 explicit mapping; original field path retained.</x:v>
      </x:c>
    </x:row>
    <x:row r="960" ht="65" customHeight="1">
      <x:c r="A960" s="14" t="str">
        <x:v>preprocessing.missing_values</x:v>
      </x:c>
      <x:c r="B960" s="14" t="str">
        <x:v>preprocessing</x:v>
      </x:c>
      <x:c r="C960" s="14" t="n">
        <x:v>1</x:v>
      </x:c>
      <x:c r="D960" s="14" t="str">
        <x:v>B16 explicit mapping; original field path retained.</x:v>
      </x:c>
    </x:row>
    <x:row r="961" ht="65" customHeight="1">
      <x:c r="A961" s="14" t="str">
        <x:v>datasets.matched_samples</x:v>
      </x:c>
      <x:c r="B961" s="14" t="str">
        <x:v>datasets</x:v>
      </x:c>
      <x:c r="C961" s="14" t="n">
        <x:v>1</x:v>
      </x:c>
      <x:c r="D961" s="14" t="str">
        <x:v>B16 explicit mapping; original field path retained.</x:v>
      </x:c>
    </x:row>
    <x:row r="962" ht="65" customHeight="1">
      <x:c r="A962" s="14" t="str">
        <x:v>architecture.lgb_leaves</x:v>
      </x:c>
      <x:c r="B962" s="14" t="str">
        <x:v>architecture</x:v>
      </x:c>
      <x:c r="C962" s="14" t="n">
        <x:v>1</x:v>
      </x:c>
      <x:c r="D962" s="14" t="str">
        <x:v>B16 explicit mapping; original field path retained.</x:v>
      </x:c>
    </x:row>
    <x:row r="963" ht="65" customHeight="1">
      <x:c r="A963" s="14" t="str">
        <x:v>training.lgb_learning_rate</x:v>
      </x:c>
      <x:c r="B963" s="14" t="str">
        <x:v>learning_rate</x:v>
      </x:c>
      <x:c r="C963" s="14" t="n">
        <x:v>1</x:v>
      </x:c>
      <x:c r="D963" s="14" t="str">
        <x:v>B16 explicit mapping; original field path retained.</x:v>
      </x:c>
    </x:row>
    <x:row r="964" ht="65" customHeight="1">
      <x:c r="A964" s="14" t="str">
        <x:v>training.lgb_min_child_samples</x:v>
      </x:c>
      <x:c r="B964" s="14" t="str">
        <x:v>training_other</x:v>
      </x:c>
      <x:c r="C964" s="14" t="n">
        <x:v>1</x:v>
      </x:c>
      <x:c r="D964" s="14" t="str">
        <x:v>B16 explicit mapping; original field path retained.</x:v>
      </x:c>
    </x:row>
    <x:row r="965" ht="65" customHeight="1">
      <x:c r="A965" s="14" t="str">
        <x:v>inference.lgb_compilation</x:v>
      </x:c>
      <x:c r="B965" s="14" t="str">
        <x:v>other</x:v>
      </x:c>
      <x:c r="C965" s="14" t="n">
        <x:v>1</x:v>
      </x:c>
      <x:c r="D965" s="14" t="str">
        <x:v>B16 explicit mapping; original field path retained.</x:v>
      </x:c>
    </x:row>
    <x:row r="966" ht="65" customHeight="1">
      <x:c r="A966" s="14" t="str">
        <x:v>architecture.dnn_total_layers</x:v>
      </x:c>
      <x:c r="B966" s="14" t="str">
        <x:v>layers</x:v>
      </x:c>
      <x:c r="C966" s="14" t="n">
        <x:v>1</x:v>
      </x:c>
      <x:c r="D966" s="14" t="str">
        <x:v>B16 explicit mapping; original field path retained.</x:v>
      </x:c>
    </x:row>
    <x:row r="967" ht="65" customHeight="1">
      <x:c r="A967" s="14" t="str">
        <x:v>architecture.dnn_hidden_layers</x:v>
      </x:c>
      <x:c r="B967" s="14" t="str">
        <x:v>layers</x:v>
      </x:c>
      <x:c r="C967" s="14" t="n">
        <x:v>1</x:v>
      </x:c>
      <x:c r="D967" s="14" t="str">
        <x:v>B16 explicit mapping; original field path retained.</x:v>
      </x:c>
    </x:row>
    <x:row r="968" ht="65" customHeight="1">
      <x:c r="A968" s="14" t="str">
        <x:v>architecture.dnn_hidden_dimensions</x:v>
      </x:c>
      <x:c r="B968" s="14" t="str">
        <x:v>hidden_dimensions</x:v>
      </x:c>
      <x:c r="C968" s="14" t="n">
        <x:v>1</x:v>
      </x:c>
      <x:c r="D968" s="14" t="str">
        <x:v>B16 explicit mapping; original field path retained.</x:v>
      </x:c>
    </x:row>
    <x:row r="969" ht="65" customHeight="1">
      <x:c r="A969" s="14" t="str">
        <x:v>architecture.dnn_activation</x:v>
      </x:c>
      <x:c r="B969" s="14" t="str">
        <x:v>activations</x:v>
      </x:c>
      <x:c r="C969" s="14" t="n">
        <x:v>1</x:v>
      </x:c>
      <x:c r="D969" s="14" t="str">
        <x:v>B16 explicit mapping; original field path retained.</x:v>
      </x:c>
    </x:row>
    <x:row r="970" ht="65" customHeight="1">
      <x:c r="A970" s="14" t="str">
        <x:v>training.dnn_early_stopping</x:v>
      </x:c>
      <x:c r="B970" s="14" t="str">
        <x:v>early_stopping</x:v>
      </x:c>
      <x:c r="C970" s="14" t="n">
        <x:v>1</x:v>
      </x:c>
      <x:c r="D970" s="14" t="str">
        <x:v>B16 explicit mapping; original field path retained.</x:v>
      </x:c>
    </x:row>
    <x:row r="971" ht="65" customHeight="1">
      <x:c r="A971" s="14" t="str">
        <x:v>inputs.count</x:v>
      </x:c>
      <x:c r="B971" s="14" t="str">
        <x:v>inputs</x:v>
      </x:c>
      <x:c r="C971" s="14" t="n">
        <x:v>1</x:v>
      </x:c>
      <x:c r="D971" s="14" t="str">
        <x:v>B16 explicit mapping; original field path retained.</x:v>
      </x:c>
    </x:row>
    <x:row r="972" ht="65" customHeight="1">
      <x:c r="A972" s="14" t="str">
        <x:v>methods.importance</x:v>
      </x:c>
      <x:c r="B972" s="14" t="str">
        <x:v>other</x:v>
      </x:c>
      <x:c r="C972" s="14" t="n">
        <x:v>1</x:v>
      </x:c>
      <x:c r="D972" s="14" t="str">
        <x:v>B16 explicit mapping; original field path retained.</x:v>
      </x:c>
    </x:row>
    <x:row r="973" ht="65" customHeight="1">
      <x:c r="A973" s="14" t="str">
        <x:v>preprocessing.ke_grid</x:v>
      </x:c>
      <x:c r="B973" s="14" t="str">
        <x:v>preprocessing</x:v>
      </x:c>
      <x:c r="C973" s="14" t="n">
        <x:v>1</x:v>
      </x:c>
      <x:c r="D973" s="14" t="str">
        <x:v>B16 explicit mapping; original field path retained.</x:v>
      </x:c>
    </x:row>
    <x:row r="974" ht="65" customHeight="1">
      <x:c r="A974" s="14" t="str">
        <x:v>results.lowlat_lgb_u_rmse</x:v>
      </x:c>
      <x:c r="B974" s="14" t="str">
        <x:v>quantitative_results</x:v>
      </x:c>
      <x:c r="C974" s="14" t="n">
        <x:v>1</x:v>
      </x:c>
      <x:c r="D974" s="14" t="str">
        <x:v>B16 explicit mapping; original field path retained.</x:v>
      </x:c>
    </x:row>
    <x:row r="975" ht="65" customHeight="1">
      <x:c r="A975" s="14" t="str">
        <x:v>results.lowlat_lgb_v_rmse</x:v>
      </x:c>
      <x:c r="B975" s="14" t="str">
        <x:v>quantitative_results</x:v>
      </x:c>
      <x:c r="C975" s="14" t="n">
        <x:v>1</x:v>
      </x:c>
      <x:c r="D975" s="14" t="str">
        <x:v>B16 explicit mapping; original field path retained.</x:v>
      </x:c>
    </x:row>
    <x:row r="976" ht="65" customHeight="1">
      <x:c r="A976" s="14" t="str">
        <x:v>results.highlat_dnn_u_rmse</x:v>
      </x:c>
      <x:c r="B976" s="14" t="str">
        <x:v>quantitative_results</x:v>
      </x:c>
      <x:c r="C976" s="14" t="n">
        <x:v>1</x:v>
      </x:c>
      <x:c r="D976" s="14" t="str">
        <x:v>B16 explicit mapping; original field path retained.</x:v>
      </x:c>
    </x:row>
    <x:row r="977" ht="65" customHeight="1">
      <x:c r="A977" s="14" t="str">
        <x:v>results.highlat_swot_u_rmse</x:v>
      </x:c>
      <x:c r="B977" s="14" t="str">
        <x:v>quantitative_results</x:v>
      </x:c>
      <x:c r="C977" s="14" t="n">
        <x:v>1</x:v>
      </x:c>
      <x:c r="D977" s="14" t="str">
        <x:v>B16 explicit mapping; original field path retained.</x:v>
      </x:c>
    </x:row>
    <x:row r="978" ht="65" customHeight="1">
      <x:c r="A978" s="14" t="str">
        <x:v>limitations.ke_wbc</x:v>
      </x:c>
      <x:c r="B978" s="14" t="str">
        <x:v>limitations</x:v>
      </x:c>
      <x:c r="C978" s="14" t="n">
        <x:v>1</x:v>
      </x:c>
      <x:c r="D978" s="14" t="str">
        <x:v>B16 explicit mapping; original field path retained.</x:v>
      </x:c>
    </x:row>
    <x:row r="979" ht="65" customHeight="1">
      <x:c r="A979" s="14" t="str">
        <x:v>limitations.longitude</x:v>
      </x:c>
      <x:c r="B979" s="14" t="str">
        <x:v>limitations</x:v>
      </x:c>
      <x:c r="C979" s="14" t="n">
        <x:v>1</x:v>
      </x:c>
      <x:c r="D979" s="14" t="str">
        <x:v>B16 explicit mapping; original field path retained.</x:v>
      </x:c>
    </x:row>
    <x:row r="980" ht="65" customHeight="1">
      <x:c r="A980" s="14" t="str">
        <x:v>results.percentage_conflict</x:v>
      </x:c>
      <x:c r="B980" s="14" t="str">
        <x:v>quantitative_results</x:v>
      </x:c>
      <x:c r="C980" s="14" t="n">
        <x:v>1</x:v>
      </x:c>
      <x:c r="D980" s="14" t="str">
        <x:v>B16 explicit mapping; original field path retained.</x:v>
      </x:c>
    </x:row>
    <x:row r="981" ht="65" customHeight="1">
      <x:c r="A981" s="14" t="str">
        <x:v>preprocessing.time_window_conflict</x:v>
      </x:c>
      <x:c r="B981" s="14" t="str">
        <x:v>preprocessing</x:v>
      </x:c>
      <x:c r="C981" s="14" t="n">
        <x:v>1</x:v>
      </x:c>
      <x:c r="D981" s="14" t="str">
        <x:v>B16 explicit mapping; original field path retained.</x:v>
      </x:c>
    </x:row>
    <x:row r="982" ht="65" customHeight="1">
      <x:c r="A982" s="14" t="str">
        <x:v>metrics.equation_check</x:v>
      </x:c>
      <x:c r="B982" s="14" t="str">
        <x:v>metrics</x:v>
      </x:c>
      <x:c r="C982" s="14" t="n">
        <x:v>1</x:v>
      </x:c>
      <x:c r="D982" s="14" t="str">
        <x:v>B16 explicit mapping; original field path retained.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5" hidden="0" customHeight="1">
      <x:c r="A1" s="1" t="s">
        <x:v>82</x:v>
      </x:c>
      <x:c r="B1" s="1" t="s">
        <x:v>5461</x:v>
      </x:c>
      <x:c r="C1" s="1" t="s">
        <x:v>5656</x:v>
      </x:c>
      <x:c r="D1" s="1" t="s">
        <x:v>6703</x:v>
      </x:c>
      <x:c r="E1" s="1" t="s">
        <x:v>6704</x:v>
      </x:c>
      <x:c r="F1" s="1" t="s">
        <x:v>6705</x:v>
      </x:c>
      <x:c r="G1" s="1" t="s">
        <x:v>87</x:v>
      </x:c>
    </x:row>
    <x:row r="2" ht="15" hidden="0" customHeight="1">
      <x:c r="A2" s="1" t="s">
        <x:v>104</x:v>
      </x:c>
      <x:c r="B2" s="1" t="s">
        <x:v>5478</x:v>
      </x:c>
      <x:c r="C2" s="1" t="s">
        <x:v>5670</x:v>
      </x:c>
      <x:c r="D2" s="1" t="s">
        <x:v>30</x:v>
      </x:c>
      <x:c r="E2" s="1" t="s">
        <x:v>6706</x:v>
      </x:c>
      <x:c r="F2" s="1"/>
      <x:c r="G2" s="1" t="s">
        <x:v>181</x:v>
      </x:c>
    </x:row>
    <x:row r="3" ht="15" hidden="0" customHeight="1">
      <x:c r="A3" s="1" t="s">
        <x:v>194</x:v>
      </x:c>
      <x:c r="B3" s="1" t="s">
        <x:v>5481</x:v>
      </x:c>
      <x:c r="C3" s="1" t="s">
        <x:v>5670</x:v>
      </x:c>
      <x:c r="D3" s="1" t="s">
        <x:v>30</x:v>
      </x:c>
      <x:c r="E3" s="1" t="s">
        <x:v>6706</x:v>
      </x:c>
      <x:c r="F3" s="1"/>
      <x:c r="G3" s="1" t="s">
        <x:v>181</x:v>
      </x:c>
    </x:row>
    <x:row r="4" ht="15" hidden="0" customHeight="1">
      <x:c r="A4" s="1" t="s">
        <x:v>279</x:v>
      </x:c>
      <x:c r="B4" s="1" t="s">
        <x:v>5481</x:v>
      </x:c>
      <x:c r="C4" s="1" t="s">
        <x:v>5670</x:v>
      </x:c>
      <x:c r="D4" s="1" t="s">
        <x:v>30</x:v>
      </x:c>
      <x:c r="E4" s="1" t="s">
        <x:v>6706</x:v>
      </x:c>
      <x:c r="F4" s="1"/>
      <x:c r="G4" s="1" t="s">
        <x:v>181</x:v>
      </x:c>
    </x:row>
    <x:row r="5" ht="15" hidden="0" customHeight="1">
      <x:c r="A5" s="1" t="s">
        <x:v>356</x:v>
      </x:c>
      <x:c r="B5" s="1" t="s">
        <x:v>5486</x:v>
      </x:c>
      <x:c r="C5" s="1" t="s">
        <x:v>5670</x:v>
      </x:c>
      <x:c r="D5" s="1" t="s">
        <x:v>30</x:v>
      </x:c>
      <x:c r="E5" s="1" t="s">
        <x:v>6706</x:v>
      </x:c>
      <x:c r="F5" s="1"/>
      <x:c r="G5" s="1" t="s">
        <x:v>181</x:v>
      </x:c>
    </x:row>
    <x:row r="6" ht="15" hidden="0" customHeight="1">
      <x:c r="A6" s="1" t="s">
        <x:v>554</x:v>
      </x:c>
      <x:c r="B6" s="1" t="s">
        <x:v>5481</x:v>
      </x:c>
      <x:c r="C6" s="1" t="s">
        <x:v>5670</x:v>
      </x:c>
      <x:c r="D6" s="1" t="s">
        <x:v>30</x:v>
      </x:c>
      <x:c r="E6" s="1" t="s">
        <x:v>6706</x:v>
      </x:c>
      <x:c r="F6" s="1"/>
      <x:c r="G6" s="1" t="s">
        <x:v>181</x:v>
      </x:c>
    </x:row>
    <x:row r="7" ht="15" hidden="0" customHeight="1">
      <x:c r="A7" s="1" t="s">
        <x:v>431</x:v>
      </x:c>
      <x:c r="B7" s="1" t="s">
        <x:v>5481</x:v>
      </x:c>
      <x:c r="C7" s="1" t="s">
        <x:v>5693</x:v>
      </x:c>
      <x:c r="D7" s="1" t="s">
        <x:v>6707</x:v>
      </x:c>
      <x:c r="E7" s="1" t="s">
        <x:v>6708</x:v>
      </x:c>
      <x:c r="F7" s="1" t="s">
        <x:v>6709</x:v>
      </x:c>
      <x:c r="G7" s="1" t="s">
        <x:v>181</x:v>
      </x:c>
    </x:row>
    <x:row r="8" ht="15" hidden="0" customHeight="1">
      <x:c r="A8" s="1" t="s">
        <x:v>875</x:v>
      </x:c>
      <x:c r="B8" s="1" t="s">
        <x:v>5481</x:v>
      </x:c>
      <x:c r="C8" s="1" t="s">
        <x:v>5670</x:v>
      </x:c>
      <x:c r="D8" s="1" t="s">
        <x:v>30</x:v>
      </x:c>
      <x:c r="E8" s="1" t="s">
        <x:v>6706</x:v>
      </x:c>
      <x:c r="F8" s="1"/>
      <x:c r="G8" s="1" t="s">
        <x:v>181</x:v>
      </x:c>
    </x:row>
    <x:row r="9" ht="15" hidden="0" customHeight="1">
      <x:c r="A9" s="1" t="s">
        <x:v>1107</x:v>
      </x:c>
      <x:c r="B9" s="1" t="s">
        <x:v>5493</x:v>
      </x:c>
      <x:c r="C9" s="1" t="s">
        <x:v>5670</x:v>
      </x:c>
      <x:c r="D9" s="1" t="s">
        <x:v>30</x:v>
      </x:c>
      <x:c r="E9" s="1" t="s">
        <x:v>6706</x:v>
      </x:c>
      <x:c r="F9" s="1"/>
      <x:c r="G9" s="1" t="s">
        <x:v>181</x:v>
      </x:c>
    </x:row>
    <x:row r="10" ht="15" hidden="0" customHeight="1">
      <x:c r="A10" s="1" t="s">
        <x:v>1197</x:v>
      </x:c>
      <x:c r="B10" s="1" t="s">
        <x:v>5493</x:v>
      </x:c>
      <x:c r="C10" s="1" t="s">
        <x:v>5670</x:v>
      </x:c>
      <x:c r="D10" s="1" t="s">
        <x:v>30</x:v>
      </x:c>
      <x:c r="E10" s="1" t="s">
        <x:v>6706</x:v>
      </x:c>
      <x:c r="F10" s="1"/>
      <x:c r="G10" s="1" t="s">
        <x:v>181</x:v>
      </x:c>
    </x:row>
    <x:row r="11" ht="15" hidden="0" customHeight="1">
      <x:c r="A11" s="1" t="s">
        <x:v>1279</x:v>
      </x:c>
      <x:c r="B11" s="1" t="s">
        <x:v>5497</x:v>
      </x:c>
      <x:c r="C11" s="1" t="s">
        <x:v>5713</x:v>
      </x:c>
      <x:c r="D11" s="1" t="s">
        <x:v>6707</x:v>
      </x:c>
      <x:c r="E11" s="1" t="s">
        <x:v>6708</x:v>
      </x:c>
      <x:c r="F11" s="1" t="s">
        <x:v>6710</x:v>
      </x:c>
      <x:c r="G11" s="1" t="s">
        <x:v>181</x:v>
      </x:c>
    </x:row>
    <x:row r="12" ht="15" hidden="0" customHeight="1">
      <x:c r="A12" s="1" t="s">
        <x:v>1466</x:v>
      </x:c>
      <x:c r="B12" s="1" t="s">
        <x:v>5481</x:v>
      </x:c>
      <x:c r="C12" s="1" t="s">
        <x:v>5670</x:v>
      </x:c>
      <x:c r="D12" s="1" t="s">
        <x:v>30</x:v>
      </x:c>
      <x:c r="E12" s="1" t="s">
        <x:v>6706</x:v>
      </x:c>
      <x:c r="F12" s="1"/>
      <x:c r="G12" s="1" t="s">
        <x:v>181</x:v>
      </x:c>
    </x:row>
    <x:row r="13" ht="15" hidden="0" customHeight="1">
      <x:c r="A13" s="1" t="s">
        <x:v>5501</x:v>
      </x:c>
      <x:c r="B13" s="1" t="s">
        <x:v>5503</x:v>
      </x:c>
      <x:c r="C13" s="1" t="s">
        <x:v>5670</x:v>
      </x:c>
      <x:c r="D13" s="1" t="s">
        <x:v>30</x:v>
      </x:c>
      <x:c r="E13" s="1" t="s">
        <x:v>6706</x:v>
      </x:c>
      <x:c r="F13" s="1"/>
      <x:c r="G13" s="1" t="s">
        <x:v>181</x:v>
      </x:c>
    </x:row>
    <x:row r="14" ht="15" hidden="0" customHeight="1">
      <x:c r="A14" s="1" t="s">
        <x:v>4629</x:v>
      </x:c>
      <x:c r="B14" s="1" t="s">
        <x:v>5503</x:v>
      </x:c>
      <x:c r="C14" s="1" t="s">
        <x:v>5670</x:v>
      </x:c>
      <x:c r="D14" s="1" t="s">
        <x:v>30</x:v>
      </x:c>
      <x:c r="E14" s="1" t="s">
        <x:v>6706</x:v>
      </x:c>
      <x:c r="F14" s="1"/>
      <x:c r="G14" s="1" t="s">
        <x:v>181</x:v>
      </x:c>
    </x:row>
    <x:row r="15" ht="15" hidden="0" customHeight="1">
      <x:c r="A15" s="1" t="s">
        <x:v>3426</x:v>
      </x:c>
      <x:c r="B15" s="1" t="s">
        <x:v>5493</x:v>
      </x:c>
      <x:c r="C15" s="1" t="s">
        <x:v>5701</x:v>
      </x:c>
      <x:c r="D15" s="1" t="s">
        <x:v>30</x:v>
      </x:c>
      <x:c r="E15" s="1" t="s">
        <x:v>6706</x:v>
      </x:c>
      <x:c r="F15" s="1"/>
      <x:c r="G15" s="1" t="s">
        <x:v>181</x:v>
      </x:c>
    </x:row>
    <x:row r="16" ht="15" hidden="0" customHeight="1">
      <x:c r="A16" s="1" t="s">
        <x:v>5101</x:v>
      </x:c>
      <x:c r="B16" s="1" t="s">
        <x:v>5493</x:v>
      </x:c>
      <x:c r="C16" s="1" t="s">
        <x:v>5701</x:v>
      </x:c>
      <x:c r="D16" s="1" t="s">
        <x:v>30</x:v>
      </x:c>
      <x:c r="E16" s="1" t="s">
        <x:v>6706</x:v>
      </x:c>
      <x:c r="F16" s="1"/>
      <x:c r="G16" s="1" t="s">
        <x:v>181</x:v>
      </x:c>
    </x:row>
    <x:row r="17" ht="15" hidden="0" customHeight="1">
      <x:c r="A17" s="1" t="s">
        <x:v>1703</x:v>
      </x:c>
      <x:c r="B17" s="1" t="s">
        <x:v>5493</x:v>
      </x:c>
      <x:c r="C17" s="1" t="s">
        <x:v>5701</x:v>
      </x:c>
      <x:c r="D17" s="1" t="s">
        <x:v>30</x:v>
      </x:c>
      <x:c r="E17" s="1" t="s">
        <x:v>6706</x:v>
      </x:c>
      <x:c r="F17" s="1"/>
      <x:c r="G17" s="1" t="s">
        <x:v>181</x:v>
      </x:c>
    </x:row>
    <x:row r="18" ht="15" hidden="0" customHeight="1">
      <x:c r="A18" s="1" t="s">
        <x:v>4916</x:v>
      </x:c>
      <x:c r="B18" s="1" t="s">
        <x:v>5493</x:v>
      </x:c>
      <x:c r="C18" s="1" t="s">
        <x:v>5701</x:v>
      </x:c>
      <x:c r="D18" s="1" t="s">
        <x:v>6711</x:v>
      </x:c>
      <x:c r="E18" s="1" t="s">
        <x:v>6712</x:v>
      </x:c>
      <x:c r="F18" s="1" t="s">
        <x:v>5309</x:v>
      </x:c>
      <x:c r="G18" s="1" t="s">
        <x:v>181</x:v>
      </x:c>
    </x:row>
    <x:row r="19" ht="15" hidden="0" customHeight="1">
      <x:c r="A19" s="1" t="s">
        <x:v>1730</x:v>
      </x:c>
      <x:c r="B19" s="1" t="s">
        <x:v>5493</x:v>
      </x:c>
      <x:c r="C19" s="1" t="s">
        <x:v>5742</x:v>
      </x:c>
      <x:c r="D19" s="1" t="s">
        <x:v>30</x:v>
      </x:c>
      <x:c r="E19" s="1" t="s">
        <x:v>6706</x:v>
      </x:c>
      <x:c r="F19" s="1"/>
      <x:c r="G19" s="1" t="s">
        <x:v>181</x:v>
      </x:c>
    </x:row>
    <x:row r="20" ht="15" hidden="0" customHeight="1">
      <x:c r="A20" s="1" t="s">
        <x:v>2425</x:v>
      </x:c>
      <x:c r="B20" s="1" t="s">
        <x:v>5493</x:v>
      </x:c>
      <x:c r="C20" s="1" t="s">
        <x:v>5701</x:v>
      </x:c>
      <x:c r="D20" s="1" t="s">
        <x:v>30</x:v>
      </x:c>
      <x:c r="E20" s="1" t="s">
        <x:v>6706</x:v>
      </x:c>
      <x:c r="F20" s="1"/>
      <x:c r="G20" s="1" t="s">
        <x:v>181</x:v>
      </x:c>
    </x:row>
    <x:row r="21" ht="15" hidden="0" customHeight="1">
      <x:c r="A21" s="1" t="s">
        <x:v>3443</x:v>
      </x:c>
      <x:c r="B21" s="1" t="s">
        <x:v>5493</x:v>
      </x:c>
      <x:c r="C21" s="1" t="s">
        <x:v>5701</x:v>
      </x:c>
      <x:c r="D21" s="1" t="s">
        <x:v>30</x:v>
      </x:c>
      <x:c r="E21" s="1" t="s">
        <x:v>6706</x:v>
      </x:c>
      <x:c r="F21" s="1"/>
      <x:c r="G21" s="1" t="s">
        <x:v>181</x:v>
      </x:c>
    </x:row>
    <x:row r="22" ht="15" hidden="0" customHeight="1">
      <x:c r="A22" s="1" t="s">
        <x:v>4553</x:v>
      </x:c>
      <x:c r="B22" s="1" t="s">
        <x:v>5493</x:v>
      </x:c>
      <x:c r="C22" s="1" t="s">
        <x:v>5748</x:v>
      </x:c>
      <x:c r="D22" s="1" t="s">
        <x:v>30</x:v>
      </x:c>
      <x:c r="E22" s="1" t="s">
        <x:v>6706</x:v>
      </x:c>
      <x:c r="F22" s="1"/>
      <x:c r="G22" s="1" t="s">
        <x:v>181</x:v>
      </x:c>
    </x:row>
    <x:row r="23" ht="15" hidden="0" customHeight="1">
      <x:c r="A23" s="1" t="s">
        <x:v>4570</x:v>
      </x:c>
      <x:c r="B23" s="1" t="s">
        <x:v>5493</x:v>
      </x:c>
      <x:c r="C23" s="1" t="s">
        <x:v>5748</x:v>
      </x:c>
      <x:c r="D23" s="1" t="s">
        <x:v>30</x:v>
      </x:c>
      <x:c r="E23" s="1" t="s">
        <x:v>6706</x:v>
      </x:c>
      <x:c r="F23" s="1"/>
      <x:c r="G23" s="1" t="s">
        <x:v>181</x:v>
      </x:c>
    </x:row>
    <x:row r="24" ht="15" hidden="0" customHeight="1">
      <x:c r="A24" s="1" t="s">
        <x:v>2444</x:v>
      </x:c>
      <x:c r="B24" s="1" t="s">
        <x:v>5493</x:v>
      </x:c>
      <x:c r="C24" s="1" t="s">
        <x:v>5701</x:v>
      </x:c>
      <x:c r="D24" s="1" t="s">
        <x:v>30</x:v>
      </x:c>
      <x:c r="E24" s="1" t="s">
        <x:v>6706</x:v>
      </x:c>
      <x:c r="F24" s="1"/>
      <x:c r="G24" s="1" t="s">
        <x:v>181</x:v>
      </x:c>
    </x:row>
    <x:row r="25" ht="15" hidden="0" customHeight="1">
      <x:c r="A25" s="1" t="s">
        <x:v>5151</x:v>
      </x:c>
      <x:c r="B25" s="1" t="s">
        <x:v>5493</x:v>
      </x:c>
      <x:c r="C25" s="1" t="s">
        <x:v>5701</x:v>
      </x:c>
      <x:c r="D25" s="1" t="s">
        <x:v>30</x:v>
      </x:c>
      <x:c r="E25" s="1" t="s">
        <x:v>6706</x:v>
      </x:c>
      <x:c r="F25" s="1"/>
      <x:c r="G25" s="1" t="s">
        <x:v>181</x:v>
      </x:c>
    </x:row>
    <x:row r="26" ht="15" hidden="0" customHeight="1">
      <x:c r="A26" s="1" t="s">
        <x:v>573</x:v>
      </x:c>
      <x:c r="B26" s="1" t="s">
        <x:v>5481</x:v>
      </x:c>
      <x:c r="C26" s="1" t="s">
        <x:v>5693</x:v>
      </x:c>
      <x:c r="D26" s="1" t="s">
        <x:v>6707</x:v>
      </x:c>
      <x:c r="E26" s="1" t="s">
        <x:v>6708</x:v>
      </x:c>
      <x:c r="F26" s="1" t="s">
        <x:v>6713</x:v>
      </x:c>
      <x:c r="G26" s="1" t="s">
        <x:v>181</x:v>
      </x:c>
    </x:row>
    <x:row r="27" ht="15" hidden="0" customHeight="1">
      <x:c r="A27" s="1" t="s">
        <x:v>628</x:v>
      </x:c>
      <x:c r="B27" s="1" t="s">
        <x:v>5481</x:v>
      </x:c>
      <x:c r="C27" s="1" t="s">
        <x:v>5693</x:v>
      </x:c>
      <x:c r="D27" s="1" t="s">
        <x:v>6707</x:v>
      </x:c>
      <x:c r="E27" s="1" t="s">
        <x:v>6708</x:v>
      </x:c>
      <x:c r="F27" s="1" t="s">
        <x:v>6714</x:v>
      </x:c>
      <x:c r="G27" s="1" t="s">
        <x:v>181</x:v>
      </x:c>
    </x:row>
    <x:row r="28" ht="15" hidden="0" customHeight="1">
      <x:c r="A28" s="1" t="s">
        <x:v>1614</x:v>
      </x:c>
      <x:c r="B28" s="1" t="s">
        <x:v>5481</x:v>
      </x:c>
      <x:c r="C28" s="1" t="s">
        <x:v>5693</x:v>
      </x:c>
      <x:c r="D28" s="1" t="s">
        <x:v>6707</x:v>
      </x:c>
      <x:c r="E28" s="1" t="s">
        <x:v>6708</x:v>
      </x:c>
      <x:c r="F28" s="1" t="s">
        <x:v>6715</x:v>
      </x:c>
      <x:c r="G28" s="1" t="s">
        <x:v>181</x:v>
      </x:c>
    </x:row>
    <x:row r="29" ht="15" hidden="0" customHeight="1">
      <x:c r="A29" s="1" t="s">
        <x:v>2999</x:v>
      </x:c>
      <x:c r="B29" s="1" t="s">
        <x:v>5481</x:v>
      </x:c>
      <x:c r="C29" s="1" t="s">
        <x:v>5693</x:v>
      </x:c>
      <x:c r="D29" s="1" t="s">
        <x:v>6707</x:v>
      </x:c>
      <x:c r="E29" s="1" t="s">
        <x:v>6708</x:v>
      </x:c>
      <x:c r="F29" s="1" t="s">
        <x:v>5001</x:v>
      </x:c>
      <x:c r="G29" s="1" t="s">
        <x:v>181</x:v>
      </x:c>
    </x:row>
    <x:row r="30" ht="15" hidden="0" customHeight="1">
      <x:c r="A30" s="1" t="s">
        <x:v>2138</x:v>
      </x:c>
      <x:c r="B30" s="1" t="s">
        <x:v>5481</x:v>
      </x:c>
      <x:c r="C30" s="1" t="s">
        <x:v>5693</x:v>
      </x:c>
      <x:c r="D30" s="1" t="s">
        <x:v>6707</x:v>
      </x:c>
      <x:c r="E30" s="1" t="s">
        <x:v>6708</x:v>
      </x:c>
      <x:c r="F30" s="1" t="s">
        <x:v>6716</x:v>
      </x:c>
      <x:c r="G30" s="1" t="s">
        <x:v>181</x:v>
      </x:c>
    </x:row>
    <x:row r="31" ht="15" hidden="0" customHeight="1">
      <x:c r="A31" s="1" t="s">
        <x:v>2874</x:v>
      </x:c>
      <x:c r="B31" s="1" t="s">
        <x:v>5532</x:v>
      </x:c>
      <x:c r="C31" s="1" t="s">
        <x:v>5693</x:v>
      </x:c>
      <x:c r="D31" s="1" t="s">
        <x:v>6707</x:v>
      </x:c>
      <x:c r="E31" s="1" t="s">
        <x:v>6708</x:v>
      </x:c>
      <x:c r="F31" s="1" t="s">
        <x:v>6717</x:v>
      </x:c>
      <x:c r="G31" s="1" t="s">
        <x:v>181</x:v>
      </x:c>
    </x:row>
    <x:row r="32" ht="15" hidden="0" customHeight="1">
      <x:c r="A32" s="1" t="s">
        <x:v>2181</x:v>
      </x:c>
      <x:c r="B32" s="1" t="s">
        <x:v>5532</x:v>
      </x:c>
      <x:c r="C32" s="1" t="s">
        <x:v>5693</x:v>
      </x:c>
      <x:c r="D32" s="1" t="s">
        <x:v>6707</x:v>
      </x:c>
      <x:c r="E32" s="1" t="s">
        <x:v>6708</x:v>
      </x:c>
      <x:c r="F32" s="1" t="s">
        <x:v>6718</x:v>
      </x:c>
      <x:c r="G32" s="1" t="s">
        <x:v>181</x:v>
      </x:c>
    </x:row>
    <x:row r="33" ht="15" hidden="0" customHeight="1">
      <x:c r="A33" s="1" t="s">
        <x:v>1812</x:v>
      </x:c>
      <x:c r="B33" s="1" t="s">
        <x:v>5478</x:v>
      </x:c>
      <x:c r="C33" s="1" t="s">
        <x:v>5693</x:v>
      </x:c>
      <x:c r="D33" s="1" t="s">
        <x:v>6707</x:v>
      </x:c>
      <x:c r="E33" s="1" t="s">
        <x:v>6708</x:v>
      </x:c>
      <x:c r="F33" s="1" t="s">
        <x:v>6719</x:v>
      </x:c>
      <x:c r="G33" s="1" t="s">
        <x:v>181</x:v>
      </x:c>
    </x:row>
    <x:row r="34" ht="15" hidden="0" customHeight="1">
      <x:c r="A34" s="1" t="s">
        <x:v>1845</x:v>
      </x:c>
      <x:c r="B34" s="1" t="s">
        <x:v>5536</x:v>
      </x:c>
      <x:c r="C34" s="1" t="s">
        <x:v>5693</x:v>
      </x:c>
      <x:c r="D34" s="1" t="s">
        <x:v>6707</x:v>
      </x:c>
      <x:c r="E34" s="1" t="s">
        <x:v>6708</x:v>
      </x:c>
      <x:c r="F34" s="1" t="s">
        <x:v>6720</x:v>
      </x:c>
      <x:c r="G34" s="1" t="s">
        <x:v>181</x:v>
      </x:c>
    </x:row>
    <x:row r="35" ht="15" hidden="0" customHeight="1">
      <x:c r="A35" s="1" t="s">
        <x:v>661</x:v>
      </x:c>
      <x:c r="B35" s="1" t="s">
        <x:v>5538</x:v>
      </x:c>
      <x:c r="C35" s="1" t="s">
        <x:v>5693</x:v>
      </x:c>
      <x:c r="D35" s="1" t="s">
        <x:v>6707</x:v>
      </x:c>
      <x:c r="E35" s="1" t="s">
        <x:v>6708</x:v>
      </x:c>
      <x:c r="F35" s="1" t="s">
        <x:v>664</x:v>
      </x:c>
      <x:c r="G35" s="1" t="s">
        <x:v>181</x:v>
      </x:c>
    </x:row>
    <x:row r="36" ht="15" hidden="0" customHeight="1">
      <x:c r="A36" s="1" t="s">
        <x:v>675</x:v>
      </x:c>
      <x:c r="B36" s="1" t="s">
        <x:v>5538</x:v>
      </x:c>
      <x:c r="C36" s="1" t="s">
        <x:v>5693</x:v>
      </x:c>
      <x:c r="D36" s="1" t="s">
        <x:v>6707</x:v>
      </x:c>
      <x:c r="E36" s="1" t="s">
        <x:v>6708</x:v>
      </x:c>
      <x:c r="F36" s="1" t="s">
        <x:v>6721</x:v>
      </x:c>
      <x:c r="G36" s="1" t="s">
        <x:v>181</x:v>
      </x:c>
    </x:row>
    <x:row r="37" ht="15" hidden="0" customHeight="1">
      <x:c r="A37" s="1" t="s">
        <x:v>1871</x:v>
      </x:c>
      <x:c r="B37" s="1" t="s">
        <x:v>5538</x:v>
      </x:c>
      <x:c r="C37" s="1" t="s">
        <x:v>5693</x:v>
      </x:c>
      <x:c r="D37" s="1" t="s">
        <x:v>6707</x:v>
      </x:c>
      <x:c r="E37" s="1" t="s">
        <x:v>6708</x:v>
      </x:c>
      <x:c r="F37" s="1" t="s">
        <x:v>1870</x:v>
      </x:c>
      <x:c r="G37" s="1" t="s">
        <x:v>181</x:v>
      </x:c>
    </x:row>
    <x:row r="38" ht="15" hidden="0" customHeight="1">
      <x:c r="A38" s="1" t="s">
        <x:v>688</x:v>
      </x:c>
      <x:c r="B38" s="1" t="s">
        <x:v>5538</x:v>
      </x:c>
      <x:c r="C38" s="1" t="s">
        <x:v>5693</x:v>
      </x:c>
      <x:c r="D38" s="1" t="s">
        <x:v>6707</x:v>
      </x:c>
      <x:c r="E38" s="1" t="s">
        <x:v>6708</x:v>
      </x:c>
      <x:c r="F38" s="1" t="s">
        <x:v>6722</x:v>
      </x:c>
      <x:c r="G38" s="1" t="s">
        <x:v>181</x:v>
      </x:c>
    </x:row>
    <x:row r="39" ht="15" hidden="0" customHeight="1">
      <x:c r="A39" s="1" t="s">
        <x:v>2760</x:v>
      </x:c>
      <x:c r="B39" s="1" t="s">
        <x:v>5538</x:v>
      </x:c>
      <x:c r="C39" s="1" t="s">
        <x:v>5693</x:v>
      </x:c>
      <x:c r="D39" s="1" t="s">
        <x:v>6707</x:v>
      </x:c>
      <x:c r="E39" s="1" t="s">
        <x:v>6708</x:v>
      </x:c>
      <x:c r="F39" s="1" t="s">
        <x:v>6723</x:v>
      </x:c>
      <x:c r="G39" s="1" t="s">
        <x:v>181</x:v>
      </x:c>
    </x:row>
    <x:row r="40" ht="15" hidden="0" customHeight="1">
      <x:c r="A40" s="1" t="s">
        <x:v>1910</x:v>
      </x:c>
      <x:c r="B40" s="1" t="s">
        <x:v>5478</x:v>
      </x:c>
      <x:c r="C40" s="1" t="s">
        <x:v>5693</x:v>
      </x:c>
      <x:c r="D40" s="1" t="s">
        <x:v>6707</x:v>
      </x:c>
      <x:c r="E40" s="1" t="s">
        <x:v>6708</x:v>
      </x:c>
      <x:c r="F40" s="1" t="s">
        <x:v>1909</x:v>
      </x:c>
      <x:c r="G40" s="1" t="s">
        <x:v>181</x:v>
      </x:c>
    </x:row>
    <x:row r="41" ht="15" hidden="0" customHeight="1">
      <x:c r="A41" s="1" t="s">
        <x:v>477</x:v>
      </x:c>
      <x:c r="B41" s="1" t="s">
        <x:v>5532</x:v>
      </x:c>
      <x:c r="C41" s="1" t="s">
        <x:v>5693</x:v>
      </x:c>
      <x:c r="D41" s="1" t="s">
        <x:v>6707</x:v>
      </x:c>
      <x:c r="E41" s="1" t="s">
        <x:v>6708</x:v>
      </x:c>
      <x:c r="F41" s="1" t="s">
        <x:v>6724</x:v>
      </x:c>
      <x:c r="G41" s="1" t="s">
        <x:v>181</x:v>
      </x:c>
    </x:row>
    <x:row r="42" ht="15" hidden="0" customHeight="1">
      <x:c r="A42" s="1" t="s">
        <x:v>5111</x:v>
      </x:c>
      <x:c r="B42" s="1" t="s">
        <x:v>5538</x:v>
      </x:c>
      <x:c r="C42" s="1" t="s">
        <x:v>5798</x:v>
      </x:c>
      <x:c r="D42" s="1" t="s">
        <x:v>6707</x:v>
      </x:c>
      <x:c r="E42" s="1" t="s">
        <x:v>6708</x:v>
      </x:c>
      <x:c r="F42" s="1" t="s">
        <x:v>5110</x:v>
      </x:c>
      <x:c r="G42" s="1" t="s">
        <x:v>181</x:v>
      </x:c>
    </x:row>
    <x:row r="43" ht="15" hidden="0" customHeight="1">
      <x:c r="A43" s="1" t="s">
        <x:v>3993</x:v>
      </x:c>
      <x:c r="B43" s="1" t="s">
        <x:v>5538</x:v>
      </x:c>
      <x:c r="C43" s="1" t="s">
        <x:v>5798</x:v>
      </x:c>
      <x:c r="D43" s="1" t="s">
        <x:v>6707</x:v>
      </x:c>
      <x:c r="E43" s="1" t="s">
        <x:v>6708</x:v>
      </x:c>
      <x:c r="F43" s="1" t="s">
        <x:v>6725</x:v>
      </x:c>
      <x:c r="G43" s="1" t="s">
        <x:v>181</x:v>
      </x:c>
    </x:row>
    <x:row r="44" ht="15" hidden="0" customHeight="1">
      <x:c r="A44" s="1" t="s">
        <x:v>1754</x:v>
      </x:c>
      <x:c r="B44" s="1" t="s">
        <x:v>5538</x:v>
      </x:c>
      <x:c r="C44" s="1" t="s">
        <x:v>5798</x:v>
      </x:c>
      <x:c r="D44" s="1" t="s">
        <x:v>6707</x:v>
      </x:c>
      <x:c r="E44" s="1" t="s">
        <x:v>6708</x:v>
      </x:c>
      <x:c r="F44" s="1" t="s">
        <x:v>6726</x:v>
      </x:c>
      <x:c r="G44" s="1" t="s">
        <x:v>181</x:v>
      </x:c>
    </x:row>
    <x:row r="45" ht="15" hidden="0" customHeight="1">
      <x:c r="A45" s="1" t="s">
        <x:v>1932</x:v>
      </x:c>
      <x:c r="B45" s="1" t="s">
        <x:v>5486</x:v>
      </x:c>
      <x:c r="C45" s="1" t="s">
        <x:v>5693</x:v>
      </x:c>
      <x:c r="D45" s="1" t="s">
        <x:v>6707</x:v>
      </x:c>
      <x:c r="E45" s="1" t="s">
        <x:v>6708</x:v>
      </x:c>
      <x:c r="F45" s="1" t="s">
        <x:v>6727</x:v>
      </x:c>
      <x:c r="G45" s="1" t="s">
        <x:v>181</x:v>
      </x:c>
    </x:row>
    <x:row r="46" ht="15" hidden="0" customHeight="1">
      <x:c r="A46" s="1" t="s">
        <x:v>2802</x:v>
      </x:c>
      <x:c r="B46" s="1" t="s">
        <x:v>5486</x:v>
      </x:c>
      <x:c r="C46" s="1" t="s">
        <x:v>5693</x:v>
      </x:c>
      <x:c r="D46" s="1" t="s">
        <x:v>6707</x:v>
      </x:c>
      <x:c r="E46" s="1" t="s">
        <x:v>6708</x:v>
      </x:c>
      <x:c r="F46" s="1" t="s">
        <x:v>6728</x:v>
      </x:c>
      <x:c r="G46" s="1" t="s">
        <x:v>181</x:v>
      </x:c>
    </x:row>
    <x:row r="47" ht="15" hidden="0" customHeight="1">
      <x:c r="A47" s="1" t="s">
        <x:v>3808</x:v>
      </x:c>
      <x:c r="B47" s="1" t="s">
        <x:v>5551</x:v>
      </x:c>
      <x:c r="C47" s="1" t="s">
        <x:v>5693</x:v>
      </x:c>
      <x:c r="D47" s="1" t="s">
        <x:v>6707</x:v>
      </x:c>
      <x:c r="E47" s="1" t="s">
        <x:v>6708</x:v>
      </x:c>
      <x:c r="F47" s="1" t="s">
        <x:v>6729</x:v>
      </x:c>
      <x:c r="G47" s="1" t="s">
        <x:v>181</x:v>
      </x:c>
    </x:row>
    <x:row r="48" ht="15" hidden="0" customHeight="1">
      <x:c r="A48" s="1" t="s">
        <x:v>5123</x:v>
      </x:c>
      <x:c r="B48" s="1" t="s">
        <x:v>5486</x:v>
      </x:c>
      <x:c r="C48" s="1" t="s">
        <x:v>5693</x:v>
      </x:c>
      <x:c r="D48" s="1" t="s">
        <x:v>6707</x:v>
      </x:c>
      <x:c r="E48" s="1" t="s">
        <x:v>6708</x:v>
      </x:c>
      <x:c r="F48" s="1" t="s">
        <x:v>5122</x:v>
      </x:c>
      <x:c r="G48" s="1" t="s">
        <x:v>181</x:v>
      </x:c>
    </x:row>
    <x:row r="49" ht="15" hidden="0" customHeight="1">
      <x:c r="A49" s="1" t="s">
        <x:v>3649</x:v>
      </x:c>
      <x:c r="B49" s="1" t="s">
        <x:v>5554</x:v>
      </x:c>
      <x:c r="C49" s="1" t="s">
        <x:v>5693</x:v>
      </x:c>
      <x:c r="D49" s="1" t="s">
        <x:v>30</x:v>
      </x:c>
      <x:c r="E49" s="1" t="s">
        <x:v>6730</x:v>
      </x:c>
      <x:c r="F49" s="1"/>
      <x:c r="G49" s="1" t="s">
        <x:v>181</x:v>
      </x:c>
    </x:row>
    <x:row r="50" ht="15" hidden="0" customHeight="1">
      <x:c r="A50" s="1" t="s">
        <x:v>3721</x:v>
      </x:c>
      <x:c r="B50" s="1" t="s">
        <x:v>5554</x:v>
      </x:c>
      <x:c r="C50" s="1" t="s">
        <x:v>5693</x:v>
      </x:c>
      <x:c r="D50" s="1" t="s">
        <x:v>6707</x:v>
      </x:c>
      <x:c r="E50" s="1" t="s">
        <x:v>6708</x:v>
      </x:c>
      <x:c r="F50" s="1" t="s">
        <x:v>6731</x:v>
      </x:c>
      <x:c r="G50" s="1" t="s">
        <x:v>181</x:v>
      </x:c>
    </x:row>
    <x:row r="51" ht="15" hidden="0" customHeight="1">
      <x:c r="A51" s="1" t="s">
        <x:v>3466</x:v>
      </x:c>
      <x:c r="B51" s="1" t="s">
        <x:v>5554</x:v>
      </x:c>
      <x:c r="C51" s="1" t="s">
        <x:v>5693</x:v>
      </x:c>
      <x:c r="D51" s="1" t="s">
        <x:v>6707</x:v>
      </x:c>
      <x:c r="E51" s="1" t="s">
        <x:v>6708</x:v>
      </x:c>
      <x:c r="F51" s="1" t="s">
        <x:v>6732</x:v>
      </x:c>
      <x:c r="G51" s="1" t="s">
        <x:v>181</x:v>
      </x:c>
    </x:row>
    <x:row r="52" ht="15" hidden="0" customHeight="1">
      <x:c r="A52" s="1" t="s">
        <x:v>3668</x:v>
      </x:c>
      <x:c r="B52" s="1" t="s">
        <x:v>5554</x:v>
      </x:c>
      <x:c r="C52" s="1" t="s">
        <x:v>5693</x:v>
      </x:c>
      <x:c r="D52" s="1" t="s">
        <x:v>6707</x:v>
      </x:c>
      <x:c r="E52" s="1" t="s">
        <x:v>6708</x:v>
      </x:c>
      <x:c r="F52" s="1" t="s">
        <x:v>6733</x:v>
      </x:c>
      <x:c r="G52" s="1" t="s">
        <x:v>181</x:v>
      </x:c>
    </x:row>
    <x:row r="53" ht="15" hidden="0" customHeight="1">
      <x:c r="A53" s="1" t="s">
        <x:v>3759</x:v>
      </x:c>
      <x:c r="B53" s="1" t="s">
        <x:v>5503</x:v>
      </x:c>
      <x:c r="C53" s="1" t="s">
        <x:v>5693</x:v>
      </x:c>
      <x:c r="D53" s="1" t="s">
        <x:v>6734</x:v>
      </x:c>
      <x:c r="E53" s="1" t="s">
        <x:v>6735</x:v>
      </x:c>
      <x:c r="F53" s="1"/>
      <x:c r="G53" s="1" t="s">
        <x:v>181</x:v>
      </x:c>
    </x:row>
    <x:row r="54" ht="15" hidden="0" customHeight="1">
      <x:c r="A54" s="1" t="s">
        <x:v>5559</x:v>
      </x:c>
      <x:c r="B54" s="1" t="s">
        <x:v>5503</x:v>
      </x:c>
      <x:c r="C54" s="1" t="s">
        <x:v>5693</x:v>
      </x:c>
      <x:c r="D54" s="1" t="s">
        <x:v>30</x:v>
      </x:c>
      <x:c r="E54" s="1" t="s">
        <x:v>6730</x:v>
      </x:c>
      <x:c r="F54" s="1"/>
      <x:c r="G54" s="1" t="s">
        <x:v>181</x:v>
      </x:c>
    </x:row>
    <x:row r="55" ht="15" hidden="0" customHeight="1">
      <x:c r="A55" s="1" t="s">
        <x:v>5134</x:v>
      </x:c>
      <x:c r="B55" s="1" t="s">
        <x:v>5503</x:v>
      </x:c>
      <x:c r="C55" s="1" t="s">
        <x:v>5693</x:v>
      </x:c>
      <x:c r="D55" s="1" t="s">
        <x:v>6707</x:v>
      </x:c>
      <x:c r="E55" s="1" t="s">
        <x:v>6708</x:v>
      </x:c>
      <x:c r="F55" s="1" t="s">
        <x:v>5133</x:v>
      </x:c>
      <x:c r="G55" s="1" t="s">
        <x:v>181</x:v>
      </x:c>
    </x:row>
    <x:row r="56" ht="15" hidden="0" customHeight="1">
      <x:c r="A56" s="1" t="s">
        <x:v>5160</x:v>
      </x:c>
      <x:c r="B56" s="1" t="s">
        <x:v>5503</x:v>
      </x:c>
      <x:c r="C56" s="1" t="s">
        <x:v>5693</x:v>
      </x:c>
      <x:c r="D56" s="1" t="s">
        <x:v>6707</x:v>
      </x:c>
      <x:c r="E56" s="1" t="s">
        <x:v>6708</x:v>
      </x:c>
      <x:c r="F56" s="1" t="s">
        <x:v>5159</x:v>
      </x:c>
      <x:c r="G56" s="1" t="s">
        <x:v>181</x:v>
      </x:c>
    </x:row>
    <x:row r="57" ht="15" hidden="0" customHeight="1">
      <x:c r="A57" s="1" t="s">
        <x:v>3191</x:v>
      </x:c>
      <x:c r="B57" s="1" t="s">
        <x:v>5503</x:v>
      </x:c>
      <x:c r="C57" s="1" t="s">
        <x:v>5693</x:v>
      </x:c>
      <x:c r="D57" s="1" t="s">
        <x:v>30</x:v>
      </x:c>
      <x:c r="E57" s="1" t="s">
        <x:v>6730</x:v>
      </x:c>
      <x:c r="F57" s="1"/>
      <x:c r="G57" s="1" t="s">
        <x:v>181</x:v>
      </x:c>
    </x:row>
    <x:row r="58" ht="15" hidden="0" customHeight="1">
      <x:c r="A58" s="1" t="s">
        <x:v>3207</x:v>
      </x:c>
      <x:c r="B58" s="1" t="s">
        <x:v>5503</x:v>
      </x:c>
      <x:c r="C58" s="1" t="s">
        <x:v>5798</x:v>
      </x:c>
      <x:c r="D58" s="1" t="s">
        <x:v>6707</x:v>
      </x:c>
      <x:c r="E58" s="1" t="s">
        <x:v>6708</x:v>
      </x:c>
      <x:c r="F58" s="1" t="s">
        <x:v>3221</x:v>
      </x:c>
      <x:c r="G58" s="1" t="s">
        <x:v>181</x:v>
      </x:c>
    </x:row>
    <x:row r="59" ht="15" hidden="0" customHeight="1">
      <x:c r="A59" s="1" t="s">
        <x:v>4585</x:v>
      </x:c>
      <x:c r="B59" s="1" t="s">
        <x:v>5503</x:v>
      </x:c>
      <x:c r="C59" s="1" t="s">
        <x:v>5798</x:v>
      </x:c>
      <x:c r="D59" s="1" t="s">
        <x:v>6707</x:v>
      </x:c>
      <x:c r="E59" s="1" t="s">
        <x:v>6708</x:v>
      </x:c>
      <x:c r="F59" s="1" t="s">
        <x:v>4593</x:v>
      </x:c>
      <x:c r="G59" s="1" t="s">
        <x:v>181</x:v>
      </x:c>
    </x:row>
    <x:row r="60" ht="15" hidden="0" customHeight="1">
      <x:c r="A60" s="1" t="s">
        <x:v>715</x:v>
      </x:c>
      <x:c r="B60" s="1" t="s">
        <x:v>5568</x:v>
      </x:c>
      <x:c r="C60" s="1" t="s">
        <x:v>5693</x:v>
      </x:c>
      <x:c r="D60" s="1" t="s">
        <x:v>6707</x:v>
      </x:c>
      <x:c r="E60" s="1" t="s">
        <x:v>6708</x:v>
      </x:c>
      <x:c r="F60" s="1" t="s">
        <x:v>719</x:v>
      </x:c>
      <x:c r="G60" s="1" t="s">
        <x:v>181</x:v>
      </x:c>
    </x:row>
    <x:row r="61" ht="15" hidden="0" customHeight="1">
      <x:c r="A61" s="1" t="s">
        <x:v>1980</x:v>
      </x:c>
      <x:c r="B61" s="1" t="s">
        <x:v>5568</x:v>
      </x:c>
      <x:c r="C61" s="1" t="s">
        <x:v>5693</x:v>
      </x:c>
      <x:c r="D61" s="1" t="s">
        <x:v>6707</x:v>
      </x:c>
      <x:c r="E61" s="1" t="s">
        <x:v>6708</x:v>
      </x:c>
      <x:c r="F61" s="1" t="s">
        <x:v>6736</x:v>
      </x:c>
      <x:c r="G61" s="1" t="s">
        <x:v>181</x:v>
      </x:c>
    </x:row>
    <x:row r="62" ht="15" hidden="0" customHeight="1">
      <x:c r="A62" s="1" t="s">
        <x:v>3535</x:v>
      </x:c>
      <x:c r="B62" s="1" t="s">
        <x:v>5568</x:v>
      </x:c>
      <x:c r="C62" s="1" t="s">
        <x:v>5693</x:v>
      </x:c>
      <x:c r="D62" s="1" t="s">
        <x:v>6707</x:v>
      </x:c>
      <x:c r="E62" s="1" t="s">
        <x:v>6708</x:v>
      </x:c>
      <x:c r="F62" s="1" t="s">
        <x:v>6737</x:v>
      </x:c>
      <x:c r="G62" s="1" t="s">
        <x:v>181</x:v>
      </x:c>
    </x:row>
    <x:row r="63" ht="15" hidden="0" customHeight="1">
      <x:c r="A63" s="1" t="s">
        <x:v>730</x:v>
      </x:c>
      <x:c r="B63" s="1" t="s">
        <x:v>5568</x:v>
      </x:c>
      <x:c r="C63" s="1" t="s">
        <x:v>5693</x:v>
      </x:c>
      <x:c r="D63" s="1" t="s">
        <x:v>6707</x:v>
      </x:c>
      <x:c r="E63" s="1" t="s">
        <x:v>6708</x:v>
      </x:c>
      <x:c r="F63" s="1" t="s">
        <x:v>733</x:v>
      </x:c>
      <x:c r="G63" s="1" t="s">
        <x:v>181</x:v>
      </x:c>
    </x:row>
    <x:row r="64" ht="15" hidden="0" customHeight="1">
      <x:c r="A64" s="1" t="s">
        <x:v>752</x:v>
      </x:c>
      <x:c r="B64" s="1" t="s">
        <x:v>5573</x:v>
      </x:c>
      <x:c r="C64" s="1" t="s">
        <x:v>5693</x:v>
      </x:c>
      <x:c r="D64" s="1" t="s">
        <x:v>6734</x:v>
      </x:c>
      <x:c r="E64" s="1" t="s">
        <x:v>6735</x:v>
      </x:c>
      <x:c r="F64" s="1"/>
      <x:c r="G64" s="1" t="s">
        <x:v>181</x:v>
      </x:c>
    </x:row>
    <x:row r="65" ht="15" hidden="0" customHeight="1">
      <x:c r="A65" s="1" t="s">
        <x:v>781</x:v>
      </x:c>
      <x:c r="B65" s="1" t="s">
        <x:v>5573</x:v>
      </x:c>
      <x:c r="C65" s="1" t="s">
        <x:v>5693</x:v>
      </x:c>
      <x:c r="D65" s="1" t="s">
        <x:v>6711</x:v>
      </x:c>
      <x:c r="E65" s="1" t="s">
        <x:v>6738</x:v>
      </x:c>
      <x:c r="F65" s="1" t="s">
        <x:v>5301</x:v>
      </x:c>
      <x:c r="G65" s="1" t="s">
        <x:v>181</x:v>
      </x:c>
    </x:row>
    <x:row r="66" ht="15" hidden="0" customHeight="1">
      <x:c r="A66" s="1" t="s">
        <x:v>2227</x:v>
      </x:c>
      <x:c r="B66" s="1" t="s">
        <x:v>5573</x:v>
      </x:c>
      <x:c r="C66" s="1" t="s">
        <x:v>5693</x:v>
      </x:c>
      <x:c r="D66" s="1" t="s">
        <x:v>6707</x:v>
      </x:c>
      <x:c r="E66" s="1" t="s">
        <x:v>6708</x:v>
      </x:c>
      <x:c r="F66" s="1" t="s">
        <x:v>6739</x:v>
      </x:c>
      <x:c r="G66" s="1" t="s">
        <x:v>181</x:v>
      </x:c>
    </x:row>
    <x:row r="67" ht="15" hidden="0" customHeight="1">
      <x:c r="A67" s="1" t="s">
        <x:v>2268</x:v>
      </x:c>
      <x:c r="B67" s="1" t="s">
        <x:v>5573</x:v>
      </x:c>
      <x:c r="C67" s="1" t="s">
        <x:v>5693</x:v>
      </x:c>
      <x:c r="D67" s="1" t="s">
        <x:v>6707</x:v>
      </x:c>
      <x:c r="E67" s="1" t="s">
        <x:v>6708</x:v>
      </x:c>
      <x:c r="F67" s="1" t="s">
        <x:v>6740</x:v>
      </x:c>
      <x:c r="G67" s="1" t="s">
        <x:v>181</x:v>
      </x:c>
    </x:row>
    <x:row r="68" ht="15" hidden="0" customHeight="1">
      <x:c r="A68" s="1" t="s">
        <x:v>3142</x:v>
      </x:c>
      <x:c r="B68" s="1" t="s">
        <x:v>5573</x:v>
      </x:c>
      <x:c r="C68" s="1" t="s">
        <x:v>5693</x:v>
      </x:c>
      <x:c r="D68" s="1" t="s">
        <x:v>6707</x:v>
      </x:c>
      <x:c r="E68" s="1" t="s">
        <x:v>6708</x:v>
      </x:c>
      <x:c r="F68" s="1" t="s">
        <x:v>3154</x:v>
      </x:c>
      <x:c r="G68" s="1" t="s">
        <x:v>181</x:v>
      </x:c>
    </x:row>
    <x:row r="69" ht="15" hidden="0" customHeight="1">
      <x:c r="A69" s="1" t="s">
        <x:v>2025</x:v>
      </x:c>
      <x:c r="B69" s="1" t="s">
        <x:v>5579</x:v>
      </x:c>
      <x:c r="C69" s="1" t="s">
        <x:v>5693</x:v>
      </x:c>
      <x:c r="D69" s="1" t="s">
        <x:v>6707</x:v>
      </x:c>
      <x:c r="E69" s="1" t="s">
        <x:v>6708</x:v>
      </x:c>
      <x:c r="F69" s="1" t="s">
        <x:v>6741</x:v>
      </x:c>
      <x:c r="G69" s="1" t="s">
        <x:v>181</x:v>
      </x:c>
    </x:row>
    <x:row r="70" ht="15" hidden="0" customHeight="1">
      <x:c r="A70" s="1" t="s">
        <x:v>5580</x:v>
      </x:c>
      <x:c r="B70" s="1" t="s">
        <x:v>5582</x:v>
      </x:c>
      <x:c r="C70" s="1" t="s">
        <x:v>5693</x:v>
      </x:c>
      <x:c r="D70" s="1" t="s">
        <x:v>6734</x:v>
      </x:c>
      <x:c r="E70" s="1" t="s">
        <x:v>6735</x:v>
      </x:c>
      <x:c r="F70" s="1"/>
      <x:c r="G70" s="1" t="s">
        <x:v>181</x:v>
      </x:c>
    </x:row>
    <x:row r="71" ht="15" hidden="0" customHeight="1">
      <x:c r="A71" s="1" t="s">
        <x:v>5583</x:v>
      </x:c>
      <x:c r="B71" s="1" t="s">
        <x:v>5582</x:v>
      </x:c>
      <x:c r="C71" s="1" t="s">
        <x:v>5693</x:v>
      </x:c>
      <x:c r="D71" s="1" t="s">
        <x:v>6734</x:v>
      </x:c>
      <x:c r="E71" s="1" t="s">
        <x:v>6735</x:v>
      </x:c>
      <x:c r="F71" s="1"/>
      <x:c r="G71" s="1" t="s">
        <x:v>181</x:v>
      </x:c>
    </x:row>
    <x:row r="72" ht="15" hidden="0" customHeight="1">
      <x:c r="A72" s="1" t="s">
        <x:v>5585</x:v>
      </x:c>
      <x:c r="B72" s="1" t="s">
        <x:v>5582</x:v>
      </x:c>
      <x:c r="C72" s="1" t="s">
        <x:v>5693</x:v>
      </x:c>
      <x:c r="D72" s="1" t="s">
        <x:v>6734</x:v>
      </x:c>
      <x:c r="E72" s="1" t="s">
        <x:v>6735</x:v>
      </x:c>
      <x:c r="F72" s="1"/>
      <x:c r="G72" s="1" t="s">
        <x:v>181</x:v>
      </x:c>
    </x:row>
    <x:row r="73" ht="15" hidden="0" customHeight="1">
      <x:c r="A73" s="1" t="s">
        <x:v>5587</x:v>
      </x:c>
      <x:c r="B73" s="1" t="s">
        <x:v>5582</x:v>
      </x:c>
      <x:c r="C73" s="1" t="s">
        <x:v>5693</x:v>
      </x:c>
      <x:c r="D73" s="1" t="s">
        <x:v>6734</x:v>
      </x:c>
      <x:c r="E73" s="1" t="s">
        <x:v>6735</x:v>
      </x:c>
      <x:c r="F73" s="1"/>
      <x:c r="G73" s="1" t="s">
        <x:v>181</x:v>
      </x:c>
    </x:row>
    <x:row r="74" ht="15" hidden="0" customHeight="1">
      <x:c r="A74" s="1" t="s">
        <x:v>5589</x:v>
      </x:c>
      <x:c r="B74" s="1" t="s">
        <x:v>5582</x:v>
      </x:c>
      <x:c r="C74" s="1" t="s">
        <x:v>5693</x:v>
      </x:c>
      <x:c r="D74" s="1" t="s">
        <x:v>6734</x:v>
      </x:c>
      <x:c r="E74" s="1" t="s">
        <x:v>6735</x:v>
      </x:c>
      <x:c r="F74" s="1"/>
      <x:c r="G74" s="1" t="s">
        <x:v>181</x:v>
      </x:c>
    </x:row>
    <x:row r="75" ht="15" hidden="0" customHeight="1">
      <x:c r="A75" s="1" t="s">
        <x:v>2830</x:v>
      </x:c>
      <x:c r="B75" s="1" t="s">
        <x:v>5592</x:v>
      </x:c>
      <x:c r="C75" s="1" t="s">
        <x:v>5693</x:v>
      </x:c>
      <x:c r="D75" s="1" t="s">
        <x:v>6707</x:v>
      </x:c>
      <x:c r="E75" s="1" t="s">
        <x:v>6708</x:v>
      </x:c>
      <x:c r="F75" s="1" t="s">
        <x:v>2852</x:v>
      </x:c>
      <x:c r="G75" s="1" t="s">
        <x:v>181</x:v>
      </x:c>
    </x:row>
    <x:row r="76" ht="15" hidden="0" customHeight="1">
      <x:c r="A76" s="1" t="s">
        <x:v>2306</x:v>
      </x:c>
      <x:c r="B76" s="1" t="s">
        <x:v>5592</x:v>
      </x:c>
      <x:c r="C76" s="1" t="s">
        <x:v>5693</x:v>
      </x:c>
      <x:c r="D76" s="1" t="s">
        <x:v>6707</x:v>
      </x:c>
      <x:c r="E76" s="1" t="s">
        <x:v>6708</x:v>
      </x:c>
      <x:c r="F76" s="1" t="s">
        <x:v>6742</x:v>
      </x:c>
      <x:c r="G76" s="1" t="s">
        <x:v>181</x:v>
      </x:c>
    </x:row>
    <x:row r="77" ht="15" hidden="0" customHeight="1">
      <x:c r="A77" s="1" t="s">
        <x:v>2554</x:v>
      </x:c>
      <x:c r="B77" s="1" t="s">
        <x:v>5592</x:v>
      </x:c>
      <x:c r="C77" s="1" t="s">
        <x:v>5693</x:v>
      </x:c>
      <x:c r="D77" s="1" t="s">
        <x:v>6707</x:v>
      </x:c>
      <x:c r="E77" s="1" t="s">
        <x:v>6708</x:v>
      </x:c>
      <x:c r="F77" s="1" t="s">
        <x:v>6743</x:v>
      </x:c>
      <x:c r="G77" s="1" t="s">
        <x:v>181</x:v>
      </x:c>
    </x:row>
    <x:row r="78" ht="15" hidden="0" customHeight="1">
      <x:c r="A78" s="1" t="s">
        <x:v>4833</x:v>
      </x:c>
      <x:c r="B78" s="1" t="s">
        <x:v>5592</x:v>
      </x:c>
      <x:c r="C78" s="1" t="s">
        <x:v>5693</x:v>
      </x:c>
      <x:c r="D78" s="1" t="s">
        <x:v>6707</x:v>
      </x:c>
      <x:c r="E78" s="1" t="s">
        <x:v>6708</x:v>
      </x:c>
      <x:c r="F78" s="1" t="s">
        <x:v>6744</x:v>
      </x:c>
      <x:c r="G78" s="1" t="s">
        <x:v>181</x:v>
      </x:c>
    </x:row>
    <x:row r="79" ht="15" hidden="0" customHeight="1">
      <x:c r="A79" s="1" t="s">
        <x:v>3247</x:v>
      </x:c>
      <x:c r="B79" s="1" t="s">
        <x:v>5592</x:v>
      </x:c>
      <x:c r="C79" s="1" t="s">
        <x:v>5693</x:v>
      </x:c>
      <x:c r="D79" s="1" t="s">
        <x:v>6707</x:v>
      </x:c>
      <x:c r="E79" s="1" t="s">
        <x:v>6708</x:v>
      </x:c>
      <x:c r="F79" s="1" t="s">
        <x:v>6745</x:v>
      </x:c>
      <x:c r="G79" s="1" t="s">
        <x:v>181</x:v>
      </x:c>
    </x:row>
    <x:row r="80" ht="15" hidden="0" customHeight="1">
      <x:c r="A80" s="1" t="s">
        <x:v>3296</x:v>
      </x:c>
      <x:c r="B80" s="1" t="s">
        <x:v>5599</x:v>
      </x:c>
      <x:c r="C80" s="1" t="s">
        <x:v>5693</x:v>
      </x:c>
      <x:c r="D80" s="1" t="s">
        <x:v>6707</x:v>
      </x:c>
      <x:c r="E80" s="1" t="s">
        <x:v>6708</x:v>
      </x:c>
      <x:c r="F80" s="1" t="s">
        <x:v>3295</x:v>
      </x:c>
      <x:c r="G80" s="1" t="s">
        <x:v>181</x:v>
      </x:c>
    </x:row>
    <x:row r="81" ht="15" hidden="0" customHeight="1">
      <x:c r="A81" s="1" t="s">
        <x:v>3029</x:v>
      </x:c>
      <x:c r="B81" s="1" t="s">
        <x:v>5601</x:v>
      </x:c>
      <x:c r="C81" s="1" t="s">
        <x:v>5693</x:v>
      </x:c>
      <x:c r="D81" s="1" t="s">
        <x:v>6707</x:v>
      </x:c>
      <x:c r="E81" s="1" t="s">
        <x:v>6708</x:v>
      </x:c>
      <x:c r="F81" s="1" t="s">
        <x:v>3055</x:v>
      </x:c>
      <x:c r="G81" s="1" t="s">
        <x:v>181</x:v>
      </x:c>
    </x:row>
    <x:row r="82" ht="15" hidden="0" customHeight="1">
      <x:c r="A82" s="1" t="s">
        <x:v>3064</x:v>
      </x:c>
      <x:c r="B82" s="1" t="s">
        <x:v>5603</x:v>
      </x:c>
      <x:c r="C82" s="1" t="s">
        <x:v>5693</x:v>
      </x:c>
      <x:c r="D82" s="1" t="s">
        <x:v>6707</x:v>
      </x:c>
      <x:c r="E82" s="1" t="s">
        <x:v>6708</x:v>
      </x:c>
      <x:c r="F82" s="1" t="s">
        <x:v>3085</x:v>
      </x:c>
      <x:c r="G82" s="1" t="s">
        <x:v>181</x:v>
      </x:c>
    </x:row>
    <x:row r="83" ht="15" hidden="0" customHeight="1">
      <x:c r="A83" s="1" t="s">
        <x:v>2344</x:v>
      </x:c>
      <x:c r="B83" s="1" t="s">
        <x:v>5603</x:v>
      </x:c>
      <x:c r="C83" s="1" t="s">
        <x:v>5693</x:v>
      </x:c>
      <x:c r="D83" s="1" t="s">
        <x:v>30</x:v>
      </x:c>
      <x:c r="E83" s="1" t="s">
        <x:v>6730</x:v>
      </x:c>
      <x:c r="F83" s="1"/>
      <x:c r="G83" s="1" t="s">
        <x:v>181</x:v>
      </x:c>
    </x:row>
    <x:row r="84" ht="15" hidden="0" customHeight="1">
      <x:c r="A84" s="1" t="s">
        <x:v>3375</x:v>
      </x:c>
      <x:c r="B84" s="1" t="s">
        <x:v>5603</x:v>
      </x:c>
      <x:c r="C84" s="1" t="s">
        <x:v>5693</x:v>
      </x:c>
      <x:c r="D84" s="1" t="s">
        <x:v>6707</x:v>
      </x:c>
      <x:c r="E84" s="1" t="s">
        <x:v>6708</x:v>
      </x:c>
      <x:c r="F84" s="1" t="s">
        <x:v>6746</x:v>
      </x:c>
      <x:c r="G84" s="1" t="s">
        <x:v>181</x:v>
      </x:c>
    </x:row>
    <x:row r="85" ht="15" hidden="0" customHeight="1">
      <x:c r="A85" s="1" t="s">
        <x:v>3106</x:v>
      </x:c>
      <x:c r="B85" s="1" t="s">
        <x:v>5603</x:v>
      </x:c>
      <x:c r="C85" s="1" t="s">
        <x:v>5693</x:v>
      </x:c>
      <x:c r="D85" s="1" t="s">
        <x:v>30</x:v>
      </x:c>
      <x:c r="E85" s="1" t="s">
        <x:v>6730</x:v>
      </x:c>
      <x:c r="F85" s="1"/>
      <x:c r="G85" s="1" t="s">
        <x:v>181</x:v>
      </x:c>
    </x:row>
    <x:row r="86" ht="15" hidden="0" customHeight="1">
      <x:c r="A86" s="1" t="s">
        <x:v>4068</x:v>
      </x:c>
      <x:c r="B86" s="1" t="s">
        <x:v>5608</x:v>
      </x:c>
      <x:c r="C86" s="1" t="s">
        <x:v>5693</x:v>
      </x:c>
      <x:c r="D86" s="1" t="s">
        <x:v>6707</x:v>
      </x:c>
      <x:c r="E86" s="1" t="s">
        <x:v>6708</x:v>
      </x:c>
      <x:c r="F86" s="1" t="s">
        <x:v>6747</x:v>
      </x:c>
      <x:c r="G86" s="1" t="s">
        <x:v>181</x:v>
      </x:c>
    </x:row>
    <x:row r="87" ht="15" hidden="0" customHeight="1">
      <x:c r="A87" s="1" t="s">
        <x:v>3600</x:v>
      </x:c>
      <x:c r="B87" s="1" t="s">
        <x:v>5608</x:v>
      </x:c>
      <x:c r="C87" s="1" t="s">
        <x:v>5693</x:v>
      </x:c>
      <x:c r="D87" s="1" t="s">
        <x:v>6707</x:v>
      </x:c>
      <x:c r="E87" s="1" t="s">
        <x:v>6708</x:v>
      </x:c>
      <x:c r="F87" s="1" t="s">
        <x:v>6748</x:v>
      </x:c>
      <x:c r="G87" s="1" t="s">
        <x:v>181</x:v>
      </x:c>
    </x:row>
    <x:row r="88" ht="15" hidden="0" customHeight="1">
      <x:c r="A88" s="1" t="s">
        <x:v>2461</x:v>
      </x:c>
      <x:c r="B88" s="1" t="s">
        <x:v>5599</x:v>
      </x:c>
      <x:c r="C88" s="1" t="s">
        <x:v>5916</x:v>
      </x:c>
      <x:c r="D88" s="1" t="s">
        <x:v>6707</x:v>
      </x:c>
      <x:c r="E88" s="1" t="s">
        <x:v>6708</x:v>
      </x:c>
      <x:c r="F88" s="1" t="s">
        <x:v>2482</x:v>
      </x:c>
      <x:c r="G88" s="1" t="s">
        <x:v>181</x:v>
      </x:c>
    </x:row>
    <x:row r="89" ht="15" hidden="0" customHeight="1">
      <x:c r="A89" s="1" t="s">
        <x:v>2492</x:v>
      </x:c>
      <x:c r="B89" s="1" t="s">
        <x:v>5599</x:v>
      </x:c>
      <x:c r="C89" s="1" t="s">
        <x:v>5916</x:v>
      </x:c>
      <x:c r="D89" s="1" t="s">
        <x:v>30</x:v>
      </x:c>
      <x:c r="E89" s="1" t="s">
        <x:v>6730</x:v>
      </x:c>
      <x:c r="F89" s="1"/>
      <x:c r="G89" s="1" t="s">
        <x:v>181</x:v>
      </x:c>
    </x:row>
    <x:row r="90" ht="15" hidden="0" customHeight="1">
      <x:c r="A90" s="1" t="s">
        <x:v>2517</x:v>
      </x:c>
      <x:c r="B90" s="1" t="s">
        <x:v>5599</x:v>
      </x:c>
      <x:c r="C90" s="1" t="s">
        <x:v>5916</x:v>
      </x:c>
      <x:c r="D90" s="1" t="s">
        <x:v>6707</x:v>
      </x:c>
      <x:c r="E90" s="1" t="s">
        <x:v>6708</x:v>
      </x:c>
      <x:c r="F90" s="1" t="s">
        <x:v>6749</x:v>
      </x:c>
      <x:c r="G90" s="1" t="s">
        <x:v>181</x:v>
      </x:c>
    </x:row>
    <x:row r="91" ht="15" hidden="0" customHeight="1">
      <x:c r="A91" s="1" t="s">
        <x:v>812</x:v>
      </x:c>
      <x:c r="B91" s="1" t="s">
        <x:v>5614</x:v>
      </x:c>
      <x:c r="C91" s="1" t="s">
        <x:v>5693</x:v>
      </x:c>
      <x:c r="D91" s="1" t="s">
        <x:v>6707</x:v>
      </x:c>
      <x:c r="E91" s="1" t="s">
        <x:v>6708</x:v>
      </x:c>
      <x:c r="F91" s="1" t="s">
        <x:v>815</x:v>
      </x:c>
      <x:c r="G91" s="1" t="s">
        <x:v>181</x:v>
      </x:c>
    </x:row>
    <x:row r="92" ht="15" hidden="0" customHeight="1">
      <x:c r="A92" s="1" t="s">
        <x:v>2390</x:v>
      </x:c>
      <x:c r="B92" s="1" t="s">
        <x:v>5614</x:v>
      </x:c>
      <x:c r="C92" s="1" t="s">
        <x:v>5693</x:v>
      </x:c>
      <x:c r="D92" s="1" t="s">
        <x:v>6707</x:v>
      </x:c>
      <x:c r="E92" s="1" t="s">
        <x:v>6708</x:v>
      </x:c>
      <x:c r="F92" s="1" t="s">
        <x:v>6750</x:v>
      </x:c>
      <x:c r="G92" s="1" t="s">
        <x:v>181</x:v>
      </x:c>
    </x:row>
    <x:row r="93" ht="15" hidden="0" customHeight="1">
      <x:c r="A93" s="1" t="s">
        <x:v>3163</x:v>
      </x:c>
      <x:c r="B93" s="1" t="s">
        <x:v>5614</x:v>
      </x:c>
      <x:c r="C93" s="1" t="s">
        <x:v>5693</x:v>
      </x:c>
      <x:c r="D93" s="1" t="s">
        <x:v>6707</x:v>
      </x:c>
      <x:c r="E93" s="1" t="s">
        <x:v>6708</x:v>
      </x:c>
      <x:c r="F93" s="1" t="s">
        <x:v>6751</x:v>
      </x:c>
      <x:c r="G93" s="1" t="s">
        <x:v>181</x:v>
      </x:c>
    </x:row>
    <x:row r="94" ht="15" hidden="0" customHeight="1">
      <x:c r="A94" s="1" t="s">
        <x:v>4482</x:v>
      </x:c>
      <x:c r="B94" s="1" t="s">
        <x:v>5599</x:v>
      </x:c>
      <x:c r="C94" s="1" t="s">
        <x:v>5693</x:v>
      </x:c>
      <x:c r="D94" s="1" t="s">
        <x:v>6707</x:v>
      </x:c>
      <x:c r="E94" s="1" t="s">
        <x:v>6708</x:v>
      </x:c>
      <x:c r="F94" s="1" t="s">
        <x:v>6752</x:v>
      </x:c>
      <x:c r="G94" s="1" t="s">
        <x:v>181</x:v>
      </x:c>
    </x:row>
    <x:row r="95" ht="15" hidden="0" customHeight="1">
      <x:c r="A95" s="1" t="s">
        <x:v>2084</x:v>
      </x:c>
      <x:c r="B95" s="1" t="s">
        <x:v>5497</x:v>
      </x:c>
      <x:c r="C95" s="1" t="s">
        <x:v>5713</x:v>
      </x:c>
      <x:c r="D95" s="1" t="s">
        <x:v>6707</x:v>
      </x:c>
      <x:c r="E95" s="1" t="s">
        <x:v>6708</x:v>
      </x:c>
      <x:c r="F95" s="1" t="s">
        <x:v>6753</x:v>
      </x:c>
      <x:c r="G95" s="1" t="s">
        <x:v>181</x:v>
      </x:c>
    </x:row>
    <x:row r="96" ht="15" hidden="0" customHeight="1">
      <x:c r="A96" s="1" t="s">
        <x:v>4336</x:v>
      </x:c>
      <x:c r="B96" s="1" t="s">
        <x:v>5481</x:v>
      </x:c>
      <x:c r="C96" s="1" t="s">
        <x:v>5934</x:v>
      </x:c>
      <x:c r="D96" s="1" t="s">
        <x:v>6707</x:v>
      </x:c>
      <x:c r="E96" s="1" t="s">
        <x:v>6708</x:v>
      </x:c>
      <x:c r="F96" s="1" t="s">
        <x:v>6754</x:v>
      </x:c>
      <x:c r="G96" s="1" t="s">
        <x:v>181</x:v>
      </x:c>
    </x:row>
    <x:row r="97" ht="15" hidden="0" customHeight="1">
      <x:c r="A97" s="1" t="s">
        <x:v>4144</x:v>
      </x:c>
      <x:c r="B97" s="1" t="s">
        <x:v>5538</x:v>
      </x:c>
      <x:c r="C97" s="1" t="s">
        <x:v>5693</x:v>
      </x:c>
      <x:c r="D97" s="1" t="s">
        <x:v>6707</x:v>
      </x:c>
      <x:c r="E97" s="1" t="s">
        <x:v>6708</x:v>
      </x:c>
      <x:c r="F97" s="1" t="s">
        <x:v>6755</x:v>
      </x:c>
      <x:c r="G97" s="1" t="s">
        <x:v>181</x:v>
      </x:c>
    </x:row>
    <x:row r="98" ht="15" hidden="0" customHeight="1">
      <x:c r="A98" s="1" t="s">
        <x:v>4188</x:v>
      </x:c>
      <x:c r="B98" s="1" t="s">
        <x:v>5538</x:v>
      </x:c>
      <x:c r="C98" s="1" t="s">
        <x:v>5693</x:v>
      </x:c>
      <x:c r="D98" s="1" t="s">
        <x:v>6707</x:v>
      </x:c>
      <x:c r="E98" s="1" t="s">
        <x:v>6708</x:v>
      </x:c>
      <x:c r="F98" s="1" t="s">
        <x:v>6756</x:v>
      </x:c>
      <x:c r="G98" s="1" t="s">
        <x:v>181</x:v>
      </x:c>
    </x:row>
    <x:row r="99" ht="15" hidden="0" customHeight="1">
      <x:c r="A99" s="1" t="s">
        <x:v>4278</x:v>
      </x:c>
      <x:c r="B99" s="1" t="s">
        <x:v>5538</x:v>
      </x:c>
      <x:c r="C99" s="1" t="s">
        <x:v>5693</x:v>
      </x:c>
      <x:c r="D99" s="1" t="s">
        <x:v>6707</x:v>
      </x:c>
      <x:c r="E99" s="1" t="s">
        <x:v>6708</x:v>
      </x:c>
      <x:c r="F99" s="1" t="s">
        <x:v>6757</x:v>
      </x:c>
      <x:c r="G99" s="1" t="s">
        <x:v>181</x:v>
      </x:c>
    </x:row>
    <x:row r="100" ht="15" hidden="0" customHeight="1">
      <x:c r="A100" s="1" t="s">
        <x:v>4786</x:v>
      </x:c>
      <x:c r="B100" s="1" t="s">
        <x:v>5608</x:v>
      </x:c>
      <x:c r="C100" s="1" t="s">
        <x:v>5693</x:v>
      </x:c>
      <x:c r="D100" s="1" t="s">
        <x:v>6707</x:v>
      </x:c>
      <x:c r="E100" s="1" t="s">
        <x:v>6708</x:v>
      </x:c>
      <x:c r="F100" s="1" t="s">
        <x:v>6758</x:v>
      </x:c>
      <x:c r="G100" s="1" t="s">
        <x:v>181</x:v>
      </x:c>
    </x:row>
    <x:row r="101" ht="15" hidden="0" customHeight="1">
      <x:c r="A101" s="1" t="s">
        <x:v>4707</x:v>
      </x:c>
      <x:c r="B101" s="1" t="s">
        <x:v>5608</x:v>
      </x:c>
      <x:c r="C101" s="1" t="s">
        <x:v>5693</x:v>
      </x:c>
      <x:c r="D101" s="1" t="s">
        <x:v>6707</x:v>
      </x:c>
      <x:c r="E101" s="1" t="s">
        <x:v>6708</x:v>
      </x:c>
      <x:c r="F101" s="1" t="s">
        <x:v>6759</x:v>
      </x:c>
      <x:c r="G101" s="1" t="s">
        <x:v>181</x:v>
      </x:c>
    </x:row>
    <x:row r="102" ht="15" hidden="0" customHeight="1">
      <x:c r="A102" s="1" t="s">
        <x:v>2598</x:v>
      </x:c>
      <x:c r="B102" s="1" t="s">
        <x:v>5608</x:v>
      </x:c>
      <x:c r="C102" s="1" t="s">
        <x:v>5693</x:v>
      </x:c>
      <x:c r="D102" s="1" t="s">
        <x:v>6707</x:v>
      </x:c>
      <x:c r="E102" s="1" t="s">
        <x:v>6708</x:v>
      </x:c>
      <x:c r="F102" s="1" t="s">
        <x:v>6760</x:v>
      </x:c>
      <x:c r="G102" s="1" t="s">
        <x:v>181</x:v>
      </x:c>
    </x:row>
    <x:row r="103" ht="15" hidden="0" customHeight="1">
      <x:c r="A103" s="1" t="s">
        <x:v>3860</x:v>
      </x:c>
      <x:c r="B103" s="1" t="s">
        <x:v>5478</x:v>
      </x:c>
      <x:c r="C103" s="1" t="s">
        <x:v>5693</x:v>
      </x:c>
      <x:c r="D103" s="1" t="s">
        <x:v>6707</x:v>
      </x:c>
      <x:c r="E103" s="1" t="s">
        <x:v>6708</x:v>
      </x:c>
      <x:c r="F103" s="1" t="s">
        <x:v>6761</x:v>
      </x:c>
      <x:c r="G103" s="1" t="s">
        <x:v>181</x:v>
      </x:c>
    </x:row>
    <x:row r="104" ht="15" hidden="0" customHeight="1">
      <x:c r="A104" s="1" t="s">
        <x:v>2681</x:v>
      </x:c>
      <x:c r="B104" s="1" t="s">
        <x:v>5573</x:v>
      </x:c>
      <x:c r="C104" s="1" t="s">
        <x:v>5693</x:v>
      </x:c>
      <x:c r="D104" s="1" t="s">
        <x:v>6707</x:v>
      </x:c>
      <x:c r="E104" s="1" t="s">
        <x:v>6708</x:v>
      </x:c>
      <x:c r="F104" s="1" t="s">
        <x:v>6762</x:v>
      </x:c>
      <x:c r="G104" s="1" t="s">
        <x:v>181</x:v>
      </x:c>
    </x:row>
    <x:row r="105" ht="15" hidden="0" customHeight="1">
      <x:c r="A105" s="1" t="s">
        <x:v>839</x:v>
      </x:c>
      <x:c r="B105" s="1" t="s">
        <x:v>5573</x:v>
      </x:c>
      <x:c r="C105" s="1" t="s">
        <x:v>5693</x:v>
      </x:c>
      <x:c r="D105" s="1" t="s">
        <x:v>6707</x:v>
      </x:c>
      <x:c r="E105" s="1" t="s">
        <x:v>6708</x:v>
      </x:c>
      <x:c r="F105" s="1" t="s">
        <x:v>842</x:v>
      </x:c>
      <x:c r="G105" s="1" t="s">
        <x:v>181</x:v>
      </x:c>
    </x:row>
    <x:row r="106" ht="15" hidden="0" customHeight="1">
      <x:c r="A106" s="1" t="s">
        <x:v>5634</x:v>
      </x:c>
      <x:c r="B106" s="1" t="s">
        <x:v>5573</x:v>
      </x:c>
      <x:c r="C106" s="1" t="s">
        <x:v>5693</x:v>
      </x:c>
      <x:c r="D106" s="1" t="s">
        <x:v>30</x:v>
      </x:c>
      <x:c r="E106" s="1" t="s">
        <x:v>6730</x:v>
      </x:c>
      <x:c r="F106" s="1"/>
      <x:c r="G106" s="1" t="s">
        <x:v>181</x:v>
      </x:c>
    </x:row>
    <x:row r="107" ht="15" hidden="0" customHeight="1">
      <x:c r="A107" s="1" t="s">
        <x:v>5636</x:v>
      </x:c>
      <x:c r="B107" s="1" t="s">
        <x:v>5573</x:v>
      </x:c>
      <x:c r="C107" s="1" t="s">
        <x:v>5693</x:v>
      </x:c>
      <x:c r="D107" s="1" t="s">
        <x:v>30</x:v>
      </x:c>
      <x:c r="E107" s="1" t="s">
        <x:v>6730</x:v>
      </x:c>
      <x:c r="F107" s="1"/>
      <x:c r="G107" s="1" t="s">
        <x:v>181</x:v>
      </x:c>
    </x:row>
    <x:row r="108" ht="15" hidden="0" customHeight="1">
      <x:c r="A108" s="1" t="s">
        <x:v>857</x:v>
      </x:c>
      <x:c r="B108" s="1" t="s">
        <x:v>5551</x:v>
      </x:c>
      <x:c r="C108" s="1" t="s">
        <x:v>5693</x:v>
      </x:c>
      <x:c r="D108" s="1" t="s">
        <x:v>30</x:v>
      </x:c>
      <x:c r="E108" s="1" t="s">
        <x:v>6730</x:v>
      </x:c>
      <x:c r="F108" s="1"/>
      <x:c r="G108" s="1" t="s">
        <x:v>181</x:v>
      </x:c>
    </x:row>
    <x:row r="109" ht="15" hidden="0" customHeight="1">
      <x:c r="A109" s="1" t="s">
        <x:v>2645</x:v>
      </x:c>
      <x:c r="B109" s="1" t="s">
        <x:v>5551</x:v>
      </x:c>
      <x:c r="C109" s="1" t="s">
        <x:v>5693</x:v>
      </x:c>
      <x:c r="D109" s="1" t="s">
        <x:v>6707</x:v>
      </x:c>
      <x:c r="E109" s="1" t="s">
        <x:v>6708</x:v>
      </x:c>
      <x:c r="F109" s="1" t="s">
        <x:v>6763</x:v>
      </x:c>
      <x:c r="G109" s="1" t="s">
        <x:v>181</x:v>
      </x:c>
    </x:row>
    <x:row r="110" ht="15" hidden="0" customHeight="1">
      <x:c r="A110" s="1" t="s">
        <x:v>2918</x:v>
      </x:c>
      <x:c r="B110" s="1" t="s">
        <x:v>5551</x:v>
      </x:c>
      <x:c r="C110" s="1" t="s">
        <x:v>5693</x:v>
      </x:c>
      <x:c r="D110" s="1" t="s">
        <x:v>6707</x:v>
      </x:c>
      <x:c r="E110" s="1" t="s">
        <x:v>6708</x:v>
      </x:c>
      <x:c r="F110" s="1" t="s">
        <x:v>6764</x:v>
      </x:c>
      <x:c r="G110" s="1" t="s">
        <x:v>181</x:v>
      </x:c>
    </x:row>
    <x:row r="111" ht="15" hidden="0" customHeight="1">
      <x:c r="A111" s="1" t="s">
        <x:v>2957</x:v>
      </x:c>
      <x:c r="B111" s="1" t="s">
        <x:v>5478</x:v>
      </x:c>
      <x:c r="C111" s="1" t="s">
        <x:v>5693</x:v>
      </x:c>
      <x:c r="D111" s="1" t="s">
        <x:v>6707</x:v>
      </x:c>
      <x:c r="E111" s="1" t="s">
        <x:v>6708</x:v>
      </x:c>
      <x:c r="F111" s="1" t="s">
        <x:v>6765</x:v>
      </x:c>
      <x:c r="G111" s="1" t="s">
        <x:v>181</x:v>
      </x:c>
    </x:row>
    <x:row r="112" ht="15" hidden="0" customHeight="1">
      <x:c r="A112" s="1" t="s">
        <x:v>5142</x:v>
      </x:c>
      <x:c r="B112" s="1" t="s">
        <x:v>5532</x:v>
      </x:c>
      <x:c r="C112" s="1" t="s">
        <x:v>5693</x:v>
      </x:c>
      <x:c r="D112" s="1" t="s">
        <x:v>30</x:v>
      </x:c>
      <x:c r="E112" s="1" t="s">
        <x:v>6730</x:v>
      </x:c>
      <x:c r="F112" s="1"/>
      <x:c r="G112" s="1" t="s">
        <x:v>181</x:v>
      </x:c>
    </x:row>
    <x:row r="113" ht="15" hidden="0" customHeight="1">
      <x:c r="A113" s="1" t="s">
        <x:v>4614</x:v>
      </x:c>
      <x:c r="B113" s="1" t="s">
        <x:v>5481</x:v>
      </x:c>
      <x:c r="C113" s="1" t="s">
        <x:v>5993</x:v>
      </x:c>
      <x:c r="D113" s="1" t="s">
        <x:v>30</x:v>
      </x:c>
      <x:c r="E113" s="1" t="s">
        <x:v>6730</x:v>
      </x:c>
      <x:c r="F113" s="1"/>
      <x:c r="G113" s="1" t="s">
        <x:v>181</x:v>
      </x:c>
    </x:row>
    <x:row r="114" ht="15" hidden="0" customHeight="1">
      <x:c r="A114" s="1" t="s">
        <x:v>5171</x:v>
      </x:c>
      <x:c r="B114" s="1" t="s">
        <x:v>5536</x:v>
      </x:c>
      <x:c r="C114" s="1" t="s">
        <x:v>5693</x:v>
      </x:c>
      <x:c r="D114" s="1" t="s">
        <x:v>6707</x:v>
      </x:c>
      <x:c r="E114" s="1" t="s">
        <x:v>6708</x:v>
      </x:c>
      <x:c r="F114" s="1" t="s">
        <x:v>5193</x:v>
      </x:c>
      <x:c r="G114" s="1" t="s">
        <x:v>181</x:v>
      </x:c>
    </x:row>
    <x:row r="115" ht="15" hidden="0" customHeight="1">
      <x:c r="A115" s="1" t="s">
        <x:v>3339</x:v>
      </x:c>
      <x:c r="B115" s="1" t="s">
        <x:v>5497</x:v>
      </x:c>
      <x:c r="C115" s="1" t="s">
        <x:v>5713</x:v>
      </x:c>
      <x:c r="D115" s="1" t="s">
        <x:v>6707</x:v>
      </x:c>
      <x:c r="E115" s="1" t="s">
        <x:v>6708</x:v>
      </x:c>
      <x:c r="F115" s="1" t="s">
        <x:v>3349</x:v>
      </x:c>
      <x:c r="G115" s="1" t="s">
        <x:v>181</x:v>
      </x:c>
    </x:row>
    <x:row r="116" ht="15" hidden="0" customHeight="1">
      <x:c r="A116" s="1" t="s">
        <x:v>538</x:v>
      </x:c>
      <x:c r="B116" s="1" t="s">
        <x:v>5582</x:v>
      </x:c>
      <x:c r="C116" s="1" t="s">
        <x:v>5693</x:v>
      </x:c>
      <x:c r="D116" s="1" t="s">
        <x:v>6734</x:v>
      </x:c>
      <x:c r="E116" s="1" t="s">
        <x:v>6735</x:v>
      </x:c>
      <x:c r="F116" s="1"/>
      <x:c r="G116" s="1" t="s">
        <x:v>181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ColWidth="8.6796875" defaultRowHeight="15"/>
  <x:sheetData>
    <x:row r="1" ht="15" hidden="0" customHeight="1">
      <x:c r="A1" s="1" t="s">
        <x:v>82</x:v>
      </x:c>
      <x:c r="B1" s="1" t="s">
        <x:v>5461</x:v>
      </x:c>
      <x:c r="C1" s="1" t="s">
        <x:v>5656</x:v>
      </x:c>
      <x:c r="D1" s="1" t="s">
        <x:v>5468</x:v>
      </x:c>
      <x:c r="E1" s="1" t="s">
        <x:v>5469</x:v>
      </x:c>
      <x:c r="F1" s="1" t="s">
        <x:v>5470</x:v>
      </x:c>
      <x:c r="G1" s="1" t="s">
        <x:v>5471</x:v>
      </x:c>
      <x:c r="H1" s="1" t="s">
        <x:v>5472</x:v>
      </x:c>
      <x:c r="I1" s="1" t="s">
        <x:v>5473</x:v>
      </x:c>
      <x:c r="J1" s="1" t="s">
        <x:v>6121</x:v>
      </x:c>
      <x:c r="K1" s="1" t="s">
        <x:v>6122</x:v>
      </x:c>
      <x:c r="L1" s="1" t="s">
        <x:v>4721</x:v>
      </x:c>
      <x:c r="M1" s="1" t="s">
        <x:v>4725</x:v>
      </x:c>
      <x:c r="N1" s="1" t="s">
        <x:v>6123</x:v>
      </x:c>
      <x:c r="O1" s="1" t="s">
        <x:v>6124</x:v>
      </x:c>
      <x:c r="P1" s="1" t="s">
        <x:v>6125</x:v>
      </x:c>
      <x:c r="Q1" s="1" t="s">
        <x:v>6126</x:v>
      </x:c>
      <x:c r="R1" s="1" t="s">
        <x:v>1343</x:v>
      </x:c>
      <x:c r="S1" s="1" t="s">
        <x:v>6127</x:v>
      </x:c>
      <x:c r="T1" s="1" t="s">
        <x:v>6128</x:v>
      </x:c>
      <x:c r="U1" s="1" t="s">
        <x:v>6129</x:v>
      </x:c>
      <x:c r="V1" s="1" t="s">
        <x:v>6130</x:v>
      </x:c>
      <x:c r="W1" s="1" t="s">
        <x:v>6131</x:v>
      </x:c>
      <x:c r="X1" s="1" t="s">
        <x:v>1640</x:v>
      </x:c>
      <x:c r="Y1" s="1" t="s">
        <x:v>6132</x:v>
      </x:c>
      <x:c r="Z1" s="1" t="s">
        <x:v>6133</x:v>
      </x:c>
      <x:c r="AA1" s="1" t="s">
        <x:v>6134</x:v>
      </x:c>
      <x:c r="AB1" s="1" t="s">
        <x:v>6135</x:v>
      </x:c>
      <x:c r="AC1" s="1" t="s">
        <x:v>990</x:v>
      </x:c>
      <x:c r="AD1" s="1" t="s">
        <x:v>6702</x:v>
      </x:c>
      <x:c r="AE1" s="1" t="s">
        <x:v>6136</x:v>
      </x:c>
      <x:c r="AF1" s="1" t="s">
        <x:v>6137</x:v>
      </x:c>
      <x:c r="AG1" s="1" t="s">
        <x:v>6701</x:v>
      </x:c>
      <x:c r="AH1" s="1" t="s">
        <x:v>6138</x:v>
      </x:c>
      <x:c r="AI1" s="1" t="s">
        <x:v>6139</x:v>
      </x:c>
      <x:c r="AJ1" s="1" t="s">
        <x:v>6140</x:v>
      </x:c>
      <x:c r="AK1" s="1" t="s">
        <x:v>4749</x:v>
      </x:c>
      <x:c r="AL1" s="1" t="s">
        <x:v>6141</x:v>
      </x:c>
      <x:c r="AM1" s="1" t="s">
        <x:v>6142</x:v>
      </x:c>
      <x:c r="AN1" s="1" t="s">
        <x:v>6143</x:v>
      </x:c>
      <x:c r="AO1" s="1" t="s">
        <x:v>4742</x:v>
      </x:c>
      <x:c r="AP1" s="1" t="s">
        <x:v>6144</x:v>
      </x:c>
      <x:c r="AQ1" s="1" t="s">
        <x:v>6145</x:v>
      </x:c>
      <x:c r="AR1" s="1" t="s">
        <x:v>6146</x:v>
      </x:c>
      <x:c r="AS1" s="1" t="s">
        <x:v>6147</x:v>
      </x:c>
      <x:c r="AT1" s="1" t="s">
        <x:v>6148</x:v>
      </x:c>
      <x:c r="AU1" s="1" t="s">
        <x:v>6700</x:v>
      </x:c>
      <x:c r="AV1" s="1" t="s">
        <x:v>6149</x:v>
      </x:c>
      <x:c r="AW1" s="1" t="s">
        <x:v>4449</x:v>
      </x:c>
      <x:c r="AX1" s="1" t="s">
        <x:v>6150</x:v>
      </x:c>
      <x:c r="AY1" s="1" t="s">
        <x:v>6151</x:v>
      </x:c>
      <x:c r="AZ1" s="1" t="s">
        <x:v>6152</x:v>
      </x:c>
      <x:c r="BA1" s="1" t="s">
        <x:v>4471</x:v>
      </x:c>
      <x:c r="BB1" s="1" t="s">
        <x:v>6153</x:v>
      </x:c>
      <x:c r="BC1" s="1" t="s">
        <x:v>6154</x:v>
      </x:c>
      <x:c r="BD1" s="1" t="s">
        <x:v>6155</x:v>
      </x:c>
      <x:c r="BE1" s="1" t="s">
        <x:v>6156</x:v>
      </x:c>
      <x:c r="BF1" s="1" t="s">
        <x:v>6699</x:v>
      </x:c>
    </x:row>
    <x:row r="2" ht="15" hidden="0" customHeight="1">
      <x:c r="A2" s="1" t="s">
        <x:v>104</x:v>
      </x:c>
      <x:c r="B2" s="1" t="s">
        <x:v>5478</x:v>
      </x:c>
      <x:c r="C2" s="1" t="s">
        <x:v>5670</x:v>
      </x:c>
      <x:c r="D2" s="1" t="n">
        <x:v>35</x:v>
      </x:c>
      <x:c r="E2" s="1" t="n">
        <x:v>3</x:v>
      </x:c>
      <x:c r="F2" s="1" t="n">
        <x:v>3</x:v>
      </x:c>
      <x:c r="G2" s="1" t="n">
        <x:v>1</x:v>
      </x:c>
      <x:c r="H2" s="1" t="n">
        <x:v>0</x:v>
      </x:c>
      <x:c r="I2" s="1" t="n">
        <x:v>0</x:v>
      </x:c>
      <x:c r="J2" s="1" t="str">
        <x:v>EXTRACTED(1)</x:v>
      </x:c>
      <x:c r="K2" s="1" t="str">
        <x:v>EXTRACTED(4)</x:v>
      </x:c>
      <x:c r="L2" s="1" t="str">
        <x:v>EXTRACTED(1)</x:v>
      </x:c>
      <x:c r="M2" s="1" t="s">
        <x:v>30</x:v>
      </x:c>
      <x:c r="N2" s="1" t="str">
        <x:v>EXTRACTED(1)</x:v>
      </x:c>
      <x:c r="O2" s="1" t="str">
        <x:v>EXTRACTED(5)</x:v>
      </x:c>
      <x:c r="P2" s="1" t="s">
        <x:v>30</x:v>
      </x:c>
      <x:c r="Q2" s="1" t="s">
        <x:v>30</x:v>
      </x:c>
      <x:c r="R2" s="1" t="str">
        <x:v>EXTRACTED(2)</x:v>
      </x:c>
      <x:c r="S2" s="1" t="s">
        <x:v>30</x:v>
      </x:c>
      <x:c r="T2" s="1" t="str">
        <x:v>EXTRACTED(2)</x:v>
      </x:c>
      <x:c r="U2" s="1" t="s">
        <x:v>30</x:v>
      </x:c>
      <x:c r="V2" s="1" t="s">
        <x:v>30</x:v>
      </x:c>
      <x:c r="W2" s="1" t="s">
        <x:v>30</x:v>
      </x:c>
      <x:c r="X2" s="1" t="str">
        <x:v>EXTRACTED(1)</x:v>
      </x:c>
      <x:c r="Y2" s="1" t="str">
        <x:v>EXTRACTED(1)</x:v>
      </x:c>
      <x:c r="Z2" s="1" t="s">
        <x:v>30</x:v>
      </x:c>
      <x:c r="AA2" s="1" t="s">
        <x:v>30</x:v>
      </x:c>
      <x:c r="AB2" s="1" t="str">
        <x:v>EXTRACTED(1)</x:v>
      </x:c>
      <x:c r="AC2" s="1" t="str">
        <x:v>EXTRACTED(1)</x:v>
      </x:c>
      <x:c r="AD2" s="1" t="s">
        <x:v>30</x:v>
      </x:c>
      <x:c r="AE2" s="1" t="str">
        <x:v>EXTRACTED(1)</x:v>
      </x:c>
      <x:c r="AF2" s="1" t="str">
        <x:v>EXTRACTED(1)</x:v>
      </x:c>
      <x:c r="AG2" s="1" t="str">
        <x:v>EXTRACTED(1)</x:v>
      </x:c>
      <x:c r="AH2" s="1" t="str">
        <x:v>EXTRACTED(2)</x:v>
      </x:c>
      <x:c r="AI2" s="1" t="str">
        <x:v>EXTRACTED(2)</x:v>
      </x:c>
      <x:c r="AJ2" s="1" t="str">
        <x:v>EXTRACTED(1)</x:v>
      </x:c>
      <x:c r="AK2" s="1" t="str">
        <x:v>EXTRACTED(1)</x:v>
      </x:c>
      <x:c r="AL2" s="1" t="str">
        <x:v>EXTRACTED(1)</x:v>
      </x:c>
      <x:c r="AM2" s="1" t="s">
        <x:v>30</x:v>
      </x:c>
      <x:c r="AN2" s="1" t="s">
        <x:v>30</x:v>
      </x:c>
      <x:c r="AO2" s="1" t="s">
        <x:v>30</x:v>
      </x:c>
      <x:c r="AP2" s="1" t="str">
        <x:v>EXTRACTED(3)</x:v>
      </x:c>
      <x:c r="AQ2" s="1" t="s">
        <x:v>30</x:v>
      </x:c>
      <x:c r="AR2" s="1" t="s">
        <x:v>30</x:v>
      </x:c>
      <x:c r="AS2" s="1" t="s">
        <x:v>30</x:v>
      </x:c>
      <x:c r="AT2" s="1" t="s">
        <x:v>30</x:v>
      </x:c>
      <x:c r="AU2" s="1" t="s">
        <x:v>30</x:v>
      </x:c>
      <x:c r="AV2" s="1" t="s">
        <x:v>30</x:v>
      </x:c>
      <x:c r="AW2" s="1" t="s">
        <x:v>30</x:v>
      </x:c>
      <x:c r="AX2" s="1" t="str">
        <x:v>EXTRACTED(1)</x:v>
      </x:c>
      <x:c r="AY2" s="1" t="s">
        <x:v>30</x:v>
      </x:c>
      <x:c r="AZ2" s="1" t="str">
        <x:v>EXTRACTED(4)</x:v>
      </x:c>
      <x:c r="BA2" s="1" t="str">
        <x:v>EXTRACTED(2)</x:v>
      </x:c>
      <x:c r="BB2" s="1" t="s">
        <x:v>30</x:v>
      </x:c>
      <x:c r="BC2" s="1" t="str">
        <x:v>EXTRACTED(2)</x:v>
      </x:c>
      <x:c r="BD2" s="1" t="s">
        <x:v>30</x:v>
      </x:c>
      <x:c r="BE2" s="1" t="s">
        <x:v>30</x:v>
      </x:c>
      <x:c r="BF2" s="1" t="s">
        <x:v>30</x:v>
      </x:c>
    </x:row>
    <x:row r="3" ht="15" hidden="0" customHeight="1">
      <x:c r="A3" s="1" t="s">
        <x:v>194</x:v>
      </x:c>
      <x:c r="B3" s="1" t="s">
        <x:v>5481</x:v>
      </x:c>
      <x:c r="C3" s="1" t="s">
        <x:v>5670</x:v>
      </x:c>
      <x:c r="D3" s="1" t="n">
        <x:v>23</x:v>
      </x:c>
      <x:c r="E3" s="1" t="n">
        <x:v>1</x:v>
      </x:c>
      <x:c r="F3" s="1" t="n">
        <x:v>1</x:v>
      </x:c>
      <x:c r="G3" s="1" t="n">
        <x:v>1</x:v>
      </x:c>
      <x:c r="H3" s="1" t="n">
        <x:v>0</x:v>
      </x:c>
      <x:c r="I3" s="1" t="n">
        <x:v>0</x:v>
      </x:c>
      <x:c r="J3" s="1" t="s">
        <x:v>6766</x:v>
      </x:c>
      <x:c r="K3" s="1" t="s">
        <x:v>6767</x:v>
      </x:c>
      <x:c r="L3" s="1" t="s">
        <x:v>30</x:v>
      </x:c>
      <x:c r="M3" s="1" t="s">
        <x:v>30</x:v>
      </x:c>
      <x:c r="N3" s="1" t="s">
        <x:v>30</x:v>
      </x:c>
      <x:c r="O3" s="1" t="s">
        <x:v>6768</x:v>
      </x:c>
      <x:c r="P3" s="1" t="s">
        <x:v>6766</x:v>
      </x:c>
      <x:c r="Q3" s="1" t="s">
        <x:v>6766</x:v>
      </x:c>
      <x:c r="R3" s="1" t="s">
        <x:v>6766</x:v>
      </x:c>
      <x:c r="S3" s="1" t="s">
        <x:v>30</x:v>
      </x:c>
      <x:c r="T3" s="1" t="s">
        <x:v>30</x:v>
      </x:c>
      <x:c r="U3" s="1" t="s">
        <x:v>30</x:v>
      </x:c>
      <x:c r="V3" s="1" t="s">
        <x:v>30</x:v>
      </x:c>
      <x:c r="W3" s="1" t="s">
        <x:v>6766</x:v>
      </x:c>
      <x:c r="X3" s="1" t="s">
        <x:v>6766</x:v>
      </x:c>
      <x:c r="Y3" s="1" t="s">
        <x:v>30</x:v>
      </x:c>
      <x:c r="Z3" s="1" t="s">
        <x:v>30</x:v>
      </x:c>
      <x:c r="AA3" s="1" t="s">
        <x:v>30</x:v>
      </x:c>
      <x:c r="AB3" s="1" t="s">
        <x:v>30</x:v>
      </x:c>
      <x:c r="AC3" s="1" t="s">
        <x:v>30</x:v>
      </x:c>
      <x:c r="AD3" s="1" t="s">
        <x:v>30</x:v>
      </x:c>
      <x:c r="AE3" s="1" t="s">
        <x:v>30</x:v>
      </x:c>
      <x:c r="AF3" s="1" t="s">
        <x:v>30</x:v>
      </x:c>
      <x:c r="AG3" s="1" t="s">
        <x:v>30</x:v>
      </x:c>
      <x:c r="AH3" s="1" t="s">
        <x:v>6766</x:v>
      </x:c>
      <x:c r="AI3" s="1" t="s">
        <x:v>6768</x:v>
      </x:c>
      <x:c r="AJ3" s="1" t="s">
        <x:v>6766</x:v>
      </x:c>
      <x:c r="AK3" s="1" t="s">
        <x:v>6766</x:v>
      </x:c>
      <x:c r="AL3" s="1" t="s">
        <x:v>6766</x:v>
      </x:c>
      <x:c r="AM3" s="1" t="s">
        <x:v>6766</x:v>
      </x:c>
      <x:c r="AN3" s="1" t="s">
        <x:v>30</x:v>
      </x:c>
      <x:c r="AO3" s="1" t="s">
        <x:v>30</x:v>
      </x:c>
      <x:c r="AP3" s="1" t="s">
        <x:v>30</x:v>
      </x:c>
      <x:c r="AQ3" s="1" t="s">
        <x:v>30</x:v>
      </x:c>
      <x:c r="AR3" s="1" t="s">
        <x:v>30</x:v>
      </x:c>
      <x:c r="AS3" s="1" t="s">
        <x:v>30</x:v>
      </x:c>
      <x:c r="AT3" s="1" t="s">
        <x:v>30</x:v>
      </x:c>
      <x:c r="AU3" s="1" t="s">
        <x:v>30</x:v>
      </x:c>
      <x:c r="AV3" s="1" t="s">
        <x:v>6766</x:v>
      </x:c>
      <x:c r="AW3" s="1" t="s">
        <x:v>30</x:v>
      </x:c>
      <x:c r="AX3" s="1" t="s">
        <x:v>30</x:v>
      </x:c>
      <x:c r="AY3" s="1" t="s">
        <x:v>6766</x:v>
      </x:c>
      <x:c r="AZ3" s="1" t="s">
        <x:v>6768</x:v>
      </x:c>
      <x:c r="BA3" s="1" t="s">
        <x:v>30</x:v>
      </x:c>
      <x:c r="BB3" s="1" t="s">
        <x:v>30</x:v>
      </x:c>
      <x:c r="BC3" s="1" t="s">
        <x:v>30</x:v>
      </x:c>
      <x:c r="BD3" s="1" t="s">
        <x:v>30</x:v>
      </x:c>
      <x:c r="BE3" s="1" t="s">
        <x:v>30</x:v>
      </x:c>
      <x:c r="BF3" s="1" t="s">
        <x:v>30</x:v>
      </x:c>
    </x:row>
    <x:row r="4" ht="15" hidden="0" customHeight="1">
      <x:c r="A4" s="1" t="s">
        <x:v>279</x:v>
      </x:c>
      <x:c r="B4" s="1" t="s">
        <x:v>5481</x:v>
      </x:c>
      <x:c r="C4" s="1" t="s">
        <x:v>5670</x:v>
      </x:c>
      <x:c r="D4" s="1" t="n">
        <x:v>35</x:v>
      </x:c>
      <x:c r="E4" s="1" t="n">
        <x:v>2</x:v>
      </x:c>
      <x:c r="F4" s="1" t="n">
        <x:v>1</x:v>
      </x:c>
      <x:c r="G4" s="1" t="n">
        <x:v>2</x:v>
      </x:c>
      <x:c r="H4" s="1" t="n">
        <x:v>0</x:v>
      </x:c>
      <x:c r="I4" s="1" t="n">
        <x:v>0</x:v>
      </x:c>
      <x:c r="J4" s="1" t="str">
        <x:v>EXTRACTED(1)</x:v>
      </x:c>
      <x:c r="K4" s="1" t="str">
        <x:v>EXTRACTED(9)</x:v>
      </x:c>
      <x:c r="L4" s="1" t="s">
        <x:v>30</x:v>
      </x:c>
      <x:c r="M4" s="1" t="str">
        <x:v>EXTRACTED(1)</x:v>
      </x:c>
      <x:c r="N4" s="1" t="str">
        <x:v>EXTRACTED(1)</x:v>
      </x:c>
      <x:c r="O4" s="1" t="str">
        <x:v>EXTRACTED(3)</x:v>
      </x:c>
      <x:c r="P4" s="1" t="str">
        <x:v>EXTRACTED(1)</x:v>
      </x:c>
      <x:c r="Q4" s="1" t="str">
        <x:v>EXTRACTED(1)</x:v>
      </x:c>
      <x:c r="R4" s="1" t="str">
        <x:v>EXTRACTED(1)</x:v>
      </x:c>
      <x:c r="S4" s="1" t="s">
        <x:v>30</x:v>
      </x:c>
      <x:c r="T4" s="1" t="s">
        <x:v>30</x:v>
      </x:c>
      <x:c r="U4" s="1" t="s">
        <x:v>30</x:v>
      </x:c>
      <x:c r="V4" s="1" t="s">
        <x:v>30</x:v>
      </x:c>
      <x:c r="W4" s="1" t="str">
        <x:v>EXTRACTED(1)</x:v>
      </x:c>
      <x:c r="X4" s="1" t="s">
        <x:v>30</x:v>
      </x:c>
      <x:c r="Y4" s="1" t="str">
        <x:v>EXTRACTED(1)</x:v>
      </x:c>
      <x:c r="Z4" s="1" t="str">
        <x:v>EXTRACTED(1)</x:v>
      </x:c>
      <x:c r="AA4" s="1" t="s">
        <x:v>30</x:v>
      </x:c>
      <x:c r="AB4" s="1" t="s">
        <x:v>30</x:v>
      </x:c>
      <x:c r="AC4" s="1" t="s">
        <x:v>30</x:v>
      </x:c>
      <x:c r="AD4" s="1" t="s">
        <x:v>30</x:v>
      </x:c>
      <x:c r="AE4" s="1" t="str">
        <x:v>EXTRACTED(2)</x:v>
      </x:c>
      <x:c r="AF4" s="1" t="str">
        <x:v>EXTRACTED(1)</x:v>
      </x:c>
      <x:c r="AG4" s="1" t="str">
        <x:v>EXTRACTED(5)</x:v>
      </x:c>
      <x:c r="AH4" s="1" t="str">
        <x:v>EXTRACTED(2)</x:v>
      </x:c>
      <x:c r="AI4" s="1" t="s">
        <x:v>30</x:v>
      </x:c>
      <x:c r="AJ4" s="1" t="s">
        <x:v>30</x:v>
      </x:c>
      <x:c r="AK4" s="1" t="s">
        <x:v>30</x:v>
      </x:c>
      <x:c r="AL4" s="1" t="str">
        <x:v>EXTRACTED(1)</x:v>
      </x:c>
      <x:c r="AM4" s="1" t="s">
        <x:v>30</x:v>
      </x:c>
      <x:c r="AN4" s="1" t="str">
        <x:v>EXTRACTED(1)</x:v>
      </x:c>
      <x:c r="AO4" s="1" t="s">
        <x:v>30</x:v>
      </x:c>
      <x:c r="AP4" s="1" t="s">
        <x:v>30</x:v>
      </x:c>
      <x:c r="AQ4" s="1" t="s">
        <x:v>30</x:v>
      </x:c>
      <x:c r="AR4" s="1" t="s">
        <x:v>30</x:v>
      </x:c>
      <x:c r="AS4" s="1" t="s">
        <x:v>30</x:v>
      </x:c>
      <x:c r="AT4" s="1" t="s">
        <x:v>30</x:v>
      </x:c>
      <x:c r="AU4" s="1" t="s">
        <x:v>30</x:v>
      </x:c>
      <x:c r="AV4" s="1" t="str">
        <x:v>EXTRACTED(2)</x:v>
      </x:c>
      <x:c r="AW4" s="1" t="str">
        <x:v>EXTRACTED(1)</x:v>
      </x:c>
      <x:c r="AX4" s="1" t="s">
        <x:v>30</x:v>
      </x:c>
      <x:c r="AY4" s="1" t="str">
        <x:v>EXTRACTED(1)</x:v>
      </x:c>
      <x:c r="AZ4" s="1" t="str">
        <x:v>EXTRACTED(3)</x:v>
      </x:c>
      <x:c r="BA4" s="1" t="s">
        <x:v>30</x:v>
      </x:c>
      <x:c r="BB4" s="1" t="s">
        <x:v>30</x:v>
      </x:c>
      <x:c r="BC4" s="1" t="s">
        <x:v>30</x:v>
      </x:c>
      <x:c r="BD4" s="1" t="s">
        <x:v>30</x:v>
      </x:c>
      <x:c r="BE4" s="1" t="s">
        <x:v>30</x:v>
      </x:c>
      <x:c r="BF4" s="1" t="s">
        <x:v>30</x:v>
      </x:c>
    </x:row>
    <x:row r="5" ht="15" hidden="0" customHeight="1">
      <x:c r="A5" s="1" t="s">
        <x:v>356</x:v>
      </x:c>
      <x:c r="B5" s="1" t="s">
        <x:v>5486</x:v>
      </x:c>
      <x:c r="C5" s="1" t="s">
        <x:v>5670</x:v>
      </x:c>
      <x:c r="D5" s="1" t="n">
        <x:v>22</x:v>
      </x:c>
      <x:c r="E5" s="1" t="n">
        <x:v>1</x:v>
      </x:c>
      <x:c r="F5" s="1" t="n">
        <x:v>0</x:v>
      </x:c>
      <x:c r="G5" s="1" t="n">
        <x:v>0</x:v>
      </x:c>
      <x:c r="H5" s="1" t="n">
        <x:v>0</x:v>
      </x:c>
      <x:c r="I5" s="1" t="n">
        <x:v>0</x:v>
      </x:c>
      <x:c r="J5" s="1" t="s">
        <x:v>6766</x:v>
      </x:c>
      <x:c r="K5" s="1" t="s">
        <x:v>6769</x:v>
      </x:c>
      <x:c r="L5" s="1" t="s">
        <x:v>30</x:v>
      </x:c>
      <x:c r="M5" s="1" t="s">
        <x:v>30</x:v>
      </x:c>
      <x:c r="N5" s="1" t="s">
        <x:v>30</x:v>
      </x:c>
      <x:c r="O5" s="1" t="s">
        <x:v>6769</x:v>
      </x:c>
      <x:c r="P5" s="1" t="s">
        <x:v>6766</x:v>
      </x:c>
      <x:c r="Q5" s="1" t="s">
        <x:v>6766</x:v>
      </x:c>
      <x:c r="R5" s="1" t="s">
        <x:v>30</x:v>
      </x:c>
      <x:c r="S5" s="1" t="s">
        <x:v>30</x:v>
      </x:c>
      <x:c r="T5" s="1" t="s">
        <x:v>30</x:v>
      </x:c>
      <x:c r="U5" s="1" t="s">
        <x:v>30</x:v>
      </x:c>
      <x:c r="V5" s="1" t="s">
        <x:v>30</x:v>
      </x:c>
      <x:c r="W5" s="1" t="s">
        <x:v>30</x:v>
      </x:c>
      <x:c r="X5" s="1" t="s">
        <x:v>30</x:v>
      </x:c>
      <x:c r="Y5" s="1" t="s">
        <x:v>6766</x:v>
      </x:c>
      <x:c r="Z5" s="1" t="s">
        <x:v>6768</x:v>
      </x:c>
      <x:c r="AA5" s="1" t="s">
        <x:v>30</x:v>
      </x:c>
      <x:c r="AB5" s="1" t="s">
        <x:v>6766</x:v>
      </x:c>
      <x:c r="AC5" s="1" t="s">
        <x:v>30</x:v>
      </x:c>
      <x:c r="AD5" s="1" t="s">
        <x:v>30</x:v>
      </x:c>
      <x:c r="AE5" s="1" t="s">
        <x:v>30</x:v>
      </x:c>
      <x:c r="AF5" s="1" t="s">
        <x:v>30</x:v>
      </x:c>
      <x:c r="AG5" s="1" t="s">
        <x:v>6770</x:v>
      </x:c>
      <x:c r="AH5" s="1" t="s">
        <x:v>6766</x:v>
      </x:c>
      <x:c r="AI5" s="1" t="s">
        <x:v>6768</x:v>
      </x:c>
      <x:c r="AJ5" s="1" t="s">
        <x:v>30</x:v>
      </x:c>
      <x:c r="AK5" s="1" t="s">
        <x:v>6766</x:v>
      </x:c>
      <x:c r="AL5" s="1" t="s">
        <x:v>30</x:v>
      </x:c>
      <x:c r="AM5" s="1" t="s">
        <x:v>30</x:v>
      </x:c>
      <x:c r="AN5" s="1" t="s">
        <x:v>30</x:v>
      </x:c>
      <x:c r="AO5" s="1" t="s">
        <x:v>30</x:v>
      </x:c>
      <x:c r="AP5" s="1" t="s">
        <x:v>30</x:v>
      </x:c>
      <x:c r="AQ5" s="1" t="s">
        <x:v>30</x:v>
      </x:c>
      <x:c r="AR5" s="1" t="s">
        <x:v>30</x:v>
      </x:c>
      <x:c r="AS5" s="1" t="s">
        <x:v>30</x:v>
      </x:c>
      <x:c r="AT5" s="1" t="s">
        <x:v>30</x:v>
      </x:c>
      <x:c r="AU5" s="1" t="s">
        <x:v>30</x:v>
      </x:c>
      <x:c r="AV5" s="1" t="s">
        <x:v>30</x:v>
      </x:c>
      <x:c r="AW5" s="1" t="s">
        <x:v>30</x:v>
      </x:c>
      <x:c r="AX5" s="1" t="s">
        <x:v>30</x:v>
      </x:c>
      <x:c r="AY5" s="1" t="s">
        <x:v>6766</x:v>
      </x:c>
      <x:c r="AZ5" s="1" t="s">
        <x:v>6766</x:v>
      </x:c>
      <x:c r="BA5" s="1" t="s">
        <x:v>30</x:v>
      </x:c>
      <x:c r="BB5" s="1" t="s">
        <x:v>30</x:v>
      </x:c>
      <x:c r="BC5" s="1" t="s">
        <x:v>30</x:v>
      </x:c>
      <x:c r="BD5" s="1" t="s">
        <x:v>30</x:v>
      </x:c>
      <x:c r="BE5" s="1" t="s">
        <x:v>30</x:v>
      </x:c>
      <x:c r="BF5" s="1" t="s">
        <x:v>30</x:v>
      </x:c>
    </x:row>
    <x:row r="6" ht="15" hidden="0" customHeight="1">
      <x:c r="A6" s="1" t="s">
        <x:v>554</x:v>
      </x:c>
      <x:c r="B6" s="1" t="s">
        <x:v>5481</x:v>
      </x:c>
      <x:c r="C6" s="1" t="s">
        <x:v>5670</x:v>
      </x:c>
      <x:c r="D6" s="1" t="n">
        <x:v>38</x:v>
      </x:c>
      <x:c r="E6" s="1" t="n">
        <x:v>2</x:v>
      </x:c>
      <x:c r="F6" s="1" t="n">
        <x:v>0</x:v>
      </x:c>
      <x:c r="G6" s="1" t="n">
        <x:v>1</x:v>
      </x:c>
      <x:c r="H6" s="1" t="n">
        <x:v>2</x:v>
      </x:c>
      <x:c r="I6" s="1" t="n">
        <x:v>0</x:v>
      </x:c>
      <x:c r="J6" s="1" t="s">
        <x:v>6766</x:v>
      </x:c>
      <x:c r="K6" s="1" t="s">
        <x:v>6771</x:v>
      </x:c>
      <x:c r="L6" s="1" t="s">
        <x:v>30</x:v>
      </x:c>
      <x:c r="M6" s="1" t="s">
        <x:v>30</x:v>
      </x:c>
      <x:c r="N6" s="1" t="s">
        <x:v>6769</x:v>
      </x:c>
      <x:c r="O6" s="1" t="s">
        <x:v>6770</x:v>
      </x:c>
      <x:c r="P6" s="1" t="s">
        <x:v>30</x:v>
      </x:c>
      <x:c r="Q6" s="1" t="s">
        <x:v>30</x:v>
      </x:c>
      <x:c r="R6" s="1" t="s">
        <x:v>30</x:v>
      </x:c>
      <x:c r="S6" s="1" t="s">
        <x:v>6771</x:v>
      </x:c>
      <x:c r="T6" s="1" t="s">
        <x:v>30</x:v>
      </x:c>
      <x:c r="U6" s="1" t="s">
        <x:v>30</x:v>
      </x:c>
      <x:c r="V6" s="1" t="s">
        <x:v>30</x:v>
      </x:c>
      <x:c r="W6" s="1" t="s">
        <x:v>6770</x:v>
      </x:c>
      <x:c r="X6" s="1" t="s">
        <x:v>30</x:v>
      </x:c>
      <x:c r="Y6" s="1" t="s">
        <x:v>32</x:v>
      </x:c>
      <x:c r="Z6" s="1" t="s">
        <x:v>6766</x:v>
      </x:c>
      <x:c r="AA6" s="1" t="s">
        <x:v>30</x:v>
      </x:c>
      <x:c r="AB6" s="1" t="s">
        <x:v>6770</x:v>
      </x:c>
      <x:c r="AC6" s="1" t="s">
        <x:v>6769</x:v>
      </x:c>
      <x:c r="AD6" s="1" t="s">
        <x:v>30</x:v>
      </x:c>
      <x:c r="AE6" s="1" t="s">
        <x:v>30</x:v>
      </x:c>
      <x:c r="AF6" s="1" t="s">
        <x:v>30</x:v>
      </x:c>
      <x:c r="AG6" s="1" t="s">
        <x:v>6766</x:v>
      </x:c>
      <x:c r="AH6" s="1" t="s">
        <x:v>6769</x:v>
      </x:c>
      <x:c r="AI6" s="1" t="s">
        <x:v>30</x:v>
      </x:c>
      <x:c r="AJ6" s="1" t="s">
        <x:v>30</x:v>
      </x:c>
      <x:c r="AK6" s="1" t="s">
        <x:v>30</x:v>
      </x:c>
      <x:c r="AL6" s="1" t="s">
        <x:v>30</x:v>
      </x:c>
      <x:c r="AM6" s="1" t="s">
        <x:v>30</x:v>
      </x:c>
      <x:c r="AN6" s="1" t="s">
        <x:v>30</x:v>
      </x:c>
      <x:c r="AO6" s="1" t="s">
        <x:v>30</x:v>
      </x:c>
      <x:c r="AP6" s="1" t="s">
        <x:v>30</x:v>
      </x:c>
      <x:c r="AQ6" s="1" t="s">
        <x:v>30</x:v>
      </x:c>
      <x:c r="AR6" s="1" t="s">
        <x:v>30</x:v>
      </x:c>
      <x:c r="AS6" s="1" t="s">
        <x:v>30</x:v>
      </x:c>
      <x:c r="AT6" s="1" t="s">
        <x:v>30</x:v>
      </x:c>
      <x:c r="AU6" s="1" t="s">
        <x:v>30</x:v>
      </x:c>
      <x:c r="AV6" s="1" t="s">
        <x:v>30</x:v>
      </x:c>
      <x:c r="AW6" s="1" t="s">
        <x:v>6766</x:v>
      </x:c>
      <x:c r="AX6" s="1" t="s">
        <x:v>6766</x:v>
      </x:c>
      <x:c r="AY6" s="1" t="s">
        <x:v>6769</x:v>
      </x:c>
      <x:c r="AZ6" s="1" t="s">
        <x:v>6768</x:v>
      </x:c>
      <x:c r="BA6" s="1" t="s">
        <x:v>30</x:v>
      </x:c>
      <x:c r="BB6" s="1" t="s">
        <x:v>30</x:v>
      </x:c>
      <x:c r="BC6" s="1" t="s">
        <x:v>32</x:v>
      </x:c>
      <x:c r="BD6" s="1" t="s">
        <x:v>30</x:v>
      </x:c>
      <x:c r="BE6" s="1" t="s">
        <x:v>30</x:v>
      </x:c>
      <x:c r="BF6" s="1" t="s">
        <x:v>30</x:v>
      </x:c>
    </x:row>
    <x:row r="7" ht="15" hidden="0" customHeight="1">
      <x:c r="A7" s="1" t="s">
        <x:v>431</x:v>
      </x:c>
      <x:c r="B7" s="1" t="s">
        <x:v>5481</x:v>
      </x:c>
      <x:c r="C7" s="1" t="s">
        <x:v>5693</x:v>
      </x:c>
      <x:c r="D7" s="1" t="n">
        <x:v>19</x:v>
      </x:c>
      <x:c r="E7" s="1" t="n">
        <x:v>0</x:v>
      </x:c>
      <x:c r="F7" s="1" t="n">
        <x:v>0</x:v>
      </x:c>
      <x:c r="G7" s="1" t="n">
        <x:v>0</x:v>
      </x:c>
      <x:c r="H7" s="1" t="n">
        <x:v>0</x:v>
      </x:c>
      <x:c r="I7" s="1" t="n">
        <x:v>0</x:v>
      </x:c>
      <x:c r="J7" s="1" t="s">
        <x:v>6766</x:v>
      </x:c>
      <x:c r="K7" s="1" t="s">
        <x:v>30</x:v>
      </x:c>
      <x:c r="L7" s="1" t="s">
        <x:v>30</x:v>
      </x:c>
      <x:c r="M7" s="1" t="s">
        <x:v>30</x:v>
      </x:c>
      <x:c r="N7" s="1" t="s">
        <x:v>30</x:v>
      </x:c>
      <x:c r="O7" s="1" t="s">
        <x:v>6766</x:v>
      </x:c>
      <x:c r="P7" s="1" t="s">
        <x:v>30</x:v>
      </x:c>
      <x:c r="Q7" s="1" t="s">
        <x:v>30</x:v>
      </x:c>
      <x:c r="R7" s="1" t="s">
        <x:v>6768</x:v>
      </x:c>
      <x:c r="S7" s="1" t="s">
        <x:v>6766</x:v>
      </x:c>
      <x:c r="T7" s="1" t="s">
        <x:v>6766</x:v>
      </x:c>
      <x:c r="U7" s="1" t="s">
        <x:v>30</x:v>
      </x:c>
      <x:c r="V7" s="1" t="s">
        <x:v>30</x:v>
      </x:c>
      <x:c r="W7" s="1" t="s">
        <x:v>6768</x:v>
      </x:c>
      <x:c r="X7" s="1" t="s">
        <x:v>6766</x:v>
      </x:c>
      <x:c r="Y7" s="1" t="s">
        <x:v>6766</x:v>
      </x:c>
      <x:c r="Z7" s="1" t="s">
        <x:v>6768</x:v>
      </x:c>
      <x:c r="AA7" s="1" t="s">
        <x:v>30</x:v>
      </x:c>
      <x:c r="AB7" s="1" t="s">
        <x:v>6768</x:v>
      </x:c>
      <x:c r="AC7" s="1" t="s">
        <x:v>6768</x:v>
      </x:c>
      <x:c r="AD7" s="1" t="s">
        <x:v>30</x:v>
      </x:c>
      <x:c r="AE7" s="1" t="s">
        <x:v>6766</x:v>
      </x:c>
      <x:c r="AF7" s="1" t="s">
        <x:v>30</x:v>
      </x:c>
      <x:c r="AG7" s="1" t="s">
        <x:v>30</x:v>
      </x:c>
      <x:c r="AH7" s="1" t="s">
        <x:v>6768</x:v>
      </x:c>
      <x:c r="AI7" s="1" t="s">
        <x:v>30</x:v>
      </x:c>
      <x:c r="AJ7" s="1" t="s">
        <x:v>30</x:v>
      </x:c>
      <x:c r="AK7" s="1" t="s">
        <x:v>30</x:v>
      </x:c>
      <x:c r="AL7" s="1" t="s">
        <x:v>30</x:v>
      </x:c>
      <x:c r="AM7" s="1" t="s">
        <x:v>30</x:v>
      </x:c>
      <x:c r="AN7" s="1" t="s">
        <x:v>30</x:v>
      </x:c>
      <x:c r="AO7" s="1" t="s">
        <x:v>30</x:v>
      </x:c>
      <x:c r="AP7" s="1" t="s">
        <x:v>30</x:v>
      </x:c>
      <x:c r="AQ7" s="1" t="s">
        <x:v>6707</x:v>
      </x:c>
      <x:c r="AR7" s="1" t="s">
        <x:v>6707</x:v>
      </x:c>
      <x:c r="AS7" s="1" t="s">
        <x:v>6707</x:v>
      </x:c>
      <x:c r="AT7" s="1" t="s">
        <x:v>6707</x:v>
      </x:c>
      <x:c r="AU7" s="1" t="s">
        <x:v>6707</x:v>
      </x:c>
      <x:c r="AV7" s="1" t="s">
        <x:v>30</x:v>
      </x:c>
      <x:c r="AW7" s="1" t="s">
        <x:v>30</x:v>
      </x:c>
      <x:c r="AX7" s="1" t="s">
        <x:v>30</x:v>
      </x:c>
      <x:c r="AY7" s="1" t="s">
        <x:v>30</x:v>
      </x:c>
      <x:c r="AZ7" s="1" t="s">
        <x:v>30</x:v>
      </x:c>
      <x:c r="BA7" s="1" t="s">
        <x:v>30</x:v>
      </x:c>
      <x:c r="BB7" s="1" t="s">
        <x:v>30</x:v>
      </x:c>
      <x:c r="BC7" s="1" t="s">
        <x:v>30</x:v>
      </x:c>
      <x:c r="BD7" s="1" t="s">
        <x:v>30</x:v>
      </x:c>
      <x:c r="BE7" s="1" t="s">
        <x:v>30</x:v>
      </x:c>
      <x:c r="BF7" s="1" t="s">
        <x:v>30</x:v>
      </x:c>
    </x:row>
    <x:row r="8" ht="15" hidden="0" customHeight="1">
      <x:c r="A8" s="1" t="s">
        <x:v>875</x:v>
      </x:c>
      <x:c r="B8" s="1" t="s">
        <x:v>5481</x:v>
      </x:c>
      <x:c r="C8" s="1" t="s">
        <x:v>5670</x:v>
      </x:c>
      <x:c r="D8" s="1" t="n">
        <x:v>67</x:v>
      </x:c>
      <x:c r="E8" s="1" t="n">
        <x:v>1</x:v>
      </x:c>
      <x:c r="F8" s="1" t="n">
        <x:v>0</x:v>
      </x:c>
      <x:c r="G8" s="1" t="n">
        <x:v>1</x:v>
      </x:c>
      <x:c r="H8" s="1" t="n">
        <x:v>2</x:v>
      </x:c>
      <x:c r="I8" s="1" t="n">
        <x:v>18</x:v>
      </x:c>
      <x:c r="J8" s="1" t="s">
        <x:v>6768</x:v>
      </x:c>
      <x:c r="K8" s="1" t="s">
        <x:v>6772</x:v>
      </x:c>
      <x:c r="L8" s="1" t="s">
        <x:v>30</x:v>
      </x:c>
      <x:c r="M8" s="1" t="s">
        <x:v>30</x:v>
      </x:c>
      <x:c r="N8" s="1" t="s">
        <x:v>6766</x:v>
      </x:c>
      <x:c r="O8" s="1" t="s">
        <x:v>6766</x:v>
      </x:c>
      <x:c r="P8" s="1" t="s">
        <x:v>6766</x:v>
      </x:c>
      <x:c r="Q8" s="1" t="s">
        <x:v>6769</x:v>
      </x:c>
      <x:c r="R8" s="1" t="s">
        <x:v>6768</x:v>
      </x:c>
      <x:c r="S8" s="1" t="s">
        <x:v>6766</x:v>
      </x:c>
      <x:c r="T8" s="1" t="s">
        <x:v>30</x:v>
      </x:c>
      <x:c r="U8" s="1" t="s">
        <x:v>30</x:v>
      </x:c>
      <x:c r="V8" s="1" t="s">
        <x:v>30</x:v>
      </x:c>
      <x:c r="W8" s="1" t="s">
        <x:v>6766</x:v>
      </x:c>
      <x:c r="X8" s="1" t="s">
        <x:v>30</x:v>
      </x:c>
      <x:c r="Y8" s="1" t="s">
        <x:v>6766</x:v>
      </x:c>
      <x:c r="Z8" s="1" t="s">
        <x:v>6766</x:v>
      </x:c>
      <x:c r="AA8" s="1" t="s">
        <x:v>30</x:v>
      </x:c>
      <x:c r="AB8" s="1" t="s">
        <x:v>6766</x:v>
      </x:c>
      <x:c r="AC8" s="1" t="s">
        <x:v>6769</x:v>
      </x:c>
      <x:c r="AD8" s="1" t="s">
        <x:v>6766</x:v>
      </x:c>
      <x:c r="AE8" s="1" t="s">
        <x:v>6768</x:v>
      </x:c>
      <x:c r="AF8" s="1" t="s">
        <x:v>32</x:v>
      </x:c>
      <x:c r="AG8" s="1" t="s">
        <x:v>6768</x:v>
      </x:c>
      <x:c r="AH8" s="1" t="s">
        <x:v>6766</x:v>
      </x:c>
      <x:c r="AI8" s="1" t="s">
        <x:v>6768</x:v>
      </x:c>
      <x:c r="AJ8" s="1" t="s">
        <x:v>6768</x:v>
      </x:c>
      <x:c r="AK8" s="1" t="s">
        <x:v>6766</x:v>
      </x:c>
      <x:c r="AL8" s="1" t="s">
        <x:v>30</x:v>
      </x:c>
      <x:c r="AM8" s="1" t="s">
        <x:v>6766</x:v>
      </x:c>
      <x:c r="AN8" s="1" t="s">
        <x:v>30</x:v>
      </x:c>
      <x:c r="AO8" s="1" t="s">
        <x:v>30</x:v>
      </x:c>
      <x:c r="AP8" s="1" t="s">
        <x:v>30</x:v>
      </x:c>
      <x:c r="AQ8" s="1" t="s">
        <x:v>30</x:v>
      </x:c>
      <x:c r="AR8" s="1" t="s">
        <x:v>30</x:v>
      </x:c>
      <x:c r="AS8" s="1" t="s">
        <x:v>30</x:v>
      </x:c>
      <x:c r="AT8" s="1" t="s">
        <x:v>30</x:v>
      </x:c>
      <x:c r="AU8" s="1" t="s">
        <x:v>30</x:v>
      </x:c>
      <x:c r="AV8" s="1" t="s">
        <x:v>6768</x:v>
      </x:c>
      <x:c r="AW8" s="1" t="s">
        <x:v>6766</x:v>
      </x:c>
      <x:c r="AX8" s="1" t="s">
        <x:v>30</x:v>
      </x:c>
      <x:c r="AY8" s="1" t="s">
        <x:v>6773</x:v>
      </x:c>
      <x:c r="AZ8" s="1" t="s">
        <x:v>6769</x:v>
      </x:c>
      <x:c r="BA8" s="1" t="s">
        <x:v>30</x:v>
      </x:c>
      <x:c r="BB8" s="1" t="s">
        <x:v>30</x:v>
      </x:c>
      <x:c r="BC8" s="1" t="s">
        <x:v>30</x:v>
      </x:c>
      <x:c r="BD8" s="1" t="s">
        <x:v>6766</x:v>
      </x:c>
      <x:c r="BE8" s="1" t="s">
        <x:v>6766</x:v>
      </x:c>
      <x:c r="BF8" s="1" t="s">
        <x:v>30</x:v>
      </x:c>
    </x:row>
    <x:row r="9" ht="15" hidden="0" customHeight="1">
      <x:c r="A9" s="1" t="s">
        <x:v>1107</x:v>
      </x:c>
      <x:c r="B9" s="1" t="s">
        <x:v>5493</x:v>
      </x:c>
      <x:c r="C9" s="1" t="s">
        <x:v>5670</x:v>
      </x:c>
      <x:c r="D9" s="1" t="n">
        <x:v>22</x:v>
      </x:c>
      <x:c r="E9" s="1" t="n">
        <x:v>8</x:v>
      </x:c>
      <x:c r="F9" s="1" t="n">
        <x:v>0</x:v>
      </x:c>
      <x:c r="G9" s="1" t="n">
        <x:v>2</x:v>
      </x:c>
      <x:c r="H9" s="1" t="n">
        <x:v>0</x:v>
      </x:c>
      <x:c r="I9" s="1" t="n">
        <x:v>0</x:v>
      </x:c>
      <x:c r="J9" s="1" t="s">
        <x:v>6774</x:v>
      </x:c>
      <x:c r="K9" s="1" t="s">
        <x:v>6766</x:v>
      </x:c>
      <x:c r="L9" s="1" t="s">
        <x:v>30</x:v>
      </x:c>
      <x:c r="M9" s="1" t="s">
        <x:v>30</x:v>
      </x:c>
      <x:c r="N9" s="1" t="s">
        <x:v>30</x:v>
      </x:c>
      <x:c r="O9" s="1" t="s">
        <x:v>6771</x:v>
      </x:c>
      <x:c r="P9" s="1" t="s">
        <x:v>30</x:v>
      </x:c>
      <x:c r="Q9" s="1" t="s">
        <x:v>30</x:v>
      </x:c>
      <x:c r="R9" s="1" t="s">
        <x:v>30</x:v>
      </x:c>
      <x:c r="S9" s="1" t="s">
        <x:v>30</x:v>
      </x:c>
      <x:c r="T9" s="1" t="s">
        <x:v>30</x:v>
      </x:c>
      <x:c r="U9" s="1" t="s">
        <x:v>30</x:v>
      </x:c>
      <x:c r="V9" s="1" t="s">
        <x:v>30</x:v>
      </x:c>
      <x:c r="W9" s="1" t="s">
        <x:v>30</x:v>
      </x:c>
      <x:c r="X9" s="1" t="s">
        <x:v>30</x:v>
      </x:c>
      <x:c r="Y9" s="1" t="s">
        <x:v>30</x:v>
      </x:c>
      <x:c r="Z9" s="1" t="s">
        <x:v>30</x:v>
      </x:c>
      <x:c r="AA9" s="1" t="s">
        <x:v>30</x:v>
      </x:c>
      <x:c r="AB9" s="1" t="s">
        <x:v>30</x:v>
      </x:c>
      <x:c r="AC9" s="1" t="s">
        <x:v>30</x:v>
      </x:c>
      <x:c r="AD9" s="1" t="s">
        <x:v>30</x:v>
      </x:c>
      <x:c r="AE9" s="1" t="s">
        <x:v>30</x:v>
      </x:c>
      <x:c r="AF9" s="1" t="s">
        <x:v>30</x:v>
      </x:c>
      <x:c r="AG9" s="1" t="s">
        <x:v>30</x:v>
      </x:c>
      <x:c r="AH9" s="1" t="s">
        <x:v>30</x:v>
      </x:c>
      <x:c r="AI9" s="1" t="s">
        <x:v>30</x:v>
      </x:c>
      <x:c r="AJ9" s="1" t="s">
        <x:v>30</x:v>
      </x:c>
      <x:c r="AK9" s="1" t="s">
        <x:v>30</x:v>
      </x:c>
      <x:c r="AL9" s="1" t="s">
        <x:v>30</x:v>
      </x:c>
      <x:c r="AM9" s="1" t="s">
        <x:v>30</x:v>
      </x:c>
      <x:c r="AN9" s="1" t="s">
        <x:v>30</x:v>
      </x:c>
      <x:c r="AO9" s="1" t="s">
        <x:v>30</x:v>
      </x:c>
      <x:c r="AP9" s="1" t="s">
        <x:v>30</x:v>
      </x:c>
      <x:c r="AQ9" s="1" t="s">
        <x:v>30</x:v>
      </x:c>
      <x:c r="AR9" s="1" t="s">
        <x:v>30</x:v>
      </x:c>
      <x:c r="AS9" s="1" t="s">
        <x:v>30</x:v>
      </x:c>
      <x:c r="AT9" s="1" t="s">
        <x:v>30</x:v>
      </x:c>
      <x:c r="AU9" s="1" t="s">
        <x:v>30</x:v>
      </x:c>
      <x:c r="AV9" s="1" t="s">
        <x:v>6771</x:v>
      </x:c>
      <x:c r="AW9" s="1" t="s">
        <x:v>30</x:v>
      </x:c>
      <x:c r="AX9" s="1" t="s">
        <x:v>30</x:v>
      </x:c>
      <x:c r="AY9" s="1" t="s">
        <x:v>6766</x:v>
      </x:c>
      <x:c r="AZ9" s="1" t="s">
        <x:v>6775</x:v>
      </x:c>
      <x:c r="BA9" s="1" t="s">
        <x:v>30</x:v>
      </x:c>
      <x:c r="BB9" s="1" t="s">
        <x:v>30</x:v>
      </x:c>
      <x:c r="BC9" s="1" t="s">
        <x:v>30</x:v>
      </x:c>
      <x:c r="BD9" s="1" t="s">
        <x:v>30</x:v>
      </x:c>
      <x:c r="BE9" s="1" t="s">
        <x:v>6766</x:v>
      </x:c>
      <x:c r="BF9" s="1" t="s">
        <x:v>6766</x:v>
      </x:c>
    </x:row>
    <x:row r="10" ht="15" hidden="0" customHeight="1">
      <x:c r="A10" s="1" t="s">
        <x:v>1197</x:v>
      </x:c>
      <x:c r="B10" s="1" t="s">
        <x:v>5493</x:v>
      </x:c>
      <x:c r="C10" s="1" t="s">
        <x:v>5670</x:v>
      </x:c>
      <x:c r="D10" s="1" t="n">
        <x:v>19</x:v>
      </x:c>
      <x:c r="E10" s="1" t="n">
        <x:v>7</x:v>
      </x:c>
      <x:c r="F10" s="1" t="n">
        <x:v>0</x:v>
      </x:c>
      <x:c r="G10" s="1" t="n">
        <x:v>2</x:v>
      </x:c>
      <x:c r="H10" s="1" t="n">
        <x:v>0</x:v>
      </x:c>
      <x:c r="I10" s="1" t="n">
        <x:v>0</x:v>
      </x:c>
      <x:c r="J10" s="1" t="s">
        <x:v>6768</x:v>
      </x:c>
      <x:c r="K10" s="1" t="s">
        <x:v>6769</x:v>
      </x:c>
      <x:c r="L10" s="1" t="s">
        <x:v>30</x:v>
      </x:c>
      <x:c r="M10" s="1" t="s">
        <x:v>30</x:v>
      </x:c>
      <x:c r="N10" s="1" t="s">
        <x:v>30</x:v>
      </x:c>
      <x:c r="O10" s="1" t="s">
        <x:v>6774</x:v>
      </x:c>
      <x:c r="P10" s="1" t="s">
        <x:v>30</x:v>
      </x:c>
      <x:c r="Q10" s="1" t="s">
        <x:v>30</x:v>
      </x:c>
      <x:c r="R10" s="1" t="s">
        <x:v>30</x:v>
      </x:c>
      <x:c r="S10" s="1" t="s">
        <x:v>30</x:v>
      </x:c>
      <x:c r="T10" s="1" t="s">
        <x:v>30</x:v>
      </x:c>
      <x:c r="U10" s="1" t="s">
        <x:v>30</x:v>
      </x:c>
      <x:c r="V10" s="1" t="s">
        <x:v>30</x:v>
      </x:c>
      <x:c r="W10" s="1" t="s">
        <x:v>30</x:v>
      </x:c>
      <x:c r="X10" s="1" t="s">
        <x:v>30</x:v>
      </x:c>
      <x:c r="Y10" s="1" t="s">
        <x:v>30</x:v>
      </x:c>
      <x:c r="Z10" s="1" t="s">
        <x:v>30</x:v>
      </x:c>
      <x:c r="AA10" s="1" t="s">
        <x:v>30</x:v>
      </x:c>
      <x:c r="AB10" s="1" t="s">
        <x:v>30</x:v>
      </x:c>
      <x:c r="AC10" s="1" t="s">
        <x:v>30</x:v>
      </x:c>
      <x:c r="AD10" s="1" t="s">
        <x:v>30</x:v>
      </x:c>
      <x:c r="AE10" s="1" t="s">
        <x:v>30</x:v>
      </x:c>
      <x:c r="AF10" s="1" t="s">
        <x:v>30</x:v>
      </x:c>
      <x:c r="AG10" s="1" t="s">
        <x:v>30</x:v>
      </x:c>
      <x:c r="AH10" s="1" t="s">
        <x:v>30</x:v>
      </x:c>
      <x:c r="AI10" s="1" t="s">
        <x:v>6768</x:v>
      </x:c>
      <x:c r="AJ10" s="1" t="s">
        <x:v>6766</x:v>
      </x:c>
      <x:c r="AK10" s="1" t="s">
        <x:v>30</x:v>
      </x:c>
      <x:c r="AL10" s="1" t="s">
        <x:v>6766</x:v>
      </x:c>
      <x:c r="AM10" s="1" t="s">
        <x:v>30</x:v>
      </x:c>
      <x:c r="AN10" s="1" t="s">
        <x:v>30</x:v>
      </x:c>
      <x:c r="AO10" s="1" t="s">
        <x:v>30</x:v>
      </x:c>
      <x:c r="AP10" s="1" t="s">
        <x:v>30</x:v>
      </x:c>
      <x:c r="AQ10" s="1" t="s">
        <x:v>30</x:v>
      </x:c>
      <x:c r="AR10" s="1" t="s">
        <x:v>30</x:v>
      </x:c>
      <x:c r="AS10" s="1" t="s">
        <x:v>30</x:v>
      </x:c>
      <x:c r="AT10" s="1" t="s">
        <x:v>30</x:v>
      </x:c>
      <x:c r="AU10" s="1" t="s">
        <x:v>30</x:v>
      </x:c>
      <x:c r="AV10" s="1" t="s">
        <x:v>30</x:v>
      </x:c>
      <x:c r="AW10" s="1" t="s">
        <x:v>30</x:v>
      </x:c>
      <x:c r="AX10" s="1" t="s">
        <x:v>30</x:v>
      </x:c>
      <x:c r="AY10" s="1" t="s">
        <x:v>30</x:v>
      </x:c>
      <x:c r="AZ10" s="1" t="s">
        <x:v>6776</x:v>
      </x:c>
      <x:c r="BA10" s="1" t="s">
        <x:v>30</x:v>
      </x:c>
      <x:c r="BB10" s="1" t="s">
        <x:v>30</x:v>
      </x:c>
      <x:c r="BC10" s="1" t="s">
        <x:v>30</x:v>
      </x:c>
      <x:c r="BD10" s="1" t="s">
        <x:v>30</x:v>
      </x:c>
      <x:c r="BE10" s="1" t="s">
        <x:v>6766</x:v>
      </x:c>
      <x:c r="BF10" s="1" t="s">
        <x:v>6766</x:v>
      </x:c>
    </x:row>
    <x:row r="11" ht="15" hidden="0" customHeight="1">
      <x:c r="A11" s="1" t="s">
        <x:v>1279</x:v>
      </x:c>
      <x:c r="B11" s="1" t="s">
        <x:v>5497</x:v>
      </x:c>
      <x:c r="C11" s="1" t="s">
        <x:v>5713</x:v>
      </x:c>
      <x:c r="D11" s="1" t="n">
        <x:v>66</x:v>
      </x:c>
      <x:c r="E11" s="1" t="n">
        <x:v>2</x:v>
      </x:c>
      <x:c r="F11" s="1" t="n">
        <x:v>0</x:v>
      </x:c>
      <x:c r="G11" s="1" t="n">
        <x:v>1</x:v>
      </x:c>
      <x:c r="H11" s="1" t="n">
        <x:v>4</x:v>
      </x:c>
      <x:c r="I11" s="1" t="n">
        <x:v>6</x:v>
      </x:c>
      <x:c r="J11" s="1" t="s">
        <x:v>6768</x:v>
      </x:c>
      <x:c r="K11" s="1" t="s">
        <x:v>6775</x:v>
      </x:c>
      <x:c r="L11" s="1" t="s">
        <x:v>30</x:v>
      </x:c>
      <x:c r="M11" s="1" t="s">
        <x:v>30</x:v>
      </x:c>
      <x:c r="N11" s="1" t="s">
        <x:v>30</x:v>
      </x:c>
      <x:c r="O11" s="1" t="s">
        <x:v>6774</x:v>
      </x:c>
      <x:c r="P11" s="1" t="s">
        <x:v>6766</x:v>
      </x:c>
      <x:c r="Q11" s="1" t="s">
        <x:v>6769</x:v>
      </x:c>
      <x:c r="R11" s="1" t="s">
        <x:v>6766</x:v>
      </x:c>
      <x:c r="S11" s="1" t="s">
        <x:v>6768</x:v>
      </x:c>
      <x:c r="T11" s="1" t="s">
        <x:v>32</x:v>
      </x:c>
      <x:c r="U11" s="1" t="s">
        <x:v>6766</x:v>
      </x:c>
      <x:c r="V11" s="1" t="s">
        <x:v>30</x:v>
      </x:c>
      <x:c r="W11" s="1" t="s">
        <x:v>30</x:v>
      </x:c>
      <x:c r="X11" s="1" t="s">
        <x:v>32</x:v>
      </x:c>
      <x:c r="Y11" s="1" t="s">
        <x:v>6768</x:v>
      </x:c>
      <x:c r="Z11" s="1" t="s">
        <x:v>6774</x:v>
      </x:c>
      <x:c r="AA11" s="1" t="s">
        <x:v>6769</x:v>
      </x:c>
      <x:c r="AB11" s="1" t="s">
        <x:v>32</x:v>
      </x:c>
      <x:c r="AC11" s="1" t="s">
        <x:v>6768</x:v>
      </x:c>
      <x:c r="AD11" s="1" t="s">
        <x:v>30</x:v>
      </x:c>
      <x:c r="AE11" s="1" t="s">
        <x:v>6769</x:v>
      </x:c>
      <x:c r="AF11" s="1" t="s">
        <x:v>6766</x:v>
      </x:c>
      <x:c r="AG11" s="1" t="s">
        <x:v>6774</x:v>
      </x:c>
      <x:c r="AH11" s="1" t="s">
        <x:v>6768</x:v>
      </x:c>
      <x:c r="AI11" s="1" t="s">
        <x:v>30</x:v>
      </x:c>
      <x:c r="AJ11" s="1" t="s">
        <x:v>6766</x:v>
      </x:c>
      <x:c r="AK11" s="1" t="s">
        <x:v>6770</x:v>
      </x:c>
      <x:c r="AL11" s="1" t="s">
        <x:v>30</x:v>
      </x:c>
      <x:c r="AM11" s="1" t="s">
        <x:v>30</x:v>
      </x:c>
      <x:c r="AN11" s="1" t="s">
        <x:v>30</x:v>
      </x:c>
      <x:c r="AO11" s="1" t="s">
        <x:v>30</x:v>
      </x:c>
      <x:c r="AP11" s="1" t="s">
        <x:v>30</x:v>
      </x:c>
      <x:c r="AQ11" s="1" t="s">
        <x:v>6707</x:v>
      </x:c>
      <x:c r="AR11" s="1" t="s">
        <x:v>6707</x:v>
      </x:c>
      <x:c r="AS11" s="1" t="s">
        <x:v>6707</x:v>
      </x:c>
      <x:c r="AT11" s="1" t="s">
        <x:v>6707</x:v>
      </x:c>
      <x:c r="AU11" s="1" t="s">
        <x:v>6707</x:v>
      </x:c>
      <x:c r="AV11" s="1" t="s">
        <x:v>6768</x:v>
      </x:c>
      <x:c r="AW11" s="1" t="s">
        <x:v>6766</x:v>
      </x:c>
      <x:c r="AX11" s="1" t="s">
        <x:v>30</x:v>
      </x:c>
      <x:c r="AY11" s="1" t="s">
        <x:v>6770</x:v>
      </x:c>
      <x:c r="AZ11" s="1" t="s">
        <x:v>6768</x:v>
      </x:c>
      <x:c r="BA11" s="1" t="s">
        <x:v>30</x:v>
      </x:c>
      <x:c r="BB11" s="1" t="s">
        <x:v>30</x:v>
      </x:c>
      <x:c r="BC11" s="1" t="s">
        <x:v>6766</x:v>
      </x:c>
      <x:c r="BD11" s="1" t="s">
        <x:v>30</x:v>
      </x:c>
      <x:c r="BE11" s="1" t="s">
        <x:v>6766</x:v>
      </x:c>
      <x:c r="BF11" s="1" t="s">
        <x:v>30</x:v>
      </x:c>
    </x:row>
    <x:row r="12" ht="15" hidden="0" customHeight="1">
      <x:c r="A12" s="1" t="s">
        <x:v>1466</x:v>
      </x:c>
      <x:c r="B12" s="1" t="s">
        <x:v>5481</x:v>
      </x:c>
      <x:c r="C12" s="1" t="s">
        <x:v>5670</x:v>
      </x:c>
      <x:c r="D12" s="1" t="n">
        <x:v>39</x:v>
      </x:c>
      <x:c r="E12" s="1" t="n">
        <x:v>3</x:v>
      </x:c>
      <x:c r="F12" s="1" t="n">
        <x:v>0</x:v>
      </x:c>
      <x:c r="G12" s="1" t="n">
        <x:v>1</x:v>
      </x:c>
      <x:c r="H12" s="1" t="n">
        <x:v>0</x:v>
      </x:c>
      <x:c r="I12" s="1" t="n">
        <x:v>22</x:v>
      </x:c>
      <x:c r="J12" s="1" t="s">
        <x:v>6768</x:v>
      </x:c>
      <x:c r="K12" s="1" t="s">
        <x:v>6777</x:v>
      </x:c>
      <x:c r="L12" s="1" t="s">
        <x:v>30</x:v>
      </x:c>
      <x:c r="M12" s="1" t="s">
        <x:v>30</x:v>
      </x:c>
      <x:c r="N12" s="1" t="s">
        <x:v>30</x:v>
      </x:c>
      <x:c r="O12" s="1" t="s">
        <x:v>6770</x:v>
      </x:c>
      <x:c r="P12" s="1" t="s">
        <x:v>30</x:v>
      </x:c>
      <x:c r="Q12" s="1" t="s">
        <x:v>30</x:v>
      </x:c>
      <x:c r="R12" s="1" t="s">
        <x:v>30</x:v>
      </x:c>
      <x:c r="S12" s="1" t="s">
        <x:v>30</x:v>
      </x:c>
      <x:c r="T12" s="1" t="s">
        <x:v>30</x:v>
      </x:c>
      <x:c r="U12" s="1" t="s">
        <x:v>30</x:v>
      </x:c>
      <x:c r="V12" s="1" t="s">
        <x:v>30</x:v>
      </x:c>
      <x:c r="W12" s="1" t="s">
        <x:v>30</x:v>
      </x:c>
      <x:c r="X12" s="1" t="s">
        <x:v>30</x:v>
      </x:c>
      <x:c r="Y12" s="1" t="s">
        <x:v>30</x:v>
      </x:c>
      <x:c r="Z12" s="1" t="s">
        <x:v>30</x:v>
      </x:c>
      <x:c r="AA12" s="1" t="s">
        <x:v>30</x:v>
      </x:c>
      <x:c r="AB12" s="1" t="s">
        <x:v>30</x:v>
      </x:c>
      <x:c r="AC12" s="1" t="s">
        <x:v>30</x:v>
      </x:c>
      <x:c r="AD12" s="1" t="s">
        <x:v>30</x:v>
      </x:c>
      <x:c r="AE12" s="1" t="s">
        <x:v>30</x:v>
      </x:c>
      <x:c r="AF12" s="1" t="s">
        <x:v>30</x:v>
      </x:c>
      <x:c r="AG12" s="1" t="s">
        <x:v>30</x:v>
      </x:c>
      <x:c r="AH12" s="1" t="s">
        <x:v>6766</x:v>
      </x:c>
      <x:c r="AI12" s="1" t="s">
        <x:v>6766</x:v>
      </x:c>
      <x:c r="AJ12" s="1" t="s">
        <x:v>30</x:v>
      </x:c>
      <x:c r="AK12" s="1" t="s">
        <x:v>30</x:v>
      </x:c>
      <x:c r="AL12" s="1" t="s">
        <x:v>30</x:v>
      </x:c>
      <x:c r="AM12" s="1" t="s">
        <x:v>30</x:v>
      </x:c>
      <x:c r="AN12" s="1" t="s">
        <x:v>6766</x:v>
      </x:c>
      <x:c r="AO12" s="1" t="s">
        <x:v>6768</x:v>
      </x:c>
      <x:c r="AP12" s="1" t="s">
        <x:v>30</x:v>
      </x:c>
      <x:c r="AQ12" s="1" t="s">
        <x:v>30</x:v>
      </x:c>
      <x:c r="AR12" s="1" t="s">
        <x:v>30</x:v>
      </x:c>
      <x:c r="AS12" s="1" t="s">
        <x:v>30</x:v>
      </x:c>
      <x:c r="AT12" s="1" t="s">
        <x:v>30</x:v>
      </x:c>
      <x:c r="AU12" s="1" t="s">
        <x:v>30</x:v>
      </x:c>
      <x:c r="AV12" s="1" t="s">
        <x:v>6770</x:v>
      </x:c>
      <x:c r="AW12" s="1" t="s">
        <x:v>6766</x:v>
      </x:c>
      <x:c r="AX12" s="1" t="s">
        <x:v>30</x:v>
      </x:c>
      <x:c r="AY12" s="1" t="s">
        <x:v>6768</x:v>
      </x:c>
      <x:c r="AZ12" s="1" t="s">
        <x:v>6770</x:v>
      </x:c>
      <x:c r="BA12" s="1" t="s">
        <x:v>30</x:v>
      </x:c>
      <x:c r="BB12" s="1" t="s">
        <x:v>30</x:v>
      </x:c>
      <x:c r="BC12" s="1" t="s">
        <x:v>6769</x:v>
      </x:c>
      <x:c r="BD12" s="1" t="s">
        <x:v>30</x:v>
      </x:c>
      <x:c r="BE12" s="1" t="s">
        <x:v>6766</x:v>
      </x:c>
      <x:c r="BF12" s="1" t="s">
        <x:v>30</x:v>
      </x:c>
    </x:row>
    <x:row r="13" ht="15" hidden="0" customHeight="1">
      <x:c r="A13" s="1" t="s">
        <x:v>5501</x:v>
      </x:c>
      <x:c r="B13" s="1" t="s">
        <x:v>5503</x:v>
      </x:c>
      <x:c r="C13" s="1" t="s">
        <x:v>5670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s">
        <x:v>30</x:v>
      </x:c>
      <x:c r="K13" s="1" t="s">
        <x:v>30</x:v>
      </x:c>
      <x:c r="L13" s="1" t="s">
        <x:v>30</x:v>
      </x:c>
      <x:c r="M13" s="1" t="s">
        <x:v>30</x:v>
      </x:c>
      <x:c r="N13" s="1" t="s">
        <x:v>30</x:v>
      </x:c>
      <x:c r="O13" s="1" t="s">
        <x:v>30</x:v>
      </x:c>
      <x:c r="P13" s="1" t="s">
        <x:v>30</x:v>
      </x:c>
      <x:c r="Q13" s="1" t="s">
        <x:v>30</x:v>
      </x:c>
      <x:c r="R13" s="1" t="s">
        <x:v>30</x:v>
      </x:c>
      <x:c r="S13" s="1" t="s">
        <x:v>30</x:v>
      </x:c>
      <x:c r="T13" s="1" t="s">
        <x:v>30</x:v>
      </x:c>
      <x:c r="U13" s="1" t="s">
        <x:v>30</x:v>
      </x:c>
      <x:c r="V13" s="1" t="s">
        <x:v>30</x:v>
      </x:c>
      <x:c r="W13" s="1" t="s">
        <x:v>30</x:v>
      </x:c>
      <x:c r="X13" s="1" t="s">
        <x:v>30</x:v>
      </x:c>
      <x:c r="Y13" s="1" t="s">
        <x:v>30</x:v>
      </x:c>
      <x:c r="Z13" s="1" t="s">
        <x:v>30</x:v>
      </x:c>
      <x:c r="AA13" s="1" t="s">
        <x:v>30</x:v>
      </x:c>
      <x:c r="AB13" s="1" t="s">
        <x:v>30</x:v>
      </x:c>
      <x:c r="AC13" s="1" t="s">
        <x:v>30</x:v>
      </x:c>
      <x:c r="AD13" s="1" t="s">
        <x:v>30</x:v>
      </x:c>
      <x:c r="AE13" s="1" t="s">
        <x:v>30</x:v>
      </x:c>
      <x:c r="AF13" s="1" t="s">
        <x:v>30</x:v>
      </x:c>
      <x:c r="AG13" s="1" t="s">
        <x:v>30</x:v>
      </x:c>
      <x:c r="AH13" s="1" t="s">
        <x:v>30</x:v>
      </x:c>
      <x:c r="AI13" s="1" t="s">
        <x:v>30</x:v>
      </x:c>
      <x:c r="AJ13" s="1" t="s">
        <x:v>30</x:v>
      </x:c>
      <x:c r="AK13" s="1" t="s">
        <x:v>30</x:v>
      </x:c>
      <x:c r="AL13" s="1" t="s">
        <x:v>30</x:v>
      </x:c>
      <x:c r="AM13" s="1" t="s">
        <x:v>30</x:v>
      </x:c>
      <x:c r="AN13" s="1" t="s">
        <x:v>30</x:v>
      </x:c>
      <x:c r="AO13" s="1" t="s">
        <x:v>30</x:v>
      </x:c>
      <x:c r="AP13" s="1" t="s">
        <x:v>30</x:v>
      </x:c>
      <x:c r="AQ13" s="1" t="s">
        <x:v>30</x:v>
      </x:c>
      <x:c r="AR13" s="1" t="s">
        <x:v>30</x:v>
      </x:c>
      <x:c r="AS13" s="1" t="s">
        <x:v>30</x:v>
      </x:c>
      <x:c r="AT13" s="1" t="s">
        <x:v>30</x:v>
      </x:c>
      <x:c r="AU13" s="1" t="s">
        <x:v>30</x:v>
      </x:c>
      <x:c r="AV13" s="1" t="s">
        <x:v>30</x:v>
      </x:c>
      <x:c r="AW13" s="1" t="s">
        <x:v>30</x:v>
      </x:c>
      <x:c r="AX13" s="1" t="s">
        <x:v>30</x:v>
      </x:c>
      <x:c r="AY13" s="1" t="s">
        <x:v>30</x:v>
      </x:c>
      <x:c r="AZ13" s="1" t="s">
        <x:v>30</x:v>
      </x:c>
      <x:c r="BA13" s="1" t="s">
        <x:v>30</x:v>
      </x:c>
      <x:c r="BB13" s="1" t="s">
        <x:v>30</x:v>
      </x:c>
      <x:c r="BC13" s="1" t="s">
        <x:v>30</x:v>
      </x:c>
      <x:c r="BD13" s="1" t="s">
        <x:v>30</x:v>
      </x:c>
      <x:c r="BE13" s="1" t="s">
        <x:v>30</x:v>
      </x:c>
      <x:c r="BF13" s="1" t="s">
        <x:v>30</x:v>
      </x:c>
    </x:row>
    <x:row r="14" ht="15" hidden="0" customHeight="1">
      <x:c r="A14" s="1" t="s">
        <x:v>4629</x:v>
      </x:c>
      <x:c r="B14" s="1" t="s">
        <x:v>5503</x:v>
      </x:c>
      <x:c r="C14" s="1" t="s">
        <x:v>5670</x:v>
      </x:c>
      <x:c r="D14" s="1" t="n">
        <x:v>19</x:v>
      </x:c>
      <x:c r="E14" s="1" t="n">
        <x:v>1</x:v>
      </x:c>
      <x:c r="F14" s="1" t="n">
        <x:v>0</x:v>
      </x:c>
      <x:c r="G14" s="1" t="n">
        <x:v>2</x:v>
      </x:c>
      <x:c r="H14" s="1" t="n">
        <x:v>0</x:v>
      </x:c>
      <x:c r="I14" s="1" t="n">
        <x:v>2</x:v>
      </x:c>
      <x:c r="J14" s="1" t="s">
        <x:v>6769</x:v>
      </x:c>
      <x:c r="K14" s="1" t="s">
        <x:v>6769</x:v>
      </x:c>
      <x:c r="L14" s="1" t="s">
        <x:v>6768</x:v>
      </x:c>
      <x:c r="M14" s="1" t="s">
        <x:v>6766</x:v>
      </x:c>
      <x:c r="N14" s="1" t="s">
        <x:v>6768</x:v>
      </x:c>
      <x:c r="O14" s="1" t="s">
        <x:v>6768</x:v>
      </x:c>
      <x:c r="P14" s="1" t="s">
        <x:v>30</x:v>
      </x:c>
      <x:c r="Q14" s="1" t="s">
        <x:v>30</x:v>
      </x:c>
      <x:c r="R14" s="1" t="s">
        <x:v>30</x:v>
      </x:c>
      <x:c r="S14" s="1" t="s">
        <x:v>30</x:v>
      </x:c>
      <x:c r="T14" s="1" t="s">
        <x:v>30</x:v>
      </x:c>
      <x:c r="U14" s="1" t="s">
        <x:v>6766</x:v>
      </x:c>
      <x:c r="V14" s="1" t="s">
        <x:v>6766</x:v>
      </x:c>
      <x:c r="W14" s="1" t="s">
        <x:v>30</x:v>
      </x:c>
      <x:c r="X14" s="1" t="s">
        <x:v>30</x:v>
      </x:c>
      <x:c r="Y14" s="1" t="s">
        <x:v>30</x:v>
      </x:c>
      <x:c r="Z14" s="1" t="s">
        <x:v>30</x:v>
      </x:c>
      <x:c r="AA14" s="1" t="s">
        <x:v>30</x:v>
      </x:c>
      <x:c r="AB14" s="1" t="s">
        <x:v>30</x:v>
      </x:c>
      <x:c r="AC14" s="1" t="s">
        <x:v>30</x:v>
      </x:c>
      <x:c r="AD14" s="1" t="s">
        <x:v>30</x:v>
      </x:c>
      <x:c r="AE14" s="1" t="s">
        <x:v>30</x:v>
      </x:c>
      <x:c r="AF14" s="1" t="s">
        <x:v>30</x:v>
      </x:c>
      <x:c r="AG14" s="1" t="s">
        <x:v>30</x:v>
      </x:c>
      <x:c r="AH14" s="1" t="s">
        <x:v>30</x:v>
      </x:c>
      <x:c r="AI14" s="1" t="s">
        <x:v>30</x:v>
      </x:c>
      <x:c r="AJ14" s="1" t="s">
        <x:v>30</x:v>
      </x:c>
      <x:c r="AK14" s="1" t="s">
        <x:v>30</x:v>
      </x:c>
      <x:c r="AL14" s="1" t="s">
        <x:v>30</x:v>
      </x:c>
      <x:c r="AM14" s="1" t="s">
        <x:v>30</x:v>
      </x:c>
      <x:c r="AN14" s="1" t="s">
        <x:v>30</x:v>
      </x:c>
      <x:c r="AO14" s="1" t="s">
        <x:v>30</x:v>
      </x:c>
      <x:c r="AP14" s="1" t="s">
        <x:v>30</x:v>
      </x:c>
      <x:c r="AQ14" s="1" t="s">
        <x:v>30</x:v>
      </x:c>
      <x:c r="AR14" s="1" t="s">
        <x:v>30</x:v>
      </x:c>
      <x:c r="AS14" s="1" t="s">
        <x:v>30</x:v>
      </x:c>
      <x:c r="AT14" s="1" t="s">
        <x:v>30</x:v>
      </x:c>
      <x:c r="AU14" s="1" t="s">
        <x:v>30</x:v>
      </x:c>
      <x:c r="AV14" s="1" t="s">
        <x:v>6766</x:v>
      </x:c>
      <x:c r="AW14" s="1" t="s">
        <x:v>6766</x:v>
      </x:c>
      <x:c r="AX14" s="1" t="s">
        <x:v>30</x:v>
      </x:c>
      <x:c r="AY14" s="1" t="s">
        <x:v>6770</x:v>
      </x:c>
      <x:c r="AZ14" s="1" t="s">
        <x:v>6766</x:v>
      </x:c>
      <x:c r="BA14" s="1" t="s">
        <x:v>30</x:v>
      </x:c>
      <x:c r="BB14" s="1" t="s">
        <x:v>30</x:v>
      </x:c>
      <x:c r="BC14" s="1" t="s">
        <x:v>30</x:v>
      </x:c>
      <x:c r="BD14" s="1" t="s">
        <x:v>30</x:v>
      </x:c>
      <x:c r="BE14" s="1" t="s">
        <x:v>30</x:v>
      </x:c>
      <x:c r="BF14" s="1" t="s">
        <x:v>30</x:v>
      </x:c>
    </x:row>
    <x:row r="15" ht="15" hidden="0" customHeight="1">
      <x:c r="A15" s="1" t="s">
        <x:v>3426</x:v>
      </x:c>
      <x:c r="B15" s="1" t="s">
        <x:v>5493</x:v>
      </x:c>
      <x:c r="C15" s="1" t="s">
        <x:v>5701</x:v>
      </x:c>
      <x:c r="D15" s="1" t="n">
        <x:v>0</x:v>
      </x:c>
      <x:c r="E15" s="1" t="n">
        <x:v>4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s">
        <x:v>30</x:v>
      </x:c>
      <x:c r="K15" s="1" t="s">
        <x:v>30</x:v>
      </x:c>
      <x:c r="L15" s="1" t="s">
        <x:v>30</x:v>
      </x:c>
      <x:c r="M15" s="1" t="s">
        <x:v>30</x:v>
      </x:c>
      <x:c r="N15" s="1" t="s">
        <x:v>30</x:v>
      </x:c>
      <x:c r="O15" s="1" t="s">
        <x:v>30</x:v>
      </x:c>
      <x:c r="P15" s="1" t="s">
        <x:v>30</x:v>
      </x:c>
      <x:c r="Q15" s="1" t="s">
        <x:v>30</x:v>
      </x:c>
      <x:c r="R15" s="1" t="s">
        <x:v>30</x:v>
      </x:c>
      <x:c r="S15" s="1" t="s">
        <x:v>30</x:v>
      </x:c>
      <x:c r="T15" s="1" t="s">
        <x:v>30</x:v>
      </x:c>
      <x:c r="U15" s="1" t="s">
        <x:v>30</x:v>
      </x:c>
      <x:c r="V15" s="1" t="s">
        <x:v>30</x:v>
      </x:c>
      <x:c r="W15" s="1" t="s">
        <x:v>30</x:v>
      </x:c>
      <x:c r="X15" s="1" t="s">
        <x:v>30</x:v>
      </x:c>
      <x:c r="Y15" s="1" t="s">
        <x:v>30</x:v>
      </x:c>
      <x:c r="Z15" s="1" t="s">
        <x:v>30</x:v>
      </x:c>
      <x:c r="AA15" s="1" t="s">
        <x:v>30</x:v>
      </x:c>
      <x:c r="AB15" s="1" t="s">
        <x:v>30</x:v>
      </x:c>
      <x:c r="AC15" s="1" t="s">
        <x:v>30</x:v>
      </x:c>
      <x:c r="AD15" s="1" t="s">
        <x:v>30</x:v>
      </x:c>
      <x:c r="AE15" s="1" t="s">
        <x:v>30</x:v>
      </x:c>
      <x:c r="AF15" s="1" t="s">
        <x:v>30</x:v>
      </x:c>
      <x:c r="AG15" s="1" t="s">
        <x:v>30</x:v>
      </x:c>
      <x:c r="AH15" s="1" t="s">
        <x:v>30</x:v>
      </x:c>
      <x:c r="AI15" s="1" t="s">
        <x:v>30</x:v>
      </x:c>
      <x:c r="AJ15" s="1" t="s">
        <x:v>30</x:v>
      </x:c>
      <x:c r="AK15" s="1" t="s">
        <x:v>30</x:v>
      </x:c>
      <x:c r="AL15" s="1" t="s">
        <x:v>30</x:v>
      </x:c>
      <x:c r="AM15" s="1" t="s">
        <x:v>30</x:v>
      </x:c>
      <x:c r="AN15" s="1" t="s">
        <x:v>30</x:v>
      </x:c>
      <x:c r="AO15" s="1" t="s">
        <x:v>30</x:v>
      </x:c>
      <x:c r="AP15" s="1" t="s">
        <x:v>30</x:v>
      </x:c>
      <x:c r="AQ15" s="1" t="s">
        <x:v>30</x:v>
      </x:c>
      <x:c r="AR15" s="1" t="s">
        <x:v>30</x:v>
      </x:c>
      <x:c r="AS15" s="1" t="s">
        <x:v>30</x:v>
      </x:c>
      <x:c r="AT15" s="1" t="s">
        <x:v>30</x:v>
      </x:c>
      <x:c r="AU15" s="1" t="s">
        <x:v>30</x:v>
      </x:c>
      <x:c r="AV15" s="1" t="s">
        <x:v>30</x:v>
      </x:c>
      <x:c r="AW15" s="1" t="s">
        <x:v>30</x:v>
      </x:c>
      <x:c r="AX15" s="1" t="s">
        <x:v>30</x:v>
      </x:c>
      <x:c r="AY15" s="1" t="s">
        <x:v>30</x:v>
      </x:c>
      <x:c r="AZ15" s="1" t="s">
        <x:v>6770</x:v>
      </x:c>
      <x:c r="BA15" s="1" t="s">
        <x:v>30</x:v>
      </x:c>
      <x:c r="BB15" s="1" t="s">
        <x:v>30</x:v>
      </x:c>
      <x:c r="BC15" s="1" t="s">
        <x:v>30</x:v>
      </x:c>
      <x:c r="BD15" s="1" t="s">
        <x:v>30</x:v>
      </x:c>
      <x:c r="BE15" s="1" t="s">
        <x:v>30</x:v>
      </x:c>
      <x:c r="BF15" s="1" t="s">
        <x:v>30</x:v>
      </x:c>
    </x:row>
    <x:row r="16" ht="15" hidden="0" customHeight="1">
      <x:c r="A16" s="1" t="s">
        <x:v>5101</x:v>
      </x:c>
      <x:c r="B16" s="1" t="s">
        <x:v>5493</x:v>
      </x:c>
      <x:c r="C16" s="1" t="s">
        <x:v>5701</x:v>
      </x:c>
      <x:c r="D16" s="1" t="n">
        <x:v>2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s">
        <x:v>6768</x:v>
      </x:c>
      <x:c r="K16" s="1" t="s">
        <x:v>30</x:v>
      </x:c>
      <x:c r="L16" s="1" t="s">
        <x:v>30</x:v>
      </x:c>
      <x:c r="M16" s="1" t="s">
        <x:v>30</x:v>
      </x:c>
      <x:c r="N16" s="1" t="s">
        <x:v>30</x:v>
      </x:c>
      <x:c r="O16" s="1" t="s">
        <x:v>30</x:v>
      </x:c>
      <x:c r="P16" s="1" t="s">
        <x:v>30</x:v>
      </x:c>
      <x:c r="Q16" s="1" t="s">
        <x:v>30</x:v>
      </x:c>
      <x:c r="R16" s="1" t="s">
        <x:v>30</x:v>
      </x:c>
      <x:c r="S16" s="1" t="s">
        <x:v>30</x:v>
      </x:c>
      <x:c r="T16" s="1" t="s">
        <x:v>30</x:v>
      </x:c>
      <x:c r="U16" s="1" t="s">
        <x:v>30</x:v>
      </x:c>
      <x:c r="V16" s="1" t="s">
        <x:v>30</x:v>
      </x:c>
      <x:c r="W16" s="1" t="s">
        <x:v>30</x:v>
      </x:c>
      <x:c r="X16" s="1" t="s">
        <x:v>30</x:v>
      </x:c>
      <x:c r="Y16" s="1" t="s">
        <x:v>30</x:v>
      </x:c>
      <x:c r="Z16" s="1" t="s">
        <x:v>30</x:v>
      </x:c>
      <x:c r="AA16" s="1" t="s">
        <x:v>30</x:v>
      </x:c>
      <x:c r="AB16" s="1" t="s">
        <x:v>30</x:v>
      </x:c>
      <x:c r="AC16" s="1" t="s">
        <x:v>30</x:v>
      </x:c>
      <x:c r="AD16" s="1" t="s">
        <x:v>30</x:v>
      </x:c>
      <x:c r="AE16" s="1" t="s">
        <x:v>30</x:v>
      </x:c>
      <x:c r="AF16" s="1" t="s">
        <x:v>30</x:v>
      </x:c>
      <x:c r="AG16" s="1" t="s">
        <x:v>30</x:v>
      </x:c>
      <x:c r="AH16" s="1" t="s">
        <x:v>30</x:v>
      </x:c>
      <x:c r="AI16" s="1" t="s">
        <x:v>30</x:v>
      </x:c>
      <x:c r="AJ16" s="1" t="s">
        <x:v>30</x:v>
      </x:c>
      <x:c r="AK16" s="1" t="s">
        <x:v>30</x:v>
      </x:c>
      <x:c r="AL16" s="1" t="s">
        <x:v>30</x:v>
      </x:c>
      <x:c r="AM16" s="1" t="s">
        <x:v>30</x:v>
      </x:c>
      <x:c r="AN16" s="1" t="s">
        <x:v>30</x:v>
      </x:c>
      <x:c r="AO16" s="1" t="s">
        <x:v>30</x:v>
      </x:c>
      <x:c r="AP16" s="1" t="s">
        <x:v>30</x:v>
      </x:c>
      <x:c r="AQ16" s="1" t="s">
        <x:v>30</x:v>
      </x:c>
      <x:c r="AR16" s="1" t="s">
        <x:v>30</x:v>
      </x:c>
      <x:c r="AS16" s="1" t="s">
        <x:v>30</x:v>
      </x:c>
      <x:c r="AT16" s="1" t="s">
        <x:v>30</x:v>
      </x:c>
      <x:c r="AU16" s="1" t="s">
        <x:v>30</x:v>
      </x:c>
      <x:c r="AV16" s="1" t="s">
        <x:v>30</x:v>
      </x:c>
      <x:c r="AW16" s="1" t="s">
        <x:v>30</x:v>
      </x:c>
      <x:c r="AX16" s="1" t="s">
        <x:v>30</x:v>
      </x:c>
      <x:c r="AY16" s="1" t="s">
        <x:v>30</x:v>
      </x:c>
      <x:c r="AZ16" s="1" t="s">
        <x:v>30</x:v>
      </x:c>
      <x:c r="BA16" s="1" t="s">
        <x:v>30</x:v>
      </x:c>
      <x:c r="BB16" s="1" t="s">
        <x:v>30</x:v>
      </x:c>
      <x:c r="BC16" s="1" t="s">
        <x:v>30</x:v>
      </x:c>
      <x:c r="BD16" s="1" t="s">
        <x:v>30</x:v>
      </x:c>
      <x:c r="BE16" s="1" t="s">
        <x:v>30</x:v>
      </x:c>
      <x:c r="BF16" s="1" t="s">
        <x:v>30</x:v>
      </x:c>
    </x:row>
    <x:row r="17" ht="15" hidden="0" customHeight="1">
      <x:c r="A17" s="1" t="s">
        <x:v>1703</x:v>
      </x:c>
      <x:c r="B17" s="1" t="s">
        <x:v>5493</x:v>
      </x:c>
      <x:c r="C17" s="1" t="s">
        <x:v>5701</x:v>
      </x:c>
      <x:c r="D17" s="1" t="n">
        <x:v>4</x:v>
      </x:c>
      <x:c r="E17" s="1" t="n">
        <x:v>2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s">
        <x:v>6766</x:v>
      </x:c>
      <x:c r="K17" s="1" t="s">
        <x:v>30</x:v>
      </x:c>
      <x:c r="L17" s="1" t="s">
        <x:v>30</x:v>
      </x:c>
      <x:c r="M17" s="1" t="s">
        <x:v>30</x:v>
      </x:c>
      <x:c r="N17" s="1" t="s">
        <x:v>30</x:v>
      </x:c>
      <x:c r="O17" s="1" t="s">
        <x:v>30</x:v>
      </x:c>
      <x:c r="P17" s="1" t="s">
        <x:v>30</x:v>
      </x:c>
      <x:c r="Q17" s="1" t="s">
        <x:v>30</x:v>
      </x:c>
      <x:c r="R17" s="1" t="s">
        <x:v>30</x:v>
      </x:c>
      <x:c r="S17" s="1" t="s">
        <x:v>30</x:v>
      </x:c>
      <x:c r="T17" s="1" t="s">
        <x:v>30</x:v>
      </x:c>
      <x:c r="U17" s="1" t="s">
        <x:v>30</x:v>
      </x:c>
      <x:c r="V17" s="1" t="s">
        <x:v>30</x:v>
      </x:c>
      <x:c r="W17" s="1" t="s">
        <x:v>30</x:v>
      </x:c>
      <x:c r="X17" s="1" t="s">
        <x:v>30</x:v>
      </x:c>
      <x:c r="Y17" s="1" t="s">
        <x:v>30</x:v>
      </x:c>
      <x:c r="Z17" s="1" t="s">
        <x:v>30</x:v>
      </x:c>
      <x:c r="AA17" s="1" t="s">
        <x:v>30</x:v>
      </x:c>
      <x:c r="AB17" s="1" t="s">
        <x:v>30</x:v>
      </x:c>
      <x:c r="AC17" s="1" t="s">
        <x:v>30</x:v>
      </x:c>
      <x:c r="AD17" s="1" t="s">
        <x:v>30</x:v>
      </x:c>
      <x:c r="AE17" s="1" t="s">
        <x:v>30</x:v>
      </x:c>
      <x:c r="AF17" s="1" t="s">
        <x:v>30</x:v>
      </x:c>
      <x:c r="AG17" s="1" t="s">
        <x:v>30</x:v>
      </x:c>
      <x:c r="AH17" s="1" t="s">
        <x:v>30</x:v>
      </x:c>
      <x:c r="AI17" s="1" t="s">
        <x:v>30</x:v>
      </x:c>
      <x:c r="AJ17" s="1" t="s">
        <x:v>30</x:v>
      </x:c>
      <x:c r="AK17" s="1" t="s">
        <x:v>30</x:v>
      </x:c>
      <x:c r="AL17" s="1" t="s">
        <x:v>30</x:v>
      </x:c>
      <x:c r="AM17" s="1" t="s">
        <x:v>30</x:v>
      </x:c>
      <x:c r="AN17" s="1" t="s">
        <x:v>30</x:v>
      </x:c>
      <x:c r="AO17" s="1" t="s">
        <x:v>30</x:v>
      </x:c>
      <x:c r="AP17" s="1" t="s">
        <x:v>30</x:v>
      </x:c>
      <x:c r="AQ17" s="1" t="s">
        <x:v>30</x:v>
      </x:c>
      <x:c r="AR17" s="1" t="s">
        <x:v>30</x:v>
      </x:c>
      <x:c r="AS17" s="1" t="s">
        <x:v>30</x:v>
      </x:c>
      <x:c r="AT17" s="1" t="s">
        <x:v>30</x:v>
      </x:c>
      <x:c r="AU17" s="1" t="s">
        <x:v>30</x:v>
      </x:c>
      <x:c r="AV17" s="1" t="s">
        <x:v>30</x:v>
      </x:c>
      <x:c r="AW17" s="1" t="s">
        <x:v>30</x:v>
      </x:c>
      <x:c r="AX17" s="1" t="s">
        <x:v>30</x:v>
      </x:c>
      <x:c r="AY17" s="1" t="s">
        <x:v>30</x:v>
      </x:c>
      <x:c r="AZ17" s="1" t="s">
        <x:v>6768</x:v>
      </x:c>
      <x:c r="BA17" s="1" t="s">
        <x:v>6769</x:v>
      </x:c>
      <x:c r="BB17" s="1" t="s">
        <x:v>30</x:v>
      </x:c>
      <x:c r="BC17" s="1" t="s">
        <x:v>30</x:v>
      </x:c>
      <x:c r="BD17" s="1" t="s">
        <x:v>30</x:v>
      </x:c>
      <x:c r="BE17" s="1" t="s">
        <x:v>30</x:v>
      </x:c>
      <x:c r="BF17" s="1" t="s">
        <x:v>30</x:v>
      </x:c>
    </x:row>
    <x:row r="18" ht="15" hidden="0" customHeight="1">
      <x:c r="A18" s="1" t="s">
        <x:v>4916</x:v>
      </x:c>
      <x:c r="B18" s="1" t="s">
        <x:v>5493</x:v>
      </x:c>
      <x:c r="C18" s="1" t="s">
        <x:v>5701</x:v>
      </x:c>
      <x:c r="D18" s="1" t="n">
        <x:v>4</x:v>
      </x:c>
      <x:c r="E18" s="1" t="n">
        <x:v>1</x:v>
      </x:c>
      <x:c r="F18" s="1" t="n">
        <x:v>1</x:v>
      </x:c>
      <x:c r="G18" s="1" t="n">
        <x:v>3</x:v>
      </x:c>
      <x:c r="H18" s="1" t="n">
        <x:v>0</x:v>
      </x:c>
      <x:c r="I18" s="1" t="n">
        <x:v>0</x:v>
      </x:c>
      <x:c r="J18" s="1" t="s">
        <x:v>6774</x:v>
      </x:c>
      <x:c r="K18" s="1" t="s">
        <x:v>30</x:v>
      </x:c>
      <x:c r="L18" s="1" t="s">
        <x:v>30</x:v>
      </x:c>
      <x:c r="M18" s="1" t="s">
        <x:v>30</x:v>
      </x:c>
      <x:c r="N18" s="1" t="s">
        <x:v>30</x:v>
      </x:c>
      <x:c r="O18" s="1" t="s">
        <x:v>30</x:v>
      </x:c>
      <x:c r="P18" s="1" t="s">
        <x:v>30</x:v>
      </x:c>
      <x:c r="Q18" s="1" t="s">
        <x:v>30</x:v>
      </x:c>
      <x:c r="R18" s="1" t="s">
        <x:v>30</x:v>
      </x:c>
      <x:c r="S18" s="1" t="s">
        <x:v>30</x:v>
      </x:c>
      <x:c r="T18" s="1" t="s">
        <x:v>30</x:v>
      </x:c>
      <x:c r="U18" s="1" t="s">
        <x:v>30</x:v>
      </x:c>
      <x:c r="V18" s="1" t="s">
        <x:v>30</x:v>
      </x:c>
      <x:c r="W18" s="1" t="s">
        <x:v>30</x:v>
      </x:c>
      <x:c r="X18" s="1" t="s">
        <x:v>30</x:v>
      </x:c>
      <x:c r="Y18" s="1" t="s">
        <x:v>30</x:v>
      </x:c>
      <x:c r="Z18" s="1" t="s">
        <x:v>30</x:v>
      </x:c>
      <x:c r="AA18" s="1" t="s">
        <x:v>30</x:v>
      </x:c>
      <x:c r="AB18" s="1" t="s">
        <x:v>30</x:v>
      </x:c>
      <x:c r="AC18" s="1" t="s">
        <x:v>30</x:v>
      </x:c>
      <x:c r="AD18" s="1" t="s">
        <x:v>30</x:v>
      </x:c>
      <x:c r="AE18" s="1" t="s">
        <x:v>30</x:v>
      </x:c>
      <x:c r="AF18" s="1" t="s">
        <x:v>30</x:v>
      </x:c>
      <x:c r="AG18" s="1" t="s">
        <x:v>30</x:v>
      </x:c>
      <x:c r="AH18" s="1" t="s">
        <x:v>30</x:v>
      </x:c>
      <x:c r="AI18" s="1" t="s">
        <x:v>30</x:v>
      </x:c>
      <x:c r="AJ18" s="1" t="s">
        <x:v>30</x:v>
      </x:c>
      <x:c r="AK18" s="1" t="s">
        <x:v>30</x:v>
      </x:c>
      <x:c r="AL18" s="1" t="s">
        <x:v>30</x:v>
      </x:c>
      <x:c r="AM18" s="1" t="s">
        <x:v>30</x:v>
      </x:c>
      <x:c r="AN18" s="1" t="s">
        <x:v>30</x:v>
      </x:c>
      <x:c r="AO18" s="1" t="s">
        <x:v>30</x:v>
      </x:c>
      <x:c r="AP18" s="1" t="s">
        <x:v>30</x:v>
      </x:c>
      <x:c r="AQ18" s="1" t="s">
        <x:v>6711</x:v>
      </x:c>
      <x:c r="AR18" s="1" t="s">
        <x:v>6711</x:v>
      </x:c>
      <x:c r="AS18" s="1" t="s">
        <x:v>6711</x:v>
      </x:c>
      <x:c r="AT18" s="1" t="s">
        <x:v>6711</x:v>
      </x:c>
      <x:c r="AU18" s="1" t="s">
        <x:v>6711</x:v>
      </x:c>
      <x:c r="AV18" s="1" t="s">
        <x:v>30</x:v>
      </x:c>
      <x:c r="AW18" s="1" t="s">
        <x:v>30</x:v>
      </x:c>
      <x:c r="AX18" s="1" t="s">
        <x:v>30</x:v>
      </x:c>
      <x:c r="AY18" s="1" t="s">
        <x:v>30</x:v>
      </x:c>
      <x:c r="AZ18" s="1" t="s">
        <x:v>30</x:v>
      </x:c>
      <x:c r="BA18" s="1" t="s">
        <x:v>6766</x:v>
      </x:c>
      <x:c r="BB18" s="1" t="s">
        <x:v>30</x:v>
      </x:c>
      <x:c r="BC18" s="1" t="s">
        <x:v>30</x:v>
      </x:c>
      <x:c r="BD18" s="1" t="s">
        <x:v>30</x:v>
      </x:c>
      <x:c r="BE18" s="1" t="s">
        <x:v>6766</x:v>
      </x:c>
      <x:c r="BF18" s="1" t="s">
        <x:v>6766</x:v>
      </x:c>
    </x:row>
    <x:row r="19" ht="15" hidden="0" customHeight="1">
      <x:c r="A19" s="1" t="s">
        <x:v>1730</x:v>
      </x:c>
      <x:c r="B19" s="1" t="s">
        <x:v>5493</x:v>
      </x:c>
      <x:c r="C19" s="1" t="s">
        <x:v>5742</x:v>
      </x:c>
      <x:c r="D19" s="1" t="n">
        <x:v>6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s">
        <x:v>6770</x:v>
      </x:c>
      <x:c r="K19" s="1" t="s">
        <x:v>30</x:v>
      </x:c>
      <x:c r="L19" s="1" t="s">
        <x:v>30</x:v>
      </x:c>
      <x:c r="M19" s="1" t="s">
        <x:v>30</x:v>
      </x:c>
      <x:c r="N19" s="1" t="s">
        <x:v>30</x:v>
      </x:c>
      <x:c r="O19" s="1" t="s">
        <x:v>30</x:v>
      </x:c>
      <x:c r="P19" s="1" t="s">
        <x:v>30</x:v>
      </x:c>
      <x:c r="Q19" s="1" t="s">
        <x:v>30</x:v>
      </x:c>
      <x:c r="R19" s="1" t="s">
        <x:v>30</x:v>
      </x:c>
      <x:c r="S19" s="1" t="s">
        <x:v>30</x:v>
      </x:c>
      <x:c r="T19" s="1" t="s">
        <x:v>30</x:v>
      </x:c>
      <x:c r="U19" s="1" t="s">
        <x:v>30</x:v>
      </x:c>
      <x:c r="V19" s="1" t="s">
        <x:v>30</x:v>
      </x:c>
      <x:c r="W19" s="1" t="s">
        <x:v>30</x:v>
      </x:c>
      <x:c r="X19" s="1" t="s">
        <x:v>30</x:v>
      </x:c>
      <x:c r="Y19" s="1" t="s">
        <x:v>30</x:v>
      </x:c>
      <x:c r="Z19" s="1" t="s">
        <x:v>30</x:v>
      </x:c>
      <x:c r="AA19" s="1" t="s">
        <x:v>30</x:v>
      </x:c>
      <x:c r="AB19" s="1" t="s">
        <x:v>30</x:v>
      </x:c>
      <x:c r="AC19" s="1" t="s">
        <x:v>30</x:v>
      </x:c>
      <x:c r="AD19" s="1" t="s">
        <x:v>30</x:v>
      </x:c>
      <x:c r="AE19" s="1" t="s">
        <x:v>30</x:v>
      </x:c>
      <x:c r="AF19" s="1" t="s">
        <x:v>30</x:v>
      </x:c>
      <x:c r="AG19" s="1" t="s">
        <x:v>30</x:v>
      </x:c>
      <x:c r="AH19" s="1" t="s">
        <x:v>30</x:v>
      </x:c>
      <x:c r="AI19" s="1" t="s">
        <x:v>30</x:v>
      </x:c>
      <x:c r="AJ19" s="1" t="s">
        <x:v>30</x:v>
      </x:c>
      <x:c r="AK19" s="1" t="s">
        <x:v>30</x:v>
      </x:c>
      <x:c r="AL19" s="1" t="s">
        <x:v>30</x:v>
      </x:c>
      <x:c r="AM19" s="1" t="s">
        <x:v>30</x:v>
      </x:c>
      <x:c r="AN19" s="1" t="s">
        <x:v>30</x:v>
      </x:c>
      <x:c r="AO19" s="1" t="s">
        <x:v>30</x:v>
      </x:c>
      <x:c r="AP19" s="1" t="s">
        <x:v>30</x:v>
      </x:c>
      <x:c r="AQ19" s="1" t="s">
        <x:v>30</x:v>
      </x:c>
      <x:c r="AR19" s="1" t="s">
        <x:v>30</x:v>
      </x:c>
      <x:c r="AS19" s="1" t="s">
        <x:v>30</x:v>
      </x:c>
      <x:c r="AT19" s="1" t="s">
        <x:v>30</x:v>
      </x:c>
      <x:c r="AU19" s="1" t="s">
        <x:v>30</x:v>
      </x:c>
      <x:c r="AV19" s="1" t="s">
        <x:v>30</x:v>
      </x:c>
      <x:c r="AW19" s="1" t="s">
        <x:v>30</x:v>
      </x:c>
      <x:c r="AX19" s="1" t="s">
        <x:v>30</x:v>
      </x:c>
      <x:c r="AY19" s="1" t="s">
        <x:v>30</x:v>
      </x:c>
      <x:c r="AZ19" s="1" t="s">
        <x:v>30</x:v>
      </x:c>
      <x:c r="BA19" s="1" t="s">
        <x:v>6768</x:v>
      </x:c>
      <x:c r="BB19" s="1" t="s">
        <x:v>30</x:v>
      </x:c>
      <x:c r="BC19" s="1" t="s">
        <x:v>30</x:v>
      </x:c>
      <x:c r="BD19" s="1" t="s">
        <x:v>30</x:v>
      </x:c>
      <x:c r="BE19" s="1" t="s">
        <x:v>30</x:v>
      </x:c>
      <x:c r="BF19" s="1" t="s">
        <x:v>30</x:v>
      </x:c>
    </x:row>
    <x:row r="20" ht="15" hidden="0" customHeight="1">
      <x:c r="A20" s="1" t="s">
        <x:v>2425</x:v>
      </x:c>
      <x:c r="B20" s="1" t="s">
        <x:v>5493</x:v>
      </x:c>
      <x:c r="C20" s="1" t="s">
        <x:v>5701</x:v>
      </x:c>
      <x:c r="D20" s="1" t="n">
        <x:v>3</x:v>
      </x:c>
      <x:c r="E20" s="1" t="n">
        <x:v>2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s">
        <x:v>6768</x:v>
      </x:c>
      <x:c r="K20" s="1" t="s">
        <x:v>30</x:v>
      </x:c>
      <x:c r="L20" s="1" t="s">
        <x:v>30</x:v>
      </x:c>
      <x:c r="M20" s="1" t="s">
        <x:v>30</x:v>
      </x:c>
      <x:c r="N20" s="1" t="s">
        <x:v>30</x:v>
      </x:c>
      <x:c r="O20" s="1" t="s">
        <x:v>30</x:v>
      </x:c>
      <x:c r="P20" s="1" t="s">
        <x:v>30</x:v>
      </x:c>
      <x:c r="Q20" s="1" t="s">
        <x:v>30</x:v>
      </x:c>
      <x:c r="R20" s="1" t="s">
        <x:v>30</x:v>
      </x:c>
      <x:c r="S20" s="1" t="s">
        <x:v>30</x:v>
      </x:c>
      <x:c r="T20" s="1" t="s">
        <x:v>30</x:v>
      </x:c>
      <x:c r="U20" s="1" t="s">
        <x:v>30</x:v>
      </x:c>
      <x:c r="V20" s="1" t="s">
        <x:v>30</x:v>
      </x:c>
      <x:c r="W20" s="1" t="s">
        <x:v>30</x:v>
      </x:c>
      <x:c r="X20" s="1" t="s">
        <x:v>30</x:v>
      </x:c>
      <x:c r="Y20" s="1" t="s">
        <x:v>30</x:v>
      </x:c>
      <x:c r="Z20" s="1" t="s">
        <x:v>30</x:v>
      </x:c>
      <x:c r="AA20" s="1" t="s">
        <x:v>30</x:v>
      </x:c>
      <x:c r="AB20" s="1" t="s">
        <x:v>30</x:v>
      </x:c>
      <x:c r="AC20" s="1" t="s">
        <x:v>30</x:v>
      </x:c>
      <x:c r="AD20" s="1" t="s">
        <x:v>30</x:v>
      </x:c>
      <x:c r="AE20" s="1" t="s">
        <x:v>30</x:v>
      </x:c>
      <x:c r="AF20" s="1" t="s">
        <x:v>30</x:v>
      </x:c>
      <x:c r="AG20" s="1" t="s">
        <x:v>30</x:v>
      </x:c>
      <x:c r="AH20" s="1" t="s">
        <x:v>30</x:v>
      </x:c>
      <x:c r="AI20" s="1" t="s">
        <x:v>30</x:v>
      </x:c>
      <x:c r="AJ20" s="1" t="s">
        <x:v>30</x:v>
      </x:c>
      <x:c r="AK20" s="1" t="s">
        <x:v>30</x:v>
      </x:c>
      <x:c r="AL20" s="1" t="s">
        <x:v>30</x:v>
      </x:c>
      <x:c r="AM20" s="1" t="s">
        <x:v>30</x:v>
      </x:c>
      <x:c r="AN20" s="1" t="s">
        <x:v>30</x:v>
      </x:c>
      <x:c r="AO20" s="1" t="s">
        <x:v>30</x:v>
      </x:c>
      <x:c r="AP20" s="1" t="s">
        <x:v>30</x:v>
      </x:c>
      <x:c r="AQ20" s="1" t="s">
        <x:v>30</x:v>
      </x:c>
      <x:c r="AR20" s="1" t="s">
        <x:v>30</x:v>
      </x:c>
      <x:c r="AS20" s="1" t="s">
        <x:v>30</x:v>
      </x:c>
      <x:c r="AT20" s="1" t="s">
        <x:v>30</x:v>
      </x:c>
      <x:c r="AU20" s="1" t="s">
        <x:v>30</x:v>
      </x:c>
      <x:c r="AV20" s="1" t="s">
        <x:v>30</x:v>
      </x:c>
      <x:c r="AW20" s="1" t="s">
        <x:v>30</x:v>
      </x:c>
      <x:c r="AX20" s="1" t="s">
        <x:v>30</x:v>
      </x:c>
      <x:c r="AY20" s="1" t="s">
        <x:v>30</x:v>
      </x:c>
      <x:c r="AZ20" s="1" t="s">
        <x:v>6768</x:v>
      </x:c>
      <x:c r="BA20" s="1" t="s">
        <x:v>30</x:v>
      </x:c>
      <x:c r="BB20" s="1" t="s">
        <x:v>30</x:v>
      </x:c>
      <x:c r="BC20" s="1" t="s">
        <x:v>6766</x:v>
      </x:c>
      <x:c r="BD20" s="1" t="s">
        <x:v>30</x:v>
      </x:c>
      <x:c r="BE20" s="1" t="s">
        <x:v>30</x:v>
      </x:c>
      <x:c r="BF20" s="1" t="s">
        <x:v>30</x:v>
      </x:c>
    </x:row>
    <x:row r="21" ht="15" hidden="0" customHeight="1">
      <x:c r="A21" s="1" t="s">
        <x:v>3443</x:v>
      </x:c>
      <x:c r="B21" s="1" t="s">
        <x:v>5493</x:v>
      </x:c>
      <x:c r="C21" s="1" t="s">
        <x:v>5701</x:v>
      </x:c>
      <x:c r="D21" s="1" t="n">
        <x:v>2</x:v>
      </x:c>
      <x:c r="E21" s="1" t="n">
        <x:v>4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s">
        <x:v>30</x:v>
      </x:c>
      <x:c r="K21" s="1" t="s">
        <x:v>30</x:v>
      </x:c>
      <x:c r="L21" s="1" t="s">
        <x:v>30</x:v>
      </x:c>
      <x:c r="M21" s="1" t="s">
        <x:v>30</x:v>
      </x:c>
      <x:c r="N21" s="1" t="s">
        <x:v>30</x:v>
      </x:c>
      <x:c r="O21" s="1" t="s">
        <x:v>30</x:v>
      </x:c>
      <x:c r="P21" s="1" t="s">
        <x:v>30</x:v>
      </x:c>
      <x:c r="Q21" s="1" t="s">
        <x:v>30</x:v>
      </x:c>
      <x:c r="R21" s="1" t="s">
        <x:v>30</x:v>
      </x:c>
      <x:c r="S21" s="1" t="s">
        <x:v>30</x:v>
      </x:c>
      <x:c r="T21" s="1" t="s">
        <x:v>30</x:v>
      </x:c>
      <x:c r="U21" s="1" t="s">
        <x:v>30</x:v>
      </x:c>
      <x:c r="V21" s="1" t="s">
        <x:v>30</x:v>
      </x:c>
      <x:c r="W21" s="1" t="s">
        <x:v>30</x:v>
      </x:c>
      <x:c r="X21" s="1" t="s">
        <x:v>30</x:v>
      </x:c>
      <x:c r="Y21" s="1" t="s">
        <x:v>30</x:v>
      </x:c>
      <x:c r="Z21" s="1" t="s">
        <x:v>30</x:v>
      </x:c>
      <x:c r="AA21" s="1" t="s">
        <x:v>30</x:v>
      </x:c>
      <x:c r="AB21" s="1" t="s">
        <x:v>30</x:v>
      </x:c>
      <x:c r="AC21" s="1" t="s">
        <x:v>30</x:v>
      </x:c>
      <x:c r="AD21" s="1" t="s">
        <x:v>30</x:v>
      </x:c>
      <x:c r="AE21" s="1" t="s">
        <x:v>30</x:v>
      </x:c>
      <x:c r="AF21" s="1" t="s">
        <x:v>30</x:v>
      </x:c>
      <x:c r="AG21" s="1" t="s">
        <x:v>30</x:v>
      </x:c>
      <x:c r="AH21" s="1" t="s">
        <x:v>30</x:v>
      </x:c>
      <x:c r="AI21" s="1" t="s">
        <x:v>30</x:v>
      </x:c>
      <x:c r="AJ21" s="1" t="s">
        <x:v>30</x:v>
      </x:c>
      <x:c r="AK21" s="1" t="s">
        <x:v>30</x:v>
      </x:c>
      <x:c r="AL21" s="1" t="s">
        <x:v>30</x:v>
      </x:c>
      <x:c r="AM21" s="1" t="s">
        <x:v>30</x:v>
      </x:c>
      <x:c r="AN21" s="1" t="s">
        <x:v>30</x:v>
      </x:c>
      <x:c r="AO21" s="1" t="s">
        <x:v>30</x:v>
      </x:c>
      <x:c r="AP21" s="1" t="s">
        <x:v>6768</x:v>
      </x:c>
      <x:c r="AQ21" s="1" t="s">
        <x:v>30</x:v>
      </x:c>
      <x:c r="AR21" s="1" t="s">
        <x:v>30</x:v>
      </x:c>
      <x:c r="AS21" s="1" t="s">
        <x:v>30</x:v>
      </x:c>
      <x:c r="AT21" s="1" t="s">
        <x:v>30</x:v>
      </x:c>
      <x:c r="AU21" s="1" t="s">
        <x:v>30</x:v>
      </x:c>
      <x:c r="AV21" s="1" t="s">
        <x:v>30</x:v>
      </x:c>
      <x:c r="AW21" s="1" t="s">
        <x:v>30</x:v>
      </x:c>
      <x:c r="AX21" s="1" t="s">
        <x:v>30</x:v>
      </x:c>
      <x:c r="AY21" s="1" t="s">
        <x:v>30</x:v>
      </x:c>
      <x:c r="AZ21" s="1" t="s">
        <x:v>6770</x:v>
      </x:c>
      <x:c r="BA21" s="1" t="s">
        <x:v>30</x:v>
      </x:c>
      <x:c r="BB21" s="1" t="s">
        <x:v>30</x:v>
      </x:c>
      <x:c r="BC21" s="1" t="s">
        <x:v>30</x:v>
      </x:c>
      <x:c r="BD21" s="1" t="s">
        <x:v>30</x:v>
      </x:c>
      <x:c r="BE21" s="1" t="s">
        <x:v>30</x:v>
      </x:c>
      <x:c r="BF21" s="1" t="s">
        <x:v>30</x:v>
      </x:c>
    </x:row>
    <x:row r="22" ht="15" hidden="0" customHeight="1">
      <x:c r="A22" s="1" t="s">
        <x:v>4553</x:v>
      </x:c>
      <x:c r="B22" s="1" t="s">
        <x:v>5493</x:v>
      </x:c>
      <x:c r="C22" s="1" t="s">
        <x:v>5748</x:v>
      </x:c>
      <x:c r="D22" s="1" t="n">
        <x:v>2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1</x:v>
      </x:c>
      <x:c r="J22" s="1" t="s">
        <x:v>6768</x:v>
      </x:c>
      <x:c r="K22" s="1" t="s">
        <x:v>30</x:v>
      </x:c>
      <x:c r="L22" s="1" t="s">
        <x:v>30</x:v>
      </x:c>
      <x:c r="M22" s="1" t="s">
        <x:v>30</x:v>
      </x:c>
      <x:c r="N22" s="1" t="s">
        <x:v>30</x:v>
      </x:c>
      <x:c r="O22" s="1" t="s">
        <x:v>30</x:v>
      </x:c>
      <x:c r="P22" s="1" t="s">
        <x:v>30</x:v>
      </x:c>
      <x:c r="Q22" s="1" t="s">
        <x:v>30</x:v>
      </x:c>
      <x:c r="R22" s="1" t="s">
        <x:v>30</x:v>
      </x:c>
      <x:c r="S22" s="1" t="s">
        <x:v>30</x:v>
      </x:c>
      <x:c r="T22" s="1" t="s">
        <x:v>30</x:v>
      </x:c>
      <x:c r="U22" s="1" t="s">
        <x:v>30</x:v>
      </x:c>
      <x:c r="V22" s="1" t="s">
        <x:v>30</x:v>
      </x:c>
      <x:c r="W22" s="1" t="s">
        <x:v>30</x:v>
      </x:c>
      <x:c r="X22" s="1" t="s">
        <x:v>30</x:v>
      </x:c>
      <x:c r="Y22" s="1" t="s">
        <x:v>30</x:v>
      </x:c>
      <x:c r="Z22" s="1" t="s">
        <x:v>30</x:v>
      </x:c>
      <x:c r="AA22" s="1" t="s">
        <x:v>30</x:v>
      </x:c>
      <x:c r="AB22" s="1" t="s">
        <x:v>30</x:v>
      </x:c>
      <x:c r="AC22" s="1" t="s">
        <x:v>30</x:v>
      </x:c>
      <x:c r="AD22" s="1" t="s">
        <x:v>30</x:v>
      </x:c>
      <x:c r="AE22" s="1" t="s">
        <x:v>30</x:v>
      </x:c>
      <x:c r="AF22" s="1" t="s">
        <x:v>30</x:v>
      </x:c>
      <x:c r="AG22" s="1" t="s">
        <x:v>30</x:v>
      </x:c>
      <x:c r="AH22" s="1" t="s">
        <x:v>30</x:v>
      </x:c>
      <x:c r="AI22" s="1" t="s">
        <x:v>30</x:v>
      </x:c>
      <x:c r="AJ22" s="1" t="s">
        <x:v>30</x:v>
      </x:c>
      <x:c r="AK22" s="1" t="s">
        <x:v>30</x:v>
      </x:c>
      <x:c r="AL22" s="1" t="s">
        <x:v>30</x:v>
      </x:c>
      <x:c r="AM22" s="1" t="s">
        <x:v>30</x:v>
      </x:c>
      <x:c r="AN22" s="1" t="s">
        <x:v>30</x:v>
      </x:c>
      <x:c r="AO22" s="1" t="s">
        <x:v>30</x:v>
      </x:c>
      <x:c r="AP22" s="1" t="s">
        <x:v>30</x:v>
      </x:c>
      <x:c r="AQ22" s="1" t="s">
        <x:v>30</x:v>
      </x:c>
      <x:c r="AR22" s="1" t="s">
        <x:v>30</x:v>
      </x:c>
      <x:c r="AS22" s="1" t="s">
        <x:v>30</x:v>
      </x:c>
      <x:c r="AT22" s="1" t="s">
        <x:v>30</x:v>
      </x:c>
      <x:c r="AU22" s="1" t="s">
        <x:v>30</x:v>
      </x:c>
      <x:c r="AV22" s="1" t="s">
        <x:v>30</x:v>
      </x:c>
      <x:c r="AW22" s="1" t="s">
        <x:v>30</x:v>
      </x:c>
      <x:c r="AX22" s="1" t="s">
        <x:v>30</x:v>
      </x:c>
      <x:c r="AY22" s="1" t="s">
        <x:v>30</x:v>
      </x:c>
      <x:c r="AZ22" s="1" t="s">
        <x:v>30</x:v>
      </x:c>
      <x:c r="BA22" s="1" t="s">
        <x:v>30</x:v>
      </x:c>
      <x:c r="BB22" s="1" t="s">
        <x:v>30</x:v>
      </x:c>
      <x:c r="BC22" s="1" t="s">
        <x:v>30</x:v>
      </x:c>
      <x:c r="BD22" s="1" t="s">
        <x:v>30</x:v>
      </x:c>
      <x:c r="BE22" s="1" t="s">
        <x:v>30</x:v>
      </x:c>
      <x:c r="BF22" s="1" t="s">
        <x:v>30</x:v>
      </x:c>
    </x:row>
    <x:row r="23" ht="15" hidden="0" customHeight="1">
      <x:c r="A23" s="1" t="s">
        <x:v>4570</x:v>
      </x:c>
      <x:c r="B23" s="1" t="s">
        <x:v>5493</x:v>
      </x:c>
      <x:c r="C23" s="1" t="s">
        <x:v>5748</x:v>
      </x:c>
      <x:c r="D23" s="1" t="n">
        <x:v>2</x:v>
      </x:c>
      <x:c r="E23" s="1" t="n">
        <x:v>0</x:v>
      </x:c>
      <x:c r="F23" s="1" t="n">
        <x:v>1</x:v>
      </x:c>
      <x:c r="G23" s="1" t="n">
        <x:v>0</x:v>
      </x:c>
      <x:c r="H23" s="1" t="n">
        <x:v>1</x:v>
      </x:c>
      <x:c r="I23" s="1" t="n">
        <x:v>0</x:v>
      </x:c>
      <x:c r="J23" s="1" t="s">
        <x:v>6768</x:v>
      </x:c>
      <x:c r="K23" s="1" t="s">
        <x:v>30</x:v>
      </x:c>
      <x:c r="L23" s="1" t="s">
        <x:v>30</x:v>
      </x:c>
      <x:c r="M23" s="1" t="s">
        <x:v>30</x:v>
      </x:c>
      <x:c r="N23" s="1" t="s">
        <x:v>30</x:v>
      </x:c>
      <x:c r="O23" s="1" t="s">
        <x:v>30</x:v>
      </x:c>
      <x:c r="P23" s="1" t="s">
        <x:v>30</x:v>
      </x:c>
      <x:c r="Q23" s="1" t="s">
        <x:v>30</x:v>
      </x:c>
      <x:c r="R23" s="1" t="s">
        <x:v>30</x:v>
      </x:c>
      <x:c r="S23" s="1" t="s">
        <x:v>30</x:v>
      </x:c>
      <x:c r="T23" s="1" t="s">
        <x:v>30</x:v>
      </x:c>
      <x:c r="U23" s="1" t="s">
        <x:v>30</x:v>
      </x:c>
      <x:c r="V23" s="1" t="s">
        <x:v>30</x:v>
      </x:c>
      <x:c r="W23" s="1" t="s">
        <x:v>30</x:v>
      </x:c>
      <x:c r="X23" s="1" t="s">
        <x:v>30</x:v>
      </x:c>
      <x:c r="Y23" s="1" t="s">
        <x:v>30</x:v>
      </x:c>
      <x:c r="Z23" s="1" t="s">
        <x:v>30</x:v>
      </x:c>
      <x:c r="AA23" s="1" t="s">
        <x:v>30</x:v>
      </x:c>
      <x:c r="AB23" s="1" t="s">
        <x:v>30</x:v>
      </x:c>
      <x:c r="AC23" s="1" t="s">
        <x:v>30</x:v>
      </x:c>
      <x:c r="AD23" s="1" t="s">
        <x:v>30</x:v>
      </x:c>
      <x:c r="AE23" s="1" t="s">
        <x:v>30</x:v>
      </x:c>
      <x:c r="AF23" s="1" t="s">
        <x:v>30</x:v>
      </x:c>
      <x:c r="AG23" s="1" t="s">
        <x:v>30</x:v>
      </x:c>
      <x:c r="AH23" s="1" t="s">
        <x:v>30</x:v>
      </x:c>
      <x:c r="AI23" s="1" t="s">
        <x:v>30</x:v>
      </x:c>
      <x:c r="AJ23" s="1" t="s">
        <x:v>30</x:v>
      </x:c>
      <x:c r="AK23" s="1" t="s">
        <x:v>30</x:v>
      </x:c>
      <x:c r="AL23" s="1" t="s">
        <x:v>30</x:v>
      </x:c>
      <x:c r="AM23" s="1" t="s">
        <x:v>30</x:v>
      </x:c>
      <x:c r="AN23" s="1" t="s">
        <x:v>30</x:v>
      </x:c>
      <x:c r="AO23" s="1" t="s">
        <x:v>30</x:v>
      </x:c>
      <x:c r="AP23" s="1" t="s">
        <x:v>30</x:v>
      </x:c>
      <x:c r="AQ23" s="1" t="s">
        <x:v>30</x:v>
      </x:c>
      <x:c r="AR23" s="1" t="s">
        <x:v>30</x:v>
      </x:c>
      <x:c r="AS23" s="1" t="s">
        <x:v>30</x:v>
      </x:c>
      <x:c r="AT23" s="1" t="s">
        <x:v>30</x:v>
      </x:c>
      <x:c r="AU23" s="1" t="s">
        <x:v>30</x:v>
      </x:c>
      <x:c r="AV23" s="1" t="s">
        <x:v>30</x:v>
      </x:c>
      <x:c r="AW23" s="1" t="s">
        <x:v>30</x:v>
      </x:c>
      <x:c r="AX23" s="1" t="s">
        <x:v>30</x:v>
      </x:c>
      <x:c r="AY23" s="1" t="s">
        <x:v>30</x:v>
      </x:c>
      <x:c r="AZ23" s="1" t="s">
        <x:v>30</x:v>
      </x:c>
      <x:c r="BA23" s="1" t="s">
        <x:v>6766</x:v>
      </x:c>
      <x:c r="BB23" s="1" t="s">
        <x:v>30</x:v>
      </x:c>
      <x:c r="BC23" s="1" t="s">
        <x:v>30</x:v>
      </x:c>
      <x:c r="BD23" s="1" t="s">
        <x:v>30</x:v>
      </x:c>
      <x:c r="BE23" s="1" t="s">
        <x:v>30</x:v>
      </x:c>
      <x:c r="BF23" s="1" t="s">
        <x:v>30</x:v>
      </x:c>
    </x:row>
    <x:row r="24" ht="15" hidden="0" customHeight="1">
      <x:c r="A24" s="1" t="s">
        <x:v>2444</x:v>
      </x:c>
      <x:c r="B24" s="1" t="s">
        <x:v>5493</x:v>
      </x:c>
      <x:c r="C24" s="1" t="s">
        <x:v>5701</x:v>
      </x:c>
      <x:c r="D24" s="1" t="n">
        <x:v>2</x:v>
      </x:c>
      <x:c r="E24" s="1" t="n">
        <x:v>1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s">
        <x:v>6768</x:v>
      </x:c>
      <x:c r="K24" s="1" t="s">
        <x:v>30</x:v>
      </x:c>
      <x:c r="L24" s="1" t="s">
        <x:v>30</x:v>
      </x:c>
      <x:c r="M24" s="1" t="s">
        <x:v>30</x:v>
      </x:c>
      <x:c r="N24" s="1" t="s">
        <x:v>30</x:v>
      </x:c>
      <x:c r="O24" s="1" t="s">
        <x:v>30</x:v>
      </x:c>
      <x:c r="P24" s="1" t="s">
        <x:v>30</x:v>
      </x:c>
      <x:c r="Q24" s="1" t="s">
        <x:v>30</x:v>
      </x:c>
      <x:c r="R24" s="1" t="s">
        <x:v>30</x:v>
      </x:c>
      <x:c r="S24" s="1" t="s">
        <x:v>30</x:v>
      </x:c>
      <x:c r="T24" s="1" t="s">
        <x:v>30</x:v>
      </x:c>
      <x:c r="U24" s="1" t="s">
        <x:v>30</x:v>
      </x:c>
      <x:c r="V24" s="1" t="s">
        <x:v>30</x:v>
      </x:c>
      <x:c r="W24" s="1" t="s">
        <x:v>30</x:v>
      </x:c>
      <x:c r="X24" s="1" t="s">
        <x:v>30</x:v>
      </x:c>
      <x:c r="Y24" s="1" t="s">
        <x:v>30</x:v>
      </x:c>
      <x:c r="Z24" s="1" t="s">
        <x:v>30</x:v>
      </x:c>
      <x:c r="AA24" s="1" t="s">
        <x:v>30</x:v>
      </x:c>
      <x:c r="AB24" s="1" t="s">
        <x:v>30</x:v>
      </x:c>
      <x:c r="AC24" s="1" t="s">
        <x:v>30</x:v>
      </x:c>
      <x:c r="AD24" s="1" t="s">
        <x:v>30</x:v>
      </x:c>
      <x:c r="AE24" s="1" t="s">
        <x:v>30</x:v>
      </x:c>
      <x:c r="AF24" s="1" t="s">
        <x:v>30</x:v>
      </x:c>
      <x:c r="AG24" s="1" t="s">
        <x:v>30</x:v>
      </x:c>
      <x:c r="AH24" s="1" t="s">
        <x:v>30</x:v>
      </x:c>
      <x:c r="AI24" s="1" t="s">
        <x:v>30</x:v>
      </x:c>
      <x:c r="AJ24" s="1" t="s">
        <x:v>30</x:v>
      </x:c>
      <x:c r="AK24" s="1" t="s">
        <x:v>30</x:v>
      </x:c>
      <x:c r="AL24" s="1" t="s">
        <x:v>30</x:v>
      </x:c>
      <x:c r="AM24" s="1" t="s">
        <x:v>30</x:v>
      </x:c>
      <x:c r="AN24" s="1" t="s">
        <x:v>30</x:v>
      </x:c>
      <x:c r="AO24" s="1" t="s">
        <x:v>30</x:v>
      </x:c>
      <x:c r="AP24" s="1" t="s">
        <x:v>30</x:v>
      </x:c>
      <x:c r="AQ24" s="1" t="s">
        <x:v>30</x:v>
      </x:c>
      <x:c r="AR24" s="1" t="s">
        <x:v>30</x:v>
      </x:c>
      <x:c r="AS24" s="1" t="s">
        <x:v>30</x:v>
      </x:c>
      <x:c r="AT24" s="1" t="s">
        <x:v>30</x:v>
      </x:c>
      <x:c r="AU24" s="1" t="s">
        <x:v>30</x:v>
      </x:c>
      <x:c r="AV24" s="1" t="s">
        <x:v>30</x:v>
      </x:c>
      <x:c r="AW24" s="1" t="s">
        <x:v>30</x:v>
      </x:c>
      <x:c r="AX24" s="1" t="s">
        <x:v>30</x:v>
      </x:c>
      <x:c r="AY24" s="1" t="s">
        <x:v>30</x:v>
      </x:c>
      <x:c r="AZ24" s="1" t="s">
        <x:v>6766</x:v>
      </x:c>
      <x:c r="BA24" s="1" t="s">
        <x:v>30</x:v>
      </x:c>
      <x:c r="BB24" s="1" t="s">
        <x:v>30</x:v>
      </x:c>
      <x:c r="BC24" s="1" t="s">
        <x:v>30</x:v>
      </x:c>
      <x:c r="BD24" s="1" t="s">
        <x:v>30</x:v>
      </x:c>
      <x:c r="BE24" s="1" t="s">
        <x:v>30</x:v>
      </x:c>
      <x:c r="BF24" s="1" t="s">
        <x:v>30</x:v>
      </x:c>
    </x:row>
    <x:row r="25" ht="15" hidden="0" customHeight="1">
      <x:c r="A25" s="1" t="s">
        <x:v>5151</x:v>
      </x:c>
      <x:c r="B25" s="1" t="s">
        <x:v>5493</x:v>
      </x:c>
      <x:c r="C25" s="1" t="s">
        <x:v>5701</x:v>
      </x:c>
      <x:c r="D25" s="1" t="n">
        <x:v>1</x:v>
      </x:c>
      <x:c r="E25" s="1" t="n">
        <x:v>0</x:v>
      </x:c>
      <x:c r="F25" s="1" t="n">
        <x:v>1</x:v>
      </x:c>
      <x:c r="G25" s="1" t="n">
        <x:v>0</x:v>
      </x:c>
      <x:c r="H25" s="1" t="n">
        <x:v>0</x:v>
      </x:c>
      <x:c r="I25" s="1" t="n">
        <x:v>0</x:v>
      </x:c>
      <x:c r="J25" s="1" t="s">
        <x:v>6766</x:v>
      </x:c>
      <x:c r="K25" s="1" t="s">
        <x:v>30</x:v>
      </x:c>
      <x:c r="L25" s="1" t="s">
        <x:v>30</x:v>
      </x:c>
      <x:c r="M25" s="1" t="s">
        <x:v>30</x:v>
      </x:c>
      <x:c r="N25" s="1" t="s">
        <x:v>30</x:v>
      </x:c>
      <x:c r="O25" s="1" t="s">
        <x:v>30</x:v>
      </x:c>
      <x:c r="P25" s="1" t="s">
        <x:v>30</x:v>
      </x:c>
      <x:c r="Q25" s="1" t="s">
        <x:v>30</x:v>
      </x:c>
      <x:c r="R25" s="1" t="s">
        <x:v>30</x:v>
      </x:c>
      <x:c r="S25" s="1" t="s">
        <x:v>30</x:v>
      </x:c>
      <x:c r="T25" s="1" t="s">
        <x:v>30</x:v>
      </x:c>
      <x:c r="U25" s="1" t="s">
        <x:v>30</x:v>
      </x:c>
      <x:c r="V25" s="1" t="s">
        <x:v>30</x:v>
      </x:c>
      <x:c r="W25" s="1" t="s">
        <x:v>30</x:v>
      </x:c>
      <x:c r="X25" s="1" t="s">
        <x:v>30</x:v>
      </x:c>
      <x:c r="Y25" s="1" t="s">
        <x:v>30</x:v>
      </x:c>
      <x:c r="Z25" s="1" t="s">
        <x:v>30</x:v>
      </x:c>
      <x:c r="AA25" s="1" t="s">
        <x:v>30</x:v>
      </x:c>
      <x:c r="AB25" s="1" t="s">
        <x:v>30</x:v>
      </x:c>
      <x:c r="AC25" s="1" t="s">
        <x:v>30</x:v>
      </x:c>
      <x:c r="AD25" s="1" t="s">
        <x:v>30</x:v>
      </x:c>
      <x:c r="AE25" s="1" t="s">
        <x:v>30</x:v>
      </x:c>
      <x:c r="AF25" s="1" t="s">
        <x:v>30</x:v>
      </x:c>
      <x:c r="AG25" s="1" t="s">
        <x:v>30</x:v>
      </x:c>
      <x:c r="AH25" s="1" t="s">
        <x:v>30</x:v>
      </x:c>
      <x:c r="AI25" s="1" t="s">
        <x:v>30</x:v>
      </x:c>
      <x:c r="AJ25" s="1" t="s">
        <x:v>30</x:v>
      </x:c>
      <x:c r="AK25" s="1" t="s">
        <x:v>30</x:v>
      </x:c>
      <x:c r="AL25" s="1" t="s">
        <x:v>30</x:v>
      </x:c>
      <x:c r="AM25" s="1" t="s">
        <x:v>30</x:v>
      </x:c>
      <x:c r="AN25" s="1" t="s">
        <x:v>30</x:v>
      </x:c>
      <x:c r="AO25" s="1" t="s">
        <x:v>30</x:v>
      </x:c>
      <x:c r="AP25" s="1" t="s">
        <x:v>30</x:v>
      </x:c>
      <x:c r="AQ25" s="1" t="s">
        <x:v>30</x:v>
      </x:c>
      <x:c r="AR25" s="1" t="s">
        <x:v>30</x:v>
      </x:c>
      <x:c r="AS25" s="1" t="s">
        <x:v>30</x:v>
      </x:c>
      <x:c r="AT25" s="1" t="s">
        <x:v>30</x:v>
      </x:c>
      <x:c r="AU25" s="1" t="s">
        <x:v>30</x:v>
      </x:c>
      <x:c r="AV25" s="1" t="s">
        <x:v>30</x:v>
      </x:c>
      <x:c r="AW25" s="1" t="s">
        <x:v>30</x:v>
      </x:c>
      <x:c r="AX25" s="1" t="s">
        <x:v>30</x:v>
      </x:c>
      <x:c r="AY25" s="1" t="s">
        <x:v>30</x:v>
      </x:c>
      <x:c r="AZ25" s="1" t="s">
        <x:v>30</x:v>
      </x:c>
      <x:c r="BA25" s="1" t="s">
        <x:v>6766</x:v>
      </x:c>
      <x:c r="BB25" s="1" t="s">
        <x:v>30</x:v>
      </x:c>
      <x:c r="BC25" s="1" t="s">
        <x:v>30</x:v>
      </x:c>
      <x:c r="BD25" s="1" t="s">
        <x:v>30</x:v>
      </x:c>
      <x:c r="BE25" s="1" t="s">
        <x:v>30</x:v>
      </x:c>
      <x:c r="BF25" s="1" t="s">
        <x:v>30</x:v>
      </x:c>
    </x:row>
    <x:row r="26" ht="15" hidden="0" customHeight="1">
      <x:c r="A26" s="1" t="s">
        <x:v>573</x:v>
      </x:c>
      <x:c r="B26" s="1" t="s">
        <x:v>5481</x:v>
      </x:c>
      <x:c r="C26" s="1" t="s">
        <x:v>5693</x:v>
      </x:c>
      <x:c r="D26" s="1" t="n">
        <x:v>15</x:v>
      </x:c>
      <x:c r="E26" s="1" t="n">
        <x:v>2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s">
        <x:v>6766</x:v>
      </x:c>
      <x:c r="K26" s="1" t="s">
        <x:v>6767</x:v>
      </x:c>
      <x:c r="L26" s="1" t="s">
        <x:v>30</x:v>
      </x:c>
      <x:c r="M26" s="1" t="s">
        <x:v>30</x:v>
      </x:c>
      <x:c r="N26" s="1" t="s">
        <x:v>30</x:v>
      </x:c>
      <x:c r="O26" s="1" t="s">
        <x:v>6766</x:v>
      </x:c>
      <x:c r="P26" s="1" t="s">
        <x:v>30</x:v>
      </x:c>
      <x:c r="Q26" s="1" t="s">
        <x:v>30</x:v>
      </x:c>
      <x:c r="R26" s="1" t="s">
        <x:v>6768</x:v>
      </x:c>
      <x:c r="S26" s="1" t="s">
        <x:v>6766</x:v>
      </x:c>
      <x:c r="T26" s="1" t="s">
        <x:v>30</x:v>
      </x:c>
      <x:c r="U26" s="1" t="s">
        <x:v>30</x:v>
      </x:c>
      <x:c r="V26" s="1" t="s">
        <x:v>30</x:v>
      </x:c>
      <x:c r="W26" s="1" t="s">
        <x:v>30</x:v>
      </x:c>
      <x:c r="X26" s="1" t="s">
        <x:v>30</x:v>
      </x:c>
      <x:c r="Y26" s="1" t="s">
        <x:v>30</x:v>
      </x:c>
      <x:c r="Z26" s="1" t="s">
        <x:v>30</x:v>
      </x:c>
      <x:c r="AA26" s="1" t="s">
        <x:v>30</x:v>
      </x:c>
      <x:c r="AB26" s="1" t="s">
        <x:v>30</x:v>
      </x:c>
      <x:c r="AC26" s="1" t="s">
        <x:v>30</x:v>
      </x:c>
      <x:c r="AD26" s="1" t="s">
        <x:v>30</x:v>
      </x:c>
      <x:c r="AE26" s="1" t="s">
        <x:v>30</x:v>
      </x:c>
      <x:c r="AF26" s="1" t="s">
        <x:v>30</x:v>
      </x:c>
      <x:c r="AG26" s="1" t="s">
        <x:v>30</x:v>
      </x:c>
      <x:c r="AH26" s="1" t="s">
        <x:v>6766</x:v>
      </x:c>
      <x:c r="AI26" s="1" t="s">
        <x:v>30</x:v>
      </x:c>
      <x:c r="AJ26" s="1" t="s">
        <x:v>6766</x:v>
      </x:c>
      <x:c r="AK26" s="1" t="s">
        <x:v>30</x:v>
      </x:c>
      <x:c r="AL26" s="1" t="s">
        <x:v>30</x:v>
      </x:c>
      <x:c r="AM26" s="1" t="s">
        <x:v>30</x:v>
      </x:c>
      <x:c r="AN26" s="1" t="s">
        <x:v>30</x:v>
      </x:c>
      <x:c r="AO26" s="1" t="s">
        <x:v>30</x:v>
      </x:c>
      <x:c r="AP26" s="1" t="s">
        <x:v>30</x:v>
      </x:c>
      <x:c r="AQ26" s="1" t="s">
        <x:v>6707</x:v>
      </x:c>
      <x:c r="AR26" s="1" t="s">
        <x:v>6707</x:v>
      </x:c>
      <x:c r="AS26" s="1" t="s">
        <x:v>6707</x:v>
      </x:c>
      <x:c r="AT26" s="1" t="s">
        <x:v>6707</x:v>
      </x:c>
      <x:c r="AU26" s="1" t="s">
        <x:v>6707</x:v>
      </x:c>
      <x:c r="AV26" s="1" t="s">
        <x:v>6766</x:v>
      </x:c>
      <x:c r="AW26" s="1" t="s">
        <x:v>30</x:v>
      </x:c>
      <x:c r="AX26" s="1" t="s">
        <x:v>30</x:v>
      </x:c>
      <x:c r="AY26" s="1" t="s">
        <x:v>30</x:v>
      </x:c>
      <x:c r="AZ26" s="1" t="s">
        <x:v>6768</x:v>
      </x:c>
      <x:c r="BA26" s="1" t="s">
        <x:v>30</x:v>
      </x:c>
      <x:c r="BB26" s="1" t="s">
        <x:v>30</x:v>
      </x:c>
      <x:c r="BC26" s="1" t="s">
        <x:v>30</x:v>
      </x:c>
      <x:c r="BD26" s="1" t="s">
        <x:v>30</x:v>
      </x:c>
      <x:c r="BE26" s="1" t="s">
        <x:v>30</x:v>
      </x:c>
      <x:c r="BF26" s="1" t="s">
        <x:v>30</x:v>
      </x:c>
    </x:row>
    <x:row r="27" ht="15" hidden="0" customHeight="1">
      <x:c r="A27" s="1" t="s">
        <x:v>628</x:v>
      </x:c>
      <x:c r="B27" s="1" t="s">
        <x:v>5481</x:v>
      </x:c>
      <x:c r="C27" s="1" t="s">
        <x:v>5693</x:v>
      </x:c>
      <x:c r="D27" s="1" t="n">
        <x:v>25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1</x:v>
      </x:c>
      <x:c r="J27" s="1" t="s">
        <x:v>6768</x:v>
      </x:c>
      <x:c r="K27" s="1" t="s">
        <x:v>6774</x:v>
      </x:c>
      <x:c r="L27" s="1" t="s">
        <x:v>6766</x:v>
      </x:c>
      <x:c r="M27" s="1" t="s">
        <x:v>6766</x:v>
      </x:c>
      <x:c r="N27" s="1" t="s">
        <x:v>30</x:v>
      </x:c>
      <x:c r="O27" s="1" t="s">
        <x:v>6768</x:v>
      </x:c>
      <x:c r="P27" s="1" t="s">
        <x:v>30</x:v>
      </x:c>
      <x:c r="Q27" s="1" t="s">
        <x:v>30</x:v>
      </x:c>
      <x:c r="R27" s="1" t="s">
        <x:v>6766</x:v>
      </x:c>
      <x:c r="S27" s="1" t="s">
        <x:v>30</x:v>
      </x:c>
      <x:c r="T27" s="1" t="s">
        <x:v>30</x:v>
      </x:c>
      <x:c r="U27" s="1" t="s">
        <x:v>30</x:v>
      </x:c>
      <x:c r="V27" s="1" t="s">
        <x:v>30</x:v>
      </x:c>
      <x:c r="W27" s="1" t="s">
        <x:v>30</x:v>
      </x:c>
      <x:c r="X27" s="1" t="s">
        <x:v>30</x:v>
      </x:c>
      <x:c r="Y27" s="1" t="s">
        <x:v>6766</x:v>
      </x:c>
      <x:c r="Z27" s="1" t="s">
        <x:v>6766</x:v>
      </x:c>
      <x:c r="AA27" s="1" t="s">
        <x:v>30</x:v>
      </x:c>
      <x:c r="AB27" s="1" t="s">
        <x:v>6766</x:v>
      </x:c>
      <x:c r="AC27" s="1" t="s">
        <x:v>6766</x:v>
      </x:c>
      <x:c r="AD27" s="1" t="s">
        <x:v>30</x:v>
      </x:c>
      <x:c r="AE27" s="1" t="s">
        <x:v>30</x:v>
      </x:c>
      <x:c r="AF27" s="1" t="s">
        <x:v>30</x:v>
      </x:c>
      <x:c r="AG27" s="1" t="s">
        <x:v>30</x:v>
      </x:c>
      <x:c r="AH27" s="1" t="s">
        <x:v>6766</x:v>
      </x:c>
      <x:c r="AI27" s="1" t="s">
        <x:v>30</x:v>
      </x:c>
      <x:c r="AJ27" s="1" t="s">
        <x:v>30</x:v>
      </x:c>
      <x:c r="AK27" s="1" t="s">
        <x:v>6766</x:v>
      </x:c>
      <x:c r="AL27" s="1" t="s">
        <x:v>30</x:v>
      </x:c>
      <x:c r="AM27" s="1" t="s">
        <x:v>30</x:v>
      </x:c>
      <x:c r="AN27" s="1" t="s">
        <x:v>30</x:v>
      </x:c>
      <x:c r="AO27" s="1" t="s">
        <x:v>30</x:v>
      </x:c>
      <x:c r="AP27" s="1" t="s">
        <x:v>30</x:v>
      </x:c>
      <x:c r="AQ27" s="1" t="s">
        <x:v>6707</x:v>
      </x:c>
      <x:c r="AR27" s="1" t="s">
        <x:v>6707</x:v>
      </x:c>
      <x:c r="AS27" s="1" t="s">
        <x:v>6707</x:v>
      </x:c>
      <x:c r="AT27" s="1" t="s">
        <x:v>6707</x:v>
      </x:c>
      <x:c r="AU27" s="1" t="s">
        <x:v>6707</x:v>
      </x:c>
      <x:c r="AV27" s="1" t="s">
        <x:v>6766</x:v>
      </x:c>
      <x:c r="AW27" s="1" t="s">
        <x:v>6766</x:v>
      </x:c>
      <x:c r="AX27" s="1" t="s">
        <x:v>30</x:v>
      </x:c>
      <x:c r="AY27" s="1" t="s">
        <x:v>6770</x:v>
      </x:c>
      <x:c r="AZ27" s="1" t="s">
        <x:v>30</x:v>
      </x:c>
      <x:c r="BA27" s="1" t="s">
        <x:v>30</x:v>
      </x:c>
      <x:c r="BB27" s="1" t="s">
        <x:v>30</x:v>
      </x:c>
      <x:c r="BC27" s="1" t="s">
        <x:v>30</x:v>
      </x:c>
      <x:c r="BD27" s="1" t="s">
        <x:v>30</x:v>
      </x:c>
      <x:c r="BE27" s="1" t="s">
        <x:v>30</x:v>
      </x:c>
      <x:c r="BF27" s="1" t="s">
        <x:v>30</x:v>
      </x:c>
    </x:row>
    <x:row r="28" ht="15" hidden="0" customHeight="1">
      <x:c r="A28" s="1" t="s">
        <x:v>1614</x:v>
      </x:c>
      <x:c r="B28" s="1" t="s">
        <x:v>5481</x:v>
      </x:c>
      <x:c r="C28" s="1" t="s">
        <x:v>5693</x:v>
      </x:c>
      <x:c r="D28" s="1" t="n">
        <x:v>30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s">
        <x:v>30</x:v>
      </x:c>
      <x:c r="K28" s="1" t="s">
        <x:v>6770</x:v>
      </x:c>
      <x:c r="L28" s="1" t="s">
        <x:v>30</x:v>
      </x:c>
      <x:c r="M28" s="1" t="s">
        <x:v>6766</x:v>
      </x:c>
      <x:c r="N28" s="1" t="s">
        <x:v>6766</x:v>
      </x:c>
      <x:c r="O28" s="1" t="s">
        <x:v>6768</x:v>
      </x:c>
      <x:c r="P28" s="1" t="s">
        <x:v>30</x:v>
      </x:c>
      <x:c r="Q28" s="1" t="s">
        <x:v>30</x:v>
      </x:c>
      <x:c r="R28" s="1" t="s">
        <x:v>6766</x:v>
      </x:c>
      <x:c r="S28" s="1" t="s">
        <x:v>6766</x:v>
      </x:c>
      <x:c r="T28" s="1" t="s">
        <x:v>30</x:v>
      </x:c>
      <x:c r="U28" s="1" t="s">
        <x:v>30</x:v>
      </x:c>
      <x:c r="V28" s="1" t="s">
        <x:v>30</x:v>
      </x:c>
      <x:c r="W28" s="1" t="s">
        <x:v>30</x:v>
      </x:c>
      <x:c r="X28" s="1" t="s">
        <x:v>6766</x:v>
      </x:c>
      <x:c r="Y28" s="1" t="s">
        <x:v>6769</x:v>
      </x:c>
      <x:c r="Z28" s="1" t="s">
        <x:v>6770</x:v>
      </x:c>
      <x:c r="AA28" s="1" t="s">
        <x:v>6766</x:v>
      </x:c>
      <x:c r="AB28" s="1" t="s">
        <x:v>6766</x:v>
      </x:c>
      <x:c r="AC28" s="1" t="s">
        <x:v>6768</x:v>
      </x:c>
      <x:c r="AD28" s="1" t="s">
        <x:v>30</x:v>
      </x:c>
      <x:c r="AE28" s="1" t="s">
        <x:v>6768</x:v>
      </x:c>
      <x:c r="AF28" s="1" t="s">
        <x:v>6768</x:v>
      </x:c>
      <x:c r="AG28" s="1" t="s">
        <x:v>30</x:v>
      </x:c>
      <x:c r="AH28" s="1" t="s">
        <x:v>30</x:v>
      </x:c>
      <x:c r="AI28" s="1" t="s">
        <x:v>30</x:v>
      </x:c>
      <x:c r="AJ28" s="1" t="s">
        <x:v>30</x:v>
      </x:c>
      <x:c r="AK28" s="1" t="s">
        <x:v>6766</x:v>
      </x:c>
      <x:c r="AL28" s="1" t="s">
        <x:v>30</x:v>
      </x:c>
      <x:c r="AM28" s="1" t="s">
        <x:v>30</x:v>
      </x:c>
      <x:c r="AN28" s="1" t="s">
        <x:v>30</x:v>
      </x:c>
      <x:c r="AO28" s="1" t="s">
        <x:v>6766</x:v>
      </x:c>
      <x:c r="AP28" s="1" t="s">
        <x:v>30</x:v>
      </x:c>
      <x:c r="AQ28" s="1" t="s">
        <x:v>6707</x:v>
      </x:c>
      <x:c r="AR28" s="1" t="s">
        <x:v>6707</x:v>
      </x:c>
      <x:c r="AS28" s="1" t="s">
        <x:v>6707</x:v>
      </x:c>
      <x:c r="AT28" s="1" t="s">
        <x:v>6707</x:v>
      </x:c>
      <x:c r="AU28" s="1" t="s">
        <x:v>6707</x:v>
      </x:c>
      <x:c r="AV28" s="1" t="s">
        <x:v>30</x:v>
      </x:c>
      <x:c r="AW28" s="1" t="s">
        <x:v>30</x:v>
      </x:c>
      <x:c r="AX28" s="1" t="s">
        <x:v>30</x:v>
      </x:c>
      <x:c r="AY28" s="1" t="s">
        <x:v>30</x:v>
      </x:c>
      <x:c r="AZ28" s="1" t="s">
        <x:v>30</x:v>
      </x:c>
      <x:c r="BA28" s="1" t="s">
        <x:v>30</x:v>
      </x:c>
      <x:c r="BB28" s="1" t="s">
        <x:v>30</x:v>
      </x:c>
      <x:c r="BC28" s="1" t="s">
        <x:v>6766</x:v>
      </x:c>
      <x:c r="BD28" s="1" t="s">
        <x:v>6766</x:v>
      </x:c>
      <x:c r="BE28" s="1" t="s">
        <x:v>30</x:v>
      </x:c>
      <x:c r="BF28" s="1" t="s">
        <x:v>30</x:v>
      </x:c>
    </x:row>
    <x:row r="29" ht="15" hidden="0" customHeight="1">
      <x:c r="A29" s="1" t="s">
        <x:v>2999</x:v>
      </x:c>
      <x:c r="B29" s="1" t="s">
        <x:v>5481</x:v>
      </x:c>
      <x:c r="C29" s="1" t="s">
        <x:v>5693</x:v>
      </x:c>
      <x:c r="D29" s="1" t="n">
        <x:v>19</x:v>
      </x:c>
      <x:c r="E29" s="1" t="n">
        <x:v>4</x:v>
      </x:c>
      <x:c r="F29" s="1" t="n">
        <x:v>0</x:v>
      </x:c>
      <x:c r="G29" s="1" t="n">
        <x:v>1</x:v>
      </x:c>
      <x:c r="H29" s="1" t="n">
        <x:v>0</x:v>
      </x:c>
      <x:c r="I29" s="1" t="n">
        <x:v>0</x:v>
      </x:c>
      <x:c r="J29" s="1" t="s">
        <x:v>6768</x:v>
      </x:c>
      <x:c r="K29" s="1" t="s">
        <x:v>6774</x:v>
      </x:c>
      <x:c r="L29" s="1" t="s">
        <x:v>6766</x:v>
      </x:c>
      <x:c r="M29" s="1" t="s">
        <x:v>6766</x:v>
      </x:c>
      <x:c r="N29" s="1" t="s">
        <x:v>6766</x:v>
      </x:c>
      <x:c r="O29" s="1" t="s">
        <x:v>6766</x:v>
      </x:c>
      <x:c r="P29" s="1" t="s">
        <x:v>30</x:v>
      </x:c>
      <x:c r="Q29" s="1" t="s">
        <x:v>30</x:v>
      </x:c>
      <x:c r="R29" s="1" t="s">
        <x:v>30</x:v>
      </x:c>
      <x:c r="S29" s="1" t="s">
        <x:v>30</x:v>
      </x:c>
      <x:c r="T29" s="1" t="s">
        <x:v>30</x:v>
      </x:c>
      <x:c r="U29" s="1" t="s">
        <x:v>30</x:v>
      </x:c>
      <x:c r="V29" s="1" t="s">
        <x:v>30</x:v>
      </x:c>
      <x:c r="W29" s="1" t="s">
        <x:v>30</x:v>
      </x:c>
      <x:c r="X29" s="1" t="s">
        <x:v>30</x:v>
      </x:c>
      <x:c r="Y29" s="1" t="s">
        <x:v>6766</x:v>
      </x:c>
      <x:c r="Z29" s="1" t="s">
        <x:v>30</x:v>
      </x:c>
      <x:c r="AA29" s="1" t="s">
        <x:v>30</x:v>
      </x:c>
      <x:c r="AB29" s="1" t="s">
        <x:v>30</x:v>
      </x:c>
      <x:c r="AC29" s="1" t="s">
        <x:v>30</x:v>
      </x:c>
      <x:c r="AD29" s="1" t="s">
        <x:v>30</x:v>
      </x:c>
      <x:c r="AE29" s="1" t="s">
        <x:v>30</x:v>
      </x:c>
      <x:c r="AF29" s="1" t="s">
        <x:v>30</x:v>
      </x:c>
      <x:c r="AG29" s="1" t="s">
        <x:v>30</x:v>
      </x:c>
      <x:c r="AH29" s="1" t="s">
        <x:v>30</x:v>
      </x:c>
      <x:c r="AI29" s="1" t="s">
        <x:v>30</x:v>
      </x:c>
      <x:c r="AJ29" s="1" t="s">
        <x:v>30</x:v>
      </x:c>
      <x:c r="AK29" s="1" t="s">
        <x:v>30</x:v>
      </x:c>
      <x:c r="AL29" s="1" t="s">
        <x:v>30</x:v>
      </x:c>
      <x:c r="AM29" s="1" t="s">
        <x:v>30</x:v>
      </x:c>
      <x:c r="AN29" s="1" t="s">
        <x:v>30</x:v>
      </x:c>
      <x:c r="AO29" s="1" t="s">
        <x:v>30</x:v>
      </x:c>
      <x:c r="AP29" s="1" t="s">
        <x:v>30</x:v>
      </x:c>
      <x:c r="AQ29" s="1" t="s">
        <x:v>6707</x:v>
      </x:c>
      <x:c r="AR29" s="1" t="s">
        <x:v>6707</x:v>
      </x:c>
      <x:c r="AS29" s="1" t="s">
        <x:v>6707</x:v>
      </x:c>
      <x:c r="AT29" s="1" t="s">
        <x:v>6707</x:v>
      </x:c>
      <x:c r="AU29" s="1" t="s">
        <x:v>6707</x:v>
      </x:c>
      <x:c r="AV29" s="1" t="s">
        <x:v>6768</x:v>
      </x:c>
      <x:c r="AW29" s="1" t="s">
        <x:v>6766</x:v>
      </x:c>
      <x:c r="AX29" s="1" t="s">
        <x:v>6766</x:v>
      </x:c>
      <x:c r="AY29" s="1" t="s">
        <x:v>6766</x:v>
      </x:c>
      <x:c r="AZ29" s="1" t="s">
        <x:v>6770</x:v>
      </x:c>
      <x:c r="BA29" s="1" t="s">
        <x:v>30</x:v>
      </x:c>
      <x:c r="BB29" s="1" t="s">
        <x:v>30</x:v>
      </x:c>
      <x:c r="BC29" s="1" t="s">
        <x:v>6766</x:v>
      </x:c>
      <x:c r="BD29" s="1" t="s">
        <x:v>6766</x:v>
      </x:c>
      <x:c r="BE29" s="1" t="s">
        <x:v>30</x:v>
      </x:c>
      <x:c r="BF29" s="1" t="s">
        <x:v>30</x:v>
      </x:c>
    </x:row>
    <x:row r="30" ht="15" hidden="0" customHeight="1">
      <x:c r="A30" s="1" t="s">
        <x:v>2138</x:v>
      </x:c>
      <x:c r="B30" s="1" t="s">
        <x:v>5481</x:v>
      </x:c>
      <x:c r="C30" s="1" t="s">
        <x:v>5693</x:v>
      </x:c>
      <x:c r="D30" s="1" t="n">
        <x:v>17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s">
        <x:v>30</x:v>
      </x:c>
      <x:c r="K30" s="1" t="s">
        <x:v>6768</x:v>
      </x:c>
      <x:c r="L30" s="1" t="s">
        <x:v>6766</x:v>
      </x:c>
      <x:c r="M30" s="1" t="s">
        <x:v>6766</x:v>
      </x:c>
      <x:c r="N30" s="1" t="s">
        <x:v>6768</x:v>
      </x:c>
      <x:c r="O30" s="1" t="s">
        <x:v>6766</x:v>
      </x:c>
      <x:c r="P30" s="1" t="s">
        <x:v>6766</x:v>
      </x:c>
      <x:c r="Q30" s="1" t="s">
        <x:v>6766</x:v>
      </x:c>
      <x:c r="R30" s="1" t="s">
        <x:v>30</x:v>
      </x:c>
      <x:c r="S30" s="1" t="s">
        <x:v>30</x:v>
      </x:c>
      <x:c r="T30" s="1" t="s">
        <x:v>6766</x:v>
      </x:c>
      <x:c r="U30" s="1" t="s">
        <x:v>30</x:v>
      </x:c>
      <x:c r="V30" s="1" t="s">
        <x:v>30</x:v>
      </x:c>
      <x:c r="W30" s="1" t="s">
        <x:v>30</x:v>
      </x:c>
      <x:c r="X30" s="1" t="s">
        <x:v>30</x:v>
      </x:c>
      <x:c r="Y30" s="1" t="s">
        <x:v>6766</x:v>
      </x:c>
      <x:c r="Z30" s="1" t="s">
        <x:v>6766</x:v>
      </x:c>
      <x:c r="AA30" s="1" t="s">
        <x:v>30</x:v>
      </x:c>
      <x:c r="AB30" s="1" t="s">
        <x:v>30</x:v>
      </x:c>
      <x:c r="AC30" s="1" t="s">
        <x:v>6766</x:v>
      </x:c>
      <x:c r="AD30" s="1" t="s">
        <x:v>30</x:v>
      </x:c>
      <x:c r="AE30" s="1" t="s">
        <x:v>30</x:v>
      </x:c>
      <x:c r="AF30" s="1" t="s">
        <x:v>30</x:v>
      </x:c>
      <x:c r="AG30" s="1" t="s">
        <x:v>30</x:v>
      </x:c>
      <x:c r="AH30" s="1" t="s">
        <x:v>30</x:v>
      </x:c>
      <x:c r="AI30" s="1" t="s">
        <x:v>30</x:v>
      </x:c>
      <x:c r="AJ30" s="1" t="s">
        <x:v>30</x:v>
      </x:c>
      <x:c r="AK30" s="1" t="s">
        <x:v>30</x:v>
      </x:c>
      <x:c r="AL30" s="1" t="s">
        <x:v>30</x:v>
      </x:c>
      <x:c r="AM30" s="1" t="s">
        <x:v>30</x:v>
      </x:c>
      <x:c r="AN30" s="1" t="s">
        <x:v>30</x:v>
      </x:c>
      <x:c r="AO30" s="1" t="s">
        <x:v>30</x:v>
      </x:c>
      <x:c r="AP30" s="1" t="s">
        <x:v>30</x:v>
      </x:c>
      <x:c r="AQ30" s="1" t="s">
        <x:v>6707</x:v>
      </x:c>
      <x:c r="AR30" s="1" t="s">
        <x:v>6707</x:v>
      </x:c>
      <x:c r="AS30" s="1" t="s">
        <x:v>6707</x:v>
      </x:c>
      <x:c r="AT30" s="1" t="s">
        <x:v>6707</x:v>
      </x:c>
      <x:c r="AU30" s="1" t="s">
        <x:v>6707</x:v>
      </x:c>
      <x:c r="AV30" s="1" t="s">
        <x:v>30</x:v>
      </x:c>
      <x:c r="AW30" s="1" t="s">
        <x:v>6766</x:v>
      </x:c>
      <x:c r="AX30" s="1" t="s">
        <x:v>30</x:v>
      </x:c>
      <x:c r="AY30" s="1" t="s">
        <x:v>6769</x:v>
      </x:c>
      <x:c r="AZ30" s="1" t="s">
        <x:v>30</x:v>
      </x:c>
      <x:c r="BA30" s="1" t="s">
        <x:v>30</x:v>
      </x:c>
      <x:c r="BB30" s="1" t="s">
        <x:v>30</x:v>
      </x:c>
      <x:c r="BC30" s="1" t="s">
        <x:v>30</x:v>
      </x:c>
      <x:c r="BD30" s="1" t="s">
        <x:v>30</x:v>
      </x:c>
      <x:c r="BE30" s="1" t="s">
        <x:v>30</x:v>
      </x:c>
      <x:c r="BF30" s="1" t="s">
        <x:v>30</x:v>
      </x:c>
    </x:row>
    <x:row r="31" ht="15" hidden="0" customHeight="1">
      <x:c r="A31" s="1" t="s">
        <x:v>2874</x:v>
      </x:c>
      <x:c r="B31" s="1" t="s">
        <x:v>5532</x:v>
      </x:c>
      <x:c r="C31" s="1" t="s">
        <x:v>5693</x:v>
      </x:c>
      <x:c r="D31" s="1" t="n">
        <x:v>13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s">
        <x:v>30</x:v>
      </x:c>
      <x:c r="K31" s="1" t="s">
        <x:v>6766</x:v>
      </x:c>
      <x:c r="L31" s="1" t="s">
        <x:v>30</x:v>
      </x:c>
      <x:c r="M31" s="1" t="s">
        <x:v>6766</x:v>
      </x:c>
      <x:c r="N31" s="1" t="s">
        <x:v>6766</x:v>
      </x:c>
      <x:c r="O31" s="1" t="s">
        <x:v>30</x:v>
      </x:c>
      <x:c r="P31" s="1" t="s">
        <x:v>30</x:v>
      </x:c>
      <x:c r="Q31" s="1" t="s">
        <x:v>30</x:v>
      </x:c>
      <x:c r="R31" s="1" t="s">
        <x:v>30</x:v>
      </x:c>
      <x:c r="S31" s="1" t="s">
        <x:v>30</x:v>
      </x:c>
      <x:c r="T31" s="1" t="s">
        <x:v>30</x:v>
      </x:c>
      <x:c r="U31" s="1" t="s">
        <x:v>30</x:v>
      </x:c>
      <x:c r="V31" s="1" t="s">
        <x:v>30</x:v>
      </x:c>
      <x:c r="W31" s="1" t="s">
        <x:v>6769</x:v>
      </x:c>
      <x:c r="X31" s="1" t="s">
        <x:v>30</x:v>
      </x:c>
      <x:c r="Y31" s="1" t="s">
        <x:v>30</x:v>
      </x:c>
      <x:c r="Z31" s="1" t="s">
        <x:v>6766</x:v>
      </x:c>
      <x:c r="AA31" s="1" t="s">
        <x:v>30</x:v>
      </x:c>
      <x:c r="AB31" s="1" t="s">
        <x:v>30</x:v>
      </x:c>
      <x:c r="AC31" s="1" t="s">
        <x:v>30</x:v>
      </x:c>
      <x:c r="AD31" s="1" t="s">
        <x:v>30</x:v>
      </x:c>
      <x:c r="AE31" s="1" t="s">
        <x:v>30</x:v>
      </x:c>
      <x:c r="AF31" s="1" t="s">
        <x:v>30</x:v>
      </x:c>
      <x:c r="AG31" s="1" t="s">
        <x:v>6770</x:v>
      </x:c>
      <x:c r="AH31" s="1" t="s">
        <x:v>30</x:v>
      </x:c>
      <x:c r="AI31" s="1" t="s">
        <x:v>30</x:v>
      </x:c>
      <x:c r="AJ31" s="1" t="s">
        <x:v>30</x:v>
      </x:c>
      <x:c r="AK31" s="1" t="s">
        <x:v>6766</x:v>
      </x:c>
      <x:c r="AL31" s="1" t="s">
        <x:v>30</x:v>
      </x:c>
      <x:c r="AM31" s="1" t="s">
        <x:v>30</x:v>
      </x:c>
      <x:c r="AN31" s="1" t="s">
        <x:v>30</x:v>
      </x:c>
      <x:c r="AO31" s="1" t="s">
        <x:v>30</x:v>
      </x:c>
      <x:c r="AP31" s="1" t="s">
        <x:v>30</x:v>
      </x:c>
      <x:c r="AQ31" s="1" t="s">
        <x:v>6707</x:v>
      </x:c>
      <x:c r="AR31" s="1" t="s">
        <x:v>6707</x:v>
      </x:c>
      <x:c r="AS31" s="1" t="s">
        <x:v>6707</x:v>
      </x:c>
      <x:c r="AT31" s="1" t="s">
        <x:v>6707</x:v>
      </x:c>
      <x:c r="AU31" s="1" t="s">
        <x:v>6707</x:v>
      </x:c>
      <x:c r="AV31" s="1" t="s">
        <x:v>30</x:v>
      </x:c>
      <x:c r="AW31" s="1" t="s">
        <x:v>6766</x:v>
      </x:c>
      <x:c r="AX31" s="1" t="s">
        <x:v>30</x:v>
      </x:c>
      <x:c r="AY31" s="1" t="s">
        <x:v>30</x:v>
      </x:c>
      <x:c r="AZ31" s="1" t="s">
        <x:v>30</x:v>
      </x:c>
      <x:c r="BA31" s="1" t="s">
        <x:v>30</x:v>
      </x:c>
      <x:c r="BB31" s="1" t="s">
        <x:v>30</x:v>
      </x:c>
      <x:c r="BC31" s="1" t="s">
        <x:v>30</x:v>
      </x:c>
      <x:c r="BD31" s="1" t="s">
        <x:v>30</x:v>
      </x:c>
      <x:c r="BE31" s="1" t="s">
        <x:v>30</x:v>
      </x:c>
      <x:c r="BF31" s="1" t="s">
        <x:v>30</x:v>
      </x:c>
    </x:row>
    <x:row r="32" ht="15" hidden="0" customHeight="1">
      <x:c r="A32" s="1" t="s">
        <x:v>2181</x:v>
      </x:c>
      <x:c r="B32" s="1" t="s">
        <x:v>5532</x:v>
      </x:c>
      <x:c r="C32" s="1" t="s">
        <x:v>5693</x:v>
      </x:c>
      <x:c r="D32" s="1" t="n">
        <x:v>17</x:v>
      </x:c>
      <x:c r="E32" s="1" t="n">
        <x:v>1</x:v>
      </x:c>
      <x:c r="F32" s="1" t="n">
        <x:v>0</x:v>
      </x:c>
      <x:c r="G32" s="1" t="n">
        <x:v>1</x:v>
      </x:c>
      <x:c r="H32" s="1" t="n">
        <x:v>0</x:v>
      </x:c>
      <x:c r="I32" s="1" t="n">
        <x:v>0</x:v>
      </x:c>
      <x:c r="J32" s="1" t="s">
        <x:v>30</x:v>
      </x:c>
      <x:c r="K32" s="1" t="s">
        <x:v>6766</x:v>
      </x:c>
      <x:c r="L32" s="1" t="s">
        <x:v>6766</x:v>
      </x:c>
      <x:c r="M32" s="1" t="s">
        <x:v>30</x:v>
      </x:c>
      <x:c r="N32" s="1" t="s">
        <x:v>6766</x:v>
      </x:c>
      <x:c r="O32" s="1" t="s">
        <x:v>6766</x:v>
      </x:c>
      <x:c r="P32" s="1" t="s">
        <x:v>30</x:v>
      </x:c>
      <x:c r="Q32" s="1" t="s">
        <x:v>30</x:v>
      </x:c>
      <x:c r="R32" s="1" t="s">
        <x:v>6768</x:v>
      </x:c>
      <x:c r="S32" s="1" t="s">
        <x:v>30</x:v>
      </x:c>
      <x:c r="T32" s="1" t="s">
        <x:v>6766</x:v>
      </x:c>
      <x:c r="U32" s="1" t="s">
        <x:v>30</x:v>
      </x:c>
      <x:c r="V32" s="1" t="s">
        <x:v>6768</x:v>
      </x:c>
      <x:c r="W32" s="1" t="s">
        <x:v>30</x:v>
      </x:c>
      <x:c r="X32" s="1" t="s">
        <x:v>30</x:v>
      </x:c>
      <x:c r="Y32" s="1" t="s">
        <x:v>6766</x:v>
      </x:c>
      <x:c r="Z32" s="1" t="s">
        <x:v>6766</x:v>
      </x:c>
      <x:c r="AA32" s="1" t="s">
        <x:v>30</x:v>
      </x:c>
      <x:c r="AB32" s="1" t="s">
        <x:v>30</x:v>
      </x:c>
      <x:c r="AC32" s="1" t="s">
        <x:v>6766</x:v>
      </x:c>
      <x:c r="AD32" s="1" t="s">
        <x:v>30</x:v>
      </x:c>
      <x:c r="AE32" s="1" t="s">
        <x:v>30</x:v>
      </x:c>
      <x:c r="AF32" s="1" t="s">
        <x:v>30</x:v>
      </x:c>
      <x:c r="AG32" s="1" t="s">
        <x:v>30</x:v>
      </x:c>
      <x:c r="AH32" s="1" t="s">
        <x:v>6766</x:v>
      </x:c>
      <x:c r="AI32" s="1" t="s">
        <x:v>30</x:v>
      </x:c>
      <x:c r="AJ32" s="1" t="s">
        <x:v>30</x:v>
      </x:c>
      <x:c r="AK32" s="1" t="s">
        <x:v>6766</x:v>
      </x:c>
      <x:c r="AL32" s="1" t="s">
        <x:v>30</x:v>
      </x:c>
      <x:c r="AM32" s="1" t="s">
        <x:v>30</x:v>
      </x:c>
      <x:c r="AN32" s="1" t="s">
        <x:v>30</x:v>
      </x:c>
      <x:c r="AO32" s="1" t="s">
        <x:v>30</x:v>
      </x:c>
      <x:c r="AP32" s="1" t="s">
        <x:v>30</x:v>
      </x:c>
      <x:c r="AQ32" s="1" t="s">
        <x:v>6707</x:v>
      </x:c>
      <x:c r="AR32" s="1" t="s">
        <x:v>6707</x:v>
      </x:c>
      <x:c r="AS32" s="1" t="s">
        <x:v>6707</x:v>
      </x:c>
      <x:c r="AT32" s="1" t="s">
        <x:v>6707</x:v>
      </x:c>
      <x:c r="AU32" s="1" t="s">
        <x:v>6707</x:v>
      </x:c>
      <x:c r="AV32" s="1" t="s">
        <x:v>30</x:v>
      </x:c>
      <x:c r="AW32" s="1" t="s">
        <x:v>30</x:v>
      </x:c>
      <x:c r="AX32" s="1" t="s">
        <x:v>30</x:v>
      </x:c>
      <x:c r="AY32" s="1" t="s">
        <x:v>6769</x:v>
      </x:c>
      <x:c r="AZ32" s="1" t="s">
        <x:v>6766</x:v>
      </x:c>
      <x:c r="BA32" s="1" t="s">
        <x:v>30</x:v>
      </x:c>
      <x:c r="BB32" s="1" t="s">
        <x:v>30</x:v>
      </x:c>
      <x:c r="BC32" s="1" t="s">
        <x:v>30</x:v>
      </x:c>
      <x:c r="BD32" s="1" t="s">
        <x:v>30</x:v>
      </x:c>
      <x:c r="BE32" s="1" t="s">
        <x:v>6766</x:v>
      </x:c>
      <x:c r="BF32" s="1" t="s">
        <x:v>30</x:v>
      </x:c>
    </x:row>
    <x:row r="33" ht="15" hidden="0" customHeight="1">
      <x:c r="A33" s="1" t="s">
        <x:v>1812</x:v>
      </x:c>
      <x:c r="B33" s="1" t="s">
        <x:v>5478</x:v>
      </x:c>
      <x:c r="C33" s="1" t="s">
        <x:v>5693</x:v>
      </x:c>
      <x:c r="D33" s="1" t="n">
        <x:v>11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s">
        <x:v>30</x:v>
      </x:c>
      <x:c r="K33" s="1" t="s">
        <x:v>6768</x:v>
      </x:c>
      <x:c r="L33" s="1" t="s">
        <x:v>30</x:v>
      </x:c>
      <x:c r="M33" s="1" t="s">
        <x:v>30</x:v>
      </x:c>
      <x:c r="N33" s="1" t="s">
        <x:v>6766</x:v>
      </x:c>
      <x:c r="O33" s="1" t="s">
        <x:v>6768</x:v>
      </x:c>
      <x:c r="P33" s="1" t="s">
        <x:v>30</x:v>
      </x:c>
      <x:c r="Q33" s="1" t="s">
        <x:v>30</x:v>
      </x:c>
      <x:c r="R33" s="1" t="s">
        <x:v>30</x:v>
      </x:c>
      <x:c r="S33" s="1" t="s">
        <x:v>30</x:v>
      </x:c>
      <x:c r="T33" s="1" t="s">
        <x:v>30</x:v>
      </x:c>
      <x:c r="U33" s="1" t="s">
        <x:v>30</x:v>
      </x:c>
      <x:c r="V33" s="1" t="s">
        <x:v>30</x:v>
      </x:c>
      <x:c r="W33" s="1" t="s">
        <x:v>30</x:v>
      </x:c>
      <x:c r="X33" s="1" t="s">
        <x:v>30</x:v>
      </x:c>
      <x:c r="Y33" s="1" t="s">
        <x:v>30</x:v>
      </x:c>
      <x:c r="Z33" s="1" t="s">
        <x:v>6768</x:v>
      </x:c>
      <x:c r="AA33" s="1" t="s">
        <x:v>30</x:v>
      </x:c>
      <x:c r="AB33" s="1" t="s">
        <x:v>30</x:v>
      </x:c>
      <x:c r="AC33" s="1" t="s">
        <x:v>30</x:v>
      </x:c>
      <x:c r="AD33" s="1" t="s">
        <x:v>30</x:v>
      </x:c>
      <x:c r="AE33" s="1" t="s">
        <x:v>30</x:v>
      </x:c>
      <x:c r="AF33" s="1" t="s">
        <x:v>30</x:v>
      </x:c>
      <x:c r="AG33" s="1" t="s">
        <x:v>6770</x:v>
      </x:c>
      <x:c r="AH33" s="1" t="s">
        <x:v>30</x:v>
      </x:c>
      <x:c r="AI33" s="1" t="s">
        <x:v>30</x:v>
      </x:c>
      <x:c r="AJ33" s="1" t="s">
        <x:v>30</x:v>
      </x:c>
      <x:c r="AK33" s="1" t="s">
        <x:v>30</x:v>
      </x:c>
      <x:c r="AL33" s="1" t="s">
        <x:v>30</x:v>
      </x:c>
      <x:c r="AM33" s="1" t="s">
        <x:v>30</x:v>
      </x:c>
      <x:c r="AN33" s="1" t="s">
        <x:v>30</x:v>
      </x:c>
      <x:c r="AO33" s="1" t="s">
        <x:v>30</x:v>
      </x:c>
      <x:c r="AP33" s="1" t="s">
        <x:v>30</x:v>
      </x:c>
      <x:c r="AQ33" s="1" t="s">
        <x:v>6707</x:v>
      </x:c>
      <x:c r="AR33" s="1" t="s">
        <x:v>6707</x:v>
      </x:c>
      <x:c r="AS33" s="1" t="s">
        <x:v>6707</x:v>
      </x:c>
      <x:c r="AT33" s="1" t="s">
        <x:v>6707</x:v>
      </x:c>
      <x:c r="AU33" s="1" t="s">
        <x:v>6707</x:v>
      </x:c>
      <x:c r="AV33" s="1" t="s">
        <x:v>30</x:v>
      </x:c>
      <x:c r="AW33" s="1" t="s">
        <x:v>30</x:v>
      </x:c>
      <x:c r="AX33" s="1" t="s">
        <x:v>30</x:v>
      </x:c>
      <x:c r="AY33" s="1" t="s">
        <x:v>30</x:v>
      </x:c>
      <x:c r="AZ33" s="1" t="s">
        <x:v>30</x:v>
      </x:c>
      <x:c r="BA33" s="1" t="s">
        <x:v>30</x:v>
      </x:c>
      <x:c r="BB33" s="1" t="s">
        <x:v>30</x:v>
      </x:c>
      <x:c r="BC33" s="1" t="s">
        <x:v>30</x:v>
      </x:c>
      <x:c r="BD33" s="1" t="s">
        <x:v>30</x:v>
      </x:c>
      <x:c r="BE33" s="1" t="s">
        <x:v>30</x:v>
      </x:c>
      <x:c r="BF33" s="1" t="s">
        <x:v>30</x:v>
      </x:c>
    </x:row>
    <x:row r="34" ht="15" hidden="0" customHeight="1">
      <x:c r="A34" s="1" t="s">
        <x:v>1845</x:v>
      </x:c>
      <x:c r="B34" s="1" t="s">
        <x:v>5536</x:v>
      </x:c>
      <x:c r="C34" s="1" t="s">
        <x:v>5693</x:v>
      </x:c>
      <x:c r="D34" s="1" t="n">
        <x:v>8</x:v>
      </x:c>
      <x:c r="E34" s="1" t="n">
        <x:v>1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s">
        <x:v>30</x:v>
      </x:c>
      <x:c r="K34" s="1" t="s">
        <x:v>30</x:v>
      </x:c>
      <x:c r="L34" s="1" t="s">
        <x:v>6768</x:v>
      </x:c>
      <x:c r="M34" s="1" t="s">
        <x:v>30</x:v>
      </x:c>
      <x:c r="N34" s="1" t="s">
        <x:v>30</x:v>
      </x:c>
      <x:c r="O34" s="1" t="s">
        <x:v>6766</x:v>
      </x:c>
      <x:c r="P34" s="1" t="s">
        <x:v>6766</x:v>
      </x:c>
      <x:c r="Q34" s="1" t="s">
        <x:v>6766</x:v>
      </x:c>
      <x:c r="R34" s="1" t="s">
        <x:v>30</x:v>
      </x:c>
      <x:c r="S34" s="1" t="s">
        <x:v>30</x:v>
      </x:c>
      <x:c r="T34" s="1" t="s">
        <x:v>30</x:v>
      </x:c>
      <x:c r="U34" s="1" t="s">
        <x:v>30</x:v>
      </x:c>
      <x:c r="V34" s="1" t="s">
        <x:v>30</x:v>
      </x:c>
      <x:c r="W34" s="1" t="s">
        <x:v>6766</x:v>
      </x:c>
      <x:c r="X34" s="1" t="s">
        <x:v>30</x:v>
      </x:c>
      <x:c r="Y34" s="1" t="s">
        <x:v>6766</x:v>
      </x:c>
      <x:c r="Z34" s="1" t="s">
        <x:v>30</x:v>
      </x:c>
      <x:c r="AA34" s="1" t="s">
        <x:v>30</x:v>
      </x:c>
      <x:c r="AB34" s="1" t="s">
        <x:v>30</x:v>
      </x:c>
      <x:c r="AC34" s="1" t="s">
        <x:v>30</x:v>
      </x:c>
      <x:c r="AD34" s="1" t="s">
        <x:v>30</x:v>
      </x:c>
      <x:c r="AE34" s="1" t="s">
        <x:v>30</x:v>
      </x:c>
      <x:c r="AF34" s="1" t="s">
        <x:v>30</x:v>
      </x:c>
      <x:c r="AG34" s="1" t="s">
        <x:v>30</x:v>
      </x:c>
      <x:c r="AH34" s="1" t="s">
        <x:v>6766</x:v>
      </x:c>
      <x:c r="AI34" s="1" t="s">
        <x:v>30</x:v>
      </x:c>
      <x:c r="AJ34" s="1" t="s">
        <x:v>30</x:v>
      </x:c>
      <x:c r="AK34" s="1" t="s">
        <x:v>30</x:v>
      </x:c>
      <x:c r="AL34" s="1" t="s">
        <x:v>30</x:v>
      </x:c>
      <x:c r="AM34" s="1" t="s">
        <x:v>30</x:v>
      </x:c>
      <x:c r="AN34" s="1" t="s">
        <x:v>30</x:v>
      </x:c>
      <x:c r="AO34" s="1" t="s">
        <x:v>30</x:v>
      </x:c>
      <x:c r="AP34" s="1" t="s">
        <x:v>30</x:v>
      </x:c>
      <x:c r="AQ34" s="1" t="s">
        <x:v>6707</x:v>
      </x:c>
      <x:c r="AR34" s="1" t="s">
        <x:v>6707</x:v>
      </x:c>
      <x:c r="AS34" s="1" t="s">
        <x:v>6707</x:v>
      </x:c>
      <x:c r="AT34" s="1" t="s">
        <x:v>6707</x:v>
      </x:c>
      <x:c r="AU34" s="1" t="s">
        <x:v>6707</x:v>
      </x:c>
      <x:c r="AV34" s="1" t="s">
        <x:v>30</x:v>
      </x:c>
      <x:c r="AW34" s="1" t="s">
        <x:v>30</x:v>
      </x:c>
      <x:c r="AX34" s="1" t="s">
        <x:v>30</x:v>
      </x:c>
      <x:c r="AY34" s="1" t="s">
        <x:v>30</x:v>
      </x:c>
      <x:c r="AZ34" s="1" t="s">
        <x:v>6766</x:v>
      </x:c>
      <x:c r="BA34" s="1" t="s">
        <x:v>30</x:v>
      </x:c>
      <x:c r="BB34" s="1" t="s">
        <x:v>30</x:v>
      </x:c>
      <x:c r="BC34" s="1" t="s">
        <x:v>30</x:v>
      </x:c>
      <x:c r="BD34" s="1" t="s">
        <x:v>30</x:v>
      </x:c>
      <x:c r="BE34" s="1" t="s">
        <x:v>30</x:v>
      </x:c>
      <x:c r="BF34" s="1" t="s">
        <x:v>30</x:v>
      </x:c>
    </x:row>
    <x:row r="35" ht="15" hidden="0" customHeight="1">
      <x:c r="A35" s="1" t="s">
        <x:v>661</x:v>
      </x:c>
      <x:c r="B35" s="1" t="s">
        <x:v>5538</x:v>
      </x:c>
      <x:c r="C35" s="1" t="s">
        <x:v>5693</x:v>
      </x:c>
      <x:c r="D35" s="1" t="n">
        <x:v>6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s">
        <x:v>6766</x:v>
      </x:c>
      <x:c r="K35" s="1" t="s">
        <x:v>6768</x:v>
      </x:c>
      <x:c r="L35" s="1" t="s">
        <x:v>30</x:v>
      </x:c>
      <x:c r="M35" s="1" t="s">
        <x:v>30</x:v>
      </x:c>
      <x:c r="N35" s="1" t="s">
        <x:v>30</x:v>
      </x:c>
      <x:c r="O35" s="1" t="s">
        <x:v>6766</x:v>
      </x:c>
      <x:c r="P35" s="1" t="s">
        <x:v>30</x:v>
      </x:c>
      <x:c r="Q35" s="1" t="s">
        <x:v>30</x:v>
      </x:c>
      <x:c r="R35" s="1" t="s">
        <x:v>30</x:v>
      </x:c>
      <x:c r="S35" s="1" t="s">
        <x:v>30</x:v>
      </x:c>
      <x:c r="T35" s="1" t="s">
        <x:v>30</x:v>
      </x:c>
      <x:c r="U35" s="1" t="s">
        <x:v>30</x:v>
      </x:c>
      <x:c r="V35" s="1" t="s">
        <x:v>30</x:v>
      </x:c>
      <x:c r="W35" s="1" t="s">
        <x:v>30</x:v>
      </x:c>
      <x:c r="X35" s="1" t="s">
        <x:v>30</x:v>
      </x:c>
      <x:c r="Y35" s="1" t="s">
        <x:v>30</x:v>
      </x:c>
      <x:c r="Z35" s="1" t="s">
        <x:v>30</x:v>
      </x:c>
      <x:c r="AA35" s="1" t="s">
        <x:v>30</x:v>
      </x:c>
      <x:c r="AB35" s="1" t="s">
        <x:v>30</x:v>
      </x:c>
      <x:c r="AC35" s="1" t="s">
        <x:v>30</x:v>
      </x:c>
      <x:c r="AD35" s="1" t="s">
        <x:v>30</x:v>
      </x:c>
      <x:c r="AE35" s="1" t="s">
        <x:v>30</x:v>
      </x:c>
      <x:c r="AF35" s="1" t="s">
        <x:v>30</x:v>
      </x:c>
      <x:c r="AG35" s="1" t="s">
        <x:v>30</x:v>
      </x:c>
      <x:c r="AH35" s="1" t="s">
        <x:v>30</x:v>
      </x:c>
      <x:c r="AI35" s="1" t="s">
        <x:v>30</x:v>
      </x:c>
      <x:c r="AJ35" s="1" t="s">
        <x:v>30</x:v>
      </x:c>
      <x:c r="AK35" s="1" t="s">
        <x:v>30</x:v>
      </x:c>
      <x:c r="AL35" s="1" t="s">
        <x:v>30</x:v>
      </x:c>
      <x:c r="AM35" s="1" t="s">
        <x:v>30</x:v>
      </x:c>
      <x:c r="AN35" s="1" t="s">
        <x:v>30</x:v>
      </x:c>
      <x:c r="AO35" s="1" t="s">
        <x:v>30</x:v>
      </x:c>
      <x:c r="AP35" s="1" t="s">
        <x:v>30</x:v>
      </x:c>
      <x:c r="AQ35" s="1" t="s">
        <x:v>6707</x:v>
      </x:c>
      <x:c r="AR35" s="1" t="s">
        <x:v>6707</x:v>
      </x:c>
      <x:c r="AS35" s="1" t="s">
        <x:v>6707</x:v>
      </x:c>
      <x:c r="AT35" s="1" t="s">
        <x:v>6707</x:v>
      </x:c>
      <x:c r="AU35" s="1" t="s">
        <x:v>6707</x:v>
      </x:c>
      <x:c r="AV35" s="1" t="s">
        <x:v>30</x:v>
      </x:c>
      <x:c r="AW35" s="1" t="s">
        <x:v>30</x:v>
      </x:c>
      <x:c r="AX35" s="1" t="s">
        <x:v>30</x:v>
      </x:c>
      <x:c r="AY35" s="1" t="s">
        <x:v>6768</x:v>
      </x:c>
      <x:c r="AZ35" s="1" t="s">
        <x:v>30</x:v>
      </x:c>
      <x:c r="BA35" s="1" t="s">
        <x:v>30</x:v>
      </x:c>
      <x:c r="BB35" s="1" t="s">
        <x:v>30</x:v>
      </x:c>
      <x:c r="BC35" s="1" t="s">
        <x:v>30</x:v>
      </x:c>
      <x:c r="BD35" s="1" t="s">
        <x:v>30</x:v>
      </x:c>
      <x:c r="BE35" s="1" t="s">
        <x:v>30</x:v>
      </x:c>
      <x:c r="BF35" s="1" t="s">
        <x:v>30</x:v>
      </x:c>
    </x:row>
    <x:row r="36" ht="15" hidden="0" customHeight="1">
      <x:c r="A36" s="1" t="s">
        <x:v>675</x:v>
      </x:c>
      <x:c r="B36" s="1" t="s">
        <x:v>5538</x:v>
      </x:c>
      <x:c r="C36" s="1" t="s">
        <x:v>5693</x:v>
      </x:c>
      <x:c r="D36" s="1" t="n">
        <x:v>5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s">
        <x:v>6766</x:v>
      </x:c>
      <x:c r="K36" s="1" t="s">
        <x:v>6766</x:v>
      </x:c>
      <x:c r="L36" s="1" t="s">
        <x:v>30</x:v>
      </x:c>
      <x:c r="M36" s="1" t="s">
        <x:v>30</x:v>
      </x:c>
      <x:c r="N36" s="1" t="s">
        <x:v>30</x:v>
      </x:c>
      <x:c r="O36" s="1" t="s">
        <x:v>6766</x:v>
      </x:c>
      <x:c r="P36" s="1" t="s">
        <x:v>30</x:v>
      </x:c>
      <x:c r="Q36" s="1" t="s">
        <x:v>30</x:v>
      </x:c>
      <x:c r="R36" s="1" t="s">
        <x:v>6766</x:v>
      </x:c>
      <x:c r="S36" s="1" t="s">
        <x:v>30</x:v>
      </x:c>
      <x:c r="T36" s="1" t="s">
        <x:v>30</x:v>
      </x:c>
      <x:c r="U36" s="1" t="s">
        <x:v>30</x:v>
      </x:c>
      <x:c r="V36" s="1" t="s">
        <x:v>30</x:v>
      </x:c>
      <x:c r="W36" s="1" t="s">
        <x:v>30</x:v>
      </x:c>
      <x:c r="X36" s="1" t="s">
        <x:v>30</x:v>
      </x:c>
      <x:c r="Y36" s="1" t="s">
        <x:v>30</x:v>
      </x:c>
      <x:c r="Z36" s="1" t="s">
        <x:v>30</x:v>
      </x:c>
      <x:c r="AA36" s="1" t="s">
        <x:v>30</x:v>
      </x:c>
      <x:c r="AB36" s="1" t="s">
        <x:v>30</x:v>
      </x:c>
      <x:c r="AC36" s="1" t="s">
        <x:v>30</x:v>
      </x:c>
      <x:c r="AD36" s="1" t="s">
        <x:v>30</x:v>
      </x:c>
      <x:c r="AE36" s="1" t="s">
        <x:v>30</x:v>
      </x:c>
      <x:c r="AF36" s="1" t="s">
        <x:v>30</x:v>
      </x:c>
      <x:c r="AG36" s="1" t="s">
        <x:v>30</x:v>
      </x:c>
      <x:c r="AH36" s="1" t="s">
        <x:v>30</x:v>
      </x:c>
      <x:c r="AI36" s="1" t="s">
        <x:v>30</x:v>
      </x:c>
      <x:c r="AJ36" s="1" t="s">
        <x:v>30</x:v>
      </x:c>
      <x:c r="AK36" s="1" t="s">
        <x:v>30</x:v>
      </x:c>
      <x:c r="AL36" s="1" t="s">
        <x:v>30</x:v>
      </x:c>
      <x:c r="AM36" s="1" t="s">
        <x:v>30</x:v>
      </x:c>
      <x:c r="AN36" s="1" t="s">
        <x:v>30</x:v>
      </x:c>
      <x:c r="AO36" s="1" t="s">
        <x:v>30</x:v>
      </x:c>
      <x:c r="AP36" s="1" t="s">
        <x:v>30</x:v>
      </x:c>
      <x:c r="AQ36" s="1" t="s">
        <x:v>6707</x:v>
      </x:c>
      <x:c r="AR36" s="1" t="s">
        <x:v>6707</x:v>
      </x:c>
      <x:c r="AS36" s="1" t="s">
        <x:v>6707</x:v>
      </x:c>
      <x:c r="AT36" s="1" t="s">
        <x:v>6707</x:v>
      </x:c>
      <x:c r="AU36" s="1" t="s">
        <x:v>6707</x:v>
      </x:c>
      <x:c r="AV36" s="1" t="s">
        <x:v>30</x:v>
      </x:c>
      <x:c r="AW36" s="1" t="s">
        <x:v>30</x:v>
      </x:c>
      <x:c r="AX36" s="1" t="s">
        <x:v>30</x:v>
      </x:c>
      <x:c r="AY36" s="1" t="s">
        <x:v>6766</x:v>
      </x:c>
      <x:c r="AZ36" s="1" t="s">
        <x:v>30</x:v>
      </x:c>
      <x:c r="BA36" s="1" t="s">
        <x:v>30</x:v>
      </x:c>
      <x:c r="BB36" s="1" t="s">
        <x:v>30</x:v>
      </x:c>
      <x:c r="BC36" s="1" t="s">
        <x:v>30</x:v>
      </x:c>
      <x:c r="BD36" s="1" t="s">
        <x:v>30</x:v>
      </x:c>
      <x:c r="BE36" s="1" t="s">
        <x:v>30</x:v>
      </x:c>
      <x:c r="BF36" s="1" t="s">
        <x:v>30</x:v>
      </x:c>
    </x:row>
    <x:row r="37" ht="15" hidden="0" customHeight="1">
      <x:c r="A37" s="1" t="s">
        <x:v>1871</x:v>
      </x:c>
      <x:c r="B37" s="1" t="s">
        <x:v>5538</x:v>
      </x:c>
      <x:c r="C37" s="1" t="s">
        <x:v>5693</x:v>
      </x:c>
      <x:c r="D37" s="1" t="n">
        <x:v>11</x:v>
      </x:c>
      <x:c r="E37" s="1" t="n">
        <x:v>1</x:v>
      </x:c>
      <x:c r="F37" s="1" t="n">
        <x:v>0</x:v>
      </x:c>
      <x:c r="G37" s="1" t="n">
        <x:v>1</x:v>
      </x:c>
      <x:c r="H37" s="1" t="n">
        <x:v>0</x:v>
      </x:c>
      <x:c r="I37" s="1" t="n">
        <x:v>0</x:v>
      </x:c>
      <x:c r="J37" s="1" t="s">
        <x:v>30</x:v>
      </x:c>
      <x:c r="K37" s="1" t="s">
        <x:v>6766</x:v>
      </x:c>
      <x:c r="L37" s="1" t="s">
        <x:v>30</x:v>
      </x:c>
      <x:c r="M37" s="1" t="s">
        <x:v>30</x:v>
      </x:c>
      <x:c r="N37" s="1" t="s">
        <x:v>6769</x:v>
      </x:c>
      <x:c r="O37" s="1" t="s">
        <x:v>6766</x:v>
      </x:c>
      <x:c r="P37" s="1" t="s">
        <x:v>30</x:v>
      </x:c>
      <x:c r="Q37" s="1" t="s">
        <x:v>30</x:v>
      </x:c>
      <x:c r="R37" s="1" t="s">
        <x:v>30</x:v>
      </x:c>
      <x:c r="S37" s="1" t="s">
        <x:v>30</x:v>
      </x:c>
      <x:c r="T37" s="1" t="s">
        <x:v>30</x:v>
      </x:c>
      <x:c r="U37" s="1" t="s">
        <x:v>30</x:v>
      </x:c>
      <x:c r="V37" s="1" t="s">
        <x:v>30</x:v>
      </x:c>
      <x:c r="W37" s="1" t="s">
        <x:v>30</x:v>
      </x:c>
      <x:c r="X37" s="1" t="s">
        <x:v>30</x:v>
      </x:c>
      <x:c r="Y37" s="1" t="s">
        <x:v>30</x:v>
      </x:c>
      <x:c r="Z37" s="1" t="s">
        <x:v>30</x:v>
      </x:c>
      <x:c r="AA37" s="1" t="s">
        <x:v>30</x:v>
      </x:c>
      <x:c r="AB37" s="1" t="s">
        <x:v>30</x:v>
      </x:c>
      <x:c r="AC37" s="1" t="s">
        <x:v>6766</x:v>
      </x:c>
      <x:c r="AD37" s="1" t="s">
        <x:v>30</x:v>
      </x:c>
      <x:c r="AE37" s="1" t="s">
        <x:v>6766</x:v>
      </x:c>
      <x:c r="AF37" s="1" t="s">
        <x:v>6766</x:v>
      </x:c>
      <x:c r="AG37" s="1" t="s">
        <x:v>30</x:v>
      </x:c>
      <x:c r="AH37" s="1" t="s">
        <x:v>30</x:v>
      </x:c>
      <x:c r="AI37" s="1" t="s">
        <x:v>30</x:v>
      </x:c>
      <x:c r="AJ37" s="1" t="s">
        <x:v>30</x:v>
      </x:c>
      <x:c r="AK37" s="1" t="s">
        <x:v>30</x:v>
      </x:c>
      <x:c r="AL37" s="1" t="s">
        <x:v>30</x:v>
      </x:c>
      <x:c r="AM37" s="1" t="s">
        <x:v>30</x:v>
      </x:c>
      <x:c r="AN37" s="1" t="s">
        <x:v>30</x:v>
      </x:c>
      <x:c r="AO37" s="1" t="s">
        <x:v>30</x:v>
      </x:c>
      <x:c r="AP37" s="1" t="s">
        <x:v>30</x:v>
      </x:c>
      <x:c r="AQ37" s="1" t="s">
        <x:v>6707</x:v>
      </x:c>
      <x:c r="AR37" s="1" t="s">
        <x:v>6707</x:v>
      </x:c>
      <x:c r="AS37" s="1" t="s">
        <x:v>6707</x:v>
      </x:c>
      <x:c r="AT37" s="1" t="s">
        <x:v>6707</x:v>
      </x:c>
      <x:c r="AU37" s="1" t="s">
        <x:v>6707</x:v>
      </x:c>
      <x:c r="AV37" s="1" t="s">
        <x:v>30</x:v>
      </x:c>
      <x:c r="AW37" s="1" t="s">
        <x:v>6766</x:v>
      </x:c>
      <x:c r="AX37" s="1" t="s">
        <x:v>30</x:v>
      </x:c>
      <x:c r="AY37" s="1" t="s">
        <x:v>30</x:v>
      </x:c>
      <x:c r="AZ37" s="1" t="s">
        <x:v>6766</x:v>
      </x:c>
      <x:c r="BA37" s="1" t="s">
        <x:v>6766</x:v>
      </x:c>
      <x:c r="BB37" s="1" t="s">
        <x:v>30</x:v>
      </x:c>
      <x:c r="BC37" s="1" t="s">
        <x:v>30</x:v>
      </x:c>
      <x:c r="BD37" s="1" t="s">
        <x:v>30</x:v>
      </x:c>
      <x:c r="BE37" s="1" t="s">
        <x:v>6766</x:v>
      </x:c>
      <x:c r="BF37" s="1" t="s">
        <x:v>6766</x:v>
      </x:c>
    </x:row>
    <x:row r="38" ht="15" hidden="0" customHeight="1">
      <x:c r="A38" s="1" t="s">
        <x:v>688</x:v>
      </x:c>
      <x:c r="B38" s="1" t="s">
        <x:v>5538</x:v>
      </x:c>
      <x:c r="C38" s="1" t="s">
        <x:v>5693</x:v>
      </x:c>
      <x:c r="D38" s="1" t="n">
        <x:v>10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s">
        <x:v>6766</x:v>
      </x:c>
      <x:c r="K38" s="1" t="s">
        <x:v>6766</x:v>
      </x:c>
      <x:c r="L38" s="1" t="s">
        <x:v>30</x:v>
      </x:c>
      <x:c r="M38" s="1" t="s">
        <x:v>30</x:v>
      </x:c>
      <x:c r="N38" s="1" t="s">
        <x:v>30</x:v>
      </x:c>
      <x:c r="O38" s="1" t="s">
        <x:v>6766</x:v>
      </x:c>
      <x:c r="P38" s="1" t="s">
        <x:v>6766</x:v>
      </x:c>
      <x:c r="Q38" s="1" t="s">
        <x:v>30</x:v>
      </x:c>
      <x:c r="R38" s="1" t="s">
        <x:v>6766</x:v>
      </x:c>
      <x:c r="S38" s="1" t="s">
        <x:v>30</x:v>
      </x:c>
      <x:c r="T38" s="1" t="s">
        <x:v>30</x:v>
      </x:c>
      <x:c r="U38" s="1" t="s">
        <x:v>30</x:v>
      </x:c>
      <x:c r="V38" s="1" t="s">
        <x:v>30</x:v>
      </x:c>
      <x:c r="W38" s="1" t="s">
        <x:v>30</x:v>
      </x:c>
      <x:c r="X38" s="1" t="s">
        <x:v>30</x:v>
      </x:c>
      <x:c r="Y38" s="1" t="s">
        <x:v>30</x:v>
      </x:c>
      <x:c r="Z38" s="1" t="s">
        <x:v>30</x:v>
      </x:c>
      <x:c r="AA38" s="1" t="s">
        <x:v>30</x:v>
      </x:c>
      <x:c r="AB38" s="1" t="s">
        <x:v>30</x:v>
      </x:c>
      <x:c r="AC38" s="1" t="s">
        <x:v>30</x:v>
      </x:c>
      <x:c r="AD38" s="1" t="s">
        <x:v>30</x:v>
      </x:c>
      <x:c r="AE38" s="1" t="s">
        <x:v>30</x:v>
      </x:c>
      <x:c r="AF38" s="1" t="s">
        <x:v>30</x:v>
      </x:c>
      <x:c r="AG38" s="1" t="s">
        <x:v>30</x:v>
      </x:c>
      <x:c r="AH38" s="1" t="s">
        <x:v>6766</x:v>
      </x:c>
      <x:c r="AI38" s="1" t="s">
        <x:v>30</x:v>
      </x:c>
      <x:c r="AJ38" s="1" t="s">
        <x:v>6766</x:v>
      </x:c>
      <x:c r="AK38" s="1" t="s">
        <x:v>6766</x:v>
      </x:c>
      <x:c r="AL38" s="1" t="s">
        <x:v>30</x:v>
      </x:c>
      <x:c r="AM38" s="1" t="s">
        <x:v>30</x:v>
      </x:c>
      <x:c r="AN38" s="1" t="s">
        <x:v>30</x:v>
      </x:c>
      <x:c r="AO38" s="1" t="s">
        <x:v>30</x:v>
      </x:c>
      <x:c r="AP38" s="1" t="s">
        <x:v>30</x:v>
      </x:c>
      <x:c r="AQ38" s="1" t="s">
        <x:v>6707</x:v>
      </x:c>
      <x:c r="AR38" s="1" t="s">
        <x:v>6707</x:v>
      </x:c>
      <x:c r="AS38" s="1" t="s">
        <x:v>6707</x:v>
      </x:c>
      <x:c r="AT38" s="1" t="s">
        <x:v>6707</x:v>
      </x:c>
      <x:c r="AU38" s="1" t="s">
        <x:v>6707</x:v>
      </x:c>
      <x:c r="AV38" s="1" t="s">
        <x:v>30</x:v>
      </x:c>
      <x:c r="AW38" s="1" t="s">
        <x:v>30</x:v>
      </x:c>
      <x:c r="AX38" s="1" t="s">
        <x:v>30</x:v>
      </x:c>
      <x:c r="AY38" s="1" t="s">
        <x:v>6768</x:v>
      </x:c>
      <x:c r="AZ38" s="1" t="s">
        <x:v>30</x:v>
      </x:c>
      <x:c r="BA38" s="1" t="s">
        <x:v>30</x:v>
      </x:c>
      <x:c r="BB38" s="1" t="s">
        <x:v>30</x:v>
      </x:c>
      <x:c r="BC38" s="1" t="s">
        <x:v>30</x:v>
      </x:c>
      <x:c r="BD38" s="1" t="s">
        <x:v>30</x:v>
      </x:c>
      <x:c r="BE38" s="1" t="s">
        <x:v>30</x:v>
      </x:c>
      <x:c r="BF38" s="1" t="s">
        <x:v>30</x:v>
      </x:c>
    </x:row>
    <x:row r="39" ht="15" hidden="0" customHeight="1">
      <x:c r="A39" s="1" t="s">
        <x:v>2760</x:v>
      </x:c>
      <x:c r="B39" s="1" t="s">
        <x:v>5538</x:v>
      </x:c>
      <x:c r="C39" s="1" t="s">
        <x:v>5693</x:v>
      </x:c>
      <x:c r="D39" s="1" t="n">
        <x:v>15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s">
        <x:v>30</x:v>
      </x:c>
      <x:c r="K39" s="1" t="s">
        <x:v>6767</x:v>
      </x:c>
      <x:c r="L39" s="1" t="s">
        <x:v>6766</x:v>
      </x:c>
      <x:c r="M39" s="1" t="s">
        <x:v>6766</x:v>
      </x:c>
      <x:c r="N39" s="1" t="s">
        <x:v>6766</x:v>
      </x:c>
      <x:c r="O39" s="1" t="s">
        <x:v>6766</x:v>
      </x:c>
      <x:c r="P39" s="1" t="s">
        <x:v>30</x:v>
      </x:c>
      <x:c r="Q39" s="1" t="s">
        <x:v>30</x:v>
      </x:c>
      <x:c r="R39" s="1" t="s">
        <x:v>30</x:v>
      </x:c>
      <x:c r="S39" s="1" t="s">
        <x:v>30</x:v>
      </x:c>
      <x:c r="T39" s="1" t="s">
        <x:v>30</x:v>
      </x:c>
      <x:c r="U39" s="1" t="s">
        <x:v>30</x:v>
      </x:c>
      <x:c r="V39" s="1" t="s">
        <x:v>30</x:v>
      </x:c>
      <x:c r="W39" s="1" t="s">
        <x:v>30</x:v>
      </x:c>
      <x:c r="X39" s="1" t="s">
        <x:v>30</x:v>
      </x:c>
      <x:c r="Y39" s="1" t="s">
        <x:v>30</x:v>
      </x:c>
      <x:c r="Z39" s="1" t="s">
        <x:v>30</x:v>
      </x:c>
      <x:c r="AA39" s="1" t="s">
        <x:v>30</x:v>
      </x:c>
      <x:c r="AB39" s="1" t="s">
        <x:v>30</x:v>
      </x:c>
      <x:c r="AC39" s="1" t="s">
        <x:v>30</x:v>
      </x:c>
      <x:c r="AD39" s="1" t="s">
        <x:v>30</x:v>
      </x:c>
      <x:c r="AE39" s="1" t="s">
        <x:v>30</x:v>
      </x:c>
      <x:c r="AF39" s="1" t="s">
        <x:v>30</x:v>
      </x:c>
      <x:c r="AG39" s="1" t="s">
        <x:v>6766</x:v>
      </x:c>
      <x:c r="AH39" s="1" t="s">
        <x:v>30</x:v>
      </x:c>
      <x:c r="AI39" s="1" t="s">
        <x:v>30</x:v>
      </x:c>
      <x:c r="AJ39" s="1" t="s">
        <x:v>30</x:v>
      </x:c>
      <x:c r="AK39" s="1" t="s">
        <x:v>30</x:v>
      </x:c>
      <x:c r="AL39" s="1" t="s">
        <x:v>6766</x:v>
      </x:c>
      <x:c r="AM39" s="1" t="s">
        <x:v>30</x:v>
      </x:c>
      <x:c r="AN39" s="1" t="s">
        <x:v>30</x:v>
      </x:c>
      <x:c r="AO39" s="1" t="s">
        <x:v>6766</x:v>
      </x:c>
      <x:c r="AP39" s="1" t="s">
        <x:v>6766</x:v>
      </x:c>
      <x:c r="AQ39" s="1" t="s">
        <x:v>6707</x:v>
      </x:c>
      <x:c r="AR39" s="1" t="s">
        <x:v>6707</x:v>
      </x:c>
      <x:c r="AS39" s="1" t="s">
        <x:v>6707</x:v>
      </x:c>
      <x:c r="AT39" s="1" t="s">
        <x:v>6707</x:v>
      </x:c>
      <x:c r="AU39" s="1" t="s">
        <x:v>6707</x:v>
      </x:c>
      <x:c r="AV39" s="1" t="s">
        <x:v>30</x:v>
      </x:c>
      <x:c r="AW39" s="1" t="s">
        <x:v>30</x:v>
      </x:c>
      <x:c r="AX39" s="1" t="s">
        <x:v>30</x:v>
      </x:c>
      <x:c r="AY39" s="1" t="s">
        <x:v>30</x:v>
      </x:c>
      <x:c r="AZ39" s="1" t="s">
        <x:v>30</x:v>
      </x:c>
      <x:c r="BA39" s="1" t="s">
        <x:v>30</x:v>
      </x:c>
      <x:c r="BB39" s="1" t="s">
        <x:v>30</x:v>
      </x:c>
      <x:c r="BC39" s="1" t="s">
        <x:v>30</x:v>
      </x:c>
      <x:c r="BD39" s="1" t="s">
        <x:v>30</x:v>
      </x:c>
      <x:c r="BE39" s="1" t="s">
        <x:v>30</x:v>
      </x:c>
      <x:c r="BF39" s="1" t="s">
        <x:v>30</x:v>
      </x:c>
    </x:row>
    <x:row r="40" ht="15" hidden="0" customHeight="1">
      <x:c r="A40" s="1" t="s">
        <x:v>1910</x:v>
      </x:c>
      <x:c r="B40" s="1" t="s">
        <x:v>5478</x:v>
      </x:c>
      <x:c r="C40" s="1" t="s">
        <x:v>5693</x:v>
      </x:c>
      <x:c r="D40" s="1" t="n">
        <x:v>7</x:v>
      </x:c>
      <x:c r="E40" s="1" t="n">
        <x:v>0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s">
        <x:v>30</x:v>
      </x:c>
      <x:c r="K40" s="1" t="s">
        <x:v>6766</x:v>
      </x:c>
      <x:c r="L40" s="1" t="s">
        <x:v>30</x:v>
      </x:c>
      <x:c r="M40" s="1" t="s">
        <x:v>6766</x:v>
      </x:c>
      <x:c r="N40" s="1" t="s">
        <x:v>30</x:v>
      </x:c>
      <x:c r="O40" s="1" t="s">
        <x:v>6766</x:v>
      </x:c>
      <x:c r="P40" s="1" t="s">
        <x:v>30</x:v>
      </x:c>
      <x:c r="Q40" s="1" t="s">
        <x:v>30</x:v>
      </x:c>
      <x:c r="R40" s="1" t="s">
        <x:v>30</x:v>
      </x:c>
      <x:c r="S40" s="1" t="s">
        <x:v>30</x:v>
      </x:c>
      <x:c r="T40" s="1" t="s">
        <x:v>30</x:v>
      </x:c>
      <x:c r="U40" s="1" t="s">
        <x:v>30</x:v>
      </x:c>
      <x:c r="V40" s="1" t="s">
        <x:v>30</x:v>
      </x:c>
      <x:c r="W40" s="1" t="s">
        <x:v>30</x:v>
      </x:c>
      <x:c r="X40" s="1" t="s">
        <x:v>30</x:v>
      </x:c>
      <x:c r="Y40" s="1" t="s">
        <x:v>30</x:v>
      </x:c>
      <x:c r="Z40" s="1" t="s">
        <x:v>30</x:v>
      </x:c>
      <x:c r="AA40" s="1" t="s">
        <x:v>30</x:v>
      </x:c>
      <x:c r="AB40" s="1" t="s">
        <x:v>30</x:v>
      </x:c>
      <x:c r="AC40" s="1" t="s">
        <x:v>30</x:v>
      </x:c>
      <x:c r="AD40" s="1" t="s">
        <x:v>30</x:v>
      </x:c>
      <x:c r="AE40" s="1" t="s">
        <x:v>30</x:v>
      </x:c>
      <x:c r="AF40" s="1" t="s">
        <x:v>30</x:v>
      </x:c>
      <x:c r="AG40" s="1" t="s">
        <x:v>30</x:v>
      </x:c>
      <x:c r="AH40" s="1" t="s">
        <x:v>6766</x:v>
      </x:c>
      <x:c r="AI40" s="1" t="s">
        <x:v>30</x:v>
      </x:c>
      <x:c r="AJ40" s="1" t="s">
        <x:v>30</x:v>
      </x:c>
      <x:c r="AK40" s="1" t="s">
        <x:v>6766</x:v>
      </x:c>
      <x:c r="AL40" s="1" t="s">
        <x:v>30</x:v>
      </x:c>
      <x:c r="AM40" s="1" t="s">
        <x:v>30</x:v>
      </x:c>
      <x:c r="AN40" s="1" t="s">
        <x:v>30</x:v>
      </x:c>
      <x:c r="AO40" s="1" t="s">
        <x:v>30</x:v>
      </x:c>
      <x:c r="AP40" s="1" t="s">
        <x:v>30</x:v>
      </x:c>
      <x:c r="AQ40" s="1" t="s">
        <x:v>6707</x:v>
      </x:c>
      <x:c r="AR40" s="1" t="s">
        <x:v>6707</x:v>
      </x:c>
      <x:c r="AS40" s="1" t="s">
        <x:v>6707</x:v>
      </x:c>
      <x:c r="AT40" s="1" t="s">
        <x:v>6707</x:v>
      </x:c>
      <x:c r="AU40" s="1" t="s">
        <x:v>6707</x:v>
      </x:c>
      <x:c r="AV40" s="1" t="s">
        <x:v>30</x:v>
      </x:c>
      <x:c r="AW40" s="1" t="s">
        <x:v>30</x:v>
      </x:c>
      <x:c r="AX40" s="1" t="s">
        <x:v>30</x:v>
      </x:c>
      <x:c r="AY40" s="1" t="s">
        <x:v>30</x:v>
      </x:c>
      <x:c r="AZ40" s="1" t="s">
        <x:v>30</x:v>
      </x:c>
      <x:c r="BA40" s="1" t="s">
        <x:v>30</x:v>
      </x:c>
      <x:c r="BB40" s="1" t="s">
        <x:v>6766</x:v>
      </x:c>
      <x:c r="BC40" s="1" t="s">
        <x:v>6766</x:v>
      </x:c>
      <x:c r="BD40" s="1" t="s">
        <x:v>30</x:v>
      </x:c>
      <x:c r="BE40" s="1" t="s">
        <x:v>30</x:v>
      </x:c>
      <x:c r="BF40" s="1" t="s">
        <x:v>30</x:v>
      </x:c>
    </x:row>
    <x:row r="41" ht="15" hidden="0" customHeight="1">
      <x:c r="A41" s="1" t="s">
        <x:v>477</x:v>
      </x:c>
      <x:c r="B41" s="1" t="s">
        <x:v>5532</x:v>
      </x:c>
      <x:c r="C41" s="1" t="s">
        <x:v>5693</x:v>
      </x:c>
      <x:c r="D41" s="1" t="n">
        <x:v>22</x:v>
      </x:c>
      <x:c r="E41" s="1" t="n">
        <x:v>1</x:v>
      </x:c>
      <x:c r="F41" s="1" t="n">
        <x:v>1</x:v>
      </x:c>
      <x:c r="G41" s="1" t="n">
        <x:v>0</x:v>
      </x:c>
      <x:c r="H41" s="1" t="n">
        <x:v>0</x:v>
      </x:c>
      <x:c r="I41" s="1" t="n">
        <x:v>0</x:v>
      </x:c>
      <x:c r="J41" s="1" t="s">
        <x:v>6766</x:v>
      </x:c>
      <x:c r="K41" s="1" t="s">
        <x:v>6768</x:v>
      </x:c>
      <x:c r="L41" s="1" t="s">
        <x:v>30</x:v>
      </x:c>
      <x:c r="M41" s="1" t="s">
        <x:v>30</x:v>
      </x:c>
      <x:c r="N41" s="1" t="s">
        <x:v>6766</x:v>
      </x:c>
      <x:c r="O41" s="1" t="s">
        <x:v>6768</x:v>
      </x:c>
      <x:c r="P41" s="1" t="s">
        <x:v>30</x:v>
      </x:c>
      <x:c r="Q41" s="1" t="s">
        <x:v>30</x:v>
      </x:c>
      <x:c r="R41" s="1" t="s">
        <x:v>6766</x:v>
      </x:c>
      <x:c r="S41" s="1" t="s">
        <x:v>6766</x:v>
      </x:c>
      <x:c r="T41" s="1" t="s">
        <x:v>6766</x:v>
      </x:c>
      <x:c r="U41" s="1" t="s">
        <x:v>30</x:v>
      </x:c>
      <x:c r="V41" s="1" t="s">
        <x:v>30</x:v>
      </x:c>
      <x:c r="W41" s="1" t="s">
        <x:v>30</x:v>
      </x:c>
      <x:c r="X41" s="1" t="s">
        <x:v>30</x:v>
      </x:c>
      <x:c r="Y41" s="1" t="s">
        <x:v>6766</x:v>
      </x:c>
      <x:c r="Z41" s="1" t="s">
        <x:v>6766</x:v>
      </x:c>
      <x:c r="AA41" s="1" t="s">
        <x:v>30</x:v>
      </x:c>
      <x:c r="AB41" s="1" t="s">
        <x:v>30</x:v>
      </x:c>
      <x:c r="AC41" s="1" t="s">
        <x:v>6766</x:v>
      </x:c>
      <x:c r="AD41" s="1" t="s">
        <x:v>30</x:v>
      </x:c>
      <x:c r="AE41" s="1" t="s">
        <x:v>6766</x:v>
      </x:c>
      <x:c r="AF41" s="1" t="s">
        <x:v>6766</x:v>
      </x:c>
      <x:c r="AG41" s="1" t="s">
        <x:v>30</x:v>
      </x:c>
      <x:c r="AH41" s="1" t="s">
        <x:v>30</x:v>
      </x:c>
      <x:c r="AI41" s="1" t="s">
        <x:v>6768</x:v>
      </x:c>
      <x:c r="AJ41" s="1" t="s">
        <x:v>30</x:v>
      </x:c>
      <x:c r="AK41" s="1" t="s">
        <x:v>6766</x:v>
      </x:c>
      <x:c r="AL41" s="1" t="s">
        <x:v>6769</x:v>
      </x:c>
      <x:c r="AM41" s="1" t="s">
        <x:v>6766</x:v>
      </x:c>
      <x:c r="AN41" s="1" t="s">
        <x:v>30</x:v>
      </x:c>
      <x:c r="AO41" s="1" t="s">
        <x:v>30</x:v>
      </x:c>
      <x:c r="AP41" s="1" t="s">
        <x:v>30</x:v>
      </x:c>
      <x:c r="AQ41" s="1" t="s">
        <x:v>6707</x:v>
      </x:c>
      <x:c r="AR41" s="1" t="s">
        <x:v>6707</x:v>
      </x:c>
      <x:c r="AS41" s="1" t="s">
        <x:v>6707</x:v>
      </x:c>
      <x:c r="AT41" s="1" t="s">
        <x:v>6707</x:v>
      </x:c>
      <x:c r="AU41" s="1" t="s">
        <x:v>6707</x:v>
      </x:c>
      <x:c r="AV41" s="1" t="s">
        <x:v>30</x:v>
      </x:c>
      <x:c r="AW41" s="1" t="s">
        <x:v>6766</x:v>
      </x:c>
      <x:c r="AX41" s="1" t="s">
        <x:v>30</x:v>
      </x:c>
      <x:c r="AY41" s="1" t="s">
        <x:v>30</x:v>
      </x:c>
      <x:c r="AZ41" s="1" t="s">
        <x:v>6768</x:v>
      </x:c>
      <x:c r="BA41" s="1" t="s">
        <x:v>30</x:v>
      </x:c>
      <x:c r="BB41" s="1" t="s">
        <x:v>30</x:v>
      </x:c>
      <x:c r="BC41" s="1" t="s">
        <x:v>30</x:v>
      </x:c>
      <x:c r="BD41" s="1" t="s">
        <x:v>30</x:v>
      </x:c>
      <x:c r="BE41" s="1" t="s">
        <x:v>30</x:v>
      </x:c>
      <x:c r="BF41" s="1" t="s">
        <x:v>30</x:v>
      </x:c>
    </x:row>
    <x:row r="42" ht="15" hidden="0" customHeight="1">
      <x:c r="A42" s="1" t="s">
        <x:v>5111</x:v>
      </x:c>
      <x:c r="B42" s="1" t="s">
        <x:v>5538</x:v>
      </x:c>
      <x:c r="C42" s="1" t="s">
        <x:v>5798</x:v>
      </x:c>
      <x:c r="D42" s="1" t="n">
        <x:v>3</x:v>
      </x:c>
      <x:c r="E42" s="1" t="n">
        <x:v>0</x:v>
      </x:c>
      <x:c r="F42" s="1" t="n">
        <x:v>0</x:v>
      </x:c>
      <x:c r="G42" s="1" t="n">
        <x:v>0</x:v>
      </x:c>
      <x:c r="H42" s="1" t="n">
        <x:v>0</x:v>
      </x:c>
      <x:c r="I42" s="1" t="n">
        <x:v>0</x:v>
      </x:c>
      <x:c r="J42" s="1" t="s">
        <x:v>30</x:v>
      </x:c>
      <x:c r="K42" s="1" t="s">
        <x:v>6766</x:v>
      </x:c>
      <x:c r="L42" s="1" t="s">
        <x:v>30</x:v>
      </x:c>
      <x:c r="M42" s="1" t="s">
        <x:v>30</x:v>
      </x:c>
      <x:c r="N42" s="1" t="s">
        <x:v>30</x:v>
      </x:c>
      <x:c r="O42" s="1" t="s">
        <x:v>30</x:v>
      </x:c>
      <x:c r="P42" s="1" t="s">
        <x:v>30</x:v>
      </x:c>
      <x:c r="Q42" s="1" t="s">
        <x:v>30</x:v>
      </x:c>
      <x:c r="R42" s="1" t="s">
        <x:v>30</x:v>
      </x:c>
      <x:c r="S42" s="1" t="s">
        <x:v>30</x:v>
      </x:c>
      <x:c r="T42" s="1" t="s">
        <x:v>30</x:v>
      </x:c>
      <x:c r="U42" s="1" t="s">
        <x:v>30</x:v>
      </x:c>
      <x:c r="V42" s="1" t="s">
        <x:v>30</x:v>
      </x:c>
      <x:c r="W42" s="1" t="s">
        <x:v>30</x:v>
      </x:c>
      <x:c r="X42" s="1" t="s">
        <x:v>30</x:v>
      </x:c>
      <x:c r="Y42" s="1" t="s">
        <x:v>30</x:v>
      </x:c>
      <x:c r="Z42" s="1" t="s">
        <x:v>30</x:v>
      </x:c>
      <x:c r="AA42" s="1" t="s">
        <x:v>30</x:v>
      </x:c>
      <x:c r="AB42" s="1" t="s">
        <x:v>30</x:v>
      </x:c>
      <x:c r="AC42" s="1" t="s">
        <x:v>30</x:v>
      </x:c>
      <x:c r="AD42" s="1" t="s">
        <x:v>30</x:v>
      </x:c>
      <x:c r="AE42" s="1" t="s">
        <x:v>30</x:v>
      </x:c>
      <x:c r="AF42" s="1" t="s">
        <x:v>30</x:v>
      </x:c>
      <x:c r="AG42" s="1" t="s">
        <x:v>30</x:v>
      </x:c>
      <x:c r="AH42" s="1" t="s">
        <x:v>30</x:v>
      </x:c>
      <x:c r="AI42" s="1" t="s">
        <x:v>30</x:v>
      </x:c>
      <x:c r="AJ42" s="1" t="s">
        <x:v>30</x:v>
      </x:c>
      <x:c r="AK42" s="1" t="s">
        <x:v>30</x:v>
      </x:c>
      <x:c r="AL42" s="1" t="s">
        <x:v>30</x:v>
      </x:c>
      <x:c r="AM42" s="1" t="s">
        <x:v>30</x:v>
      </x:c>
      <x:c r="AN42" s="1" t="s">
        <x:v>30</x:v>
      </x:c>
      <x:c r="AO42" s="1" t="s">
        <x:v>30</x:v>
      </x:c>
      <x:c r="AP42" s="1" t="s">
        <x:v>6766</x:v>
      </x:c>
      <x:c r="AQ42" s="1" t="s">
        <x:v>6707</x:v>
      </x:c>
      <x:c r="AR42" s="1" t="s">
        <x:v>6707</x:v>
      </x:c>
      <x:c r="AS42" s="1" t="s">
        <x:v>6707</x:v>
      </x:c>
      <x:c r="AT42" s="1" t="s">
        <x:v>6707</x:v>
      </x:c>
      <x:c r="AU42" s="1" t="s">
        <x:v>6707</x:v>
      </x:c>
      <x:c r="AV42" s="1" t="s">
        <x:v>30</x:v>
      </x:c>
      <x:c r="AW42" s="1" t="s">
        <x:v>30</x:v>
      </x:c>
      <x:c r="AX42" s="1" t="s">
        <x:v>30</x:v>
      </x:c>
      <x:c r="AY42" s="1" t="s">
        <x:v>6766</x:v>
      </x:c>
      <x:c r="AZ42" s="1" t="s">
        <x:v>30</x:v>
      </x:c>
      <x:c r="BA42" s="1" t="s">
        <x:v>30</x:v>
      </x:c>
      <x:c r="BB42" s="1" t="s">
        <x:v>30</x:v>
      </x:c>
      <x:c r="BC42" s="1" t="s">
        <x:v>30</x:v>
      </x:c>
      <x:c r="BD42" s="1" t="s">
        <x:v>30</x:v>
      </x:c>
      <x:c r="BE42" s="1" t="s">
        <x:v>30</x:v>
      </x:c>
      <x:c r="BF42" s="1" t="s">
        <x:v>30</x:v>
      </x:c>
    </x:row>
    <x:row r="43" ht="15" hidden="0" customHeight="1">
      <x:c r="A43" s="1" t="s">
        <x:v>3993</x:v>
      </x:c>
      <x:c r="B43" s="1" t="s">
        <x:v>5538</x:v>
      </x:c>
      <x:c r="C43" s="1" t="s">
        <x:v>5798</x:v>
      </x:c>
      <x:c r="D43" s="1" t="n">
        <x:v>25</x:v>
      </x:c>
      <x:c r="E43" s="1" t="n">
        <x:v>1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s">
        <x:v>6766</x:v>
      </x:c>
      <x:c r="K43" s="1" t="s">
        <x:v>6771</x:v>
      </x:c>
      <x:c r="L43" s="1" t="s">
        <x:v>6768</x:v>
      </x:c>
      <x:c r="M43" s="1" t="s">
        <x:v>30</x:v>
      </x:c>
      <x:c r="N43" s="1" t="s">
        <x:v>6771</x:v>
      </x:c>
      <x:c r="O43" s="1" t="s">
        <x:v>30</x:v>
      </x:c>
      <x:c r="P43" s="1" t="s">
        <x:v>30</x:v>
      </x:c>
      <x:c r="Q43" s="1" t="s">
        <x:v>30</x:v>
      </x:c>
      <x:c r="R43" s="1" t="s">
        <x:v>30</x:v>
      </x:c>
      <x:c r="S43" s="1" t="s">
        <x:v>30</x:v>
      </x:c>
      <x:c r="T43" s="1" t="s">
        <x:v>30</x:v>
      </x:c>
      <x:c r="U43" s="1" t="s">
        <x:v>30</x:v>
      </x:c>
      <x:c r="V43" s="1" t="s">
        <x:v>30</x:v>
      </x:c>
      <x:c r="W43" s="1" t="s">
        <x:v>30</x:v>
      </x:c>
      <x:c r="X43" s="1" t="s">
        <x:v>30</x:v>
      </x:c>
      <x:c r="Y43" s="1" t="s">
        <x:v>30</x:v>
      </x:c>
      <x:c r="Z43" s="1" t="s">
        <x:v>30</x:v>
      </x:c>
      <x:c r="AA43" s="1" t="s">
        <x:v>30</x:v>
      </x:c>
      <x:c r="AB43" s="1" t="s">
        <x:v>30</x:v>
      </x:c>
      <x:c r="AC43" s="1" t="s">
        <x:v>30</x:v>
      </x:c>
      <x:c r="AD43" s="1" t="s">
        <x:v>30</x:v>
      </x:c>
      <x:c r="AE43" s="1" t="s">
        <x:v>30</x:v>
      </x:c>
      <x:c r="AF43" s="1" t="s">
        <x:v>30</x:v>
      </x:c>
      <x:c r="AG43" s="1" t="s">
        <x:v>30</x:v>
      </x:c>
      <x:c r="AH43" s="1" t="s">
        <x:v>6766</x:v>
      </x:c>
      <x:c r="AI43" s="1" t="s">
        <x:v>6768</x:v>
      </x:c>
      <x:c r="AJ43" s="1" t="s">
        <x:v>30</x:v>
      </x:c>
      <x:c r="AK43" s="1" t="s">
        <x:v>30</x:v>
      </x:c>
      <x:c r="AL43" s="1" t="s">
        <x:v>6766</x:v>
      </x:c>
      <x:c r="AM43" s="1" t="s">
        <x:v>30</x:v>
      </x:c>
      <x:c r="AN43" s="1" t="s">
        <x:v>6766</x:v>
      </x:c>
      <x:c r="AO43" s="1" t="s">
        <x:v>6768</x:v>
      </x:c>
      <x:c r="AP43" s="1" t="s">
        <x:v>6769</x:v>
      </x:c>
      <x:c r="AQ43" s="1" t="s">
        <x:v>6707</x:v>
      </x:c>
      <x:c r="AR43" s="1" t="s">
        <x:v>6707</x:v>
      </x:c>
      <x:c r="AS43" s="1" t="s">
        <x:v>6707</x:v>
      </x:c>
      <x:c r="AT43" s="1" t="s">
        <x:v>6707</x:v>
      </x:c>
      <x:c r="AU43" s="1" t="s">
        <x:v>6707</x:v>
      </x:c>
      <x:c r="AV43" s="1" t="s">
        <x:v>30</x:v>
      </x:c>
      <x:c r="AW43" s="1" t="s">
        <x:v>6766</x:v>
      </x:c>
      <x:c r="AX43" s="1" t="s">
        <x:v>30</x:v>
      </x:c>
      <x:c r="AY43" s="1" t="s">
        <x:v>30</x:v>
      </x:c>
      <x:c r="AZ43" s="1" t="s">
        <x:v>6766</x:v>
      </x:c>
      <x:c r="BA43" s="1" t="s">
        <x:v>6766</x:v>
      </x:c>
      <x:c r="BB43" s="1" t="s">
        <x:v>30</x:v>
      </x:c>
      <x:c r="BC43" s="1" t="s">
        <x:v>30</x:v>
      </x:c>
      <x:c r="BD43" s="1" t="s">
        <x:v>30</x:v>
      </x:c>
      <x:c r="BE43" s="1" t="s">
        <x:v>30</x:v>
      </x:c>
      <x:c r="BF43" s="1" t="s">
        <x:v>30</x:v>
      </x:c>
    </x:row>
    <x:row r="44" ht="15" hidden="0" customHeight="1">
      <x:c r="A44" s="1" t="s">
        <x:v>1754</x:v>
      </x:c>
      <x:c r="B44" s="1" t="s">
        <x:v>5538</x:v>
      </x:c>
      <x:c r="C44" s="1" t="s">
        <x:v>5798</x:v>
      </x:c>
      <x:c r="D44" s="1" t="n">
        <x:v>15</x:v>
      </x:c>
      <x:c r="E44" s="1" t="n">
        <x:v>1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s">
        <x:v>30</x:v>
      </x:c>
      <x:c r="K44" s="1" t="s">
        <x:v>6770</x:v>
      </x:c>
      <x:c r="L44" s="1" t="s">
        <x:v>6766</x:v>
      </x:c>
      <x:c r="M44" s="1" t="s">
        <x:v>30</x:v>
      </x:c>
      <x:c r="N44" s="1" t="s">
        <x:v>30</x:v>
      </x:c>
      <x:c r="O44" s="1" t="s">
        <x:v>30</x:v>
      </x:c>
      <x:c r="P44" s="1" t="s">
        <x:v>30</x:v>
      </x:c>
      <x:c r="Q44" s="1" t="s">
        <x:v>30</x:v>
      </x:c>
      <x:c r="R44" s="1" t="s">
        <x:v>30</x:v>
      </x:c>
      <x:c r="S44" s="1" t="s">
        <x:v>30</x:v>
      </x:c>
      <x:c r="T44" s="1" t="s">
        <x:v>30</x:v>
      </x:c>
      <x:c r="U44" s="1" t="s">
        <x:v>30</x:v>
      </x:c>
      <x:c r="V44" s="1" t="s">
        <x:v>30</x:v>
      </x:c>
      <x:c r="W44" s="1" t="s">
        <x:v>30</x:v>
      </x:c>
      <x:c r="X44" s="1" t="s">
        <x:v>30</x:v>
      </x:c>
      <x:c r="Y44" s="1" t="s">
        <x:v>30</x:v>
      </x:c>
      <x:c r="Z44" s="1" t="s">
        <x:v>30</x:v>
      </x:c>
      <x:c r="AA44" s="1" t="s">
        <x:v>30</x:v>
      </x:c>
      <x:c r="AB44" s="1" t="s">
        <x:v>30</x:v>
      </x:c>
      <x:c r="AC44" s="1" t="s">
        <x:v>30</x:v>
      </x:c>
      <x:c r="AD44" s="1" t="s">
        <x:v>30</x:v>
      </x:c>
      <x:c r="AE44" s="1" t="s">
        <x:v>30</x:v>
      </x:c>
      <x:c r="AF44" s="1" t="s">
        <x:v>30</x:v>
      </x:c>
      <x:c r="AG44" s="1" t="s">
        <x:v>30</x:v>
      </x:c>
      <x:c r="AH44" s="1" t="s">
        <x:v>30</x:v>
      </x:c>
      <x:c r="AI44" s="1" t="s">
        <x:v>6768</x:v>
      </x:c>
      <x:c r="AJ44" s="1" t="s">
        <x:v>30</x:v>
      </x:c>
      <x:c r="AK44" s="1" t="s">
        <x:v>30</x:v>
      </x:c>
      <x:c r="AL44" s="1" t="s">
        <x:v>6766</x:v>
      </x:c>
      <x:c r="AM44" s="1" t="s">
        <x:v>30</x:v>
      </x:c>
      <x:c r="AN44" s="1" t="s">
        <x:v>30</x:v>
      </x:c>
      <x:c r="AO44" s="1" t="s">
        <x:v>6766</x:v>
      </x:c>
      <x:c r="AP44" s="1" t="s">
        <x:v>6771</x:v>
      </x:c>
      <x:c r="AQ44" s="1" t="s">
        <x:v>6707</x:v>
      </x:c>
      <x:c r="AR44" s="1" t="s">
        <x:v>6707</x:v>
      </x:c>
      <x:c r="AS44" s="1" t="s">
        <x:v>6707</x:v>
      </x:c>
      <x:c r="AT44" s="1" t="s">
        <x:v>6707</x:v>
      </x:c>
      <x:c r="AU44" s="1" t="s">
        <x:v>6707</x:v>
      </x:c>
      <x:c r="AV44" s="1" t="s">
        <x:v>30</x:v>
      </x:c>
      <x:c r="AW44" s="1" t="s">
        <x:v>30</x:v>
      </x:c>
      <x:c r="AX44" s="1" t="s">
        <x:v>30</x:v>
      </x:c>
      <x:c r="AY44" s="1" t="s">
        <x:v>6766</x:v>
      </x:c>
      <x:c r="AZ44" s="1" t="s">
        <x:v>6766</x:v>
      </x:c>
      <x:c r="BA44" s="1" t="s">
        <x:v>30</x:v>
      </x:c>
      <x:c r="BB44" s="1" t="s">
        <x:v>30</x:v>
      </x:c>
      <x:c r="BC44" s="1" t="s">
        <x:v>30</x:v>
      </x:c>
      <x:c r="BD44" s="1" t="s">
        <x:v>30</x:v>
      </x:c>
      <x:c r="BE44" s="1" t="s">
        <x:v>30</x:v>
      </x:c>
      <x:c r="BF44" s="1" t="s">
        <x:v>30</x:v>
      </x:c>
    </x:row>
    <x:row r="45" ht="15" hidden="0" customHeight="1">
      <x:c r="A45" s="1" t="s">
        <x:v>1932</x:v>
      </x:c>
      <x:c r="B45" s="1" t="s">
        <x:v>5486</x:v>
      </x:c>
      <x:c r="C45" s="1" t="s">
        <x:v>5693</x:v>
      </x:c>
      <x:c r="D45" s="1" t="n">
        <x:v>20</x:v>
      </x:c>
      <x:c r="E45" s="1" t="n">
        <x:v>0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s">
        <x:v>30</x:v>
      </x:c>
      <x:c r="K45" s="1" t="s">
        <x:v>6769</x:v>
      </x:c>
      <x:c r="L45" s="1" t="s">
        <x:v>6766</x:v>
      </x:c>
      <x:c r="M45" s="1" t="s">
        <x:v>6766</x:v>
      </x:c>
      <x:c r="N45" s="1" t="s">
        <x:v>6768</x:v>
      </x:c>
      <x:c r="O45" s="1" t="s">
        <x:v>30</x:v>
      </x:c>
      <x:c r="P45" s="1" t="s">
        <x:v>6766</x:v>
      </x:c>
      <x:c r="Q45" s="1" t="s">
        <x:v>6766</x:v>
      </x:c>
      <x:c r="R45" s="1" t="s">
        <x:v>30</x:v>
      </x:c>
      <x:c r="S45" s="1" t="s">
        <x:v>30</x:v>
      </x:c>
      <x:c r="T45" s="1" t="s">
        <x:v>30</x:v>
      </x:c>
      <x:c r="U45" s="1" t="s">
        <x:v>30</x:v>
      </x:c>
      <x:c r="V45" s="1" t="s">
        <x:v>30</x:v>
      </x:c>
      <x:c r="W45" s="1" t="s">
        <x:v>30</x:v>
      </x:c>
      <x:c r="X45" s="1" t="s">
        <x:v>30</x:v>
      </x:c>
      <x:c r="Y45" s="1" t="s">
        <x:v>6766</x:v>
      </x:c>
      <x:c r="Z45" s="1" t="s">
        <x:v>6766</x:v>
      </x:c>
      <x:c r="AA45" s="1" t="s">
        <x:v>6766</x:v>
      </x:c>
      <x:c r="AB45" s="1" t="s">
        <x:v>6766</x:v>
      </x:c>
      <x:c r="AC45" s="1" t="s">
        <x:v>6766</x:v>
      </x:c>
      <x:c r="AD45" s="1" t="s">
        <x:v>30</x:v>
      </x:c>
      <x:c r="AE45" s="1" t="s">
        <x:v>30</x:v>
      </x:c>
      <x:c r="AF45" s="1" t="s">
        <x:v>30</x:v>
      </x:c>
      <x:c r="AG45" s="1" t="s">
        <x:v>30</x:v>
      </x:c>
      <x:c r="AH45" s="1" t="s">
        <x:v>6766</x:v>
      </x:c>
      <x:c r="AI45" s="1" t="s">
        <x:v>30</x:v>
      </x:c>
      <x:c r="AJ45" s="1" t="s">
        <x:v>30</x:v>
      </x:c>
      <x:c r="AK45" s="1" t="s">
        <x:v>6766</x:v>
      </x:c>
      <x:c r="AL45" s="1" t="s">
        <x:v>30</x:v>
      </x:c>
      <x:c r="AM45" s="1" t="s">
        <x:v>30</x:v>
      </x:c>
      <x:c r="AN45" s="1" t="s">
        <x:v>30</x:v>
      </x:c>
      <x:c r="AO45" s="1" t="s">
        <x:v>30</x:v>
      </x:c>
      <x:c r="AP45" s="1" t="s">
        <x:v>30</x:v>
      </x:c>
      <x:c r="AQ45" s="1" t="s">
        <x:v>6707</x:v>
      </x:c>
      <x:c r="AR45" s="1" t="s">
        <x:v>6707</x:v>
      </x:c>
      <x:c r="AS45" s="1" t="s">
        <x:v>6707</x:v>
      </x:c>
      <x:c r="AT45" s="1" t="s">
        <x:v>6707</x:v>
      </x:c>
      <x:c r="AU45" s="1" t="s">
        <x:v>6707</x:v>
      </x:c>
      <x:c r="AV45" s="1" t="s">
        <x:v>30</x:v>
      </x:c>
      <x:c r="AW45" s="1" t="s">
        <x:v>30</x:v>
      </x:c>
      <x:c r="AX45" s="1" t="s">
        <x:v>6766</x:v>
      </x:c>
      <x:c r="AY45" s="1" t="s">
        <x:v>6769</x:v>
      </x:c>
      <x:c r="AZ45" s="1" t="s">
        <x:v>30</x:v>
      </x:c>
      <x:c r="BA45" s="1" t="s">
        <x:v>30</x:v>
      </x:c>
      <x:c r="BB45" s="1" t="s">
        <x:v>30</x:v>
      </x:c>
      <x:c r="BC45" s="1" t="s">
        <x:v>30</x:v>
      </x:c>
      <x:c r="BD45" s="1" t="s">
        <x:v>30</x:v>
      </x:c>
      <x:c r="BE45" s="1" t="s">
        <x:v>30</x:v>
      </x:c>
      <x:c r="BF45" s="1" t="s">
        <x:v>30</x:v>
      </x:c>
    </x:row>
    <x:row r="46" ht="15" hidden="0" customHeight="1">
      <x:c r="A46" s="1" t="s">
        <x:v>2802</x:v>
      </x:c>
      <x:c r="B46" s="1" t="s">
        <x:v>5486</x:v>
      </x:c>
      <x:c r="C46" s="1" t="s">
        <x:v>5693</x:v>
      </x:c>
      <x:c r="D46" s="1" t="n">
        <x:v>20</x:v>
      </x:c>
      <x:c r="E46" s="1" t="n">
        <x:v>2</x:v>
      </x:c>
      <x:c r="F46" s="1" t="n">
        <x:v>0</x:v>
      </x:c>
      <x:c r="G46" s="1" t="n">
        <x:v>2</x:v>
      </x:c>
      <x:c r="H46" s="1" t="n">
        <x:v>3</x:v>
      </x:c>
      <x:c r="I46" s="1" t="n">
        <x:v>0</x:v>
      </x:c>
      <x:c r="J46" s="1" t="str">
        <x:v>EXTRACTED(1)</x:v>
      </x:c>
      <x:c r="K46" s="1" t="str">
        <x:v>EXTRACTED(4)</x:v>
      </x:c>
      <x:c r="L46" s="1" t="str">
        <x:v>EXTRACTED(5)</x:v>
      </x:c>
      <x:c r="M46" s="1" t="str">
        <x:v>EXTRACTED(2)</x:v>
      </x:c>
      <x:c r="N46" s="1" t="str">
        <x:v>EXTRACTED(1)</x:v>
      </x:c>
      <x:c r="O46" s="1" t="str">
        <x:v>EXTRACTED(1)</x:v>
      </x:c>
      <x:c r="P46" s="1" t="s">
        <x:v>30</x:v>
      </x:c>
      <x:c r="Q46" s="1" t="s">
        <x:v>30</x:v>
      </x:c>
      <x:c r="R46" s="1" t="s">
        <x:v>30</x:v>
      </x:c>
      <x:c r="S46" s="1" t="s">
        <x:v>30</x:v>
      </x:c>
      <x:c r="T46" s="1" t="str">
        <x:v>EXTRACTED(1)</x:v>
      </x:c>
      <x:c r="U46" s="1" t="s">
        <x:v>30</x:v>
      </x:c>
      <x:c r="V46" s="1" t="s">
        <x:v>30</x:v>
      </x:c>
      <x:c r="W46" s="1" t="s">
        <x:v>30</x:v>
      </x:c>
      <x:c r="X46" s="1" t="s">
        <x:v>30</x:v>
      </x:c>
      <x:c r="Y46" s="1" t="s">
        <x:v>32</x:v>
      </x:c>
      <x:c r="Z46" s="1" t="s">
        <x:v>30</x:v>
      </x:c>
      <x:c r="AA46" s="1" t="s">
        <x:v>30</x:v>
      </x:c>
      <x:c r="AB46" s="1" t="s">
        <x:v>30</x:v>
      </x:c>
      <x:c r="AC46" s="1" t="s">
        <x:v>30</x:v>
      </x:c>
      <x:c r="AD46" s="1" t="s">
        <x:v>30</x:v>
      </x:c>
      <x:c r="AE46" s="1" t="s">
        <x:v>30</x:v>
      </x:c>
      <x:c r="AF46" s="1" t="s">
        <x:v>30</x:v>
      </x:c>
      <x:c r="AG46" s="1" t="s">
        <x:v>30</x:v>
      </x:c>
      <x:c r="AH46" s="1" t="str">
        <x:v>EXTRACTED(1)</x:v>
      </x:c>
      <x:c r="AI46" s="1" t="s">
        <x:v>30</x:v>
      </x:c>
      <x:c r="AJ46" s="1" t="s">
        <x:v>30</x:v>
      </x:c>
      <x:c r="AK46" s="1" t="s">
        <x:v>30</x:v>
      </x:c>
      <x:c r="AL46" s="1" t="s">
        <x:v>30</x:v>
      </x:c>
      <x:c r="AM46" s="1" t="s">
        <x:v>30</x:v>
      </x:c>
      <x:c r="AN46" s="1" t="s">
        <x:v>30</x:v>
      </x:c>
      <x:c r="AO46" s="1" t="s">
        <x:v>30</x:v>
      </x:c>
      <x:c r="AP46" s="1" t="s">
        <x:v>30</x:v>
      </x:c>
      <x:c r="AQ46" s="1" t="s">
        <x:v>6707</x:v>
      </x:c>
      <x:c r="AR46" s="1" t="s">
        <x:v>6707</x:v>
      </x:c>
      <x:c r="AS46" s="1" t="s">
        <x:v>6707</x:v>
      </x:c>
      <x:c r="AT46" s="1" t="s">
        <x:v>6707</x:v>
      </x:c>
      <x:c r="AU46" s="1" t="s">
        <x:v>6707</x:v>
      </x:c>
      <x:c r="AV46" s="1" t="str">
        <x:v>EXTRACTED(2)</x:v>
      </x:c>
      <x:c r="AW46" s="1" t="s">
        <x:v>32</x:v>
      </x:c>
      <x:c r="AX46" s="1" t="s">
        <x:v>30</x:v>
      </x:c>
      <x:c r="AY46" s="1" t="str">
        <x:v>EXTRACTED(2)</x:v>
      </x:c>
      <x:c r="AZ46" s="1" t="str">
        <x:v>EXTRACTED(2)</x:v>
      </x:c>
      <x:c r="BA46" s="1" t="s">
        <x:v>30</x:v>
      </x:c>
      <x:c r="BB46" s="1" t="str">
        <x:v>EXTRACTED(1)</x:v>
      </x:c>
      <x:c r="BC46" s="1" t="s">
        <x:v>32</x:v>
      </x:c>
      <x:c r="BD46" s="1" t="s">
        <x:v>30</x:v>
      </x:c>
      <x:c r="BE46" s="1" t="s">
        <x:v>30</x:v>
      </x:c>
      <x:c r="BF46" s="1" t="str">
        <x:v>EXTRACTED(1)</x:v>
      </x:c>
    </x:row>
    <x:row r="47" ht="15" hidden="0" customHeight="1">
      <x:c r="A47" s="1" t="s">
        <x:v>3808</x:v>
      </x:c>
      <x:c r="B47" s="1" t="s">
        <x:v>5551</x:v>
      </x:c>
      <x:c r="C47" s="1" t="s">
        <x:v>5693</x:v>
      </x:c>
      <x:c r="D47" s="1" t="n">
        <x:v>19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s">
        <x:v>30</x:v>
      </x:c>
      <x:c r="K47" s="1" t="s">
        <x:v>30</x:v>
      </x:c>
      <x:c r="L47" s="1" t="s">
        <x:v>6768</x:v>
      </x:c>
      <x:c r="M47" s="1" t="s">
        <x:v>6768</x:v>
      </x:c>
      <x:c r="N47" s="1" t="s">
        <x:v>6766</x:v>
      </x:c>
      <x:c r="O47" s="1" t="s">
        <x:v>6766</x:v>
      </x:c>
      <x:c r="P47" s="1" t="s">
        <x:v>6766</x:v>
      </x:c>
      <x:c r="Q47" s="1" t="s">
        <x:v>30</x:v>
      </x:c>
      <x:c r="R47" s="1" t="s">
        <x:v>30</x:v>
      </x:c>
      <x:c r="S47" s="1" t="s">
        <x:v>30</x:v>
      </x:c>
      <x:c r="T47" s="1" t="s">
        <x:v>30</x:v>
      </x:c>
      <x:c r="U47" s="1" t="s">
        <x:v>30</x:v>
      </x:c>
      <x:c r="V47" s="1" t="s">
        <x:v>30</x:v>
      </x:c>
      <x:c r="W47" s="1" t="s">
        <x:v>30</x:v>
      </x:c>
      <x:c r="X47" s="1" t="s">
        <x:v>30</x:v>
      </x:c>
      <x:c r="Y47" s="1" t="s">
        <x:v>30</x:v>
      </x:c>
      <x:c r="Z47" s="1" t="s">
        <x:v>30</x:v>
      </x:c>
      <x:c r="AA47" s="1" t="s">
        <x:v>30</x:v>
      </x:c>
      <x:c r="AB47" s="1" t="s">
        <x:v>30</x:v>
      </x:c>
      <x:c r="AC47" s="1" t="s">
        <x:v>6766</x:v>
      </x:c>
      <x:c r="AD47" s="1" t="s">
        <x:v>30</x:v>
      </x:c>
      <x:c r="AE47" s="1" t="s">
        <x:v>6766</x:v>
      </x:c>
      <x:c r="AF47" s="1" t="s">
        <x:v>6766</x:v>
      </x:c>
      <x:c r="AG47" s="1" t="s">
        <x:v>6766</x:v>
      </x:c>
      <x:c r="AH47" s="1" t="s">
        <x:v>30</x:v>
      </x:c>
      <x:c r="AI47" s="1" t="s">
        <x:v>6768</x:v>
      </x:c>
      <x:c r="AJ47" s="1" t="s">
        <x:v>30</x:v>
      </x:c>
      <x:c r="AK47" s="1" t="s">
        <x:v>30</x:v>
      </x:c>
      <x:c r="AL47" s="1" t="s">
        <x:v>6766</x:v>
      </x:c>
      <x:c r="AM47" s="1" t="s">
        <x:v>30</x:v>
      </x:c>
      <x:c r="AN47" s="1" t="s">
        <x:v>30</x:v>
      </x:c>
      <x:c r="AO47" s="1" t="s">
        <x:v>30</x:v>
      </x:c>
      <x:c r="AP47" s="1" t="s">
        <x:v>30</x:v>
      </x:c>
      <x:c r="AQ47" s="1" t="s">
        <x:v>6707</x:v>
      </x:c>
      <x:c r="AR47" s="1" t="s">
        <x:v>6707</x:v>
      </x:c>
      <x:c r="AS47" s="1" t="s">
        <x:v>6707</x:v>
      </x:c>
      <x:c r="AT47" s="1" t="s">
        <x:v>6707</x:v>
      </x:c>
      <x:c r="AU47" s="1" t="s">
        <x:v>6707</x:v>
      </x:c>
      <x:c r="AV47" s="1" t="s">
        <x:v>6766</x:v>
      </x:c>
      <x:c r="AW47" s="1" t="s">
        <x:v>6769</x:v>
      </x:c>
      <x:c r="AX47" s="1" t="s">
        <x:v>30</x:v>
      </x:c>
      <x:c r="AY47" s="1" t="s">
        <x:v>30</x:v>
      </x:c>
      <x:c r="AZ47" s="1" t="s">
        <x:v>30</x:v>
      </x:c>
      <x:c r="BA47" s="1" t="s">
        <x:v>30</x:v>
      </x:c>
      <x:c r="BB47" s="1" t="s">
        <x:v>30</x:v>
      </x:c>
      <x:c r="BC47" s="1" t="s">
        <x:v>6766</x:v>
      </x:c>
      <x:c r="BD47" s="1" t="s">
        <x:v>30</x:v>
      </x:c>
      <x:c r="BE47" s="1" t="s">
        <x:v>30</x:v>
      </x:c>
      <x:c r="BF47" s="1" t="s">
        <x:v>30</x:v>
      </x:c>
    </x:row>
    <x:row r="48" ht="15" hidden="0" customHeight="1">
      <x:c r="A48" s="1" t="s">
        <x:v>5123</x:v>
      </x:c>
      <x:c r="B48" s="1" t="s">
        <x:v>5486</x:v>
      </x:c>
      <x:c r="C48" s="1" t="s">
        <x:v>5693</x:v>
      </x:c>
      <x:c r="D48" s="1" t="n">
        <x:v>3</x:v>
      </x:c>
      <x:c r="E48" s="1" t="n">
        <x:v>0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s">
        <x:v>30</x:v>
      </x:c>
      <x:c r="K48" s="1" t="s">
        <x:v>30</x:v>
      </x:c>
      <x:c r="L48" s="1" t="s">
        <x:v>6766</x:v>
      </x:c>
      <x:c r="M48" s="1" t="s">
        <x:v>30</x:v>
      </x:c>
      <x:c r="N48" s="1" t="s">
        <x:v>30</x:v>
      </x:c>
      <x:c r="O48" s="1" t="s">
        <x:v>6766</x:v>
      </x:c>
      <x:c r="P48" s="1" t="s">
        <x:v>30</x:v>
      </x:c>
      <x:c r="Q48" s="1" t="s">
        <x:v>30</x:v>
      </x:c>
      <x:c r="R48" s="1" t="s">
        <x:v>30</x:v>
      </x:c>
      <x:c r="S48" s="1" t="s">
        <x:v>30</x:v>
      </x:c>
      <x:c r="T48" s="1" t="s">
        <x:v>30</x:v>
      </x:c>
      <x:c r="U48" s="1" t="s">
        <x:v>30</x:v>
      </x:c>
      <x:c r="V48" s="1" t="s">
        <x:v>30</x:v>
      </x:c>
      <x:c r="W48" s="1" t="s">
        <x:v>30</x:v>
      </x:c>
      <x:c r="X48" s="1" t="s">
        <x:v>30</x:v>
      </x:c>
      <x:c r="Y48" s="1" t="s">
        <x:v>30</x:v>
      </x:c>
      <x:c r="Z48" s="1" t="s">
        <x:v>30</x:v>
      </x:c>
      <x:c r="AA48" s="1" t="s">
        <x:v>30</x:v>
      </x:c>
      <x:c r="AB48" s="1" t="s">
        <x:v>30</x:v>
      </x:c>
      <x:c r="AC48" s="1" t="s">
        <x:v>30</x:v>
      </x:c>
      <x:c r="AD48" s="1" t="s">
        <x:v>30</x:v>
      </x:c>
      <x:c r="AE48" s="1" t="s">
        <x:v>30</x:v>
      </x:c>
      <x:c r="AF48" s="1" t="s">
        <x:v>30</x:v>
      </x:c>
      <x:c r="AG48" s="1" t="s">
        <x:v>30</x:v>
      </x:c>
      <x:c r="AH48" s="1" t="s">
        <x:v>30</x:v>
      </x:c>
      <x:c r="AI48" s="1" t="s">
        <x:v>30</x:v>
      </x:c>
      <x:c r="AJ48" s="1" t="s">
        <x:v>30</x:v>
      </x:c>
      <x:c r="AK48" s="1" t="s">
        <x:v>30</x:v>
      </x:c>
      <x:c r="AL48" s="1" t="s">
        <x:v>30</x:v>
      </x:c>
      <x:c r="AM48" s="1" t="s">
        <x:v>30</x:v>
      </x:c>
      <x:c r="AN48" s="1" t="s">
        <x:v>30</x:v>
      </x:c>
      <x:c r="AO48" s="1" t="s">
        <x:v>30</x:v>
      </x:c>
      <x:c r="AP48" s="1" t="s">
        <x:v>30</x:v>
      </x:c>
      <x:c r="AQ48" s="1" t="s">
        <x:v>6707</x:v>
      </x:c>
      <x:c r="AR48" s="1" t="s">
        <x:v>6707</x:v>
      </x:c>
      <x:c r="AS48" s="1" t="s">
        <x:v>6707</x:v>
      </x:c>
      <x:c r="AT48" s="1" t="s">
        <x:v>6707</x:v>
      </x:c>
      <x:c r="AU48" s="1" t="s">
        <x:v>6707</x:v>
      </x:c>
      <x:c r="AV48" s="1" t="s">
        <x:v>30</x:v>
      </x:c>
      <x:c r="AW48" s="1" t="s">
        <x:v>30</x:v>
      </x:c>
      <x:c r="AX48" s="1" t="s">
        <x:v>30</x:v>
      </x:c>
      <x:c r="AY48" s="1" t="s">
        <x:v>6766</x:v>
      </x:c>
      <x:c r="AZ48" s="1" t="s">
        <x:v>30</x:v>
      </x:c>
      <x:c r="BA48" s="1" t="s">
        <x:v>30</x:v>
      </x:c>
      <x:c r="BB48" s="1" t="s">
        <x:v>30</x:v>
      </x:c>
      <x:c r="BC48" s="1" t="s">
        <x:v>30</x:v>
      </x:c>
      <x:c r="BD48" s="1" t="s">
        <x:v>30</x:v>
      </x:c>
      <x:c r="BE48" s="1" t="s">
        <x:v>30</x:v>
      </x:c>
      <x:c r="BF48" s="1" t="s">
        <x:v>30</x:v>
      </x:c>
    </x:row>
    <x:row r="49" ht="15" hidden="0" customHeight="1">
      <x:c r="A49" s="1" t="s">
        <x:v>3649</x:v>
      </x:c>
      <x:c r="B49" s="1" t="s">
        <x:v>5554</x:v>
      </x:c>
      <x:c r="C49" s="1" t="s">
        <x:v>5693</x:v>
      </x:c>
      <x:c r="D49" s="1" t="n">
        <x:v>15</x:v>
      </x:c>
      <x:c r="E49" s="1" t="n">
        <x:v>1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s">
        <x:v>30</x:v>
      </x:c>
      <x:c r="K49" s="1" t="s">
        <x:v>6774</x:v>
      </x:c>
      <x:c r="L49" s="1" t="s">
        <x:v>6766</x:v>
      </x:c>
      <x:c r="M49" s="1" t="s">
        <x:v>30</x:v>
      </x:c>
      <x:c r="N49" s="1" t="s">
        <x:v>6766</x:v>
      </x:c>
      <x:c r="O49" s="1" t="s">
        <x:v>30</x:v>
      </x:c>
      <x:c r="P49" s="1" t="s">
        <x:v>30</x:v>
      </x:c>
      <x:c r="Q49" s="1" t="s">
        <x:v>30</x:v>
      </x:c>
      <x:c r="R49" s="1" t="s">
        <x:v>30</x:v>
      </x:c>
      <x:c r="S49" s="1" t="s">
        <x:v>30</x:v>
      </x:c>
      <x:c r="T49" s="1" t="s">
        <x:v>30</x:v>
      </x:c>
      <x:c r="U49" s="1" t="s">
        <x:v>30</x:v>
      </x:c>
      <x:c r="V49" s="1" t="s">
        <x:v>30</x:v>
      </x:c>
      <x:c r="W49" s="1" t="s">
        <x:v>30</x:v>
      </x:c>
      <x:c r="X49" s="1" t="s">
        <x:v>30</x:v>
      </x:c>
      <x:c r="Y49" s="1" t="s">
        <x:v>6766</x:v>
      </x:c>
      <x:c r="Z49" s="1" t="s">
        <x:v>6766</x:v>
      </x:c>
      <x:c r="AA49" s="1" t="s">
        <x:v>6766</x:v>
      </x:c>
      <x:c r="AB49" s="1" t="s">
        <x:v>30</x:v>
      </x:c>
      <x:c r="AC49" s="1" t="s">
        <x:v>30</x:v>
      </x:c>
      <x:c r="AD49" s="1" t="s">
        <x:v>30</x:v>
      </x:c>
      <x:c r="AE49" s="1" t="s">
        <x:v>30</x:v>
      </x:c>
      <x:c r="AF49" s="1" t="s">
        <x:v>30</x:v>
      </x:c>
      <x:c r="AG49" s="1" t="s">
        <x:v>30</x:v>
      </x:c>
      <x:c r="AH49" s="1" t="s">
        <x:v>6766</x:v>
      </x:c>
      <x:c r="AI49" s="1" t="s">
        <x:v>6768</x:v>
      </x:c>
      <x:c r="AJ49" s="1" t="s">
        <x:v>30</x:v>
      </x:c>
      <x:c r="AK49" s="1" t="s">
        <x:v>30</x:v>
      </x:c>
      <x:c r="AL49" s="1" t="s">
        <x:v>30</x:v>
      </x:c>
      <x:c r="AM49" s="1" t="s">
        <x:v>30</x:v>
      </x:c>
      <x:c r="AN49" s="1" t="s">
        <x:v>30</x:v>
      </x:c>
      <x:c r="AO49" s="1" t="s">
        <x:v>30</x:v>
      </x:c>
      <x:c r="AP49" s="1" t="s">
        <x:v>30</x:v>
      </x:c>
      <x:c r="AQ49" s="1" t="s">
        <x:v>30</x:v>
      </x:c>
      <x:c r="AR49" s="1" t="s">
        <x:v>30</x:v>
      </x:c>
      <x:c r="AS49" s="1" t="s">
        <x:v>30</x:v>
      </x:c>
      <x:c r="AT49" s="1" t="s">
        <x:v>30</x:v>
      </x:c>
      <x:c r="AU49" s="1" t="s">
        <x:v>30</x:v>
      </x:c>
      <x:c r="AV49" s="1" t="s">
        <x:v>30</x:v>
      </x:c>
      <x:c r="AW49" s="1" t="s">
        <x:v>30</x:v>
      </x:c>
      <x:c r="AX49" s="1" t="s">
        <x:v>30</x:v>
      </x:c>
      <x:c r="AY49" s="1" t="s">
        <x:v>30</x:v>
      </x:c>
      <x:c r="AZ49" s="1" t="s">
        <x:v>6766</x:v>
      </x:c>
      <x:c r="BA49" s="1" t="s">
        <x:v>30</x:v>
      </x:c>
      <x:c r="BB49" s="1" t="s">
        <x:v>30</x:v>
      </x:c>
      <x:c r="BC49" s="1" t="s">
        <x:v>6766</x:v>
      </x:c>
      <x:c r="BD49" s="1" t="s">
        <x:v>30</x:v>
      </x:c>
      <x:c r="BE49" s="1" t="s">
        <x:v>30</x:v>
      </x:c>
      <x:c r="BF49" s="1" t="s">
        <x:v>30</x:v>
      </x:c>
    </x:row>
    <x:row r="50" ht="15" hidden="0" customHeight="1">
      <x:c r="A50" s="1" t="s">
        <x:v>3721</x:v>
      </x:c>
      <x:c r="B50" s="1" t="s">
        <x:v>5554</x:v>
      </x:c>
      <x:c r="C50" s="1" t="s">
        <x:v>5693</x:v>
      </x:c>
      <x:c r="D50" s="1" t="n">
        <x:v>10</x:v>
      </x:c>
      <x:c r="E50" s="1" t="n">
        <x:v>1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s">
        <x:v>30</x:v>
      </x:c>
      <x:c r="K50" s="1" t="s">
        <x:v>6768</x:v>
      </x:c>
      <x:c r="L50" s="1" t="s">
        <x:v>6766</x:v>
      </x:c>
      <x:c r="M50" s="1" t="s">
        <x:v>30</x:v>
      </x:c>
      <x:c r="N50" s="1" t="s">
        <x:v>30</x:v>
      </x:c>
      <x:c r="O50" s="1" t="s">
        <x:v>6768</x:v>
      </x:c>
      <x:c r="P50" s="1" t="s">
        <x:v>30</x:v>
      </x:c>
      <x:c r="Q50" s="1" t="s">
        <x:v>30</x:v>
      </x:c>
      <x:c r="R50" s="1" t="s">
        <x:v>30</x:v>
      </x:c>
      <x:c r="S50" s="1" t="s">
        <x:v>30</x:v>
      </x:c>
      <x:c r="T50" s="1" t="s">
        <x:v>30</x:v>
      </x:c>
      <x:c r="U50" s="1" t="s">
        <x:v>30</x:v>
      </x:c>
      <x:c r="V50" s="1" t="s">
        <x:v>30</x:v>
      </x:c>
      <x:c r="W50" s="1" t="s">
        <x:v>30</x:v>
      </x:c>
      <x:c r="X50" s="1" t="s">
        <x:v>30</x:v>
      </x:c>
      <x:c r="Y50" s="1" t="s">
        <x:v>30</x:v>
      </x:c>
      <x:c r="Z50" s="1" t="s">
        <x:v>30</x:v>
      </x:c>
      <x:c r="AA50" s="1" t="s">
        <x:v>30</x:v>
      </x:c>
      <x:c r="AB50" s="1" t="s">
        <x:v>30</x:v>
      </x:c>
      <x:c r="AC50" s="1" t="s">
        <x:v>30</x:v>
      </x:c>
      <x:c r="AD50" s="1" t="s">
        <x:v>30</x:v>
      </x:c>
      <x:c r="AE50" s="1" t="s">
        <x:v>30</x:v>
      </x:c>
      <x:c r="AF50" s="1" t="s">
        <x:v>30</x:v>
      </x:c>
      <x:c r="AG50" s="1" t="s">
        <x:v>30</x:v>
      </x:c>
      <x:c r="AH50" s="1" t="s">
        <x:v>30</x:v>
      </x:c>
      <x:c r="AI50" s="1" t="s">
        <x:v>30</x:v>
      </x:c>
      <x:c r="AJ50" s="1" t="s">
        <x:v>30</x:v>
      </x:c>
      <x:c r="AK50" s="1" t="s">
        <x:v>30</x:v>
      </x:c>
      <x:c r="AL50" s="1" t="s">
        <x:v>30</x:v>
      </x:c>
      <x:c r="AM50" s="1" t="s">
        <x:v>30</x:v>
      </x:c>
      <x:c r="AN50" s="1" t="s">
        <x:v>30</x:v>
      </x:c>
      <x:c r="AO50" s="1" t="s">
        <x:v>30</x:v>
      </x:c>
      <x:c r="AP50" s="1" t="s">
        <x:v>30</x:v>
      </x:c>
      <x:c r="AQ50" s="1" t="s">
        <x:v>6707</x:v>
      </x:c>
      <x:c r="AR50" s="1" t="s">
        <x:v>6707</x:v>
      </x:c>
      <x:c r="AS50" s="1" t="s">
        <x:v>6707</x:v>
      </x:c>
      <x:c r="AT50" s="1" t="s">
        <x:v>6707</x:v>
      </x:c>
      <x:c r="AU50" s="1" t="s">
        <x:v>6707</x:v>
      </x:c>
      <x:c r="AV50" s="1" t="s">
        <x:v>6768</x:v>
      </x:c>
      <x:c r="AW50" s="1" t="s">
        <x:v>30</x:v>
      </x:c>
      <x:c r="AX50" s="1" t="s">
        <x:v>6766</x:v>
      </x:c>
      <x:c r="AY50" s="1" t="s">
        <x:v>30</x:v>
      </x:c>
      <x:c r="AZ50" s="1" t="s">
        <x:v>6766</x:v>
      </x:c>
      <x:c r="BA50" s="1" t="s">
        <x:v>30</x:v>
      </x:c>
      <x:c r="BB50" s="1" t="s">
        <x:v>30</x:v>
      </x:c>
      <x:c r="BC50" s="1" t="s">
        <x:v>6766</x:v>
      </x:c>
      <x:c r="BD50" s="1" t="s">
        <x:v>6766</x:v>
      </x:c>
      <x:c r="BE50" s="1" t="s">
        <x:v>30</x:v>
      </x:c>
      <x:c r="BF50" s="1" t="s">
        <x:v>30</x:v>
      </x:c>
    </x:row>
    <x:row r="51" ht="15" hidden="0" customHeight="1">
      <x:c r="A51" s="1" t="s">
        <x:v>3466</x:v>
      </x:c>
      <x:c r="B51" s="1" t="s">
        <x:v>5554</x:v>
      </x:c>
      <x:c r="C51" s="1" t="s">
        <x:v>5693</x:v>
      </x:c>
      <x:c r="D51" s="1" t="n">
        <x:v>21</x:v>
      </x:c>
      <x:c r="E51" s="1" t="n">
        <x:v>2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s">
        <x:v>30</x:v>
      </x:c>
      <x:c r="K51" s="1" t="s">
        <x:v>6770</x:v>
      </x:c>
      <x:c r="L51" s="1" t="s">
        <x:v>6769</x:v>
      </x:c>
      <x:c r="M51" s="1" t="s">
        <x:v>6769</x:v>
      </x:c>
      <x:c r="N51" s="1" t="s">
        <x:v>6768</x:v>
      </x:c>
      <x:c r="O51" s="1" t="s">
        <x:v>6769</x:v>
      </x:c>
      <x:c r="P51" s="1" t="s">
        <x:v>30</x:v>
      </x:c>
      <x:c r="Q51" s="1" t="s">
        <x:v>30</x:v>
      </x:c>
      <x:c r="R51" s="1" t="s">
        <x:v>6766</x:v>
      </x:c>
      <x:c r="S51" s="1" t="s">
        <x:v>30</x:v>
      </x:c>
      <x:c r="T51" s="1" t="s">
        <x:v>30</x:v>
      </x:c>
      <x:c r="U51" s="1" t="s">
        <x:v>30</x:v>
      </x:c>
      <x:c r="V51" s="1" t="s">
        <x:v>6768</x:v>
      </x:c>
      <x:c r="W51" s="1" t="s">
        <x:v>30</x:v>
      </x:c>
      <x:c r="X51" s="1" t="s">
        <x:v>30</x:v>
      </x:c>
      <x:c r="Y51" s="1" t="s">
        <x:v>30</x:v>
      </x:c>
      <x:c r="Z51" s="1" t="s">
        <x:v>30</x:v>
      </x:c>
      <x:c r="AA51" s="1" t="s">
        <x:v>30</x:v>
      </x:c>
      <x:c r="AB51" s="1" t="s">
        <x:v>6766</x:v>
      </x:c>
      <x:c r="AC51" s="1" t="s">
        <x:v>6766</x:v>
      </x:c>
      <x:c r="AD51" s="1" t="s">
        <x:v>30</x:v>
      </x:c>
      <x:c r="AE51" s="1" t="s">
        <x:v>30</x:v>
      </x:c>
      <x:c r="AF51" s="1" t="s">
        <x:v>30</x:v>
      </x:c>
      <x:c r="AG51" s="1" t="s">
        <x:v>30</x:v>
      </x:c>
      <x:c r="AH51" s="1" t="s">
        <x:v>30</x:v>
      </x:c>
      <x:c r="AI51" s="1" t="s">
        <x:v>30</x:v>
      </x:c>
      <x:c r="AJ51" s="1" t="s">
        <x:v>30</x:v>
      </x:c>
      <x:c r="AK51" s="1" t="s">
        <x:v>30</x:v>
      </x:c>
      <x:c r="AL51" s="1" t="s">
        <x:v>30</x:v>
      </x:c>
      <x:c r="AM51" s="1" t="s">
        <x:v>30</x:v>
      </x:c>
      <x:c r="AN51" s="1" t="s">
        <x:v>30</x:v>
      </x:c>
      <x:c r="AO51" s="1" t="s">
        <x:v>30</x:v>
      </x:c>
      <x:c r="AP51" s="1" t="s">
        <x:v>30</x:v>
      </x:c>
      <x:c r="AQ51" s="1" t="s">
        <x:v>6707</x:v>
      </x:c>
      <x:c r="AR51" s="1" t="s">
        <x:v>6707</x:v>
      </x:c>
      <x:c r="AS51" s="1" t="s">
        <x:v>6707</x:v>
      </x:c>
      <x:c r="AT51" s="1" t="s">
        <x:v>6707</x:v>
      </x:c>
      <x:c r="AU51" s="1" t="s">
        <x:v>6707</x:v>
      </x:c>
      <x:c r="AV51" s="1" t="s">
        <x:v>30</x:v>
      </x:c>
      <x:c r="AW51" s="1" t="s">
        <x:v>30</x:v>
      </x:c>
      <x:c r="AX51" s="1" t="s">
        <x:v>30</x:v>
      </x:c>
      <x:c r="AY51" s="1" t="s">
        <x:v>30</x:v>
      </x:c>
      <x:c r="AZ51" s="1" t="s">
        <x:v>6768</x:v>
      </x:c>
      <x:c r="BA51" s="1" t="s">
        <x:v>6766</x:v>
      </x:c>
      <x:c r="BB51" s="1" t="s">
        <x:v>30</x:v>
      </x:c>
      <x:c r="BC51" s="1" t="s">
        <x:v>30</x:v>
      </x:c>
      <x:c r="BD51" s="1" t="s">
        <x:v>30</x:v>
      </x:c>
      <x:c r="BE51" s="1" t="s">
        <x:v>30</x:v>
      </x:c>
      <x:c r="BF51" s="1" t="s">
        <x:v>30</x:v>
      </x:c>
    </x:row>
    <x:row r="52" ht="15" hidden="0" customHeight="1">
      <x:c r="A52" s="1" t="s">
        <x:v>3668</x:v>
      </x:c>
      <x:c r="B52" s="1" t="s">
        <x:v>5554</x:v>
      </x:c>
      <x:c r="C52" s="1" t="s">
        <x:v>5693</x:v>
      </x:c>
      <x:c r="D52" s="1" t="n">
        <x:v>22</x:v>
      </x:c>
      <x:c r="E52" s="1" t="n">
        <x:v>0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s">
        <x:v>30</x:v>
      </x:c>
      <x:c r="K52" s="1" t="s">
        <x:v>6770</x:v>
      </x:c>
      <x:c r="L52" s="1" t="s">
        <x:v>6766</x:v>
      </x:c>
      <x:c r="M52" s="1" t="s">
        <x:v>6766</x:v>
      </x:c>
      <x:c r="N52" s="1" t="s">
        <x:v>6769</x:v>
      </x:c>
      <x:c r="O52" s="1" t="s">
        <x:v>6766</x:v>
      </x:c>
      <x:c r="P52" s="1" t="s">
        <x:v>30</x:v>
      </x:c>
      <x:c r="Q52" s="1" t="s">
        <x:v>30</x:v>
      </x:c>
      <x:c r="R52" s="1" t="s">
        <x:v>6768</x:v>
      </x:c>
      <x:c r="S52" s="1" t="s">
        <x:v>30</x:v>
      </x:c>
      <x:c r="T52" s="1" t="s">
        <x:v>6766</x:v>
      </x:c>
      <x:c r="U52" s="1" t="s">
        <x:v>30</x:v>
      </x:c>
      <x:c r="V52" s="1" t="s">
        <x:v>6766</x:v>
      </x:c>
      <x:c r="W52" s="1" t="s">
        <x:v>30</x:v>
      </x:c>
      <x:c r="X52" s="1" t="s">
        <x:v>6766</x:v>
      </x:c>
      <x:c r="Y52" s="1" t="s">
        <x:v>6766</x:v>
      </x:c>
      <x:c r="Z52" s="1" t="s">
        <x:v>6766</x:v>
      </x:c>
      <x:c r="AA52" s="1" t="s">
        <x:v>30</x:v>
      </x:c>
      <x:c r="AB52" s="1" t="s">
        <x:v>30</x:v>
      </x:c>
      <x:c r="AC52" s="1" t="s">
        <x:v>6766</x:v>
      </x:c>
      <x:c r="AD52" s="1" t="s">
        <x:v>30</x:v>
      </x:c>
      <x:c r="AE52" s="1" t="s">
        <x:v>30</x:v>
      </x:c>
      <x:c r="AF52" s="1" t="s">
        <x:v>30</x:v>
      </x:c>
      <x:c r="AG52" s="1" t="s">
        <x:v>30</x:v>
      </x:c>
      <x:c r="AH52" s="1" t="s">
        <x:v>6766</x:v>
      </x:c>
      <x:c r="AI52" s="1" t="s">
        <x:v>30</x:v>
      </x:c>
      <x:c r="AJ52" s="1" t="s">
        <x:v>30</x:v>
      </x:c>
      <x:c r="AK52" s="1" t="s">
        <x:v>6766</x:v>
      </x:c>
      <x:c r="AL52" s="1" t="s">
        <x:v>30</x:v>
      </x:c>
      <x:c r="AM52" s="1" t="s">
        <x:v>30</x:v>
      </x:c>
      <x:c r="AN52" s="1" t="s">
        <x:v>30</x:v>
      </x:c>
      <x:c r="AO52" s="1" t="s">
        <x:v>30</x:v>
      </x:c>
      <x:c r="AP52" s="1" t="s">
        <x:v>30</x:v>
      </x:c>
      <x:c r="AQ52" s="1" t="s">
        <x:v>6707</x:v>
      </x:c>
      <x:c r="AR52" s="1" t="s">
        <x:v>6707</x:v>
      </x:c>
      <x:c r="AS52" s="1" t="s">
        <x:v>6707</x:v>
      </x:c>
      <x:c r="AT52" s="1" t="s">
        <x:v>6707</x:v>
      </x:c>
      <x:c r="AU52" s="1" t="s">
        <x:v>6707</x:v>
      </x:c>
      <x:c r="AV52" s="1" t="s">
        <x:v>30</x:v>
      </x:c>
      <x:c r="AW52" s="1" t="s">
        <x:v>30</x:v>
      </x:c>
      <x:c r="AX52" s="1" t="s">
        <x:v>6766</x:v>
      </x:c>
      <x:c r="AY52" s="1" t="s">
        <x:v>30</x:v>
      </x:c>
      <x:c r="AZ52" s="1" t="s">
        <x:v>30</x:v>
      </x:c>
      <x:c r="BA52" s="1" t="s">
        <x:v>30</x:v>
      </x:c>
      <x:c r="BB52" s="1" t="s">
        <x:v>30</x:v>
      </x:c>
      <x:c r="BC52" s="1" t="s">
        <x:v>6766</x:v>
      </x:c>
      <x:c r="BD52" s="1" t="s">
        <x:v>30</x:v>
      </x:c>
      <x:c r="BE52" s="1" t="s">
        <x:v>30</x:v>
      </x:c>
      <x:c r="BF52" s="1" t="s">
        <x:v>30</x:v>
      </x:c>
    </x:row>
    <x:row r="53" ht="15" hidden="0" customHeight="1">
      <x:c r="A53" s="1" t="s">
        <x:v>3759</x:v>
      </x:c>
      <x:c r="B53" s="1" t="s">
        <x:v>5503</x:v>
      </x:c>
      <x:c r="C53" s="1" t="s">
        <x:v>5693</x:v>
      </x:c>
      <x:c r="D53" s="1" t="n">
        <x:v>15</x:v>
      </x:c>
      <x:c r="E53" s="1" t="n">
        <x:v>0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s">
        <x:v>30</x:v>
      </x:c>
      <x:c r="K53" s="1" t="s">
        <x:v>30</x:v>
      </x:c>
      <x:c r="L53" s="1" t="s">
        <x:v>6766</x:v>
      </x:c>
      <x:c r="M53" s="1" t="s">
        <x:v>30</x:v>
      </x:c>
      <x:c r="N53" s="1" t="s">
        <x:v>30</x:v>
      </x:c>
      <x:c r="O53" s="1" t="s">
        <x:v>6766</x:v>
      </x:c>
      <x:c r="P53" s="1" t="s">
        <x:v>6766</x:v>
      </x:c>
      <x:c r="Q53" s="1" t="s">
        <x:v>30</x:v>
      </x:c>
      <x:c r="R53" s="1" t="s">
        <x:v>30</x:v>
      </x:c>
      <x:c r="S53" s="1" t="s">
        <x:v>30</x:v>
      </x:c>
      <x:c r="T53" s="1" t="s">
        <x:v>30</x:v>
      </x:c>
      <x:c r="U53" s="1" t="s">
        <x:v>30</x:v>
      </x:c>
      <x:c r="V53" s="1" t="s">
        <x:v>30</x:v>
      </x:c>
      <x:c r="W53" s="1" t="s">
        <x:v>30</x:v>
      </x:c>
      <x:c r="X53" s="1" t="s">
        <x:v>30</x:v>
      </x:c>
      <x:c r="Y53" s="1" t="s">
        <x:v>30</x:v>
      </x:c>
      <x:c r="Z53" s="1" t="s">
        <x:v>30</x:v>
      </x:c>
      <x:c r="AA53" s="1" t="s">
        <x:v>30</x:v>
      </x:c>
      <x:c r="AB53" s="1" t="s">
        <x:v>30</x:v>
      </x:c>
      <x:c r="AC53" s="1" t="s">
        <x:v>30</x:v>
      </x:c>
      <x:c r="AD53" s="1" t="s">
        <x:v>30</x:v>
      </x:c>
      <x:c r="AE53" s="1" t="s">
        <x:v>30</x:v>
      </x:c>
      <x:c r="AF53" s="1" t="s">
        <x:v>30</x:v>
      </x:c>
      <x:c r="AG53" s="1" t="s">
        <x:v>30</x:v>
      </x:c>
      <x:c r="AH53" s="1" t="s">
        <x:v>30</x:v>
      </x:c>
      <x:c r="AI53" s="1" t="s">
        <x:v>30</x:v>
      </x:c>
      <x:c r="AJ53" s="1" t="s">
        <x:v>30</x:v>
      </x:c>
      <x:c r="AK53" s="1" t="s">
        <x:v>30</x:v>
      </x:c>
      <x:c r="AL53" s="1" t="s">
        <x:v>30</x:v>
      </x:c>
      <x:c r="AM53" s="1" t="s">
        <x:v>30</x:v>
      </x:c>
      <x:c r="AN53" s="1" t="s">
        <x:v>30</x:v>
      </x:c>
      <x:c r="AO53" s="1" t="s">
        <x:v>30</x:v>
      </x:c>
      <x:c r="AP53" s="1" t="s">
        <x:v>30</x:v>
      </x:c>
      <x:c r="AQ53" s="1" t="s">
        <x:v>6766</x:v>
      </x:c>
      <x:c r="AR53" s="1" t="s">
        <x:v>6766</x:v>
      </x:c>
      <x:c r="AS53" s="1" t="s">
        <x:v>6770</x:v>
      </x:c>
      <x:c r="AT53" s="1" t="s">
        <x:v>6768</x:v>
      </x:c>
      <x:c r="AU53" s="1" t="s">
        <x:v>6766</x:v>
      </x:c>
      <x:c r="AV53" s="1" t="s">
        <x:v>30</x:v>
      </x:c>
      <x:c r="AW53" s="1" t="s">
        <x:v>6766</x:v>
      </x:c>
      <x:c r="AX53" s="1" t="s">
        <x:v>6766</x:v>
      </x:c>
      <x:c r="AY53" s="1" t="s">
        <x:v>30</x:v>
      </x:c>
      <x:c r="AZ53" s="1" t="s">
        <x:v>6766</x:v>
      </x:c>
      <x:c r="BA53" s="1" t="s">
        <x:v>30</x:v>
      </x:c>
      <x:c r="BB53" s="1" t="s">
        <x:v>30</x:v>
      </x:c>
      <x:c r="BC53" s="1" t="s">
        <x:v>30</x:v>
      </x:c>
      <x:c r="BD53" s="1" t="s">
        <x:v>30</x:v>
      </x:c>
      <x:c r="BE53" s="1" t="s">
        <x:v>30</x:v>
      </x:c>
      <x:c r="BF53" s="1" t="s">
        <x:v>30</x:v>
      </x:c>
    </x:row>
    <x:row r="54" ht="15" hidden="0" customHeight="1">
      <x:c r="A54" s="1" t="s">
        <x:v>5559</x:v>
      </x:c>
      <x:c r="B54" s="1" t="s">
        <x:v>5503</x:v>
      </x:c>
      <x:c r="C54" s="1" t="s">
        <x:v>5693</x:v>
      </x:c>
      <x:c r="D54" s="1" t="n">
        <x:v>0</x:v>
      </x:c>
      <x:c r="E54" s="1" t="n">
        <x:v>0</x:v>
      </x:c>
      <x:c r="F54" s="1" t="n">
        <x:v>0</x:v>
      </x:c>
      <x:c r="G54" s="1" t="n">
        <x:v>0</x:v>
      </x:c>
      <x:c r="H54" s="1" t="n">
        <x:v>0</x:v>
      </x:c>
      <x:c r="I54" s="1" t="n">
        <x:v>0</x:v>
      </x:c>
      <x:c r="J54" s="1" t="s">
        <x:v>30</x:v>
      </x:c>
      <x:c r="K54" s="1" t="s">
        <x:v>30</x:v>
      </x:c>
      <x:c r="L54" s="1" t="s">
        <x:v>30</x:v>
      </x:c>
      <x:c r="M54" s="1" t="s">
        <x:v>30</x:v>
      </x:c>
      <x:c r="N54" s="1" t="s">
        <x:v>30</x:v>
      </x:c>
      <x:c r="O54" s="1" t="s">
        <x:v>30</x:v>
      </x:c>
      <x:c r="P54" s="1" t="s">
        <x:v>30</x:v>
      </x:c>
      <x:c r="Q54" s="1" t="s">
        <x:v>30</x:v>
      </x:c>
      <x:c r="R54" s="1" t="s">
        <x:v>30</x:v>
      </x:c>
      <x:c r="S54" s="1" t="s">
        <x:v>30</x:v>
      </x:c>
      <x:c r="T54" s="1" t="s">
        <x:v>30</x:v>
      </x:c>
      <x:c r="U54" s="1" t="s">
        <x:v>30</x:v>
      </x:c>
      <x:c r="V54" s="1" t="s">
        <x:v>30</x:v>
      </x:c>
      <x:c r="W54" s="1" t="s">
        <x:v>30</x:v>
      </x:c>
      <x:c r="X54" s="1" t="s">
        <x:v>30</x:v>
      </x:c>
      <x:c r="Y54" s="1" t="s">
        <x:v>30</x:v>
      </x:c>
      <x:c r="Z54" s="1" t="s">
        <x:v>30</x:v>
      </x:c>
      <x:c r="AA54" s="1" t="s">
        <x:v>30</x:v>
      </x:c>
      <x:c r="AB54" s="1" t="s">
        <x:v>30</x:v>
      </x:c>
      <x:c r="AC54" s="1" t="s">
        <x:v>30</x:v>
      </x:c>
      <x:c r="AD54" s="1" t="s">
        <x:v>30</x:v>
      </x:c>
      <x:c r="AE54" s="1" t="s">
        <x:v>30</x:v>
      </x:c>
      <x:c r="AF54" s="1" t="s">
        <x:v>30</x:v>
      </x:c>
      <x:c r="AG54" s="1" t="s">
        <x:v>30</x:v>
      </x:c>
      <x:c r="AH54" s="1" t="s">
        <x:v>30</x:v>
      </x:c>
      <x:c r="AI54" s="1" t="s">
        <x:v>30</x:v>
      </x:c>
      <x:c r="AJ54" s="1" t="s">
        <x:v>30</x:v>
      </x:c>
      <x:c r="AK54" s="1" t="s">
        <x:v>30</x:v>
      </x:c>
      <x:c r="AL54" s="1" t="s">
        <x:v>30</x:v>
      </x:c>
      <x:c r="AM54" s="1" t="s">
        <x:v>30</x:v>
      </x:c>
      <x:c r="AN54" s="1" t="s">
        <x:v>30</x:v>
      </x:c>
      <x:c r="AO54" s="1" t="s">
        <x:v>30</x:v>
      </x:c>
      <x:c r="AP54" s="1" t="s">
        <x:v>30</x:v>
      </x:c>
      <x:c r="AQ54" s="1" t="s">
        <x:v>30</x:v>
      </x:c>
      <x:c r="AR54" s="1" t="s">
        <x:v>30</x:v>
      </x:c>
      <x:c r="AS54" s="1" t="s">
        <x:v>30</x:v>
      </x:c>
      <x:c r="AT54" s="1" t="s">
        <x:v>30</x:v>
      </x:c>
      <x:c r="AU54" s="1" t="s">
        <x:v>30</x:v>
      </x:c>
      <x:c r="AV54" s="1" t="s">
        <x:v>30</x:v>
      </x:c>
      <x:c r="AW54" s="1" t="s">
        <x:v>30</x:v>
      </x:c>
      <x:c r="AX54" s="1" t="s">
        <x:v>30</x:v>
      </x:c>
      <x:c r="AY54" s="1" t="s">
        <x:v>30</x:v>
      </x:c>
      <x:c r="AZ54" s="1" t="s">
        <x:v>30</x:v>
      </x:c>
      <x:c r="BA54" s="1" t="s">
        <x:v>30</x:v>
      </x:c>
      <x:c r="BB54" s="1" t="s">
        <x:v>30</x:v>
      </x:c>
      <x:c r="BC54" s="1" t="s">
        <x:v>30</x:v>
      </x:c>
      <x:c r="BD54" s="1" t="s">
        <x:v>30</x:v>
      </x:c>
      <x:c r="BE54" s="1" t="s">
        <x:v>30</x:v>
      </x:c>
      <x:c r="BF54" s="1" t="s">
        <x:v>30</x:v>
      </x:c>
    </x:row>
    <x:row r="55" ht="15" hidden="0" customHeight="1">
      <x:c r="A55" s="1" t="s">
        <x:v>5134</x:v>
      </x:c>
      <x:c r="B55" s="1" t="s">
        <x:v>5503</x:v>
      </x:c>
      <x:c r="C55" s="1" t="s">
        <x:v>5693</x:v>
      </x:c>
      <x:c r="D55" s="1" t="n">
        <x:v>53</x:v>
      </x:c>
      <x:c r="E55" s="1" t="n">
        <x:v>1</x:v>
      </x:c>
      <x:c r="F55" s="1" t="n">
        <x:v>1</x:v>
      </x:c>
      <x:c r="G55" s="1" t="n">
        <x:v>0</x:v>
      </x:c>
      <x:c r="H55" s="1" t="n">
        <x:v>0</x:v>
      </x:c>
      <x:c r="I55" s="1" t="n">
        <x:v>0</x:v>
      </x:c>
      <x:c r="J55" s="1" t="s">
        <x:v>30</x:v>
      </x:c>
      <x:c r="K55" s="1" t="str">
        <x:v>EXTRACTED(8)</x:v>
      </x:c>
      <x:c r="L55" s="1" t="str">
        <x:v>EXTRACTED(2)</x:v>
      </x:c>
      <x:c r="M55" s="1" t="str">
        <x:v>EXTRACTED(2)</x:v>
      </x:c>
      <x:c r="N55" s="1" t="str">
        <x:v>EXTRACTED(6)</x:v>
      </x:c>
      <x:c r="O55" s="1" t="str">
        <x:v>EXTRACTED(5)</x:v>
      </x:c>
      <x:c r="P55" s="1" t="str">
        <x:v>EXTRACTED(2)</x:v>
      </x:c>
      <x:c r="Q55" s="1" t="str">
        <x:v>EXTRACTED(3)</x:v>
      </x:c>
      <x:c r="R55" s="1" t="str">
        <x:v>EXTRACTED(1)</x:v>
      </x:c>
      <x:c r="S55" s="1" t="s">
        <x:v>30</x:v>
      </x:c>
      <x:c r="T55" s="1" t="str">
        <x:v>EXTRACTED(1)</x:v>
      </x:c>
      <x:c r="U55" s="1" t="str">
        <x:v>EXTRACTED(1)</x:v>
      </x:c>
      <x:c r="V55" s="1" t="str">
        <x:v>EXTRACTED(2)</x:v>
      </x:c>
      <x:c r="W55" s="1" t="s">
        <x:v>30</x:v>
      </x:c>
      <x:c r="X55" s="1" t="s">
        <x:v>30</x:v>
      </x:c>
      <x:c r="Y55" s="1" t="str">
        <x:v>EXTRACTED(1)</x:v>
      </x:c>
      <x:c r="Z55" s="1" t="str">
        <x:v>EXTRACTED(2)</x:v>
      </x:c>
      <x:c r="AA55" s="1" t="str">
        <x:v>EXTRACTED(1)</x:v>
      </x:c>
      <x:c r="AB55" s="1" t="str">
        <x:v>EXTRACTED(1)</x:v>
      </x:c>
      <x:c r="AC55" s="1" t="str">
        <x:v>EXTRACTED(1)</x:v>
      </x:c>
      <x:c r="AD55" s="1" t="str">
        <x:v>EXTRACTED(1)</x:v>
      </x:c>
      <x:c r="AE55" s="1" t="str">
        <x:v>EXTRACTED(1)</x:v>
      </x:c>
      <x:c r="AF55" s="1" t="s">
        <x:v>30</x:v>
      </x:c>
      <x:c r="AG55" s="1" t="s">
        <x:v>30</x:v>
      </x:c>
      <x:c r="AH55" s="1" t="str">
        <x:v>EXTRACTED(1)</x:v>
      </x:c>
      <x:c r="AI55" s="1" t="str">
        <x:v>EXTRACTED(2)</x:v>
      </x:c>
      <x:c r="AJ55" s="1" t="str">
        <x:v>EXTRACTED(1)</x:v>
      </x:c>
      <x:c r="AK55" s="1" t="str">
        <x:v>EXTRACTED(2)</x:v>
      </x:c>
      <x:c r="AL55" s="1" t="s">
        <x:v>30</x:v>
      </x:c>
      <x:c r="AM55" s="1" t="s">
        <x:v>30</x:v>
      </x:c>
      <x:c r="AN55" s="1" t="s">
        <x:v>30</x:v>
      </x:c>
      <x:c r="AO55" s="1" t="s">
        <x:v>30</x:v>
      </x:c>
      <x:c r="AP55" s="1" t="s">
        <x:v>30</x:v>
      </x:c>
      <x:c r="AQ55" s="1" t="s">
        <x:v>6707</x:v>
      </x:c>
      <x:c r="AR55" s="1" t="s">
        <x:v>6707</x:v>
      </x:c>
      <x:c r="AS55" s="1" t="s">
        <x:v>6707</x:v>
      </x:c>
      <x:c r="AT55" s="1" t="s">
        <x:v>6707</x:v>
      </x:c>
      <x:c r="AU55" s="1" t="s">
        <x:v>6707</x:v>
      </x:c>
      <x:c r="AV55" s="1" t="str">
        <x:v>EXTRACTED(1)</x:v>
      </x:c>
      <x:c r="AW55" s="1" t="str">
        <x:v>EXTRACTED(1)</x:v>
      </x:c>
      <x:c r="AX55" s="1" t="s">
        <x:v>30</x:v>
      </x:c>
      <x:c r="AY55" s="1" t="str">
        <x:v>EXTRACTED(1)</x:v>
      </x:c>
      <x:c r="AZ55" s="1" t="str">
        <x:v>EXTRACTED(1)</x:v>
      </x:c>
      <x:c r="BA55" s="1" t="str">
        <x:v>EXTRACTED(1)</x:v>
      </x:c>
      <x:c r="BB55" s="1" t="str">
        <x:v>EXTRACTED(1)</x:v>
      </x:c>
      <x:c r="BC55" s="1" t="str">
        <x:v>EXTRACTED(1)</x:v>
      </x:c>
      <x:c r="BD55" s="1" t="s">
        <x:v>30</x:v>
      </x:c>
      <x:c r="BE55" s="1" t="s">
        <x:v>30</x:v>
      </x:c>
      <x:c r="BF55" s="1" t="str">
        <x:v>EXTRACTED(1)</x:v>
      </x:c>
    </x:row>
    <x:row r="56" ht="15" hidden="0" customHeight="1">
      <x:c r="A56" s="1" t="s">
        <x:v>5160</x:v>
      </x:c>
      <x:c r="B56" s="1" t="s">
        <x:v>5503</x:v>
      </x:c>
      <x:c r="C56" s="1" t="s">
        <x:v>5693</x:v>
      </x:c>
      <x:c r="D56" s="1" t="n">
        <x:v>2</x:v>
      </x:c>
      <x:c r="E56" s="1" t="n">
        <x:v>1</x:v>
      </x:c>
      <x:c r="F56" s="1" t="n">
        <x:v>0</x:v>
      </x:c>
      <x:c r="G56" s="1" t="n">
        <x:v>0</x:v>
      </x:c>
      <x:c r="H56" s="1" t="n">
        <x:v>0</x:v>
      </x:c>
      <x:c r="I56" s="1" t="n">
        <x:v>0</x:v>
      </x:c>
      <x:c r="J56" s="1" t="s">
        <x:v>6766</x:v>
      </x:c>
      <x:c r="K56" s="1" t="s">
        <x:v>30</x:v>
      </x:c>
      <x:c r="L56" s="1" t="s">
        <x:v>30</x:v>
      </x:c>
      <x:c r="M56" s="1" t="s">
        <x:v>30</x:v>
      </x:c>
      <x:c r="N56" s="1" t="s">
        <x:v>30</x:v>
      </x:c>
      <x:c r="O56" s="1" t="s">
        <x:v>6766</x:v>
      </x:c>
      <x:c r="P56" s="1" t="s">
        <x:v>30</x:v>
      </x:c>
      <x:c r="Q56" s="1" t="s">
        <x:v>30</x:v>
      </x:c>
      <x:c r="R56" s="1" t="s">
        <x:v>30</x:v>
      </x:c>
      <x:c r="S56" s="1" t="s">
        <x:v>30</x:v>
      </x:c>
      <x:c r="T56" s="1" t="s">
        <x:v>30</x:v>
      </x:c>
      <x:c r="U56" s="1" t="s">
        <x:v>30</x:v>
      </x:c>
      <x:c r="V56" s="1" t="s">
        <x:v>30</x:v>
      </x:c>
      <x:c r="W56" s="1" t="s">
        <x:v>30</x:v>
      </x:c>
      <x:c r="X56" s="1" t="s">
        <x:v>30</x:v>
      </x:c>
      <x:c r="Y56" s="1" t="s">
        <x:v>30</x:v>
      </x:c>
      <x:c r="Z56" s="1" t="s">
        <x:v>30</x:v>
      </x:c>
      <x:c r="AA56" s="1" t="s">
        <x:v>30</x:v>
      </x:c>
      <x:c r="AB56" s="1" t="s">
        <x:v>30</x:v>
      </x:c>
      <x:c r="AC56" s="1" t="s">
        <x:v>30</x:v>
      </x:c>
      <x:c r="AD56" s="1" t="s">
        <x:v>30</x:v>
      </x:c>
      <x:c r="AE56" s="1" t="s">
        <x:v>30</x:v>
      </x:c>
      <x:c r="AF56" s="1" t="s">
        <x:v>30</x:v>
      </x:c>
      <x:c r="AG56" s="1" t="s">
        <x:v>30</x:v>
      </x:c>
      <x:c r="AH56" s="1" t="s">
        <x:v>30</x:v>
      </x:c>
      <x:c r="AI56" s="1" t="s">
        <x:v>30</x:v>
      </x:c>
      <x:c r="AJ56" s="1" t="s">
        <x:v>30</x:v>
      </x:c>
      <x:c r="AK56" s="1" t="s">
        <x:v>30</x:v>
      </x:c>
      <x:c r="AL56" s="1" t="s">
        <x:v>30</x:v>
      </x:c>
      <x:c r="AM56" s="1" t="s">
        <x:v>30</x:v>
      </x:c>
      <x:c r="AN56" s="1" t="s">
        <x:v>30</x:v>
      </x:c>
      <x:c r="AO56" s="1" t="s">
        <x:v>30</x:v>
      </x:c>
      <x:c r="AP56" s="1" t="s">
        <x:v>30</x:v>
      </x:c>
      <x:c r="AQ56" s="1" t="s">
        <x:v>6707</x:v>
      </x:c>
      <x:c r="AR56" s="1" t="s">
        <x:v>6707</x:v>
      </x:c>
      <x:c r="AS56" s="1" t="s">
        <x:v>6707</x:v>
      </x:c>
      <x:c r="AT56" s="1" t="s">
        <x:v>6707</x:v>
      </x:c>
      <x:c r="AU56" s="1" t="s">
        <x:v>6707</x:v>
      </x:c>
      <x:c r="AV56" s="1" t="s">
        <x:v>30</x:v>
      </x:c>
      <x:c r="AW56" s="1" t="s">
        <x:v>30</x:v>
      </x:c>
      <x:c r="AX56" s="1" t="s">
        <x:v>30</x:v>
      </x:c>
      <x:c r="AY56" s="1" t="s">
        <x:v>30</x:v>
      </x:c>
      <x:c r="AZ56" s="1" t="s">
        <x:v>6766</x:v>
      </x:c>
      <x:c r="BA56" s="1" t="s">
        <x:v>30</x:v>
      </x:c>
      <x:c r="BB56" s="1" t="s">
        <x:v>30</x:v>
      </x:c>
      <x:c r="BC56" s="1" t="s">
        <x:v>30</x:v>
      </x:c>
      <x:c r="BD56" s="1" t="s">
        <x:v>30</x:v>
      </x:c>
      <x:c r="BE56" s="1" t="s">
        <x:v>30</x:v>
      </x:c>
      <x:c r="BF56" s="1" t="s">
        <x:v>30</x:v>
      </x:c>
    </x:row>
    <x:row r="57" ht="15" hidden="0" customHeight="1">
      <x:c r="A57" s="1" t="s">
        <x:v>3191</x:v>
      </x:c>
      <x:c r="B57" s="1" t="s">
        <x:v>5503</x:v>
      </x:c>
      <x:c r="C57" s="1" t="s">
        <x:v>5693</x:v>
      </x:c>
      <x:c r="D57" s="1" t="n">
        <x:v>4</x:v>
      </x:c>
      <x:c r="E57" s="1" t="n">
        <x:v>0</x:v>
      </x:c>
      <x:c r="F57" s="1" t="n">
        <x:v>0</x:v>
      </x:c>
      <x:c r="G57" s="1" t="n">
        <x:v>0</x:v>
      </x:c>
      <x:c r="H57" s="1" t="n">
        <x:v>0</x:v>
      </x:c>
      <x:c r="I57" s="1" t="n">
        <x:v>0</x:v>
      </x:c>
      <x:c r="J57" s="1" t="s">
        <x:v>30</x:v>
      </x:c>
      <x:c r="K57" s="1" t="s">
        <x:v>6768</x:v>
      </x:c>
      <x:c r="L57" s="1" t="s">
        <x:v>30</x:v>
      </x:c>
      <x:c r="M57" s="1" t="s">
        <x:v>30</x:v>
      </x:c>
      <x:c r="N57" s="1" t="s">
        <x:v>6768</x:v>
      </x:c>
      <x:c r="O57" s="1" t="s">
        <x:v>30</x:v>
      </x:c>
      <x:c r="P57" s="1" t="s">
        <x:v>30</x:v>
      </x:c>
      <x:c r="Q57" s="1" t="s">
        <x:v>30</x:v>
      </x:c>
      <x:c r="R57" s="1" t="s">
        <x:v>30</x:v>
      </x:c>
      <x:c r="S57" s="1" t="s">
        <x:v>30</x:v>
      </x:c>
      <x:c r="T57" s="1" t="s">
        <x:v>30</x:v>
      </x:c>
      <x:c r="U57" s="1" t="s">
        <x:v>30</x:v>
      </x:c>
      <x:c r="V57" s="1" t="s">
        <x:v>30</x:v>
      </x:c>
      <x:c r="W57" s="1" t="s">
        <x:v>30</x:v>
      </x:c>
      <x:c r="X57" s="1" t="s">
        <x:v>30</x:v>
      </x:c>
      <x:c r="Y57" s="1" t="s">
        <x:v>30</x:v>
      </x:c>
      <x:c r="Z57" s="1" t="s">
        <x:v>30</x:v>
      </x:c>
      <x:c r="AA57" s="1" t="s">
        <x:v>30</x:v>
      </x:c>
      <x:c r="AB57" s="1" t="s">
        <x:v>30</x:v>
      </x:c>
      <x:c r="AC57" s="1" t="s">
        <x:v>30</x:v>
      </x:c>
      <x:c r="AD57" s="1" t="s">
        <x:v>30</x:v>
      </x:c>
      <x:c r="AE57" s="1" t="s">
        <x:v>30</x:v>
      </x:c>
      <x:c r="AF57" s="1" t="s">
        <x:v>30</x:v>
      </x:c>
      <x:c r="AG57" s="1" t="s">
        <x:v>30</x:v>
      </x:c>
      <x:c r="AH57" s="1" t="s">
        <x:v>30</x:v>
      </x:c>
      <x:c r="AI57" s="1" t="s">
        <x:v>30</x:v>
      </x:c>
      <x:c r="AJ57" s="1" t="s">
        <x:v>30</x:v>
      </x:c>
      <x:c r="AK57" s="1" t="s">
        <x:v>30</x:v>
      </x:c>
      <x:c r="AL57" s="1" t="s">
        <x:v>30</x:v>
      </x:c>
      <x:c r="AM57" s="1" t="s">
        <x:v>30</x:v>
      </x:c>
      <x:c r="AN57" s="1" t="s">
        <x:v>30</x:v>
      </x:c>
      <x:c r="AO57" s="1" t="s">
        <x:v>30</x:v>
      </x:c>
      <x:c r="AP57" s="1" t="s">
        <x:v>30</x:v>
      </x:c>
      <x:c r="AQ57" s="1" t="s">
        <x:v>30</x:v>
      </x:c>
      <x:c r="AR57" s="1" t="s">
        <x:v>30</x:v>
      </x:c>
      <x:c r="AS57" s="1" t="s">
        <x:v>30</x:v>
      </x:c>
      <x:c r="AT57" s="1" t="s">
        <x:v>30</x:v>
      </x:c>
      <x:c r="AU57" s="1" t="s">
        <x:v>30</x:v>
      </x:c>
      <x:c r="AV57" s="1" t="s">
        <x:v>30</x:v>
      </x:c>
      <x:c r="AW57" s="1" t="s">
        <x:v>30</x:v>
      </x:c>
      <x:c r="AX57" s="1" t="s">
        <x:v>30</x:v>
      </x:c>
      <x:c r="AY57" s="1" t="s">
        <x:v>30</x:v>
      </x:c>
      <x:c r="AZ57" s="1" t="s">
        <x:v>30</x:v>
      </x:c>
      <x:c r="BA57" s="1" t="s">
        <x:v>30</x:v>
      </x:c>
      <x:c r="BB57" s="1" t="s">
        <x:v>30</x:v>
      </x:c>
      <x:c r="BC57" s="1" t="s">
        <x:v>30</x:v>
      </x:c>
      <x:c r="BD57" s="1" t="s">
        <x:v>30</x:v>
      </x:c>
      <x:c r="BE57" s="1" t="s">
        <x:v>30</x:v>
      </x:c>
      <x:c r="BF57" s="1" t="s">
        <x:v>30</x:v>
      </x:c>
    </x:row>
    <x:row r="58" ht="15" hidden="0" customHeight="1">
      <x:c r="A58" s="1" t="s">
        <x:v>3207</x:v>
      </x:c>
      <x:c r="B58" s="1" t="s">
        <x:v>5503</x:v>
      </x:c>
      <x:c r="C58" s="1" t="s">
        <x:v>5798</x:v>
      </x:c>
      <x:c r="D58" s="1" t="n">
        <x:v>9</x:v>
      </x:c>
      <x:c r="E58" s="1" t="n">
        <x:v>1</x:v>
      </x:c>
      <x:c r="F58" s="1" t="n">
        <x:v>0</x:v>
      </x:c>
      <x:c r="G58" s="1" t="n">
        <x:v>0</x:v>
      </x:c>
      <x:c r="H58" s="1" t="n">
        <x:v>0</x:v>
      </x:c>
      <x:c r="I58" s="1" t="n">
        <x:v>0</x:v>
      </x:c>
      <x:c r="J58" s="1" t="s">
        <x:v>30</x:v>
      </x:c>
      <x:c r="K58" s="1" t="s">
        <x:v>6768</x:v>
      </x:c>
      <x:c r="L58" s="1" t="s">
        <x:v>30</x:v>
      </x:c>
      <x:c r="M58" s="1" t="s">
        <x:v>6768</x:v>
      </x:c>
      <x:c r="N58" s="1" t="s">
        <x:v>6769</x:v>
      </x:c>
      <x:c r="O58" s="1" t="s">
        <x:v>6766</x:v>
      </x:c>
      <x:c r="P58" s="1" t="s">
        <x:v>30</x:v>
      </x:c>
      <x:c r="Q58" s="1" t="s">
        <x:v>30</x:v>
      </x:c>
      <x:c r="R58" s="1" t="s">
        <x:v>30</x:v>
      </x:c>
      <x:c r="S58" s="1" t="s">
        <x:v>30</x:v>
      </x:c>
      <x:c r="T58" s="1" t="s">
        <x:v>30</x:v>
      </x:c>
      <x:c r="U58" s="1" t="s">
        <x:v>30</x:v>
      </x:c>
      <x:c r="V58" s="1" t="s">
        <x:v>30</x:v>
      </x:c>
      <x:c r="W58" s="1" t="s">
        <x:v>30</x:v>
      </x:c>
      <x:c r="X58" s="1" t="s">
        <x:v>30</x:v>
      </x:c>
      <x:c r="Y58" s="1" t="s">
        <x:v>30</x:v>
      </x:c>
      <x:c r="Z58" s="1" t="s">
        <x:v>30</x:v>
      </x:c>
      <x:c r="AA58" s="1" t="s">
        <x:v>30</x:v>
      </x:c>
      <x:c r="AB58" s="1" t="s">
        <x:v>30</x:v>
      </x:c>
      <x:c r="AC58" s="1" t="s">
        <x:v>30</x:v>
      </x:c>
      <x:c r="AD58" s="1" t="s">
        <x:v>30</x:v>
      </x:c>
      <x:c r="AE58" s="1" t="s">
        <x:v>30</x:v>
      </x:c>
      <x:c r="AF58" s="1" t="s">
        <x:v>30</x:v>
      </x:c>
      <x:c r="AG58" s="1" t="s">
        <x:v>30</x:v>
      </x:c>
      <x:c r="AH58" s="1" t="s">
        <x:v>30</x:v>
      </x:c>
      <x:c r="AI58" s="1" t="s">
        <x:v>30</x:v>
      </x:c>
      <x:c r="AJ58" s="1" t="s">
        <x:v>30</x:v>
      </x:c>
      <x:c r="AK58" s="1" t="s">
        <x:v>30</x:v>
      </x:c>
      <x:c r="AL58" s="1" t="s">
        <x:v>30</x:v>
      </x:c>
      <x:c r="AM58" s="1" t="s">
        <x:v>30</x:v>
      </x:c>
      <x:c r="AN58" s="1" t="s">
        <x:v>30</x:v>
      </x:c>
      <x:c r="AO58" s="1" t="s">
        <x:v>30</x:v>
      </x:c>
      <x:c r="AP58" s="1" t="s">
        <x:v>30</x:v>
      </x:c>
      <x:c r="AQ58" s="1" t="s">
        <x:v>6707</x:v>
      </x:c>
      <x:c r="AR58" s="1" t="s">
        <x:v>6707</x:v>
      </x:c>
      <x:c r="AS58" s="1" t="s">
        <x:v>6707</x:v>
      </x:c>
      <x:c r="AT58" s="1" t="s">
        <x:v>6707</x:v>
      </x:c>
      <x:c r="AU58" s="1" t="s">
        <x:v>6707</x:v>
      </x:c>
      <x:c r="AV58" s="1" t="s">
        <x:v>6766</x:v>
      </x:c>
      <x:c r="AW58" s="1" t="s">
        <x:v>30</x:v>
      </x:c>
      <x:c r="AX58" s="1" t="s">
        <x:v>30</x:v>
      </x:c>
      <x:c r="AY58" s="1" t="s">
        <x:v>30</x:v>
      </x:c>
      <x:c r="AZ58" s="1" t="s">
        <x:v>6766</x:v>
      </x:c>
      <x:c r="BA58" s="1" t="s">
        <x:v>30</x:v>
      </x:c>
      <x:c r="BB58" s="1" t="s">
        <x:v>30</x:v>
      </x:c>
      <x:c r="BC58" s="1" t="s">
        <x:v>30</x:v>
      </x:c>
      <x:c r="BD58" s="1" t="s">
        <x:v>30</x:v>
      </x:c>
      <x:c r="BE58" s="1" t="s">
        <x:v>30</x:v>
      </x:c>
      <x:c r="BF58" s="1" t="s">
        <x:v>30</x:v>
      </x:c>
    </x:row>
    <x:row r="59" ht="15" hidden="0" customHeight="1">
      <x:c r="A59" s="1" t="s">
        <x:v>4585</x:v>
      </x:c>
      <x:c r="B59" s="1" t="s">
        <x:v>5503</x:v>
      </x:c>
      <x:c r="C59" s="1" t="s">
        <x:v>5798</x:v>
      </x:c>
      <x:c r="D59" s="1" t="n">
        <x:v>7</x:v>
      </x:c>
      <x:c r="E59" s="1" t="n">
        <x:v>0</x:v>
      </x:c>
      <x:c r="F59" s="1" t="n">
        <x:v>0</x:v>
      </x:c>
      <x:c r="G59" s="1" t="n">
        <x:v>0</x:v>
      </x:c>
      <x:c r="H59" s="1" t="n">
        <x:v>0</x:v>
      </x:c>
      <x:c r="I59" s="1" t="n">
        <x:v>1</x:v>
      </x:c>
      <x:c r="J59" s="1" t="s">
        <x:v>6766</x:v>
      </x:c>
      <x:c r="K59" s="1" t="s">
        <x:v>6766</x:v>
      </x:c>
      <x:c r="L59" s="1" t="s">
        <x:v>30</x:v>
      </x:c>
      <x:c r="M59" s="1" t="s">
        <x:v>30</x:v>
      </x:c>
      <x:c r="N59" s="1" t="s">
        <x:v>30</x:v>
      </x:c>
      <x:c r="O59" s="1" t="s">
        <x:v>6766</x:v>
      </x:c>
      <x:c r="P59" s="1" t="s">
        <x:v>30</x:v>
      </x:c>
      <x:c r="Q59" s="1" t="s">
        <x:v>30</x:v>
      </x:c>
      <x:c r="R59" s="1" t="s">
        <x:v>30</x:v>
      </x:c>
      <x:c r="S59" s="1" t="s">
        <x:v>30</x:v>
      </x:c>
      <x:c r="T59" s="1" t="s">
        <x:v>30</x:v>
      </x:c>
      <x:c r="U59" s="1" t="s">
        <x:v>30</x:v>
      </x:c>
      <x:c r="V59" s="1" t="s">
        <x:v>30</x:v>
      </x:c>
      <x:c r="W59" s="1" t="s">
        <x:v>30</x:v>
      </x:c>
      <x:c r="X59" s="1" t="s">
        <x:v>30</x:v>
      </x:c>
      <x:c r="Y59" s="1" t="s">
        <x:v>30</x:v>
      </x:c>
      <x:c r="Z59" s="1" t="s">
        <x:v>30</x:v>
      </x:c>
      <x:c r="AA59" s="1" t="s">
        <x:v>30</x:v>
      </x:c>
      <x:c r="AB59" s="1" t="s">
        <x:v>30</x:v>
      </x:c>
      <x:c r="AC59" s="1" t="s">
        <x:v>30</x:v>
      </x:c>
      <x:c r="AD59" s="1" t="s">
        <x:v>30</x:v>
      </x:c>
      <x:c r="AE59" s="1" t="s">
        <x:v>30</x:v>
      </x:c>
      <x:c r="AF59" s="1" t="s">
        <x:v>30</x:v>
      </x:c>
      <x:c r="AG59" s="1" t="s">
        <x:v>30</x:v>
      </x:c>
      <x:c r="AH59" s="1" t="s">
        <x:v>30</x:v>
      </x:c>
      <x:c r="AI59" s="1" t="s">
        <x:v>30</x:v>
      </x:c>
      <x:c r="AJ59" s="1" t="s">
        <x:v>30</x:v>
      </x:c>
      <x:c r="AK59" s="1" t="s">
        <x:v>30</x:v>
      </x:c>
      <x:c r="AL59" s="1" t="s">
        <x:v>30</x:v>
      </x:c>
      <x:c r="AM59" s="1" t="s">
        <x:v>30</x:v>
      </x:c>
      <x:c r="AN59" s="1" t="s">
        <x:v>30</x:v>
      </x:c>
      <x:c r="AO59" s="1" t="s">
        <x:v>30</x:v>
      </x:c>
      <x:c r="AP59" s="1" t="s">
        <x:v>30</x:v>
      </x:c>
      <x:c r="AQ59" s="1" t="s">
        <x:v>6707</x:v>
      </x:c>
      <x:c r="AR59" s="1" t="s">
        <x:v>6707</x:v>
      </x:c>
      <x:c r="AS59" s="1" t="s">
        <x:v>6707</x:v>
      </x:c>
      <x:c r="AT59" s="1" t="s">
        <x:v>6707</x:v>
      </x:c>
      <x:c r="AU59" s="1" t="s">
        <x:v>6707</x:v>
      </x:c>
      <x:c r="AV59" s="1" t="s">
        <x:v>6766</x:v>
      </x:c>
      <x:c r="AW59" s="1" t="s">
        <x:v>30</x:v>
      </x:c>
      <x:c r="AX59" s="1" t="s">
        <x:v>30</x:v>
      </x:c>
      <x:c r="AY59" s="1" t="s">
        <x:v>6766</x:v>
      </x:c>
      <x:c r="AZ59" s="1" t="s">
        <x:v>30</x:v>
      </x:c>
      <x:c r="BA59" s="1" t="s">
        <x:v>30</x:v>
      </x:c>
      <x:c r="BB59" s="1" t="s">
        <x:v>30</x:v>
      </x:c>
      <x:c r="BC59" s="1" t="s">
        <x:v>6766</x:v>
      </x:c>
      <x:c r="BD59" s="1" t="s">
        <x:v>6766</x:v>
      </x:c>
      <x:c r="BE59" s="1" t="s">
        <x:v>30</x:v>
      </x:c>
      <x:c r="BF59" s="1" t="s">
        <x:v>30</x:v>
      </x:c>
    </x:row>
    <x:row r="60" ht="15" hidden="0" customHeight="1">
      <x:c r="A60" s="1" t="s">
        <x:v>715</x:v>
      </x:c>
      <x:c r="B60" s="1" t="s">
        <x:v>5568</x:v>
      </x:c>
      <x:c r="C60" s="1" t="s">
        <x:v>5693</x:v>
      </x:c>
      <x:c r="D60" s="1" t="n">
        <x:v>6</x:v>
      </x:c>
      <x:c r="E60" s="1" t="n">
        <x:v>0</x:v>
      </x:c>
      <x:c r="F60" s="1" t="n">
        <x:v>0</x:v>
      </x:c>
      <x:c r="G60" s="1" t="n">
        <x:v>0</x:v>
      </x:c>
      <x:c r="H60" s="1" t="n">
        <x:v>0</x:v>
      </x:c>
      <x:c r="I60" s="1" t="n">
        <x:v>0</x:v>
      </x:c>
      <x:c r="J60" s="1" t="s">
        <x:v>6766</x:v>
      </x:c>
      <x:c r="K60" s="1" t="s">
        <x:v>6770</x:v>
      </x:c>
      <x:c r="L60" s="1" t="s">
        <x:v>30</x:v>
      </x:c>
      <x:c r="M60" s="1" t="s">
        <x:v>30</x:v>
      </x:c>
      <x:c r="N60" s="1" t="s">
        <x:v>30</x:v>
      </x:c>
      <x:c r="O60" s="1" t="s">
        <x:v>6766</x:v>
      </x:c>
      <x:c r="P60" s="1" t="s">
        <x:v>30</x:v>
      </x:c>
      <x:c r="Q60" s="1" t="s">
        <x:v>30</x:v>
      </x:c>
      <x:c r="R60" s="1" t="s">
        <x:v>30</x:v>
      </x:c>
      <x:c r="S60" s="1" t="s">
        <x:v>30</x:v>
      </x:c>
      <x:c r="T60" s="1" t="s">
        <x:v>30</x:v>
      </x:c>
      <x:c r="U60" s="1" t="s">
        <x:v>30</x:v>
      </x:c>
      <x:c r="V60" s="1" t="s">
        <x:v>30</x:v>
      </x:c>
      <x:c r="W60" s="1" t="s">
        <x:v>30</x:v>
      </x:c>
      <x:c r="X60" s="1" t="s">
        <x:v>30</x:v>
      </x:c>
      <x:c r="Y60" s="1" t="s">
        <x:v>30</x:v>
      </x:c>
      <x:c r="Z60" s="1" t="s">
        <x:v>30</x:v>
      </x:c>
      <x:c r="AA60" s="1" t="s">
        <x:v>30</x:v>
      </x:c>
      <x:c r="AB60" s="1" t="s">
        <x:v>30</x:v>
      </x:c>
      <x:c r="AC60" s="1" t="s">
        <x:v>30</x:v>
      </x:c>
      <x:c r="AD60" s="1" t="s">
        <x:v>30</x:v>
      </x:c>
      <x:c r="AE60" s="1" t="s">
        <x:v>30</x:v>
      </x:c>
      <x:c r="AF60" s="1" t="s">
        <x:v>30</x:v>
      </x:c>
      <x:c r="AG60" s="1" t="s">
        <x:v>30</x:v>
      </x:c>
      <x:c r="AH60" s="1" t="s">
        <x:v>30</x:v>
      </x:c>
      <x:c r="AI60" s="1" t="s">
        <x:v>30</x:v>
      </x:c>
      <x:c r="AJ60" s="1" t="s">
        <x:v>30</x:v>
      </x:c>
      <x:c r="AK60" s="1" t="s">
        <x:v>30</x:v>
      </x:c>
      <x:c r="AL60" s="1" t="s">
        <x:v>30</x:v>
      </x:c>
      <x:c r="AM60" s="1" t="s">
        <x:v>30</x:v>
      </x:c>
      <x:c r="AN60" s="1" t="s">
        <x:v>30</x:v>
      </x:c>
      <x:c r="AO60" s="1" t="s">
        <x:v>30</x:v>
      </x:c>
      <x:c r="AP60" s="1" t="s">
        <x:v>30</x:v>
      </x:c>
      <x:c r="AQ60" s="1" t="s">
        <x:v>6707</x:v>
      </x:c>
      <x:c r="AR60" s="1" t="s">
        <x:v>6707</x:v>
      </x:c>
      <x:c r="AS60" s="1" t="s">
        <x:v>6707</x:v>
      </x:c>
      <x:c r="AT60" s="1" t="s">
        <x:v>6707</x:v>
      </x:c>
      <x:c r="AU60" s="1" t="s">
        <x:v>6707</x:v>
      </x:c>
      <x:c r="AV60" s="1" t="s">
        <x:v>30</x:v>
      </x:c>
      <x:c r="AW60" s="1" t="s">
        <x:v>30</x:v>
      </x:c>
      <x:c r="AX60" s="1" t="s">
        <x:v>30</x:v>
      </x:c>
      <x:c r="AY60" s="1" t="s">
        <x:v>30</x:v>
      </x:c>
      <x:c r="AZ60" s="1" t="s">
        <x:v>30</x:v>
      </x:c>
      <x:c r="BA60" s="1" t="s">
        <x:v>30</x:v>
      </x:c>
      <x:c r="BB60" s="1" t="s">
        <x:v>30</x:v>
      </x:c>
      <x:c r="BC60" s="1" t="s">
        <x:v>30</x:v>
      </x:c>
      <x:c r="BD60" s="1" t="s">
        <x:v>30</x:v>
      </x:c>
      <x:c r="BE60" s="1" t="s">
        <x:v>30</x:v>
      </x:c>
      <x:c r="BF60" s="1" t="s">
        <x:v>30</x:v>
      </x:c>
    </x:row>
    <x:row r="61" ht="15" hidden="0" customHeight="1">
      <x:c r="A61" s="1" t="s">
        <x:v>1980</x:v>
      </x:c>
      <x:c r="B61" s="1" t="s">
        <x:v>5568</x:v>
      </x:c>
      <x:c r="C61" s="1" t="s">
        <x:v>5693</x:v>
      </x:c>
      <x:c r="D61" s="1" t="n">
        <x:v>18</x:v>
      </x:c>
      <x:c r="E61" s="1" t="n">
        <x:v>0</x:v>
      </x:c>
      <x:c r="F61" s="1" t="n">
        <x:v>0</x:v>
      </x:c>
      <x:c r="G61" s="1" t="n">
        <x:v>0</x:v>
      </x:c>
      <x:c r="H61" s="1" t="n">
        <x:v>0</x:v>
      </x:c>
      <x:c r="I61" s="1" t="n">
        <x:v>0</x:v>
      </x:c>
      <x:c r="J61" s="1" t="s">
        <x:v>30</x:v>
      </x:c>
      <x:c r="K61" s="1" t="s">
        <x:v>30</x:v>
      </x:c>
      <x:c r="L61" s="1" t="s">
        <x:v>30</x:v>
      </x:c>
      <x:c r="M61" s="1" t="s">
        <x:v>30</x:v>
      </x:c>
      <x:c r="N61" s="1" t="s">
        <x:v>30</x:v>
      </x:c>
      <x:c r="O61" s="1" t="s">
        <x:v>6768</x:v>
      </x:c>
      <x:c r="P61" s="1" t="s">
        <x:v>30</x:v>
      </x:c>
      <x:c r="Q61" s="1" t="s">
        <x:v>30</x:v>
      </x:c>
      <x:c r="R61" s="1" t="s">
        <x:v>30</x:v>
      </x:c>
      <x:c r="S61" s="1" t="s">
        <x:v>30</x:v>
      </x:c>
      <x:c r="T61" s="1" t="s">
        <x:v>30</x:v>
      </x:c>
      <x:c r="U61" s="1" t="s">
        <x:v>30</x:v>
      </x:c>
      <x:c r="V61" s="1" t="s">
        <x:v>30</x:v>
      </x:c>
      <x:c r="W61" s="1" t="s">
        <x:v>30</x:v>
      </x:c>
      <x:c r="X61" s="1" t="s">
        <x:v>6769</x:v>
      </x:c>
      <x:c r="Y61" s="1" t="s">
        <x:v>6766</x:v>
      </x:c>
      <x:c r="Z61" s="1" t="s">
        <x:v>6766</x:v>
      </x:c>
      <x:c r="AA61" s="1" t="s">
        <x:v>6766</x:v>
      </x:c>
      <x:c r="AB61" s="1" t="s">
        <x:v>6766</x:v>
      </x:c>
      <x:c r="AC61" s="1" t="s">
        <x:v>6766</x:v>
      </x:c>
      <x:c r="AD61" s="1" t="s">
        <x:v>30</x:v>
      </x:c>
      <x:c r="AE61" s="1" t="s">
        <x:v>6766</x:v>
      </x:c>
      <x:c r="AF61" s="1" t="s">
        <x:v>6766</x:v>
      </x:c>
      <x:c r="AG61" s="1" t="s">
        <x:v>6768</x:v>
      </x:c>
      <x:c r="AH61" s="1" t="s">
        <x:v>30</x:v>
      </x:c>
      <x:c r="AI61" s="1" t="s">
        <x:v>30</x:v>
      </x:c>
      <x:c r="AJ61" s="1" t="s">
        <x:v>30</x:v>
      </x:c>
      <x:c r="AK61" s="1" t="s">
        <x:v>30</x:v>
      </x:c>
      <x:c r="AL61" s="1" t="s">
        <x:v>30</x:v>
      </x:c>
      <x:c r="AM61" s="1" t="s">
        <x:v>30</x:v>
      </x:c>
      <x:c r="AN61" s="1" t="s">
        <x:v>30</x:v>
      </x:c>
      <x:c r="AO61" s="1" t="s">
        <x:v>30</x:v>
      </x:c>
      <x:c r="AP61" s="1" t="s">
        <x:v>30</x:v>
      </x:c>
      <x:c r="AQ61" s="1" t="s">
        <x:v>6707</x:v>
      </x:c>
      <x:c r="AR61" s="1" t="s">
        <x:v>6707</x:v>
      </x:c>
      <x:c r="AS61" s="1" t="s">
        <x:v>6707</x:v>
      </x:c>
      <x:c r="AT61" s="1" t="s">
        <x:v>6707</x:v>
      </x:c>
      <x:c r="AU61" s="1" t="s">
        <x:v>6707</x:v>
      </x:c>
      <x:c r="AV61" s="1" t="s">
        <x:v>6766</x:v>
      </x:c>
      <x:c r="AW61" s="1" t="s">
        <x:v>30</x:v>
      </x:c>
      <x:c r="AX61" s="1" t="s">
        <x:v>30</x:v>
      </x:c>
      <x:c r="AY61" s="1" t="s">
        <x:v>6768</x:v>
      </x:c>
      <x:c r="AZ61" s="1" t="s">
        <x:v>30</x:v>
      </x:c>
      <x:c r="BA61" s="1" t="s">
        <x:v>30</x:v>
      </x:c>
      <x:c r="BB61" s="1" t="s">
        <x:v>30</x:v>
      </x:c>
      <x:c r="BC61" s="1" t="s">
        <x:v>30</x:v>
      </x:c>
      <x:c r="BD61" s="1" t="s">
        <x:v>30</x:v>
      </x:c>
      <x:c r="BE61" s="1" t="s">
        <x:v>30</x:v>
      </x:c>
      <x:c r="BF61" s="1" t="s">
        <x:v>6766</x:v>
      </x:c>
    </x:row>
    <x:row r="62" ht="15" hidden="0" customHeight="1">
      <x:c r="A62" s="1" t="s">
        <x:v>3535</x:v>
      </x:c>
      <x:c r="B62" s="1" t="s">
        <x:v>5568</x:v>
      </x:c>
      <x:c r="C62" s="1" t="s">
        <x:v>5693</x:v>
      </x:c>
      <x:c r="D62" s="1" t="n">
        <x:v>19</x:v>
      </x:c>
      <x:c r="E62" s="1" t="n">
        <x:v>1</x:v>
      </x:c>
      <x:c r="F62" s="1" t="n">
        <x:v>0</x:v>
      </x:c>
      <x:c r="G62" s="1" t="n">
        <x:v>0</x:v>
      </x:c>
      <x:c r="H62" s="1" t="n">
        <x:v>0</x:v>
      </x:c>
      <x:c r="I62" s="1" t="n">
        <x:v>0</x:v>
      </x:c>
      <x:c r="J62" s="1" t="s">
        <x:v>30</x:v>
      </x:c>
      <x:c r="K62" s="1" t="s">
        <x:v>6771</x:v>
      </x:c>
      <x:c r="L62" s="1" t="s">
        <x:v>6766</x:v>
      </x:c>
      <x:c r="M62" s="1" t="s">
        <x:v>6768</x:v>
      </x:c>
      <x:c r="N62" s="1" t="s">
        <x:v>6766</x:v>
      </x:c>
      <x:c r="O62" s="1" t="s">
        <x:v>6766</x:v>
      </x:c>
      <x:c r="P62" s="1" t="s">
        <x:v>30</x:v>
      </x:c>
      <x:c r="Q62" s="1" t="s">
        <x:v>30</x:v>
      </x:c>
      <x:c r="R62" s="1" t="s">
        <x:v>30</x:v>
      </x:c>
      <x:c r="S62" s="1" t="s">
        <x:v>30</x:v>
      </x:c>
      <x:c r="T62" s="1" t="s">
        <x:v>30</x:v>
      </x:c>
      <x:c r="U62" s="1" t="s">
        <x:v>30</x:v>
      </x:c>
      <x:c r="V62" s="1" t="s">
        <x:v>30</x:v>
      </x:c>
      <x:c r="W62" s="1" t="s">
        <x:v>30</x:v>
      </x:c>
      <x:c r="X62" s="1" t="s">
        <x:v>30</x:v>
      </x:c>
      <x:c r="Y62" s="1" t="s">
        <x:v>30</x:v>
      </x:c>
      <x:c r="Z62" s="1" t="s">
        <x:v>30</x:v>
      </x:c>
      <x:c r="AA62" s="1" t="s">
        <x:v>30</x:v>
      </x:c>
      <x:c r="AB62" s="1" t="s">
        <x:v>30</x:v>
      </x:c>
      <x:c r="AC62" s="1" t="s">
        <x:v>6768</x:v>
      </x:c>
      <x:c r="AD62" s="1" t="s">
        <x:v>30</x:v>
      </x:c>
      <x:c r="AE62" s="1" t="s">
        <x:v>30</x:v>
      </x:c>
      <x:c r="AF62" s="1" t="s">
        <x:v>30</x:v>
      </x:c>
      <x:c r="AG62" s="1" t="s">
        <x:v>30</x:v>
      </x:c>
      <x:c r="AH62" s="1" t="s">
        <x:v>30</x:v>
      </x:c>
      <x:c r="AI62" s="1" t="s">
        <x:v>30</x:v>
      </x:c>
      <x:c r="AJ62" s="1" t="s">
        <x:v>30</x:v>
      </x:c>
      <x:c r="AK62" s="1" t="s">
        <x:v>30</x:v>
      </x:c>
      <x:c r="AL62" s="1" t="s">
        <x:v>6766</x:v>
      </x:c>
      <x:c r="AM62" s="1" t="s">
        <x:v>30</x:v>
      </x:c>
      <x:c r="AN62" s="1" t="s">
        <x:v>30</x:v>
      </x:c>
      <x:c r="AO62" s="1" t="s">
        <x:v>30</x:v>
      </x:c>
      <x:c r="AP62" s="1" t="s">
        <x:v>6768</x:v>
      </x:c>
      <x:c r="AQ62" s="1" t="s">
        <x:v>6707</x:v>
      </x:c>
      <x:c r="AR62" s="1" t="s">
        <x:v>6707</x:v>
      </x:c>
      <x:c r="AS62" s="1" t="s">
        <x:v>6707</x:v>
      </x:c>
      <x:c r="AT62" s="1" t="s">
        <x:v>6707</x:v>
      </x:c>
      <x:c r="AU62" s="1" t="s">
        <x:v>6707</x:v>
      </x:c>
      <x:c r="AV62" s="1" t="s">
        <x:v>6766</x:v>
      </x:c>
      <x:c r="AW62" s="1" t="s">
        <x:v>30</x:v>
      </x:c>
      <x:c r="AX62" s="1" t="s">
        <x:v>30</x:v>
      </x:c>
      <x:c r="AY62" s="1" t="s">
        <x:v>6768</x:v>
      </x:c>
      <x:c r="AZ62" s="1" t="s">
        <x:v>6766</x:v>
      </x:c>
      <x:c r="BA62" s="1" t="s">
        <x:v>30</x:v>
      </x:c>
      <x:c r="BB62" s="1" t="s">
        <x:v>6766</x:v>
      </x:c>
      <x:c r="BC62" s="1" t="s">
        <x:v>30</x:v>
      </x:c>
      <x:c r="BD62" s="1" t="s">
        <x:v>30</x:v>
      </x:c>
      <x:c r="BE62" s="1" t="s">
        <x:v>30</x:v>
      </x:c>
      <x:c r="BF62" s="1" t="s">
        <x:v>30</x:v>
      </x:c>
    </x:row>
    <x:row r="63" ht="15" hidden="0" customHeight="1">
      <x:c r="A63" s="1" t="s">
        <x:v>730</x:v>
      </x:c>
      <x:c r="B63" s="1" t="s">
        <x:v>5568</x:v>
      </x:c>
      <x:c r="C63" s="1" t="s">
        <x:v>5693</x:v>
      </x:c>
      <x:c r="D63" s="1" t="n">
        <x:v>7</x:v>
      </x:c>
      <x:c r="E63" s="1" t="n">
        <x:v>1</x:v>
      </x:c>
      <x:c r="F63" s="1" t="n">
        <x:v>0</x:v>
      </x:c>
      <x:c r="G63" s="1" t="n">
        <x:v>0</x:v>
      </x:c>
      <x:c r="H63" s="1" t="n">
        <x:v>0</x:v>
      </x:c>
      <x:c r="I63" s="1" t="n">
        <x:v>0</x:v>
      </x:c>
      <x:c r="J63" s="1" t="s">
        <x:v>6766</x:v>
      </x:c>
      <x:c r="K63" s="1" t="s">
        <x:v>6768</x:v>
      </x:c>
      <x:c r="L63" s="1" t="s">
        <x:v>30</x:v>
      </x:c>
      <x:c r="M63" s="1" t="s">
        <x:v>30</x:v>
      </x:c>
      <x:c r="N63" s="1" t="s">
        <x:v>30</x:v>
      </x:c>
      <x:c r="O63" s="1" t="s">
        <x:v>6766</x:v>
      </x:c>
      <x:c r="P63" s="1" t="s">
        <x:v>30</x:v>
      </x:c>
      <x:c r="Q63" s="1" t="s">
        <x:v>30</x:v>
      </x:c>
      <x:c r="R63" s="1" t="s">
        <x:v>30</x:v>
      </x:c>
      <x:c r="S63" s="1" t="s">
        <x:v>30</x:v>
      </x:c>
      <x:c r="T63" s="1" t="s">
        <x:v>30</x:v>
      </x:c>
      <x:c r="U63" s="1" t="s">
        <x:v>30</x:v>
      </x:c>
      <x:c r="V63" s="1" t="s">
        <x:v>30</x:v>
      </x:c>
      <x:c r="W63" s="1" t="s">
        <x:v>30</x:v>
      </x:c>
      <x:c r="X63" s="1" t="s">
        <x:v>30</x:v>
      </x:c>
      <x:c r="Y63" s="1" t="s">
        <x:v>6766</x:v>
      </x:c>
      <x:c r="Z63" s="1" t="s">
        <x:v>30</x:v>
      </x:c>
      <x:c r="AA63" s="1" t="s">
        <x:v>30</x:v>
      </x:c>
      <x:c r="AB63" s="1" t="s">
        <x:v>30</x:v>
      </x:c>
      <x:c r="AC63" s="1" t="s">
        <x:v>30</x:v>
      </x:c>
      <x:c r="AD63" s="1" t="s">
        <x:v>30</x:v>
      </x:c>
      <x:c r="AE63" s="1" t="s">
        <x:v>30</x:v>
      </x:c>
      <x:c r="AF63" s="1" t="s">
        <x:v>30</x:v>
      </x:c>
      <x:c r="AG63" s="1" t="s">
        <x:v>30</x:v>
      </x:c>
      <x:c r="AH63" s="1" t="s">
        <x:v>6766</x:v>
      </x:c>
      <x:c r="AI63" s="1" t="s">
        <x:v>30</x:v>
      </x:c>
      <x:c r="AJ63" s="1" t="s">
        <x:v>30</x:v>
      </x:c>
      <x:c r="AK63" s="1" t="s">
        <x:v>30</x:v>
      </x:c>
      <x:c r="AL63" s="1" t="s">
        <x:v>30</x:v>
      </x:c>
      <x:c r="AM63" s="1" t="s">
        <x:v>30</x:v>
      </x:c>
      <x:c r="AN63" s="1" t="s">
        <x:v>30</x:v>
      </x:c>
      <x:c r="AO63" s="1" t="s">
        <x:v>30</x:v>
      </x:c>
      <x:c r="AP63" s="1" t="s">
        <x:v>30</x:v>
      </x:c>
      <x:c r="AQ63" s="1" t="s">
        <x:v>6707</x:v>
      </x:c>
      <x:c r="AR63" s="1" t="s">
        <x:v>6707</x:v>
      </x:c>
      <x:c r="AS63" s="1" t="s">
        <x:v>6707</x:v>
      </x:c>
      <x:c r="AT63" s="1" t="s">
        <x:v>6707</x:v>
      </x:c>
      <x:c r="AU63" s="1" t="s">
        <x:v>6707</x:v>
      </x:c>
      <x:c r="AV63" s="1" t="s">
        <x:v>30</x:v>
      </x:c>
      <x:c r="AW63" s="1" t="s">
        <x:v>30</x:v>
      </x:c>
      <x:c r="AX63" s="1" t="s">
        <x:v>30</x:v>
      </x:c>
      <x:c r="AY63" s="1" t="s">
        <x:v>6766</x:v>
      </x:c>
      <x:c r="AZ63" s="1" t="s">
        <x:v>6766</x:v>
      </x:c>
      <x:c r="BA63" s="1" t="s">
        <x:v>30</x:v>
      </x:c>
      <x:c r="BB63" s="1" t="s">
        <x:v>30</x:v>
      </x:c>
      <x:c r="BC63" s="1" t="s">
        <x:v>30</x:v>
      </x:c>
      <x:c r="BD63" s="1" t="s">
        <x:v>30</x:v>
      </x:c>
      <x:c r="BE63" s="1" t="s">
        <x:v>30</x:v>
      </x:c>
      <x:c r="BF63" s="1" t="s">
        <x:v>30</x:v>
      </x:c>
    </x:row>
    <x:row r="64" ht="15" hidden="0" customHeight="1">
      <x:c r="A64" s="1" t="s">
        <x:v>752</x:v>
      </x:c>
      <x:c r="B64" s="1" t="s">
        <x:v>5573</x:v>
      </x:c>
      <x:c r="C64" s="1" t="s">
        <x:v>5693</x:v>
      </x:c>
      <x:c r="D64" s="1" t="n">
        <x:v>9</x:v>
      </x:c>
      <x:c r="E64" s="1" t="n">
        <x:v>0</x:v>
      </x:c>
      <x:c r="F64" s="1" t="n">
        <x:v>0</x:v>
      </x:c>
      <x:c r="G64" s="1" t="n">
        <x:v>0</x:v>
      </x:c>
      <x:c r="H64" s="1" t="n">
        <x:v>0</x:v>
      </x:c>
      <x:c r="I64" s="1" t="n">
        <x:v>0</x:v>
      </x:c>
      <x:c r="J64" s="1" t="s">
        <x:v>6766</x:v>
      </x:c>
      <x:c r="K64" s="1" t="s">
        <x:v>30</x:v>
      </x:c>
      <x:c r="L64" s="1" t="s">
        <x:v>30</x:v>
      </x:c>
      <x:c r="M64" s="1" t="s">
        <x:v>30</x:v>
      </x:c>
      <x:c r="N64" s="1" t="s">
        <x:v>30</x:v>
      </x:c>
      <x:c r="O64" s="1" t="s">
        <x:v>30</x:v>
      </x:c>
      <x:c r="P64" s="1" t="s">
        <x:v>30</x:v>
      </x:c>
      <x:c r="Q64" s="1" t="s">
        <x:v>30</x:v>
      </x:c>
      <x:c r="R64" s="1" t="s">
        <x:v>30</x:v>
      </x:c>
      <x:c r="S64" s="1" t="s">
        <x:v>30</x:v>
      </x:c>
      <x:c r="T64" s="1" t="s">
        <x:v>30</x:v>
      </x:c>
      <x:c r="U64" s="1" t="s">
        <x:v>30</x:v>
      </x:c>
      <x:c r="V64" s="1" t="s">
        <x:v>30</x:v>
      </x:c>
      <x:c r="W64" s="1" t="s">
        <x:v>30</x:v>
      </x:c>
      <x:c r="X64" s="1" t="s">
        <x:v>30</x:v>
      </x:c>
      <x:c r="Y64" s="1" t="s">
        <x:v>30</x:v>
      </x:c>
      <x:c r="Z64" s="1" t="s">
        <x:v>30</x:v>
      </x:c>
      <x:c r="AA64" s="1" t="s">
        <x:v>30</x:v>
      </x:c>
      <x:c r="AB64" s="1" t="s">
        <x:v>30</x:v>
      </x:c>
      <x:c r="AC64" s="1" t="s">
        <x:v>30</x:v>
      </x:c>
      <x:c r="AD64" s="1" t="s">
        <x:v>30</x:v>
      </x:c>
      <x:c r="AE64" s="1" t="s">
        <x:v>30</x:v>
      </x:c>
      <x:c r="AF64" s="1" t="s">
        <x:v>30</x:v>
      </x:c>
      <x:c r="AG64" s="1" t="s">
        <x:v>6766</x:v>
      </x:c>
      <x:c r="AH64" s="1" t="s">
        <x:v>30</x:v>
      </x:c>
      <x:c r="AI64" s="1" t="s">
        <x:v>30</x:v>
      </x:c>
      <x:c r="AJ64" s="1" t="s">
        <x:v>30</x:v>
      </x:c>
      <x:c r="AK64" s="1" t="s">
        <x:v>6766</x:v>
      </x:c>
      <x:c r="AL64" s="1" t="s">
        <x:v>30</x:v>
      </x:c>
      <x:c r="AM64" s="1" t="s">
        <x:v>30</x:v>
      </x:c>
      <x:c r="AN64" s="1" t="s">
        <x:v>30</x:v>
      </x:c>
      <x:c r="AO64" s="1" t="s">
        <x:v>30</x:v>
      </x:c>
      <x:c r="AP64" s="1" t="s">
        <x:v>30</x:v>
      </x:c>
      <x:c r="AQ64" s="1" t="s">
        <x:v>30</x:v>
      </x:c>
      <x:c r="AR64" s="1" t="s">
        <x:v>6766</x:v>
      </x:c>
      <x:c r="AS64" s="1" t="s">
        <x:v>6766</x:v>
      </x:c>
      <x:c r="AT64" s="1" t="s">
        <x:v>6766</x:v>
      </x:c>
      <x:c r="AU64" s="1" t="s">
        <x:v>6766</x:v>
      </x:c>
      <x:c r="AV64" s="1" t="s">
        <x:v>6766</x:v>
      </x:c>
      <x:c r="AW64" s="1" t="s">
        <x:v>30</x:v>
      </x:c>
      <x:c r="AX64" s="1" t="s">
        <x:v>30</x:v>
      </x:c>
      <x:c r="AY64" s="1" t="s">
        <x:v>6766</x:v>
      </x:c>
      <x:c r="AZ64" s="1" t="s">
        <x:v>30</x:v>
      </x:c>
      <x:c r="BA64" s="1" t="s">
        <x:v>30</x:v>
      </x:c>
      <x:c r="BB64" s="1" t="s">
        <x:v>30</x:v>
      </x:c>
      <x:c r="BC64" s="1" t="s">
        <x:v>30</x:v>
      </x:c>
      <x:c r="BD64" s="1" t="s">
        <x:v>30</x:v>
      </x:c>
      <x:c r="BE64" s="1" t="s">
        <x:v>30</x:v>
      </x:c>
      <x:c r="BF64" s="1" t="s">
        <x:v>30</x:v>
      </x:c>
    </x:row>
    <x:row r="65" ht="15" hidden="0" customHeight="1">
      <x:c r="A65" s="1" t="s">
        <x:v>781</x:v>
      </x:c>
      <x:c r="B65" s="1" t="s">
        <x:v>5573</x:v>
      </x:c>
      <x:c r="C65" s="1" t="s">
        <x:v>5693</x:v>
      </x:c>
      <x:c r="D65" s="1" t="n">
        <x:v>12</x:v>
      </x:c>
      <x:c r="E65" s="1" t="n">
        <x:v>1</x:v>
      </x:c>
      <x:c r="F65" s="1" t="n">
        <x:v>0</x:v>
      </x:c>
      <x:c r="G65" s="1" t="n">
        <x:v>1</x:v>
      </x:c>
      <x:c r="H65" s="1" t="n">
        <x:v>0</x:v>
      </x:c>
      <x:c r="I65" s="1" t="n">
        <x:v>0</x:v>
      </x:c>
      <x:c r="J65" s="1" t="s">
        <x:v>6766</x:v>
      </x:c>
      <x:c r="K65" s="1" t="s">
        <x:v>6768</x:v>
      </x:c>
      <x:c r="L65" s="1" t="s">
        <x:v>30</x:v>
      </x:c>
      <x:c r="M65" s="1" t="s">
        <x:v>30</x:v>
      </x:c>
      <x:c r="N65" s="1" t="s">
        <x:v>30</x:v>
      </x:c>
      <x:c r="O65" s="1" t="s">
        <x:v>6766</x:v>
      </x:c>
      <x:c r="P65" s="1" t="s">
        <x:v>30</x:v>
      </x:c>
      <x:c r="Q65" s="1" t="s">
        <x:v>30</x:v>
      </x:c>
      <x:c r="R65" s="1" t="s">
        <x:v>6766</x:v>
      </x:c>
      <x:c r="S65" s="1" t="s">
        <x:v>30</x:v>
      </x:c>
      <x:c r="T65" s="1" t="s">
        <x:v>30</x:v>
      </x:c>
      <x:c r="U65" s="1" t="s">
        <x:v>30</x:v>
      </x:c>
      <x:c r="V65" s="1" t="s">
        <x:v>30</x:v>
      </x:c>
      <x:c r="W65" s="1" t="s">
        <x:v>30</x:v>
      </x:c>
      <x:c r="X65" s="1" t="s">
        <x:v>30</x:v>
      </x:c>
      <x:c r="Y65" s="1" t="s">
        <x:v>6766</x:v>
      </x:c>
      <x:c r="Z65" s="1" t="s">
        <x:v>6768</x:v>
      </x:c>
      <x:c r="AA65" s="1" t="s">
        <x:v>30</x:v>
      </x:c>
      <x:c r="AB65" s="1" t="s">
        <x:v>6766</x:v>
      </x:c>
      <x:c r="AC65" s="1" t="s">
        <x:v>30</x:v>
      </x:c>
      <x:c r="AD65" s="1" t="s">
        <x:v>30</x:v>
      </x:c>
      <x:c r="AE65" s="1" t="s">
        <x:v>6766</x:v>
      </x:c>
      <x:c r="AF65" s="1" t="s">
        <x:v>30</x:v>
      </x:c>
      <x:c r="AG65" s="1" t="s">
        <x:v>30</x:v>
      </x:c>
      <x:c r="AH65" s="1" t="s">
        <x:v>30</x:v>
      </x:c>
      <x:c r="AI65" s="1" t="s">
        <x:v>30</x:v>
      </x:c>
      <x:c r="AJ65" s="1" t="s">
        <x:v>30</x:v>
      </x:c>
      <x:c r="AK65" s="1" t="s">
        <x:v>30</x:v>
      </x:c>
      <x:c r="AL65" s="1" t="s">
        <x:v>30</x:v>
      </x:c>
      <x:c r="AM65" s="1" t="s">
        <x:v>30</x:v>
      </x:c>
      <x:c r="AN65" s="1" t="s">
        <x:v>30</x:v>
      </x:c>
      <x:c r="AO65" s="1" t="s">
        <x:v>30</x:v>
      </x:c>
      <x:c r="AP65" s="1" t="s">
        <x:v>30</x:v>
      </x:c>
      <x:c r="AQ65" s="1" t="s">
        <x:v>6711</x:v>
      </x:c>
      <x:c r="AR65" s="1" t="s">
        <x:v>6711</x:v>
      </x:c>
      <x:c r="AS65" s="1" t="s">
        <x:v>6711</x:v>
      </x:c>
      <x:c r="AT65" s="1" t="s">
        <x:v>6711</x:v>
      </x:c>
      <x:c r="AU65" s="1" t="s">
        <x:v>6711</x:v>
      </x:c>
      <x:c r="AV65" s="1" t="s">
        <x:v>6766</x:v>
      </x:c>
      <x:c r="AW65" s="1" t="s">
        <x:v>30</x:v>
      </x:c>
      <x:c r="AX65" s="1" t="s">
        <x:v>30</x:v>
      </x:c>
      <x:c r="AY65" s="1" t="s">
        <x:v>6766</x:v>
      </x:c>
      <x:c r="AZ65" s="1" t="s">
        <x:v>6766</x:v>
      </x:c>
      <x:c r="BA65" s="1" t="s">
        <x:v>30</x:v>
      </x:c>
      <x:c r="BB65" s="1" t="s">
        <x:v>30</x:v>
      </x:c>
      <x:c r="BC65" s="1" t="s">
        <x:v>30</x:v>
      </x:c>
      <x:c r="BD65" s="1" t="s">
        <x:v>30</x:v>
      </x:c>
      <x:c r="BE65" s="1" t="s">
        <x:v>30</x:v>
      </x:c>
      <x:c r="BF65" s="1" t="s">
        <x:v>6766</x:v>
      </x:c>
    </x:row>
    <x:row r="66" ht="15" hidden="0" customHeight="1">
      <x:c r="A66" s="1" t="s">
        <x:v>2227</x:v>
      </x:c>
      <x:c r="B66" s="1" t="s">
        <x:v>5573</x:v>
      </x:c>
      <x:c r="C66" s="1" t="s">
        <x:v>5693</x:v>
      </x:c>
      <x:c r="D66" s="1" t="n">
        <x:v>17</x:v>
      </x:c>
      <x:c r="E66" s="1" t="n">
        <x:v>0</x:v>
      </x:c>
      <x:c r="F66" s="1" t="n">
        <x:v>0</x:v>
      </x:c>
      <x:c r="G66" s="1" t="n">
        <x:v>0</x:v>
      </x:c>
      <x:c r="H66" s="1" t="n">
        <x:v>0</x:v>
      </x:c>
      <x:c r="I66" s="1" t="n">
        <x:v>0</x:v>
      </x:c>
      <x:c r="J66" s="1" t="s">
        <x:v>30</x:v>
      </x:c>
      <x:c r="K66" s="1" t="s">
        <x:v>30</x:v>
      </x:c>
      <x:c r="L66" s="1" t="s">
        <x:v>30</x:v>
      </x:c>
      <x:c r="M66" s="1" t="s">
        <x:v>30</x:v>
      </x:c>
      <x:c r="N66" s="1" t="s">
        <x:v>6766</x:v>
      </x:c>
      <x:c r="O66" s="1" t="s">
        <x:v>30</x:v>
      </x:c>
      <x:c r="P66" s="1" t="s">
        <x:v>30</x:v>
      </x:c>
      <x:c r="Q66" s="1" t="s">
        <x:v>30</x:v>
      </x:c>
      <x:c r="R66" s="1" t="s">
        <x:v>30</x:v>
      </x:c>
      <x:c r="S66" s="1" t="s">
        <x:v>6768</x:v>
      </x:c>
      <x:c r="T66" s="1" t="s">
        <x:v>6766</x:v>
      </x:c>
      <x:c r="U66" s="1" t="s">
        <x:v>30</x:v>
      </x:c>
      <x:c r="V66" s="1" t="s">
        <x:v>6769</x:v>
      </x:c>
      <x:c r="W66" s="1" t="s">
        <x:v>30</x:v>
      </x:c>
      <x:c r="X66" s="1" t="s">
        <x:v>30</x:v>
      </x:c>
      <x:c r="Y66" s="1" t="s">
        <x:v>6766</x:v>
      </x:c>
      <x:c r="Z66" s="1" t="s">
        <x:v>6768</x:v>
      </x:c>
      <x:c r="AA66" s="1" t="s">
        <x:v>30</x:v>
      </x:c>
      <x:c r="AB66" s="1" t="s">
        <x:v>6766</x:v>
      </x:c>
      <x:c r="AC66" s="1" t="s">
        <x:v>6766</x:v>
      </x:c>
      <x:c r="AD66" s="1" t="s">
        <x:v>30</x:v>
      </x:c>
      <x:c r="AE66" s="1" t="s">
        <x:v>30</x:v>
      </x:c>
      <x:c r="AF66" s="1" t="s">
        <x:v>30</x:v>
      </x:c>
      <x:c r="AG66" s="1" t="s">
        <x:v>30</x:v>
      </x:c>
      <x:c r="AH66" s="1" t="s">
        <x:v>6766</x:v>
      </x:c>
      <x:c r="AI66" s="1" t="s">
        <x:v>30</x:v>
      </x:c>
      <x:c r="AJ66" s="1" t="s">
        <x:v>30</x:v>
      </x:c>
      <x:c r="AK66" s="1" t="s">
        <x:v>6766</x:v>
      </x:c>
      <x:c r="AL66" s="1" t="s">
        <x:v>30</x:v>
      </x:c>
      <x:c r="AM66" s="1" t="s">
        <x:v>30</x:v>
      </x:c>
      <x:c r="AN66" s="1" t="s">
        <x:v>30</x:v>
      </x:c>
      <x:c r="AO66" s="1" t="s">
        <x:v>30</x:v>
      </x:c>
      <x:c r="AP66" s="1" t="s">
        <x:v>30</x:v>
      </x:c>
      <x:c r="AQ66" s="1" t="s">
        <x:v>6707</x:v>
      </x:c>
      <x:c r="AR66" s="1" t="s">
        <x:v>6707</x:v>
      </x:c>
      <x:c r="AS66" s="1" t="s">
        <x:v>6707</x:v>
      </x:c>
      <x:c r="AT66" s="1" t="s">
        <x:v>6707</x:v>
      </x:c>
      <x:c r="AU66" s="1" t="s">
        <x:v>6707</x:v>
      </x:c>
      <x:c r="AV66" s="1" t="s">
        <x:v>30</x:v>
      </x:c>
      <x:c r="AW66" s="1" t="s">
        <x:v>6766</x:v>
      </x:c>
      <x:c r="AX66" s="1" t="s">
        <x:v>30</x:v>
      </x:c>
      <x:c r="AY66" s="1" t="s">
        <x:v>6768</x:v>
      </x:c>
      <x:c r="AZ66" s="1" t="s">
        <x:v>30</x:v>
      </x:c>
      <x:c r="BA66" s="1" t="s">
        <x:v>30</x:v>
      </x:c>
      <x:c r="BB66" s="1" t="s">
        <x:v>30</x:v>
      </x:c>
      <x:c r="BC66" s="1" t="s">
        <x:v>30</x:v>
      </x:c>
      <x:c r="BD66" s="1" t="s">
        <x:v>30</x:v>
      </x:c>
      <x:c r="BE66" s="1" t="s">
        <x:v>30</x:v>
      </x:c>
      <x:c r="BF66" s="1" t="s">
        <x:v>30</x:v>
      </x:c>
    </x:row>
    <x:row r="67" ht="15" hidden="0" customHeight="1">
      <x:c r="A67" s="1" t="s">
        <x:v>2268</x:v>
      </x:c>
      <x:c r="B67" s="1" t="s">
        <x:v>5573</x:v>
      </x:c>
      <x:c r="C67" s="1" t="s">
        <x:v>5693</x:v>
      </x:c>
      <x:c r="D67" s="1" t="n">
        <x:v>15</x:v>
      </x:c>
      <x:c r="E67" s="1" t="n">
        <x:v>0</x:v>
      </x:c>
      <x:c r="F67" s="1" t="n">
        <x:v>0</x:v>
      </x:c>
      <x:c r="G67" s="1" t="n">
        <x:v>0</x:v>
      </x:c>
      <x:c r="H67" s="1" t="n">
        <x:v>0</x:v>
      </x:c>
      <x:c r="I67" s="1" t="n">
        <x:v>0</x:v>
      </x:c>
      <x:c r="J67" s="1" t="s">
        <x:v>30</x:v>
      </x:c>
      <x:c r="K67" s="1" t="s">
        <x:v>6768</x:v>
      </x:c>
      <x:c r="L67" s="1" t="s">
        <x:v>6768</x:v>
      </x:c>
      <x:c r="M67" s="1" t="s">
        <x:v>6766</x:v>
      </x:c>
      <x:c r="N67" s="1" t="s">
        <x:v>6766</x:v>
      </x:c>
      <x:c r="O67" s="1" t="s">
        <x:v>6766</x:v>
      </x:c>
      <x:c r="P67" s="1" t="s">
        <x:v>30</x:v>
      </x:c>
      <x:c r="Q67" s="1" t="s">
        <x:v>6766</x:v>
      </x:c>
      <x:c r="R67" s="1" t="s">
        <x:v>30</x:v>
      </x:c>
      <x:c r="S67" s="1" t="s">
        <x:v>30</x:v>
      </x:c>
      <x:c r="T67" s="1" t="s">
        <x:v>30</x:v>
      </x:c>
      <x:c r="U67" s="1" t="s">
        <x:v>30</x:v>
      </x:c>
      <x:c r="V67" s="1" t="s">
        <x:v>30</x:v>
      </x:c>
      <x:c r="W67" s="1" t="s">
        <x:v>30</x:v>
      </x:c>
      <x:c r="X67" s="1" t="s">
        <x:v>30</x:v>
      </x:c>
      <x:c r="Y67" s="1" t="s">
        <x:v>6766</x:v>
      </x:c>
      <x:c r="Z67" s="1" t="s">
        <x:v>30</x:v>
      </x:c>
      <x:c r="AA67" s="1" t="s">
        <x:v>6766</x:v>
      </x:c>
      <x:c r="AB67" s="1" t="s">
        <x:v>30</x:v>
      </x:c>
      <x:c r="AC67" s="1" t="s">
        <x:v>30</x:v>
      </x:c>
      <x:c r="AD67" s="1" t="s">
        <x:v>30</x:v>
      </x:c>
      <x:c r="AE67" s="1" t="s">
        <x:v>30</x:v>
      </x:c>
      <x:c r="AF67" s="1" t="s">
        <x:v>30</x:v>
      </x:c>
      <x:c r="AG67" s="1" t="s">
        <x:v>30</x:v>
      </x:c>
      <x:c r="AH67" s="1" t="s">
        <x:v>6766</x:v>
      </x:c>
      <x:c r="AI67" s="1" t="s">
        <x:v>30</x:v>
      </x:c>
      <x:c r="AJ67" s="1" t="s">
        <x:v>30</x:v>
      </x:c>
      <x:c r="AK67" s="1" t="s">
        <x:v>30</x:v>
      </x:c>
      <x:c r="AL67" s="1" t="s">
        <x:v>30</x:v>
      </x:c>
      <x:c r="AM67" s="1" t="s">
        <x:v>30</x:v>
      </x:c>
      <x:c r="AN67" s="1" t="s">
        <x:v>30</x:v>
      </x:c>
      <x:c r="AO67" s="1" t="s">
        <x:v>30</x:v>
      </x:c>
      <x:c r="AP67" s="1" t="s">
        <x:v>30</x:v>
      </x:c>
      <x:c r="AQ67" s="1" t="s">
        <x:v>6707</x:v>
      </x:c>
      <x:c r="AR67" s="1" t="s">
        <x:v>6707</x:v>
      </x:c>
      <x:c r="AS67" s="1" t="s">
        <x:v>6707</x:v>
      </x:c>
      <x:c r="AT67" s="1" t="s">
        <x:v>6707</x:v>
      </x:c>
      <x:c r="AU67" s="1" t="s">
        <x:v>6707</x:v>
      </x:c>
      <x:c r="AV67" s="1" t="s">
        <x:v>30</x:v>
      </x:c>
      <x:c r="AW67" s="1" t="s">
        <x:v>30</x:v>
      </x:c>
      <x:c r="AX67" s="1" t="s">
        <x:v>30</x:v>
      </x:c>
      <x:c r="AY67" s="1" t="s">
        <x:v>6770</x:v>
      </x:c>
      <x:c r="AZ67" s="1" t="s">
        <x:v>30</x:v>
      </x:c>
      <x:c r="BA67" s="1" t="s">
        <x:v>30</x:v>
      </x:c>
      <x:c r="BB67" s="1" t="s">
        <x:v>30</x:v>
      </x:c>
      <x:c r="BC67" s="1" t="s">
        <x:v>30</x:v>
      </x:c>
      <x:c r="BD67" s="1" t="s">
        <x:v>30</x:v>
      </x:c>
      <x:c r="BE67" s="1" t="s">
        <x:v>30</x:v>
      </x:c>
      <x:c r="BF67" s="1" t="s">
        <x:v>30</x:v>
      </x:c>
    </x:row>
    <x:row r="68" ht="15" hidden="0" customHeight="1">
      <x:c r="A68" s="1" t="s">
        <x:v>3142</x:v>
      </x:c>
      <x:c r="B68" s="1" t="s">
        <x:v>5573</x:v>
      </x:c>
      <x:c r="C68" s="1" t="s">
        <x:v>5693</x:v>
      </x:c>
      <x:c r="D68" s="1" t="n">
        <x:v>7</x:v>
      </x:c>
      <x:c r="E68" s="1" t="n">
        <x:v>0</x:v>
      </x:c>
      <x:c r="F68" s="1" t="n">
        <x:v>0</x:v>
      </x:c>
      <x:c r="G68" s="1" t="n">
        <x:v>0</x:v>
      </x:c>
      <x:c r="H68" s="1" t="n">
        <x:v>0</x:v>
      </x:c>
      <x:c r="I68" s="1" t="n">
        <x:v>0</x:v>
      </x:c>
      <x:c r="J68" s="1" t="s">
        <x:v>30</x:v>
      </x:c>
      <x:c r="K68" s="1" t="s">
        <x:v>6768</x:v>
      </x:c>
      <x:c r="L68" s="1" t="s">
        <x:v>6766</x:v>
      </x:c>
      <x:c r="M68" s="1" t="s">
        <x:v>30</x:v>
      </x:c>
      <x:c r="N68" s="1" t="s">
        <x:v>6766</x:v>
      </x:c>
      <x:c r="O68" s="1" t="s">
        <x:v>6766</x:v>
      </x:c>
      <x:c r="P68" s="1" t="s">
        <x:v>30</x:v>
      </x:c>
      <x:c r="Q68" s="1" t="s">
        <x:v>30</x:v>
      </x:c>
      <x:c r="R68" s="1" t="s">
        <x:v>30</x:v>
      </x:c>
      <x:c r="S68" s="1" t="s">
        <x:v>30</x:v>
      </x:c>
      <x:c r="T68" s="1" t="s">
        <x:v>30</x:v>
      </x:c>
      <x:c r="U68" s="1" t="s">
        <x:v>30</x:v>
      </x:c>
      <x:c r="V68" s="1" t="s">
        <x:v>30</x:v>
      </x:c>
      <x:c r="W68" s="1" t="s">
        <x:v>30</x:v>
      </x:c>
      <x:c r="X68" s="1" t="s">
        <x:v>30</x:v>
      </x:c>
      <x:c r="Y68" s="1" t="s">
        <x:v>30</x:v>
      </x:c>
      <x:c r="Z68" s="1" t="s">
        <x:v>30</x:v>
      </x:c>
      <x:c r="AA68" s="1" t="s">
        <x:v>30</x:v>
      </x:c>
      <x:c r="AB68" s="1" t="s">
        <x:v>30</x:v>
      </x:c>
      <x:c r="AC68" s="1" t="s">
        <x:v>30</x:v>
      </x:c>
      <x:c r="AD68" s="1" t="s">
        <x:v>30</x:v>
      </x:c>
      <x:c r="AE68" s="1" t="s">
        <x:v>30</x:v>
      </x:c>
      <x:c r="AF68" s="1" t="s">
        <x:v>30</x:v>
      </x:c>
      <x:c r="AG68" s="1" t="s">
        <x:v>30</x:v>
      </x:c>
      <x:c r="AH68" s="1" t="s">
        <x:v>30</x:v>
      </x:c>
      <x:c r="AI68" s="1" t="s">
        <x:v>6766</x:v>
      </x:c>
      <x:c r="AJ68" s="1" t="s">
        <x:v>30</x:v>
      </x:c>
      <x:c r="AK68" s="1" t="s">
        <x:v>30</x:v>
      </x:c>
      <x:c r="AL68" s="1" t="s">
        <x:v>30</x:v>
      </x:c>
      <x:c r="AM68" s="1" t="s">
        <x:v>30</x:v>
      </x:c>
      <x:c r="AN68" s="1" t="s">
        <x:v>30</x:v>
      </x:c>
      <x:c r="AO68" s="1" t="s">
        <x:v>30</x:v>
      </x:c>
      <x:c r="AP68" s="1" t="s">
        <x:v>30</x:v>
      </x:c>
      <x:c r="AQ68" s="1" t="s">
        <x:v>6707</x:v>
      </x:c>
      <x:c r="AR68" s="1" t="s">
        <x:v>6707</x:v>
      </x:c>
      <x:c r="AS68" s="1" t="s">
        <x:v>6707</x:v>
      </x:c>
      <x:c r="AT68" s="1" t="s">
        <x:v>6707</x:v>
      </x:c>
      <x:c r="AU68" s="1" t="s">
        <x:v>6707</x:v>
      </x:c>
      <x:c r="AV68" s="1" t="s">
        <x:v>30</x:v>
      </x:c>
      <x:c r="AW68" s="1" t="s">
        <x:v>30</x:v>
      </x:c>
      <x:c r="AX68" s="1" t="s">
        <x:v>30</x:v>
      </x:c>
      <x:c r="AY68" s="1" t="s">
        <x:v>30</x:v>
      </x:c>
      <x:c r="AZ68" s="1" t="s">
        <x:v>30</x:v>
      </x:c>
      <x:c r="BA68" s="1" t="s">
        <x:v>30</x:v>
      </x:c>
      <x:c r="BB68" s="1" t="s">
        <x:v>30</x:v>
      </x:c>
      <x:c r="BC68" s="1" t="s">
        <x:v>30</x:v>
      </x:c>
      <x:c r="BD68" s="1" t="s">
        <x:v>30</x:v>
      </x:c>
      <x:c r="BE68" s="1" t="s">
        <x:v>30</x:v>
      </x:c>
      <x:c r="BF68" s="1" t="s">
        <x:v>6766</x:v>
      </x:c>
    </x:row>
    <x:row r="69" ht="15" hidden="0" customHeight="1">
      <x:c r="A69" s="1" t="s">
        <x:v>2025</x:v>
      </x:c>
      <x:c r="B69" s="1" t="s">
        <x:v>5579</x:v>
      </x:c>
      <x:c r="C69" s="1" t="s">
        <x:v>5693</x:v>
      </x:c>
      <x:c r="D69" s="1" t="n">
        <x:v>20</x:v>
      </x:c>
      <x:c r="E69" s="1" t="n">
        <x:v>1</x:v>
      </x:c>
      <x:c r="F69" s="1" t="n">
        <x:v>0</x:v>
      </x:c>
      <x:c r="G69" s="1" t="n">
        <x:v>0</x:v>
      </x:c>
      <x:c r="H69" s="1" t="n">
        <x:v>0</x:v>
      </x:c>
      <x:c r="I69" s="1" t="n">
        <x:v>0</x:v>
      </x:c>
      <x:c r="J69" s="1" t="s">
        <x:v>30</x:v>
      </x:c>
      <x:c r="K69" s="1" t="s">
        <x:v>30</x:v>
      </x:c>
      <x:c r="L69" s="1" t="s">
        <x:v>30</x:v>
      </x:c>
      <x:c r="M69" s="1" t="s">
        <x:v>30</x:v>
      </x:c>
      <x:c r="N69" s="1" t="s">
        <x:v>6766</x:v>
      </x:c>
      <x:c r="O69" s="1" t="s">
        <x:v>6766</x:v>
      </x:c>
      <x:c r="P69" s="1" t="s">
        <x:v>30</x:v>
      </x:c>
      <x:c r="Q69" s="1" t="s">
        <x:v>6766</x:v>
      </x:c>
      <x:c r="R69" s="1" t="s">
        <x:v>30</x:v>
      </x:c>
      <x:c r="S69" s="1" t="s">
        <x:v>30</x:v>
      </x:c>
      <x:c r="T69" s="1" t="s">
        <x:v>30</x:v>
      </x:c>
      <x:c r="U69" s="1" t="s">
        <x:v>6766</x:v>
      </x:c>
      <x:c r="V69" s="1" t="s">
        <x:v>30</x:v>
      </x:c>
      <x:c r="W69" s="1" t="s">
        <x:v>30</x:v>
      </x:c>
      <x:c r="X69" s="1" t="s">
        <x:v>30</x:v>
      </x:c>
      <x:c r="Y69" s="1" t="s">
        <x:v>6766</x:v>
      </x:c>
      <x:c r="Z69" s="1" t="s">
        <x:v>6766</x:v>
      </x:c>
      <x:c r="AA69" s="1" t="s">
        <x:v>6766</x:v>
      </x:c>
      <x:c r="AB69" s="1" t="s">
        <x:v>6766</x:v>
      </x:c>
      <x:c r="AC69" s="1" t="s">
        <x:v>30</x:v>
      </x:c>
      <x:c r="AD69" s="1" t="s">
        <x:v>30</x:v>
      </x:c>
      <x:c r="AE69" s="1" t="s">
        <x:v>6766</x:v>
      </x:c>
      <x:c r="AF69" s="1" t="s">
        <x:v>6766</x:v>
      </x:c>
      <x:c r="AG69" s="1" t="s">
        <x:v>6770</x:v>
      </x:c>
      <x:c r="AH69" s="1" t="s">
        <x:v>6766</x:v>
      </x:c>
      <x:c r="AI69" s="1" t="s">
        <x:v>30</x:v>
      </x:c>
      <x:c r="AJ69" s="1" t="s">
        <x:v>6769</x:v>
      </x:c>
      <x:c r="AK69" s="1" t="s">
        <x:v>6768</x:v>
      </x:c>
      <x:c r="AL69" s="1" t="s">
        <x:v>30</x:v>
      </x:c>
      <x:c r="AM69" s="1" t="s">
        <x:v>30</x:v>
      </x:c>
      <x:c r="AN69" s="1" t="s">
        <x:v>30</x:v>
      </x:c>
      <x:c r="AO69" s="1" t="s">
        <x:v>30</x:v>
      </x:c>
      <x:c r="AP69" s="1" t="s">
        <x:v>30</x:v>
      </x:c>
      <x:c r="AQ69" s="1" t="s">
        <x:v>6707</x:v>
      </x:c>
      <x:c r="AR69" s="1" t="s">
        <x:v>6707</x:v>
      </x:c>
      <x:c r="AS69" s="1" t="s">
        <x:v>6707</x:v>
      </x:c>
      <x:c r="AT69" s="1" t="s">
        <x:v>6707</x:v>
      </x:c>
      <x:c r="AU69" s="1" t="s">
        <x:v>6707</x:v>
      </x:c>
      <x:c r="AV69" s="1" t="s">
        <x:v>30</x:v>
      </x:c>
      <x:c r="AW69" s="1" t="s">
        <x:v>30</x:v>
      </x:c>
      <x:c r="AX69" s="1" t="s">
        <x:v>30</x:v>
      </x:c>
      <x:c r="AY69" s="1" t="s">
        <x:v>30</x:v>
      </x:c>
      <x:c r="AZ69" s="1" t="s">
        <x:v>6766</x:v>
      </x:c>
      <x:c r="BA69" s="1" t="s">
        <x:v>30</x:v>
      </x:c>
      <x:c r="BB69" s="1" t="s">
        <x:v>30</x:v>
      </x:c>
      <x:c r="BC69" s="1" t="s">
        <x:v>30</x:v>
      </x:c>
      <x:c r="BD69" s="1" t="s">
        <x:v>30</x:v>
      </x:c>
      <x:c r="BE69" s="1" t="s">
        <x:v>30</x:v>
      </x:c>
      <x:c r="BF69" s="1" t="s">
        <x:v>30</x:v>
      </x:c>
    </x:row>
    <x:row r="70" ht="15" hidden="0" customHeight="1">
      <x:c r="A70" s="1" t="s">
        <x:v>5580</x:v>
      </x:c>
      <x:c r="B70" s="1" t="s">
        <x:v>5582</x:v>
      </x:c>
      <x:c r="C70" s="1" t="s">
        <x:v>5693</x:v>
      </x:c>
      <x:c r="D70" s="1" t="n">
        <x:v>0</x:v>
      </x:c>
      <x:c r="E70" s="1" t="n">
        <x:v>0</x:v>
      </x:c>
      <x:c r="F70" s="1" t="n">
        <x:v>0</x:v>
      </x:c>
      <x:c r="G70" s="1" t="n">
        <x:v>0</x:v>
      </x:c>
      <x:c r="H70" s="1" t="n">
        <x:v>0</x:v>
      </x:c>
      <x:c r="I70" s="1" t="n">
        <x:v>0</x:v>
      </x:c>
      <x:c r="J70" s="1" t="s">
        <x:v>30</x:v>
      </x:c>
      <x:c r="K70" s="1" t="s">
        <x:v>30</x:v>
      </x:c>
      <x:c r="L70" s="1" t="s">
        <x:v>30</x:v>
      </x:c>
      <x:c r="M70" s="1" t="s">
        <x:v>30</x:v>
      </x:c>
      <x:c r="N70" s="1" t="s">
        <x:v>30</x:v>
      </x:c>
      <x:c r="O70" s="1" t="s">
        <x:v>30</x:v>
      </x:c>
      <x:c r="P70" s="1" t="s">
        <x:v>30</x:v>
      </x:c>
      <x:c r="Q70" s="1" t="s">
        <x:v>30</x:v>
      </x:c>
      <x:c r="R70" s="1" t="s">
        <x:v>30</x:v>
      </x:c>
      <x:c r="S70" s="1" t="s">
        <x:v>30</x:v>
      </x:c>
      <x:c r="T70" s="1" t="s">
        <x:v>30</x:v>
      </x:c>
      <x:c r="U70" s="1" t="s">
        <x:v>30</x:v>
      </x:c>
      <x:c r="V70" s="1" t="s">
        <x:v>30</x:v>
      </x:c>
      <x:c r="W70" s="1" t="s">
        <x:v>30</x:v>
      </x:c>
      <x:c r="X70" s="1" t="s">
        <x:v>30</x:v>
      </x:c>
      <x:c r="Y70" s="1" t="s">
        <x:v>30</x:v>
      </x:c>
      <x:c r="Z70" s="1" t="s">
        <x:v>30</x:v>
      </x:c>
      <x:c r="AA70" s="1" t="s">
        <x:v>30</x:v>
      </x:c>
      <x:c r="AB70" s="1" t="s">
        <x:v>30</x:v>
      </x:c>
      <x:c r="AC70" s="1" t="s">
        <x:v>30</x:v>
      </x:c>
      <x:c r="AD70" s="1" t="s">
        <x:v>30</x:v>
      </x:c>
      <x:c r="AE70" s="1" t="s">
        <x:v>30</x:v>
      </x:c>
      <x:c r="AF70" s="1" t="s">
        <x:v>30</x:v>
      </x:c>
      <x:c r="AG70" s="1" t="s">
        <x:v>30</x:v>
      </x:c>
      <x:c r="AH70" s="1" t="s">
        <x:v>30</x:v>
      </x:c>
      <x:c r="AI70" s="1" t="s">
        <x:v>30</x:v>
      </x:c>
      <x:c r="AJ70" s="1" t="s">
        <x:v>30</x:v>
      </x:c>
      <x:c r="AK70" s="1" t="s">
        <x:v>30</x:v>
      </x:c>
      <x:c r="AL70" s="1" t="s">
        <x:v>30</x:v>
      </x:c>
      <x:c r="AM70" s="1" t="s">
        <x:v>30</x:v>
      </x:c>
      <x:c r="AN70" s="1" t="s">
        <x:v>30</x:v>
      </x:c>
      <x:c r="AO70" s="1" t="s">
        <x:v>30</x:v>
      </x:c>
      <x:c r="AP70" s="1" t="s">
        <x:v>30</x:v>
      </x:c>
      <x:c r="AQ70" s="1" t="s">
        <x:v>30</x:v>
      </x:c>
      <x:c r="AR70" s="1" t="s">
        <x:v>30</x:v>
      </x:c>
      <x:c r="AS70" s="1" t="s">
        <x:v>30</x:v>
      </x:c>
      <x:c r="AT70" s="1" t="s">
        <x:v>30</x:v>
      </x:c>
      <x:c r="AU70" s="1" t="s">
        <x:v>30</x:v>
      </x:c>
      <x:c r="AV70" s="1" t="s">
        <x:v>30</x:v>
      </x:c>
      <x:c r="AW70" s="1" t="s">
        <x:v>30</x:v>
      </x:c>
      <x:c r="AX70" s="1" t="s">
        <x:v>30</x:v>
      </x:c>
      <x:c r="AY70" s="1" t="s">
        <x:v>30</x:v>
      </x:c>
      <x:c r="AZ70" s="1" t="s">
        <x:v>30</x:v>
      </x:c>
      <x:c r="BA70" s="1" t="s">
        <x:v>30</x:v>
      </x:c>
      <x:c r="BB70" s="1" t="s">
        <x:v>30</x:v>
      </x:c>
      <x:c r="BC70" s="1" t="s">
        <x:v>30</x:v>
      </x:c>
      <x:c r="BD70" s="1" t="s">
        <x:v>30</x:v>
      </x:c>
      <x:c r="BE70" s="1" t="s">
        <x:v>30</x:v>
      </x:c>
      <x:c r="BF70" s="1" t="s">
        <x:v>30</x:v>
      </x:c>
    </x:row>
    <x:row r="71" ht="15" hidden="0" customHeight="1">
      <x:c r="A71" s="1" t="s">
        <x:v>5583</x:v>
      </x:c>
      <x:c r="B71" s="1" t="s">
        <x:v>5582</x:v>
      </x:c>
      <x:c r="C71" s="1" t="s">
        <x:v>5693</x:v>
      </x:c>
      <x:c r="D71" s="1" t="n">
        <x:v>0</x:v>
      </x:c>
      <x:c r="E71" s="1" t="n">
        <x:v>0</x:v>
      </x:c>
      <x:c r="F71" s="1" t="n">
        <x:v>0</x:v>
      </x:c>
      <x:c r="G71" s="1" t="n">
        <x:v>0</x:v>
      </x:c>
      <x:c r="H71" s="1" t="n">
        <x:v>0</x:v>
      </x:c>
      <x:c r="I71" s="1" t="n">
        <x:v>0</x:v>
      </x:c>
      <x:c r="J71" s="1" t="s">
        <x:v>30</x:v>
      </x:c>
      <x:c r="K71" s="1" t="s">
        <x:v>30</x:v>
      </x:c>
      <x:c r="L71" s="1" t="s">
        <x:v>30</x:v>
      </x:c>
      <x:c r="M71" s="1" t="s">
        <x:v>30</x:v>
      </x:c>
      <x:c r="N71" s="1" t="s">
        <x:v>30</x:v>
      </x:c>
      <x:c r="O71" s="1" t="s">
        <x:v>30</x:v>
      </x:c>
      <x:c r="P71" s="1" t="s">
        <x:v>30</x:v>
      </x:c>
      <x:c r="Q71" s="1" t="s">
        <x:v>30</x:v>
      </x:c>
      <x:c r="R71" s="1" t="s">
        <x:v>30</x:v>
      </x:c>
      <x:c r="S71" s="1" t="s">
        <x:v>30</x:v>
      </x:c>
      <x:c r="T71" s="1" t="s">
        <x:v>30</x:v>
      </x:c>
      <x:c r="U71" s="1" t="s">
        <x:v>30</x:v>
      </x:c>
      <x:c r="V71" s="1" t="s">
        <x:v>30</x:v>
      </x:c>
      <x:c r="W71" s="1" t="s">
        <x:v>30</x:v>
      </x:c>
      <x:c r="X71" s="1" t="s">
        <x:v>30</x:v>
      </x:c>
      <x:c r="Y71" s="1" t="s">
        <x:v>30</x:v>
      </x:c>
      <x:c r="Z71" s="1" t="s">
        <x:v>30</x:v>
      </x:c>
      <x:c r="AA71" s="1" t="s">
        <x:v>30</x:v>
      </x:c>
      <x:c r="AB71" s="1" t="s">
        <x:v>30</x:v>
      </x:c>
      <x:c r="AC71" s="1" t="s">
        <x:v>30</x:v>
      </x:c>
      <x:c r="AD71" s="1" t="s">
        <x:v>30</x:v>
      </x:c>
      <x:c r="AE71" s="1" t="s">
        <x:v>30</x:v>
      </x:c>
      <x:c r="AF71" s="1" t="s">
        <x:v>30</x:v>
      </x:c>
      <x:c r="AG71" s="1" t="s">
        <x:v>30</x:v>
      </x:c>
      <x:c r="AH71" s="1" t="s">
        <x:v>30</x:v>
      </x:c>
      <x:c r="AI71" s="1" t="s">
        <x:v>30</x:v>
      </x:c>
      <x:c r="AJ71" s="1" t="s">
        <x:v>30</x:v>
      </x:c>
      <x:c r="AK71" s="1" t="s">
        <x:v>30</x:v>
      </x:c>
      <x:c r="AL71" s="1" t="s">
        <x:v>30</x:v>
      </x:c>
      <x:c r="AM71" s="1" t="s">
        <x:v>30</x:v>
      </x:c>
      <x:c r="AN71" s="1" t="s">
        <x:v>30</x:v>
      </x:c>
      <x:c r="AO71" s="1" t="s">
        <x:v>30</x:v>
      </x:c>
      <x:c r="AP71" s="1" t="s">
        <x:v>30</x:v>
      </x:c>
      <x:c r="AQ71" s="1" t="s">
        <x:v>30</x:v>
      </x:c>
      <x:c r="AR71" s="1" t="s">
        <x:v>30</x:v>
      </x:c>
      <x:c r="AS71" s="1" t="s">
        <x:v>30</x:v>
      </x:c>
      <x:c r="AT71" s="1" t="s">
        <x:v>30</x:v>
      </x:c>
      <x:c r="AU71" s="1" t="s">
        <x:v>30</x:v>
      </x:c>
      <x:c r="AV71" s="1" t="s">
        <x:v>30</x:v>
      </x:c>
      <x:c r="AW71" s="1" t="s">
        <x:v>30</x:v>
      </x:c>
      <x:c r="AX71" s="1" t="s">
        <x:v>30</x:v>
      </x:c>
      <x:c r="AY71" s="1" t="s">
        <x:v>30</x:v>
      </x:c>
      <x:c r="AZ71" s="1" t="s">
        <x:v>30</x:v>
      </x:c>
      <x:c r="BA71" s="1" t="s">
        <x:v>30</x:v>
      </x:c>
      <x:c r="BB71" s="1" t="s">
        <x:v>30</x:v>
      </x:c>
      <x:c r="BC71" s="1" t="s">
        <x:v>30</x:v>
      </x:c>
      <x:c r="BD71" s="1" t="s">
        <x:v>30</x:v>
      </x:c>
      <x:c r="BE71" s="1" t="s">
        <x:v>30</x:v>
      </x:c>
      <x:c r="BF71" s="1" t="s">
        <x:v>30</x:v>
      </x:c>
    </x:row>
    <x:row r="72" ht="15" hidden="0" customHeight="1">
      <x:c r="A72" s="1" t="s">
        <x:v>5585</x:v>
      </x:c>
      <x:c r="B72" s="1" t="s">
        <x:v>5582</x:v>
      </x:c>
      <x:c r="C72" s="1" t="s">
        <x:v>5693</x:v>
      </x:c>
      <x:c r="D72" s="1" t="n">
        <x:v>0</x:v>
      </x:c>
      <x:c r="E72" s="1" t="n">
        <x:v>0</x:v>
      </x:c>
      <x:c r="F72" s="1" t="n">
        <x:v>0</x:v>
      </x:c>
      <x:c r="G72" s="1" t="n">
        <x:v>0</x:v>
      </x:c>
      <x:c r="H72" s="1" t="n">
        <x:v>0</x:v>
      </x:c>
      <x:c r="I72" s="1" t="n">
        <x:v>0</x:v>
      </x:c>
      <x:c r="J72" s="1" t="s">
        <x:v>30</x:v>
      </x:c>
      <x:c r="K72" s="1" t="s">
        <x:v>30</x:v>
      </x:c>
      <x:c r="L72" s="1" t="s">
        <x:v>30</x:v>
      </x:c>
      <x:c r="M72" s="1" t="s">
        <x:v>30</x:v>
      </x:c>
      <x:c r="N72" s="1" t="s">
        <x:v>30</x:v>
      </x:c>
      <x:c r="O72" s="1" t="s">
        <x:v>30</x:v>
      </x:c>
      <x:c r="P72" s="1" t="s">
        <x:v>30</x:v>
      </x:c>
      <x:c r="Q72" s="1" t="s">
        <x:v>30</x:v>
      </x:c>
      <x:c r="R72" s="1" t="s">
        <x:v>30</x:v>
      </x:c>
      <x:c r="S72" s="1" t="s">
        <x:v>30</x:v>
      </x:c>
      <x:c r="T72" s="1" t="s">
        <x:v>30</x:v>
      </x:c>
      <x:c r="U72" s="1" t="s">
        <x:v>30</x:v>
      </x:c>
      <x:c r="V72" s="1" t="s">
        <x:v>30</x:v>
      </x:c>
      <x:c r="W72" s="1" t="s">
        <x:v>30</x:v>
      </x:c>
      <x:c r="X72" s="1" t="s">
        <x:v>30</x:v>
      </x:c>
      <x:c r="Y72" s="1" t="s">
        <x:v>30</x:v>
      </x:c>
      <x:c r="Z72" s="1" t="s">
        <x:v>30</x:v>
      </x:c>
      <x:c r="AA72" s="1" t="s">
        <x:v>30</x:v>
      </x:c>
      <x:c r="AB72" s="1" t="s">
        <x:v>30</x:v>
      </x:c>
      <x:c r="AC72" s="1" t="s">
        <x:v>30</x:v>
      </x:c>
      <x:c r="AD72" s="1" t="s">
        <x:v>30</x:v>
      </x:c>
      <x:c r="AE72" s="1" t="s">
        <x:v>30</x:v>
      </x:c>
      <x:c r="AF72" s="1" t="s">
        <x:v>30</x:v>
      </x:c>
      <x:c r="AG72" s="1" t="s">
        <x:v>30</x:v>
      </x:c>
      <x:c r="AH72" s="1" t="s">
        <x:v>30</x:v>
      </x:c>
      <x:c r="AI72" s="1" t="s">
        <x:v>30</x:v>
      </x:c>
      <x:c r="AJ72" s="1" t="s">
        <x:v>30</x:v>
      </x:c>
      <x:c r="AK72" s="1" t="s">
        <x:v>30</x:v>
      </x:c>
      <x:c r="AL72" s="1" t="s">
        <x:v>30</x:v>
      </x:c>
      <x:c r="AM72" s="1" t="s">
        <x:v>30</x:v>
      </x:c>
      <x:c r="AN72" s="1" t="s">
        <x:v>30</x:v>
      </x:c>
      <x:c r="AO72" s="1" t="s">
        <x:v>30</x:v>
      </x:c>
      <x:c r="AP72" s="1" t="s">
        <x:v>30</x:v>
      </x:c>
      <x:c r="AQ72" s="1" t="s">
        <x:v>30</x:v>
      </x:c>
      <x:c r="AR72" s="1" t="s">
        <x:v>30</x:v>
      </x:c>
      <x:c r="AS72" s="1" t="s">
        <x:v>30</x:v>
      </x:c>
      <x:c r="AT72" s="1" t="s">
        <x:v>30</x:v>
      </x:c>
      <x:c r="AU72" s="1" t="s">
        <x:v>30</x:v>
      </x:c>
      <x:c r="AV72" s="1" t="s">
        <x:v>30</x:v>
      </x:c>
      <x:c r="AW72" s="1" t="s">
        <x:v>30</x:v>
      </x:c>
      <x:c r="AX72" s="1" t="s">
        <x:v>30</x:v>
      </x:c>
      <x:c r="AY72" s="1" t="s">
        <x:v>30</x:v>
      </x:c>
      <x:c r="AZ72" s="1" t="s">
        <x:v>30</x:v>
      </x:c>
      <x:c r="BA72" s="1" t="s">
        <x:v>30</x:v>
      </x:c>
      <x:c r="BB72" s="1" t="s">
        <x:v>30</x:v>
      </x:c>
      <x:c r="BC72" s="1" t="s">
        <x:v>30</x:v>
      </x:c>
      <x:c r="BD72" s="1" t="s">
        <x:v>30</x:v>
      </x:c>
      <x:c r="BE72" s="1" t="s">
        <x:v>30</x:v>
      </x:c>
      <x:c r="BF72" s="1" t="s">
        <x:v>30</x:v>
      </x:c>
    </x:row>
    <x:row r="73" ht="15" hidden="0" customHeight="1">
      <x:c r="A73" s="1" t="s">
        <x:v>5587</x:v>
      </x:c>
      <x:c r="B73" s="1" t="s">
        <x:v>5582</x:v>
      </x:c>
      <x:c r="C73" s="1" t="s">
        <x:v>5693</x:v>
      </x:c>
      <x:c r="D73" s="1" t="n">
        <x:v>0</x:v>
      </x:c>
      <x:c r="E73" s="1" t="n">
        <x:v>0</x:v>
      </x:c>
      <x:c r="F73" s="1" t="n">
        <x:v>0</x:v>
      </x:c>
      <x:c r="G73" s="1" t="n">
        <x:v>0</x:v>
      </x:c>
      <x:c r="H73" s="1" t="n">
        <x:v>0</x:v>
      </x:c>
      <x:c r="I73" s="1" t="n">
        <x:v>0</x:v>
      </x:c>
      <x:c r="J73" s="1" t="s">
        <x:v>30</x:v>
      </x:c>
      <x:c r="K73" s="1" t="s">
        <x:v>30</x:v>
      </x:c>
      <x:c r="L73" s="1" t="s">
        <x:v>30</x:v>
      </x:c>
      <x:c r="M73" s="1" t="s">
        <x:v>30</x:v>
      </x:c>
      <x:c r="N73" s="1" t="s">
        <x:v>30</x:v>
      </x:c>
      <x:c r="O73" s="1" t="s">
        <x:v>30</x:v>
      </x:c>
      <x:c r="P73" s="1" t="s">
        <x:v>30</x:v>
      </x:c>
      <x:c r="Q73" s="1" t="s">
        <x:v>30</x:v>
      </x:c>
      <x:c r="R73" s="1" t="s">
        <x:v>30</x:v>
      </x:c>
      <x:c r="S73" s="1" t="s">
        <x:v>30</x:v>
      </x:c>
      <x:c r="T73" s="1" t="s">
        <x:v>30</x:v>
      </x:c>
      <x:c r="U73" s="1" t="s">
        <x:v>30</x:v>
      </x:c>
      <x:c r="V73" s="1" t="s">
        <x:v>30</x:v>
      </x:c>
      <x:c r="W73" s="1" t="s">
        <x:v>30</x:v>
      </x:c>
      <x:c r="X73" s="1" t="s">
        <x:v>30</x:v>
      </x:c>
      <x:c r="Y73" s="1" t="s">
        <x:v>30</x:v>
      </x:c>
      <x:c r="Z73" s="1" t="s">
        <x:v>30</x:v>
      </x:c>
      <x:c r="AA73" s="1" t="s">
        <x:v>30</x:v>
      </x:c>
      <x:c r="AB73" s="1" t="s">
        <x:v>30</x:v>
      </x:c>
      <x:c r="AC73" s="1" t="s">
        <x:v>30</x:v>
      </x:c>
      <x:c r="AD73" s="1" t="s">
        <x:v>30</x:v>
      </x:c>
      <x:c r="AE73" s="1" t="s">
        <x:v>30</x:v>
      </x:c>
      <x:c r="AF73" s="1" t="s">
        <x:v>30</x:v>
      </x:c>
      <x:c r="AG73" s="1" t="s">
        <x:v>30</x:v>
      </x:c>
      <x:c r="AH73" s="1" t="s">
        <x:v>30</x:v>
      </x:c>
      <x:c r="AI73" s="1" t="s">
        <x:v>30</x:v>
      </x:c>
      <x:c r="AJ73" s="1" t="s">
        <x:v>30</x:v>
      </x:c>
      <x:c r="AK73" s="1" t="s">
        <x:v>30</x:v>
      </x:c>
      <x:c r="AL73" s="1" t="s">
        <x:v>30</x:v>
      </x:c>
      <x:c r="AM73" s="1" t="s">
        <x:v>30</x:v>
      </x:c>
      <x:c r="AN73" s="1" t="s">
        <x:v>30</x:v>
      </x:c>
      <x:c r="AO73" s="1" t="s">
        <x:v>30</x:v>
      </x:c>
      <x:c r="AP73" s="1" t="s">
        <x:v>30</x:v>
      </x:c>
      <x:c r="AQ73" s="1" t="s">
        <x:v>30</x:v>
      </x:c>
      <x:c r="AR73" s="1" t="s">
        <x:v>30</x:v>
      </x:c>
      <x:c r="AS73" s="1" t="s">
        <x:v>30</x:v>
      </x:c>
      <x:c r="AT73" s="1" t="s">
        <x:v>30</x:v>
      </x:c>
      <x:c r="AU73" s="1" t="s">
        <x:v>30</x:v>
      </x:c>
      <x:c r="AV73" s="1" t="s">
        <x:v>30</x:v>
      </x:c>
      <x:c r="AW73" s="1" t="s">
        <x:v>30</x:v>
      </x:c>
      <x:c r="AX73" s="1" t="s">
        <x:v>30</x:v>
      </x:c>
      <x:c r="AY73" s="1" t="s">
        <x:v>30</x:v>
      </x:c>
      <x:c r="AZ73" s="1" t="s">
        <x:v>30</x:v>
      </x:c>
      <x:c r="BA73" s="1" t="s">
        <x:v>30</x:v>
      </x:c>
      <x:c r="BB73" s="1" t="s">
        <x:v>30</x:v>
      </x:c>
      <x:c r="BC73" s="1" t="s">
        <x:v>30</x:v>
      </x:c>
      <x:c r="BD73" s="1" t="s">
        <x:v>30</x:v>
      </x:c>
      <x:c r="BE73" s="1" t="s">
        <x:v>30</x:v>
      </x:c>
      <x:c r="BF73" s="1" t="s">
        <x:v>30</x:v>
      </x:c>
    </x:row>
    <x:row r="74" ht="15" hidden="0" customHeight="1">
      <x:c r="A74" s="1" t="s">
        <x:v>5589</x:v>
      </x:c>
      <x:c r="B74" s="1" t="s">
        <x:v>5582</x:v>
      </x:c>
      <x:c r="C74" s="1" t="s">
        <x:v>5693</x:v>
      </x:c>
      <x:c r="D74" s="1" t="n">
        <x:v>0</x:v>
      </x:c>
      <x:c r="E74" s="1" t="n">
        <x:v>0</x:v>
      </x:c>
      <x:c r="F74" s="1" t="n">
        <x:v>0</x:v>
      </x:c>
      <x:c r="G74" s="1" t="n">
        <x:v>0</x:v>
      </x:c>
      <x:c r="H74" s="1" t="n">
        <x:v>0</x:v>
      </x:c>
      <x:c r="I74" s="1" t="n">
        <x:v>0</x:v>
      </x:c>
      <x:c r="J74" s="1" t="s">
        <x:v>30</x:v>
      </x:c>
      <x:c r="K74" s="1" t="s">
        <x:v>30</x:v>
      </x:c>
      <x:c r="L74" s="1" t="s">
        <x:v>30</x:v>
      </x:c>
      <x:c r="M74" s="1" t="s">
        <x:v>30</x:v>
      </x:c>
      <x:c r="N74" s="1" t="s">
        <x:v>30</x:v>
      </x:c>
      <x:c r="O74" s="1" t="s">
        <x:v>30</x:v>
      </x:c>
      <x:c r="P74" s="1" t="s">
        <x:v>30</x:v>
      </x:c>
      <x:c r="Q74" s="1" t="s">
        <x:v>30</x:v>
      </x:c>
      <x:c r="R74" s="1" t="s">
        <x:v>30</x:v>
      </x:c>
      <x:c r="S74" s="1" t="s">
        <x:v>30</x:v>
      </x:c>
      <x:c r="T74" s="1" t="s">
        <x:v>30</x:v>
      </x:c>
      <x:c r="U74" s="1" t="s">
        <x:v>30</x:v>
      </x:c>
      <x:c r="V74" s="1" t="s">
        <x:v>30</x:v>
      </x:c>
      <x:c r="W74" s="1" t="s">
        <x:v>30</x:v>
      </x:c>
      <x:c r="X74" s="1" t="s">
        <x:v>30</x:v>
      </x:c>
      <x:c r="Y74" s="1" t="s">
        <x:v>30</x:v>
      </x:c>
      <x:c r="Z74" s="1" t="s">
        <x:v>30</x:v>
      </x:c>
      <x:c r="AA74" s="1" t="s">
        <x:v>30</x:v>
      </x:c>
      <x:c r="AB74" s="1" t="s">
        <x:v>30</x:v>
      </x:c>
      <x:c r="AC74" s="1" t="s">
        <x:v>30</x:v>
      </x:c>
      <x:c r="AD74" s="1" t="s">
        <x:v>30</x:v>
      </x:c>
      <x:c r="AE74" s="1" t="s">
        <x:v>30</x:v>
      </x:c>
      <x:c r="AF74" s="1" t="s">
        <x:v>30</x:v>
      </x:c>
      <x:c r="AG74" s="1" t="s">
        <x:v>30</x:v>
      </x:c>
      <x:c r="AH74" s="1" t="s">
        <x:v>30</x:v>
      </x:c>
      <x:c r="AI74" s="1" t="s">
        <x:v>30</x:v>
      </x:c>
      <x:c r="AJ74" s="1" t="s">
        <x:v>30</x:v>
      </x:c>
      <x:c r="AK74" s="1" t="s">
        <x:v>30</x:v>
      </x:c>
      <x:c r="AL74" s="1" t="s">
        <x:v>30</x:v>
      </x:c>
      <x:c r="AM74" s="1" t="s">
        <x:v>30</x:v>
      </x:c>
      <x:c r="AN74" s="1" t="s">
        <x:v>30</x:v>
      </x:c>
      <x:c r="AO74" s="1" t="s">
        <x:v>30</x:v>
      </x:c>
      <x:c r="AP74" s="1" t="s">
        <x:v>30</x:v>
      </x:c>
      <x:c r="AQ74" s="1" t="s">
        <x:v>30</x:v>
      </x:c>
      <x:c r="AR74" s="1" t="s">
        <x:v>30</x:v>
      </x:c>
      <x:c r="AS74" s="1" t="s">
        <x:v>30</x:v>
      </x:c>
      <x:c r="AT74" s="1" t="s">
        <x:v>30</x:v>
      </x:c>
      <x:c r="AU74" s="1" t="s">
        <x:v>30</x:v>
      </x:c>
      <x:c r="AV74" s="1" t="s">
        <x:v>30</x:v>
      </x:c>
      <x:c r="AW74" s="1" t="s">
        <x:v>30</x:v>
      </x:c>
      <x:c r="AX74" s="1" t="s">
        <x:v>30</x:v>
      </x:c>
      <x:c r="AY74" s="1" t="s">
        <x:v>30</x:v>
      </x:c>
      <x:c r="AZ74" s="1" t="s">
        <x:v>30</x:v>
      </x:c>
      <x:c r="BA74" s="1" t="s">
        <x:v>30</x:v>
      </x:c>
      <x:c r="BB74" s="1" t="s">
        <x:v>30</x:v>
      </x:c>
      <x:c r="BC74" s="1" t="s">
        <x:v>30</x:v>
      </x:c>
      <x:c r="BD74" s="1" t="s">
        <x:v>30</x:v>
      </x:c>
      <x:c r="BE74" s="1" t="s">
        <x:v>30</x:v>
      </x:c>
      <x:c r="BF74" s="1" t="s">
        <x:v>30</x:v>
      </x:c>
    </x:row>
    <x:row r="75" ht="15" hidden="0" customHeight="1">
      <x:c r="A75" s="1" t="s">
        <x:v>2830</x:v>
      </x:c>
      <x:c r="B75" s="1" t="s">
        <x:v>5592</x:v>
      </x:c>
      <x:c r="C75" s="1" t="s">
        <x:v>5693</x:v>
      </x:c>
      <x:c r="D75" s="1" t="n">
        <x:v>18</x:v>
      </x:c>
      <x:c r="E75" s="1" t="n">
        <x:v>0</x:v>
      </x:c>
      <x:c r="F75" s="1" t="n">
        <x:v>0</x:v>
      </x:c>
      <x:c r="G75" s="1" t="n">
        <x:v>0</x:v>
      </x:c>
      <x:c r="H75" s="1" t="n">
        <x:v>0</x:v>
      </x:c>
      <x:c r="I75" s="1" t="n">
        <x:v>0</x:v>
      </x:c>
      <x:c r="J75" s="1" t="s">
        <x:v>30</x:v>
      </x:c>
      <x:c r="K75" s="1" t="s">
        <x:v>6770</x:v>
      </x:c>
      <x:c r="L75" s="1" t="s">
        <x:v>6766</x:v>
      </x:c>
      <x:c r="M75" s="1" t="s">
        <x:v>6768</x:v>
      </x:c>
      <x:c r="N75" s="1" t="s">
        <x:v>6769</x:v>
      </x:c>
      <x:c r="O75" s="1" t="s">
        <x:v>6766</x:v>
      </x:c>
      <x:c r="P75" s="1" t="s">
        <x:v>30</x:v>
      </x:c>
      <x:c r="Q75" s="1" t="s">
        <x:v>30</x:v>
      </x:c>
      <x:c r="R75" s="1" t="s">
        <x:v>30</x:v>
      </x:c>
      <x:c r="S75" s="1" t="s">
        <x:v>30</x:v>
      </x:c>
      <x:c r="T75" s="1" t="s">
        <x:v>30</x:v>
      </x:c>
      <x:c r="U75" s="1" t="s">
        <x:v>30</x:v>
      </x:c>
      <x:c r="V75" s="1" t="s">
        <x:v>30</x:v>
      </x:c>
      <x:c r="W75" s="1" t="s">
        <x:v>30</x:v>
      </x:c>
      <x:c r="X75" s="1" t="s">
        <x:v>30</x:v>
      </x:c>
      <x:c r="Y75" s="1" t="s">
        <x:v>6766</x:v>
      </x:c>
      <x:c r="Z75" s="1" t="s">
        <x:v>6766</x:v>
      </x:c>
      <x:c r="AA75" s="1" t="s">
        <x:v>6766</x:v>
      </x:c>
      <x:c r="AB75" s="1" t="s">
        <x:v>6766</x:v>
      </x:c>
      <x:c r="AC75" s="1" t="s">
        <x:v>6766</x:v>
      </x:c>
      <x:c r="AD75" s="1" t="s">
        <x:v>30</x:v>
      </x:c>
      <x:c r="AE75" s="1" t="s">
        <x:v>30</x:v>
      </x:c>
      <x:c r="AF75" s="1" t="s">
        <x:v>30</x:v>
      </x:c>
      <x:c r="AG75" s="1" t="s">
        <x:v>30</x:v>
      </x:c>
      <x:c r="AH75" s="1" t="s">
        <x:v>6766</x:v>
      </x:c>
      <x:c r="AI75" s="1" t="s">
        <x:v>30</x:v>
      </x:c>
      <x:c r="AJ75" s="1" t="s">
        <x:v>30</x:v>
      </x:c>
      <x:c r="AK75" s="1" t="s">
        <x:v>30</x:v>
      </x:c>
      <x:c r="AL75" s="1" t="s">
        <x:v>30</x:v>
      </x:c>
      <x:c r="AM75" s="1" t="s">
        <x:v>30</x:v>
      </x:c>
      <x:c r="AN75" s="1" t="s">
        <x:v>30</x:v>
      </x:c>
      <x:c r="AO75" s="1" t="s">
        <x:v>30</x:v>
      </x:c>
      <x:c r="AP75" s="1" t="s">
        <x:v>30</x:v>
      </x:c>
      <x:c r="AQ75" s="1" t="s">
        <x:v>6707</x:v>
      </x:c>
      <x:c r="AR75" s="1" t="s">
        <x:v>6707</x:v>
      </x:c>
      <x:c r="AS75" s="1" t="s">
        <x:v>6707</x:v>
      </x:c>
      <x:c r="AT75" s="1" t="s">
        <x:v>6707</x:v>
      </x:c>
      <x:c r="AU75" s="1" t="s">
        <x:v>6707</x:v>
      </x:c>
      <x:c r="AV75" s="1" t="s">
        <x:v>30</x:v>
      </x:c>
      <x:c r="AW75" s="1" t="s">
        <x:v>6766</x:v>
      </x:c>
      <x:c r="AX75" s="1" t="s">
        <x:v>30</x:v>
      </x:c>
      <x:c r="AY75" s="1" t="s">
        <x:v>30</x:v>
      </x:c>
      <x:c r="AZ75" s="1" t="s">
        <x:v>30</x:v>
      </x:c>
      <x:c r="BA75" s="1" t="s">
        <x:v>30</x:v>
      </x:c>
      <x:c r="BB75" s="1" t="s">
        <x:v>30</x:v>
      </x:c>
      <x:c r="BC75" s="1" t="s">
        <x:v>30</x:v>
      </x:c>
      <x:c r="BD75" s="1" t="s">
        <x:v>30</x:v>
      </x:c>
      <x:c r="BE75" s="1" t="s">
        <x:v>30</x:v>
      </x:c>
      <x:c r="BF75" s="1" t="s">
        <x:v>30</x:v>
      </x:c>
    </x:row>
    <x:row r="76" ht="15" hidden="0" customHeight="1">
      <x:c r="A76" s="1" t="s">
        <x:v>2306</x:v>
      </x:c>
      <x:c r="B76" s="1" t="s">
        <x:v>5592</x:v>
      </x:c>
      <x:c r="C76" s="1" t="s">
        <x:v>5693</x:v>
      </x:c>
      <x:c r="D76" s="1" t="n">
        <x:v>15</x:v>
      </x:c>
      <x:c r="E76" s="1" t="n">
        <x:v>1</x:v>
      </x:c>
      <x:c r="F76" s="1" t="n">
        <x:v>0</x:v>
      </x:c>
      <x:c r="G76" s="1" t="n">
        <x:v>0</x:v>
      </x:c>
      <x:c r="H76" s="1" t="n">
        <x:v>0</x:v>
      </x:c>
      <x:c r="I76" s="1" t="n">
        <x:v>0</x:v>
      </x:c>
      <x:c r="J76" s="1" t="s">
        <x:v>30</x:v>
      </x:c>
      <x:c r="K76" s="1" t="s">
        <x:v>30</x:v>
      </x:c>
      <x:c r="L76" s="1" t="s">
        <x:v>6766</x:v>
      </x:c>
      <x:c r="M76" s="1" t="s">
        <x:v>6768</x:v>
      </x:c>
      <x:c r="N76" s="1" t="s">
        <x:v>6768</x:v>
      </x:c>
      <x:c r="O76" s="1" t="s">
        <x:v>6766</x:v>
      </x:c>
      <x:c r="P76" s="1" t="s">
        <x:v>30</x:v>
      </x:c>
      <x:c r="Q76" s="1" t="s">
        <x:v>30</x:v>
      </x:c>
      <x:c r="R76" s="1" t="s">
        <x:v>30</x:v>
      </x:c>
      <x:c r="S76" s="1" t="s">
        <x:v>6768</x:v>
      </x:c>
      <x:c r="T76" s="1" t="s">
        <x:v>6766</x:v>
      </x:c>
      <x:c r="U76" s="1" t="s">
        <x:v>30</x:v>
      </x:c>
      <x:c r="V76" s="1" t="s">
        <x:v>30</x:v>
      </x:c>
      <x:c r="W76" s="1" t="s">
        <x:v>30</x:v>
      </x:c>
      <x:c r="X76" s="1" t="s">
        <x:v>30</x:v>
      </x:c>
      <x:c r="Y76" s="1" t="s">
        <x:v>30</x:v>
      </x:c>
      <x:c r="Z76" s="1" t="s">
        <x:v>6766</x:v>
      </x:c>
      <x:c r="AA76" s="1" t="s">
        <x:v>30</x:v>
      </x:c>
      <x:c r="AB76" s="1" t="s">
        <x:v>6766</x:v>
      </x:c>
      <x:c r="AC76" s="1" t="s">
        <x:v>6766</x:v>
      </x:c>
      <x:c r="AD76" s="1" t="s">
        <x:v>30</x:v>
      </x:c>
      <x:c r="AE76" s="1" t="s">
        <x:v>30</x:v>
      </x:c>
      <x:c r="AF76" s="1" t="s">
        <x:v>30</x:v>
      </x:c>
      <x:c r="AG76" s="1" t="s">
        <x:v>6766</x:v>
      </x:c>
      <x:c r="AH76" s="1" t="s">
        <x:v>30</x:v>
      </x:c>
      <x:c r="AI76" s="1" t="s">
        <x:v>30</x:v>
      </x:c>
      <x:c r="AJ76" s="1" t="s">
        <x:v>30</x:v>
      </x:c>
      <x:c r="AK76" s="1" t="s">
        <x:v>6766</x:v>
      </x:c>
      <x:c r="AL76" s="1" t="s">
        <x:v>30</x:v>
      </x:c>
      <x:c r="AM76" s="1" t="s">
        <x:v>30</x:v>
      </x:c>
      <x:c r="AN76" s="1" t="s">
        <x:v>30</x:v>
      </x:c>
      <x:c r="AO76" s="1" t="s">
        <x:v>30</x:v>
      </x:c>
      <x:c r="AP76" s="1" t="s">
        <x:v>30</x:v>
      </x:c>
      <x:c r="AQ76" s="1" t="s">
        <x:v>6707</x:v>
      </x:c>
      <x:c r="AR76" s="1" t="s">
        <x:v>6707</x:v>
      </x:c>
      <x:c r="AS76" s="1" t="s">
        <x:v>6707</x:v>
      </x:c>
      <x:c r="AT76" s="1" t="s">
        <x:v>6707</x:v>
      </x:c>
      <x:c r="AU76" s="1" t="s">
        <x:v>6707</x:v>
      </x:c>
      <x:c r="AV76" s="1" t="s">
        <x:v>6766</x:v>
      </x:c>
      <x:c r="AW76" s="1" t="s">
        <x:v>30</x:v>
      </x:c>
      <x:c r="AX76" s="1" t="s">
        <x:v>30</x:v>
      </x:c>
      <x:c r="AY76" s="1" t="s">
        <x:v>30</x:v>
      </x:c>
      <x:c r="AZ76" s="1" t="s">
        <x:v>6766</x:v>
      </x:c>
      <x:c r="BA76" s="1" t="s">
        <x:v>30</x:v>
      </x:c>
      <x:c r="BB76" s="1" t="s">
        <x:v>30</x:v>
      </x:c>
      <x:c r="BC76" s="1" t="s">
        <x:v>30</x:v>
      </x:c>
      <x:c r="BD76" s="1" t="s">
        <x:v>30</x:v>
      </x:c>
      <x:c r="BE76" s="1" t="s">
        <x:v>30</x:v>
      </x:c>
      <x:c r="BF76" s="1" t="s">
        <x:v>30</x:v>
      </x:c>
    </x:row>
    <x:row r="77" ht="15" hidden="0" customHeight="1">
      <x:c r="A77" s="1" t="s">
        <x:v>2554</x:v>
      </x:c>
      <x:c r="B77" s="1" t="s">
        <x:v>5592</x:v>
      </x:c>
      <x:c r="C77" s="1" t="s">
        <x:v>5693</x:v>
      </x:c>
      <x:c r="D77" s="1" t="n">
        <x:v>17</x:v>
      </x:c>
      <x:c r="E77" s="1" t="n">
        <x:v>0</x:v>
      </x:c>
      <x:c r="F77" s="1" t="n">
        <x:v>0</x:v>
      </x:c>
      <x:c r="G77" s="1" t="n">
        <x:v>0</x:v>
      </x:c>
      <x:c r="H77" s="1" t="n">
        <x:v>0</x:v>
      </x:c>
      <x:c r="I77" s="1" t="n">
        <x:v>0</x:v>
      </x:c>
      <x:c r="J77" s="1" t="s">
        <x:v>30</x:v>
      </x:c>
      <x:c r="K77" s="1" t="s">
        <x:v>6769</x:v>
      </x:c>
      <x:c r="L77" s="1" t="s">
        <x:v>30</x:v>
      </x:c>
      <x:c r="M77" s="1" t="s">
        <x:v>30</x:v>
      </x:c>
      <x:c r="N77" s="1" t="s">
        <x:v>30</x:v>
      </x:c>
      <x:c r="O77" s="1" t="s">
        <x:v>6769</x:v>
      </x:c>
      <x:c r="P77" s="1" t="s">
        <x:v>30</x:v>
      </x:c>
      <x:c r="Q77" s="1" t="s">
        <x:v>30</x:v>
      </x:c>
      <x:c r="R77" s="1" t="s">
        <x:v>30</x:v>
      </x:c>
      <x:c r="S77" s="1" t="s">
        <x:v>30</x:v>
      </x:c>
      <x:c r="T77" s="1" t="s">
        <x:v>6768</x:v>
      </x:c>
      <x:c r="U77" s="1" t="s">
        <x:v>6766</x:v>
      </x:c>
      <x:c r="V77" s="1" t="s">
        <x:v>30</x:v>
      </x:c>
      <x:c r="W77" s="1" t="s">
        <x:v>6766</x:v>
      </x:c>
      <x:c r="X77" s="1" t="s">
        <x:v>30</x:v>
      </x:c>
      <x:c r="Y77" s="1" t="s">
        <x:v>6766</x:v>
      </x:c>
      <x:c r="Z77" s="1" t="s">
        <x:v>6766</x:v>
      </x:c>
      <x:c r="AA77" s="1" t="s">
        <x:v>30</x:v>
      </x:c>
      <x:c r="AB77" s="1" t="s">
        <x:v>30</x:v>
      </x:c>
      <x:c r="AC77" s="1" t="s">
        <x:v>6768</x:v>
      </x:c>
      <x:c r="AD77" s="1" t="s">
        <x:v>30</x:v>
      </x:c>
      <x:c r="AE77" s="1" t="s">
        <x:v>30</x:v>
      </x:c>
      <x:c r="AF77" s="1" t="s">
        <x:v>30</x:v>
      </x:c>
      <x:c r="AG77" s="1" t="s">
        <x:v>30</x:v>
      </x:c>
      <x:c r="AH77" s="1" t="s">
        <x:v>30</x:v>
      </x:c>
      <x:c r="AI77" s="1" t="s">
        <x:v>30</x:v>
      </x:c>
      <x:c r="AJ77" s="1" t="s">
        <x:v>30</x:v>
      </x:c>
      <x:c r="AK77" s="1" t="s">
        <x:v>6766</x:v>
      </x:c>
      <x:c r="AL77" s="1" t="s">
        <x:v>30</x:v>
      </x:c>
      <x:c r="AM77" s="1" t="s">
        <x:v>30</x:v>
      </x:c>
      <x:c r="AN77" s="1" t="s">
        <x:v>30</x:v>
      </x:c>
      <x:c r="AO77" s="1" t="s">
        <x:v>30</x:v>
      </x:c>
      <x:c r="AP77" s="1" t="s">
        <x:v>30</x:v>
      </x:c>
      <x:c r="AQ77" s="1" t="s">
        <x:v>6707</x:v>
      </x:c>
      <x:c r="AR77" s="1" t="s">
        <x:v>6707</x:v>
      </x:c>
      <x:c r="AS77" s="1" t="s">
        <x:v>6707</x:v>
      </x:c>
      <x:c r="AT77" s="1" t="s">
        <x:v>6707</x:v>
      </x:c>
      <x:c r="AU77" s="1" t="s">
        <x:v>6707</x:v>
      </x:c>
      <x:c r="AV77" s="1" t="s">
        <x:v>30</x:v>
      </x:c>
      <x:c r="AW77" s="1" t="s">
        <x:v>30</x:v>
      </x:c>
      <x:c r="AX77" s="1" t="s">
        <x:v>30</x:v>
      </x:c>
      <x:c r="AY77" s="1" t="s">
        <x:v>30</x:v>
      </x:c>
      <x:c r="AZ77" s="1" t="s">
        <x:v>30</x:v>
      </x:c>
      <x:c r="BA77" s="1" t="s">
        <x:v>30</x:v>
      </x:c>
      <x:c r="BB77" s="1" t="s">
        <x:v>30</x:v>
      </x:c>
      <x:c r="BC77" s="1" t="s">
        <x:v>6766</x:v>
      </x:c>
      <x:c r="BD77" s="1" t="s">
        <x:v>6766</x:v>
      </x:c>
      <x:c r="BE77" s="1" t="s">
        <x:v>30</x:v>
      </x:c>
      <x:c r="BF77" s="1" t="s">
        <x:v>30</x:v>
      </x:c>
    </x:row>
    <x:row r="78" ht="15" hidden="0" customHeight="1">
      <x:c r="A78" s="1" t="s">
        <x:v>4833</x:v>
      </x:c>
      <x:c r="B78" s="1" t="s">
        <x:v>5592</x:v>
      </x:c>
      <x:c r="C78" s="1" t="s">
        <x:v>5693</x:v>
      </x:c>
      <x:c r="D78" s="1" t="n">
        <x:v>27</x:v>
      </x:c>
      <x:c r="E78" s="1" t="n">
        <x:v>2</x:v>
      </x:c>
      <x:c r="F78" s="1" t="n">
        <x:v>0</x:v>
      </x:c>
      <x:c r="G78" s="1" t="n">
        <x:v>5</x:v>
      </x:c>
      <x:c r="H78" s="1" t="n">
        <x:v>0</x:v>
      </x:c>
      <x:c r="I78" s="1" t="n">
        <x:v>0</x:v>
      </x:c>
      <x:c r="J78" s="1" t="s">
        <x:v>6766</x:v>
      </x:c>
      <x:c r="K78" s="1" t="s">
        <x:v>6778</x:v>
      </x:c>
      <x:c r="L78" s="1" t="s">
        <x:v>6766</x:v>
      </x:c>
      <x:c r="M78" s="1" t="s">
        <x:v>30</x:v>
      </x:c>
      <x:c r="N78" s="1" t="s">
        <x:v>6769</x:v>
      </x:c>
      <x:c r="O78" s="1" t="s">
        <x:v>6771</x:v>
      </x:c>
      <x:c r="P78" s="1" t="s">
        <x:v>30</x:v>
      </x:c>
      <x:c r="Q78" s="1" t="s">
        <x:v>30</x:v>
      </x:c>
      <x:c r="R78" s="1" t="s">
        <x:v>30</x:v>
      </x:c>
      <x:c r="S78" s="1" t="s">
        <x:v>30</x:v>
      </x:c>
      <x:c r="T78" s="1" t="s">
        <x:v>30</x:v>
      </x:c>
      <x:c r="U78" s="1" t="s">
        <x:v>30</x:v>
      </x:c>
      <x:c r="V78" s="1" t="s">
        <x:v>30</x:v>
      </x:c>
      <x:c r="W78" s="1" t="s">
        <x:v>30</x:v>
      </x:c>
      <x:c r="X78" s="1" t="s">
        <x:v>30</x:v>
      </x:c>
      <x:c r="Y78" s="1" t="s">
        <x:v>30</x:v>
      </x:c>
      <x:c r="Z78" s="1" t="s">
        <x:v>30</x:v>
      </x:c>
      <x:c r="AA78" s="1" t="s">
        <x:v>30</x:v>
      </x:c>
      <x:c r="AB78" s="1" t="s">
        <x:v>30</x:v>
      </x:c>
      <x:c r="AC78" s="1" t="s">
        <x:v>30</x:v>
      </x:c>
      <x:c r="AD78" s="1" t="s">
        <x:v>30</x:v>
      </x:c>
      <x:c r="AE78" s="1" t="s">
        <x:v>6766</x:v>
      </x:c>
      <x:c r="AF78" s="1" t="s">
        <x:v>30</x:v>
      </x:c>
      <x:c r="AG78" s="1" t="s">
        <x:v>30</x:v>
      </x:c>
      <x:c r="AH78" s="1" t="s">
        <x:v>6766</x:v>
      </x:c>
      <x:c r="AI78" s="1" t="s">
        <x:v>30</x:v>
      </x:c>
      <x:c r="AJ78" s="1" t="s">
        <x:v>30</x:v>
      </x:c>
      <x:c r="AK78" s="1" t="s">
        <x:v>30</x:v>
      </x:c>
      <x:c r="AL78" s="1" t="s">
        <x:v>30</x:v>
      </x:c>
      <x:c r="AM78" s="1" t="s">
        <x:v>30</x:v>
      </x:c>
      <x:c r="AN78" s="1" t="s">
        <x:v>30</x:v>
      </x:c>
      <x:c r="AO78" s="1" t="s">
        <x:v>30</x:v>
      </x:c>
      <x:c r="AP78" s="1" t="s">
        <x:v>30</x:v>
      </x:c>
      <x:c r="AQ78" s="1" t="s">
        <x:v>6707</x:v>
      </x:c>
      <x:c r="AR78" s="1" t="s">
        <x:v>6707</x:v>
      </x:c>
      <x:c r="AS78" s="1" t="s">
        <x:v>6707</x:v>
      </x:c>
      <x:c r="AT78" s="1" t="s">
        <x:v>6707</x:v>
      </x:c>
      <x:c r="AU78" s="1" t="s">
        <x:v>6707</x:v>
      </x:c>
      <x:c r="AV78" s="1" t="s">
        <x:v>30</x:v>
      </x:c>
      <x:c r="AW78" s="1" t="s">
        <x:v>30</x:v>
      </x:c>
      <x:c r="AX78" s="1" t="s">
        <x:v>30</x:v>
      </x:c>
      <x:c r="AY78" s="1" t="s">
        <x:v>6779</x:v>
      </x:c>
      <x:c r="AZ78" s="1" t="s">
        <x:v>6768</x:v>
      </x:c>
      <x:c r="BA78" s="1" t="s">
        <x:v>30</x:v>
      </x:c>
      <x:c r="BB78" s="1" t="s">
        <x:v>30</x:v>
      </x:c>
      <x:c r="BC78" s="1" t="s">
        <x:v>6766</x:v>
      </x:c>
      <x:c r="BD78" s="1" t="s">
        <x:v>6766</x:v>
      </x:c>
      <x:c r="BE78" s="1" t="s">
        <x:v>30</x:v>
      </x:c>
      <x:c r="BF78" s="1" t="s">
        <x:v>30</x:v>
      </x:c>
    </x:row>
    <x:row r="79" ht="15" hidden="0" customHeight="1">
      <x:c r="A79" s="1" t="s">
        <x:v>3247</x:v>
      </x:c>
      <x:c r="B79" s="1" t="s">
        <x:v>5592</x:v>
      </x:c>
      <x:c r="C79" s="1" t="s">
        <x:v>5693</x:v>
      </x:c>
      <x:c r="D79" s="1" t="n">
        <x:v>11</x:v>
      </x:c>
      <x:c r="E79" s="1" t="n">
        <x:v>1</x:v>
      </x:c>
      <x:c r="F79" s="1" t="n">
        <x:v>0</x:v>
      </x:c>
      <x:c r="G79" s="1" t="n">
        <x:v>0</x:v>
      </x:c>
      <x:c r="H79" s="1" t="n">
        <x:v>0</x:v>
      </x:c>
      <x:c r="I79" s="1" t="n">
        <x:v>0</x:v>
      </x:c>
      <x:c r="J79" s="1" t="s">
        <x:v>30</x:v>
      </x:c>
      <x:c r="K79" s="1" t="s">
        <x:v>6770</x:v>
      </x:c>
      <x:c r="L79" s="1" t="s">
        <x:v>6766</x:v>
      </x:c>
      <x:c r="M79" s="1" t="s">
        <x:v>6766</x:v>
      </x:c>
      <x:c r="N79" s="1" t="s">
        <x:v>30</x:v>
      </x:c>
      <x:c r="O79" s="1" t="s">
        <x:v>6766</x:v>
      </x:c>
      <x:c r="P79" s="1" t="s">
        <x:v>30</x:v>
      </x:c>
      <x:c r="Q79" s="1" t="s">
        <x:v>30</x:v>
      </x:c>
      <x:c r="R79" s="1" t="s">
        <x:v>30</x:v>
      </x:c>
      <x:c r="S79" s="1" t="s">
        <x:v>30</x:v>
      </x:c>
      <x:c r="T79" s="1" t="s">
        <x:v>30</x:v>
      </x:c>
      <x:c r="U79" s="1" t="s">
        <x:v>30</x:v>
      </x:c>
      <x:c r="V79" s="1" t="s">
        <x:v>30</x:v>
      </x:c>
      <x:c r="W79" s="1" t="s">
        <x:v>6766</x:v>
      </x:c>
      <x:c r="X79" s="1" t="s">
        <x:v>30</x:v>
      </x:c>
      <x:c r="Y79" s="1" t="s">
        <x:v>30</x:v>
      </x:c>
      <x:c r="Z79" s="1" t="s">
        <x:v>30</x:v>
      </x:c>
      <x:c r="AA79" s="1" t="s">
        <x:v>30</x:v>
      </x:c>
      <x:c r="AB79" s="1" t="s">
        <x:v>30</x:v>
      </x:c>
      <x:c r="AC79" s="1" t="s">
        <x:v>30</x:v>
      </x:c>
      <x:c r="AD79" s="1" t="s">
        <x:v>30</x:v>
      </x:c>
      <x:c r="AE79" s="1" t="s">
        <x:v>30</x:v>
      </x:c>
      <x:c r="AF79" s="1" t="s">
        <x:v>30</x:v>
      </x:c>
      <x:c r="AG79" s="1" t="s">
        <x:v>30</x:v>
      </x:c>
      <x:c r="AH79" s="1" t="s">
        <x:v>30</x:v>
      </x:c>
      <x:c r="AI79" s="1" t="s">
        <x:v>30</x:v>
      </x:c>
      <x:c r="AJ79" s="1" t="s">
        <x:v>30</x:v>
      </x:c>
      <x:c r="AK79" s="1" t="s">
        <x:v>30</x:v>
      </x:c>
      <x:c r="AL79" s="1" t="s">
        <x:v>30</x:v>
      </x:c>
      <x:c r="AM79" s="1" t="s">
        <x:v>30</x:v>
      </x:c>
      <x:c r="AN79" s="1" t="s">
        <x:v>30</x:v>
      </x:c>
      <x:c r="AO79" s="1" t="s">
        <x:v>30</x:v>
      </x:c>
      <x:c r="AP79" s="1" t="s">
        <x:v>30</x:v>
      </x:c>
      <x:c r="AQ79" s="1" t="s">
        <x:v>6707</x:v>
      </x:c>
      <x:c r="AR79" s="1" t="s">
        <x:v>6707</x:v>
      </x:c>
      <x:c r="AS79" s="1" t="s">
        <x:v>6707</x:v>
      </x:c>
      <x:c r="AT79" s="1" t="s">
        <x:v>6707</x:v>
      </x:c>
      <x:c r="AU79" s="1" t="s">
        <x:v>6707</x:v>
      </x:c>
      <x:c r="AV79" s="1" t="s">
        <x:v>6768</x:v>
      </x:c>
      <x:c r="AW79" s="1" t="s">
        <x:v>30</x:v>
      </x:c>
      <x:c r="AX79" s="1" t="s">
        <x:v>30</x:v>
      </x:c>
      <x:c r="AY79" s="1" t="s">
        <x:v>30</x:v>
      </x:c>
      <x:c r="AZ79" s="1" t="s">
        <x:v>6766</x:v>
      </x:c>
      <x:c r="BA79" s="1" t="s">
        <x:v>6766</x:v>
      </x:c>
      <x:c r="BB79" s="1" t="s">
        <x:v>30</x:v>
      </x:c>
      <x:c r="BC79" s="1" t="s">
        <x:v>30</x:v>
      </x:c>
      <x:c r="BD79" s="1" t="s">
        <x:v>30</x:v>
      </x:c>
      <x:c r="BE79" s="1" t="s">
        <x:v>30</x:v>
      </x:c>
      <x:c r="BF79" s="1" t="s">
        <x:v>30</x:v>
      </x:c>
    </x:row>
    <x:row r="80" ht="15" hidden="0" customHeight="1">
      <x:c r="A80" s="1" t="s">
        <x:v>3296</x:v>
      </x:c>
      <x:c r="B80" s="1" t="s">
        <x:v>5599</x:v>
      </x:c>
      <x:c r="C80" s="1" t="s">
        <x:v>5693</x:v>
      </x:c>
      <x:c r="D80" s="1" t="n">
        <x:v>10</x:v>
      </x:c>
      <x:c r="E80" s="1" t="n">
        <x:v>2</x:v>
      </x:c>
      <x:c r="F80" s="1" t="n">
        <x:v>0</x:v>
      </x:c>
      <x:c r="G80" s="1" t="n">
        <x:v>0</x:v>
      </x:c>
      <x:c r="H80" s="1" t="n">
        <x:v>0</x:v>
      </x:c>
      <x:c r="I80" s="1" t="n">
        <x:v>0</x:v>
      </x:c>
      <x:c r="J80" s="1" t="s">
        <x:v>30</x:v>
      </x:c>
      <x:c r="K80" s="1" t="s">
        <x:v>6770</x:v>
      </x:c>
      <x:c r="L80" s="1" t="s">
        <x:v>30</x:v>
      </x:c>
      <x:c r="M80" s="1" t="s">
        <x:v>6766</x:v>
      </x:c>
      <x:c r="N80" s="1" t="s">
        <x:v>6766</x:v>
      </x:c>
      <x:c r="O80" s="1" t="s">
        <x:v>30</x:v>
      </x:c>
      <x:c r="P80" s="1" t="s">
        <x:v>30</x:v>
      </x:c>
      <x:c r="Q80" s="1" t="s">
        <x:v>30</x:v>
      </x:c>
      <x:c r="R80" s="1" t="s">
        <x:v>30</x:v>
      </x:c>
      <x:c r="S80" s="1" t="s">
        <x:v>30</x:v>
      </x:c>
      <x:c r="T80" s="1" t="s">
        <x:v>30</x:v>
      </x:c>
      <x:c r="U80" s="1" t="s">
        <x:v>30</x:v>
      </x:c>
      <x:c r="V80" s="1" t="s">
        <x:v>30</x:v>
      </x:c>
      <x:c r="W80" s="1" t="s">
        <x:v>6766</x:v>
      </x:c>
      <x:c r="X80" s="1" t="s">
        <x:v>30</x:v>
      </x:c>
      <x:c r="Y80" s="1" t="s">
        <x:v>30</x:v>
      </x:c>
      <x:c r="Z80" s="1" t="s">
        <x:v>30</x:v>
      </x:c>
      <x:c r="AA80" s="1" t="s">
        <x:v>30</x:v>
      </x:c>
      <x:c r="AB80" s="1" t="s">
        <x:v>30</x:v>
      </x:c>
      <x:c r="AC80" s="1" t="s">
        <x:v>30</x:v>
      </x:c>
      <x:c r="AD80" s="1" t="s">
        <x:v>30</x:v>
      </x:c>
      <x:c r="AE80" s="1" t="s">
        <x:v>30</x:v>
      </x:c>
      <x:c r="AF80" s="1" t="s">
        <x:v>30</x:v>
      </x:c>
      <x:c r="AG80" s="1" t="s">
        <x:v>30</x:v>
      </x:c>
      <x:c r="AH80" s="1" t="s">
        <x:v>30</x:v>
      </x:c>
      <x:c r="AI80" s="1" t="s">
        <x:v>30</x:v>
      </x:c>
      <x:c r="AJ80" s="1" t="s">
        <x:v>30</x:v>
      </x:c>
      <x:c r="AK80" s="1" t="s">
        <x:v>30</x:v>
      </x:c>
      <x:c r="AL80" s="1" t="s">
        <x:v>30</x:v>
      </x:c>
      <x:c r="AM80" s="1" t="s">
        <x:v>30</x:v>
      </x:c>
      <x:c r="AN80" s="1" t="s">
        <x:v>30</x:v>
      </x:c>
      <x:c r="AO80" s="1" t="s">
        <x:v>30</x:v>
      </x:c>
      <x:c r="AP80" s="1" t="s">
        <x:v>30</x:v>
      </x:c>
      <x:c r="AQ80" s="1" t="s">
        <x:v>6707</x:v>
      </x:c>
      <x:c r="AR80" s="1" t="s">
        <x:v>6707</x:v>
      </x:c>
      <x:c r="AS80" s="1" t="s">
        <x:v>6707</x:v>
      </x:c>
      <x:c r="AT80" s="1" t="s">
        <x:v>6707</x:v>
      </x:c>
      <x:c r="AU80" s="1" t="s">
        <x:v>6707</x:v>
      </x:c>
      <x:c r="AV80" s="1" t="s">
        <x:v>6768</x:v>
      </x:c>
      <x:c r="AW80" s="1" t="s">
        <x:v>30</x:v>
      </x:c>
      <x:c r="AX80" s="1" t="s">
        <x:v>30</x:v>
      </x:c>
      <x:c r="AY80" s="1" t="s">
        <x:v>30</x:v>
      </x:c>
      <x:c r="AZ80" s="1" t="s">
        <x:v>6768</x:v>
      </x:c>
      <x:c r="BA80" s="1" t="s">
        <x:v>6766</x:v>
      </x:c>
      <x:c r="BB80" s="1" t="s">
        <x:v>30</x:v>
      </x:c>
      <x:c r="BC80" s="1" t="s">
        <x:v>30</x:v>
      </x:c>
      <x:c r="BD80" s="1" t="s">
        <x:v>30</x:v>
      </x:c>
      <x:c r="BE80" s="1" t="s">
        <x:v>30</x:v>
      </x:c>
      <x:c r="BF80" s="1" t="s">
        <x:v>30</x:v>
      </x:c>
    </x:row>
    <x:row r="81" ht="15" hidden="0" customHeight="1">
      <x:c r="A81" s="1" t="s">
        <x:v>3029</x:v>
      </x:c>
      <x:c r="B81" s="1" t="s">
        <x:v>5601</x:v>
      </x:c>
      <x:c r="C81" s="1" t="s">
        <x:v>5693</x:v>
      </x:c>
      <x:c r="D81" s="1" t="n">
        <x:v>11</x:v>
      </x:c>
      <x:c r="E81" s="1" t="n">
        <x:v>0</x:v>
      </x:c>
      <x:c r="F81" s="1" t="n">
        <x:v>0</x:v>
      </x:c>
      <x:c r="G81" s="1" t="n">
        <x:v>0</x:v>
      </x:c>
      <x:c r="H81" s="1" t="n">
        <x:v>0</x:v>
      </x:c>
      <x:c r="I81" s="1" t="n">
        <x:v>0</x:v>
      </x:c>
      <x:c r="J81" s="1" t="s">
        <x:v>30</x:v>
      </x:c>
      <x:c r="K81" s="1" t="s">
        <x:v>6768</x:v>
      </x:c>
      <x:c r="L81" s="1" t="s">
        <x:v>6766</x:v>
      </x:c>
      <x:c r="M81" s="1" t="s">
        <x:v>6766</x:v>
      </x:c>
      <x:c r="N81" s="1" t="s">
        <x:v>6770</x:v>
      </x:c>
      <x:c r="O81" s="1" t="s">
        <x:v>6766</x:v>
      </x:c>
      <x:c r="P81" s="1" t="s">
        <x:v>30</x:v>
      </x:c>
      <x:c r="Q81" s="1" t="s">
        <x:v>30</x:v>
      </x:c>
      <x:c r="R81" s="1" t="s">
        <x:v>30</x:v>
      </x:c>
      <x:c r="S81" s="1" t="s">
        <x:v>30</x:v>
      </x:c>
      <x:c r="T81" s="1" t="s">
        <x:v>30</x:v>
      </x:c>
      <x:c r="U81" s="1" t="s">
        <x:v>30</x:v>
      </x:c>
      <x:c r="V81" s="1" t="s">
        <x:v>30</x:v>
      </x:c>
      <x:c r="W81" s="1" t="s">
        <x:v>30</x:v>
      </x:c>
      <x:c r="X81" s="1" t="s">
        <x:v>30</x:v>
      </x:c>
      <x:c r="Y81" s="1" t="s">
        <x:v>30</x:v>
      </x:c>
      <x:c r="Z81" s="1" t="s">
        <x:v>30</x:v>
      </x:c>
      <x:c r="AA81" s="1" t="s">
        <x:v>30</x:v>
      </x:c>
      <x:c r="AB81" s="1" t="s">
        <x:v>30</x:v>
      </x:c>
      <x:c r="AC81" s="1" t="s">
        <x:v>30</x:v>
      </x:c>
      <x:c r="AD81" s="1" t="s">
        <x:v>30</x:v>
      </x:c>
      <x:c r="AE81" s="1" t="s">
        <x:v>30</x:v>
      </x:c>
      <x:c r="AF81" s="1" t="s">
        <x:v>30</x:v>
      </x:c>
      <x:c r="AG81" s="1" t="s">
        <x:v>6768</x:v>
      </x:c>
      <x:c r="AH81" s="1" t="s">
        <x:v>30</x:v>
      </x:c>
      <x:c r="AI81" s="1" t="s">
        <x:v>30</x:v>
      </x:c>
      <x:c r="AJ81" s="1" t="s">
        <x:v>30</x:v>
      </x:c>
      <x:c r="AK81" s="1" t="s">
        <x:v>30</x:v>
      </x:c>
      <x:c r="AL81" s="1" t="s">
        <x:v>30</x:v>
      </x:c>
      <x:c r="AM81" s="1" t="s">
        <x:v>30</x:v>
      </x:c>
      <x:c r="AN81" s="1" t="s">
        <x:v>30</x:v>
      </x:c>
      <x:c r="AO81" s="1" t="s">
        <x:v>30</x:v>
      </x:c>
      <x:c r="AP81" s="1" t="s">
        <x:v>30</x:v>
      </x:c>
      <x:c r="AQ81" s="1" t="s">
        <x:v>6707</x:v>
      </x:c>
      <x:c r="AR81" s="1" t="s">
        <x:v>6707</x:v>
      </x:c>
      <x:c r="AS81" s="1" t="s">
        <x:v>6707</x:v>
      </x:c>
      <x:c r="AT81" s="1" t="s">
        <x:v>6707</x:v>
      </x:c>
      <x:c r="AU81" s="1" t="s">
        <x:v>6707</x:v>
      </x:c>
      <x:c r="AV81" s="1" t="s">
        <x:v>30</x:v>
      </x:c>
      <x:c r="AW81" s="1" t="s">
        <x:v>30</x:v>
      </x:c>
      <x:c r="AX81" s="1" t="s">
        <x:v>30</x:v>
      </x:c>
      <x:c r="AY81" s="1" t="s">
        <x:v>30</x:v>
      </x:c>
      <x:c r="AZ81" s="1" t="s">
        <x:v>30</x:v>
      </x:c>
      <x:c r="BA81" s="1" t="s">
        <x:v>30</x:v>
      </x:c>
      <x:c r="BB81" s="1" t="s">
        <x:v>30</x:v>
      </x:c>
      <x:c r="BC81" s="1" t="s">
        <x:v>30</x:v>
      </x:c>
      <x:c r="BD81" s="1" t="s">
        <x:v>30</x:v>
      </x:c>
      <x:c r="BE81" s="1" t="s">
        <x:v>30</x:v>
      </x:c>
      <x:c r="BF81" s="1" t="s">
        <x:v>30</x:v>
      </x:c>
    </x:row>
    <x:row r="82" ht="15" hidden="0" customHeight="1">
      <x:c r="A82" s="1" t="s">
        <x:v>3064</x:v>
      </x:c>
      <x:c r="B82" s="1" t="s">
        <x:v>5603</x:v>
      </x:c>
      <x:c r="C82" s="1" t="s">
        <x:v>5693</x:v>
      </x:c>
      <x:c r="D82" s="1" t="n">
        <x:v>12</x:v>
      </x:c>
      <x:c r="E82" s="1" t="n">
        <x:v>0</x:v>
      </x:c>
      <x:c r="F82" s="1" t="n">
        <x:v>0</x:v>
      </x:c>
      <x:c r="G82" s="1" t="n">
        <x:v>0</x:v>
      </x:c>
      <x:c r="H82" s="1" t="n">
        <x:v>0</x:v>
      </x:c>
      <x:c r="I82" s="1" t="n">
        <x:v>0</x:v>
      </x:c>
      <x:c r="J82" s="1" t="s">
        <x:v>30</x:v>
      </x:c>
      <x:c r="K82" s="1" t="s">
        <x:v>6770</x:v>
      </x:c>
      <x:c r="L82" s="1" t="s">
        <x:v>6766</x:v>
      </x:c>
      <x:c r="M82" s="1" t="s">
        <x:v>30</x:v>
      </x:c>
      <x:c r="N82" s="1" t="s">
        <x:v>6769</x:v>
      </x:c>
      <x:c r="O82" s="1" t="s">
        <x:v>6766</x:v>
      </x:c>
      <x:c r="P82" s="1" t="s">
        <x:v>30</x:v>
      </x:c>
      <x:c r="Q82" s="1" t="s">
        <x:v>30</x:v>
      </x:c>
      <x:c r="R82" s="1" t="s">
        <x:v>30</x:v>
      </x:c>
      <x:c r="S82" s="1" t="s">
        <x:v>30</x:v>
      </x:c>
      <x:c r="T82" s="1" t="s">
        <x:v>30</x:v>
      </x:c>
      <x:c r="U82" s="1" t="s">
        <x:v>30</x:v>
      </x:c>
      <x:c r="V82" s="1" t="s">
        <x:v>30</x:v>
      </x:c>
      <x:c r="W82" s="1" t="s">
        <x:v>30</x:v>
      </x:c>
      <x:c r="X82" s="1" t="s">
        <x:v>30</x:v>
      </x:c>
      <x:c r="Y82" s="1" t="s">
        <x:v>30</x:v>
      </x:c>
      <x:c r="Z82" s="1" t="s">
        <x:v>30</x:v>
      </x:c>
      <x:c r="AA82" s="1" t="s">
        <x:v>30</x:v>
      </x:c>
      <x:c r="AB82" s="1" t="s">
        <x:v>30</x:v>
      </x:c>
      <x:c r="AC82" s="1" t="s">
        <x:v>30</x:v>
      </x:c>
      <x:c r="AD82" s="1" t="s">
        <x:v>30</x:v>
      </x:c>
      <x:c r="AE82" s="1" t="s">
        <x:v>30</x:v>
      </x:c>
      <x:c r="AF82" s="1" t="s">
        <x:v>30</x:v>
      </x:c>
      <x:c r="AG82" s="1" t="s">
        <x:v>30</x:v>
      </x:c>
      <x:c r="AH82" s="1" t="s">
        <x:v>30</x:v>
      </x:c>
      <x:c r="AI82" s="1" t="s">
        <x:v>30</x:v>
      </x:c>
      <x:c r="AJ82" s="1" t="s">
        <x:v>30</x:v>
      </x:c>
      <x:c r="AK82" s="1" t="s">
        <x:v>30</x:v>
      </x:c>
      <x:c r="AL82" s="1" t="s">
        <x:v>30</x:v>
      </x:c>
      <x:c r="AM82" s="1" t="s">
        <x:v>30</x:v>
      </x:c>
      <x:c r="AN82" s="1" t="s">
        <x:v>30</x:v>
      </x:c>
      <x:c r="AO82" s="1" t="s">
        <x:v>30</x:v>
      </x:c>
      <x:c r="AP82" s="1" t="s">
        <x:v>30</x:v>
      </x:c>
      <x:c r="AQ82" s="1" t="s">
        <x:v>6707</x:v>
      </x:c>
      <x:c r="AR82" s="1" t="s">
        <x:v>6707</x:v>
      </x:c>
      <x:c r="AS82" s="1" t="s">
        <x:v>6707</x:v>
      </x:c>
      <x:c r="AT82" s="1" t="s">
        <x:v>6707</x:v>
      </x:c>
      <x:c r="AU82" s="1" t="s">
        <x:v>6707</x:v>
      </x:c>
      <x:c r="AV82" s="1" t="s">
        <x:v>6766</x:v>
      </x:c>
      <x:c r="AW82" s="1" t="s">
        <x:v>30</x:v>
      </x:c>
      <x:c r="AX82" s="1" t="s">
        <x:v>30</x:v>
      </x:c>
      <x:c r="AY82" s="1" t="s">
        <x:v>30</x:v>
      </x:c>
      <x:c r="AZ82" s="1" t="s">
        <x:v>30</x:v>
      </x:c>
      <x:c r="BA82" s="1" t="s">
        <x:v>6766</x:v>
      </x:c>
      <x:c r="BB82" s="1" t="s">
        <x:v>30</x:v>
      </x:c>
      <x:c r="BC82" s="1" t="s">
        <x:v>30</x:v>
      </x:c>
      <x:c r="BD82" s="1" t="s">
        <x:v>30</x:v>
      </x:c>
      <x:c r="BE82" s="1" t="s">
        <x:v>30</x:v>
      </x:c>
      <x:c r="BF82" s="1" t="s">
        <x:v>6766</x:v>
      </x:c>
    </x:row>
    <x:row r="83" ht="15" hidden="0" customHeight="1">
      <x:c r="A83" s="1" t="s">
        <x:v>2344</x:v>
      </x:c>
      <x:c r="B83" s="1" t="s">
        <x:v>5603</x:v>
      </x:c>
      <x:c r="C83" s="1" t="s">
        <x:v>5693</x:v>
      </x:c>
      <x:c r="D83" s="1" t="n">
        <x:v>17</x:v>
      </x:c>
      <x:c r="E83" s="1" t="n">
        <x:v>0</x:v>
      </x:c>
      <x:c r="F83" s="1" t="n">
        <x:v>0</x:v>
      </x:c>
      <x:c r="G83" s="1" t="n">
        <x:v>0</x:v>
      </x:c>
      <x:c r="H83" s="1" t="n">
        <x:v>0</x:v>
      </x:c>
      <x:c r="I83" s="1" t="n">
        <x:v>0</x:v>
      </x:c>
      <x:c r="J83" s="1" t="s">
        <x:v>30</x:v>
      </x:c>
      <x:c r="K83" s="1" t="s">
        <x:v>6766</x:v>
      </x:c>
      <x:c r="L83" s="1" t="s">
        <x:v>6766</x:v>
      </x:c>
      <x:c r="M83" s="1" t="s">
        <x:v>30</x:v>
      </x:c>
      <x:c r="N83" s="1" t="s">
        <x:v>6769</x:v>
      </x:c>
      <x:c r="O83" s="1" t="s">
        <x:v>30</x:v>
      </x:c>
      <x:c r="P83" s="1" t="s">
        <x:v>30</x:v>
      </x:c>
      <x:c r="Q83" s="1" t="s">
        <x:v>30</x:v>
      </x:c>
      <x:c r="R83" s="1" t="s">
        <x:v>30</x:v>
      </x:c>
      <x:c r="S83" s="1" t="s">
        <x:v>30</x:v>
      </x:c>
      <x:c r="T83" s="1" t="s">
        <x:v>30</x:v>
      </x:c>
      <x:c r="U83" s="1" t="s">
        <x:v>30</x:v>
      </x:c>
      <x:c r="V83" s="1" t="s">
        <x:v>30</x:v>
      </x:c>
      <x:c r="W83" s="1" t="s">
        <x:v>30</x:v>
      </x:c>
      <x:c r="X83" s="1" t="s">
        <x:v>30</x:v>
      </x:c>
      <x:c r="Y83" s="1" t="s">
        <x:v>6766</x:v>
      </x:c>
      <x:c r="Z83" s="1" t="s">
        <x:v>6768</x:v>
      </x:c>
      <x:c r="AA83" s="1" t="s">
        <x:v>30</x:v>
      </x:c>
      <x:c r="AB83" s="1" t="s">
        <x:v>6766</x:v>
      </x:c>
      <x:c r="AC83" s="1" t="s">
        <x:v>6766</x:v>
      </x:c>
      <x:c r="AD83" s="1" t="s">
        <x:v>30</x:v>
      </x:c>
      <x:c r="AE83" s="1" t="s">
        <x:v>6766</x:v>
      </x:c>
      <x:c r="AF83" s="1" t="s">
        <x:v>6766</x:v>
      </x:c>
      <x:c r="AG83" s="1" t="s">
        <x:v>30</x:v>
      </x:c>
      <x:c r="AH83" s="1" t="s">
        <x:v>30</x:v>
      </x:c>
      <x:c r="AI83" s="1" t="s">
        <x:v>6766</x:v>
      </x:c>
      <x:c r="AJ83" s="1" t="s">
        <x:v>30</x:v>
      </x:c>
      <x:c r="AK83" s="1" t="s">
        <x:v>6766</x:v>
      </x:c>
      <x:c r="AL83" s="1" t="s">
        <x:v>30</x:v>
      </x:c>
      <x:c r="AM83" s="1" t="s">
        <x:v>30</x:v>
      </x:c>
      <x:c r="AN83" s="1" t="s">
        <x:v>30</x:v>
      </x:c>
      <x:c r="AO83" s="1" t="s">
        <x:v>30</x:v>
      </x:c>
      <x:c r="AP83" s="1" t="s">
        <x:v>30</x:v>
      </x:c>
      <x:c r="AQ83" s="1" t="s">
        <x:v>30</x:v>
      </x:c>
      <x:c r="AR83" s="1" t="s">
        <x:v>30</x:v>
      </x:c>
      <x:c r="AS83" s="1" t="s">
        <x:v>30</x:v>
      </x:c>
      <x:c r="AT83" s="1" t="s">
        <x:v>30</x:v>
      </x:c>
      <x:c r="AU83" s="1" t="s">
        <x:v>30</x:v>
      </x:c>
      <x:c r="AV83" s="1" t="s">
        <x:v>30</x:v>
      </x:c>
      <x:c r="AW83" s="1" t="s">
        <x:v>30</x:v>
      </x:c>
      <x:c r="AX83" s="1" t="s">
        <x:v>6766</x:v>
      </x:c>
      <x:c r="AY83" s="1" t="s">
        <x:v>6768</x:v>
      </x:c>
      <x:c r="AZ83" s="1" t="s">
        <x:v>30</x:v>
      </x:c>
      <x:c r="BA83" s="1" t="s">
        <x:v>30</x:v>
      </x:c>
      <x:c r="BB83" s="1" t="s">
        <x:v>30</x:v>
      </x:c>
      <x:c r="BC83" s="1" t="s">
        <x:v>30</x:v>
      </x:c>
      <x:c r="BD83" s="1" t="s">
        <x:v>30</x:v>
      </x:c>
      <x:c r="BE83" s="1" t="s">
        <x:v>30</x:v>
      </x:c>
      <x:c r="BF83" s="1" t="s">
        <x:v>30</x:v>
      </x:c>
    </x:row>
    <x:row r="84" ht="15" hidden="0" customHeight="1">
      <x:c r="A84" s="1" t="s">
        <x:v>3375</x:v>
      </x:c>
      <x:c r="B84" s="1" t="s">
        <x:v>5603</x:v>
      </x:c>
      <x:c r="C84" s="1" t="s">
        <x:v>5693</x:v>
      </x:c>
      <x:c r="D84" s="1" t="n">
        <x:v>19</x:v>
      </x:c>
      <x:c r="E84" s="1" t="n">
        <x:v>0</x:v>
      </x:c>
      <x:c r="F84" s="1" t="n">
        <x:v>0</x:v>
      </x:c>
      <x:c r="G84" s="1" t="n">
        <x:v>0</x:v>
      </x:c>
      <x:c r="H84" s="1" t="n">
        <x:v>0</x:v>
      </x:c>
      <x:c r="I84" s="1" t="n">
        <x:v>0</x:v>
      </x:c>
      <x:c r="J84" s="1" t="s">
        <x:v>30</x:v>
      </x:c>
      <x:c r="K84" s="1" t="s">
        <x:v>6769</x:v>
      </x:c>
      <x:c r="L84" s="1" t="s">
        <x:v>6766</x:v>
      </x:c>
      <x:c r="M84" s="1" t="s">
        <x:v>6766</x:v>
      </x:c>
      <x:c r="N84" s="1" t="s">
        <x:v>6769</x:v>
      </x:c>
      <x:c r="O84" s="1" t="s">
        <x:v>6770</x:v>
      </x:c>
      <x:c r="P84" s="1" t="s">
        <x:v>30</x:v>
      </x:c>
      <x:c r="Q84" s="1" t="s">
        <x:v>30</x:v>
      </x:c>
      <x:c r="R84" s="1" t="s">
        <x:v>6766</x:v>
      </x:c>
      <x:c r="S84" s="1" t="s">
        <x:v>6766</x:v>
      </x:c>
      <x:c r="T84" s="1" t="s">
        <x:v>6766</x:v>
      </x:c>
      <x:c r="U84" s="1" t="s">
        <x:v>30</x:v>
      </x:c>
      <x:c r="V84" s="1" t="s">
        <x:v>6766</x:v>
      </x:c>
      <x:c r="W84" s="1" t="s">
        <x:v>30</x:v>
      </x:c>
      <x:c r="X84" s="1" t="s">
        <x:v>30</x:v>
      </x:c>
      <x:c r="Y84" s="1" t="s">
        <x:v>30</x:v>
      </x:c>
      <x:c r="Z84" s="1" t="s">
        <x:v>6766</x:v>
      </x:c>
      <x:c r="AA84" s="1" t="s">
        <x:v>30</x:v>
      </x:c>
      <x:c r="AB84" s="1" t="s">
        <x:v>30</x:v>
      </x:c>
      <x:c r="AC84" s="1" t="s">
        <x:v>6766</x:v>
      </x:c>
      <x:c r="AD84" s="1" t="s">
        <x:v>30</x:v>
      </x:c>
      <x:c r="AE84" s="1" t="s">
        <x:v>30</x:v>
      </x:c>
      <x:c r="AF84" s="1" t="s">
        <x:v>30</x:v>
      </x:c>
      <x:c r="AG84" s="1" t="s">
        <x:v>30</x:v>
      </x:c>
      <x:c r="AH84" s="1" t="s">
        <x:v>30</x:v>
      </x:c>
      <x:c r="AI84" s="1" t="s">
        <x:v>30</x:v>
      </x:c>
      <x:c r="AJ84" s="1" t="s">
        <x:v>30</x:v>
      </x:c>
      <x:c r="AK84" s="1" t="s">
        <x:v>6766</x:v>
      </x:c>
      <x:c r="AL84" s="1" t="s">
        <x:v>30</x:v>
      </x:c>
      <x:c r="AM84" s="1" t="s">
        <x:v>30</x:v>
      </x:c>
      <x:c r="AN84" s="1" t="s">
        <x:v>30</x:v>
      </x:c>
      <x:c r="AO84" s="1" t="s">
        <x:v>30</x:v>
      </x:c>
      <x:c r="AP84" s="1" t="s">
        <x:v>30</x:v>
      </x:c>
      <x:c r="AQ84" s="1" t="s">
        <x:v>6707</x:v>
      </x:c>
      <x:c r="AR84" s="1" t="s">
        <x:v>6707</x:v>
      </x:c>
      <x:c r="AS84" s="1" t="s">
        <x:v>6707</x:v>
      </x:c>
      <x:c r="AT84" s="1" t="s">
        <x:v>6707</x:v>
      </x:c>
      <x:c r="AU84" s="1" t="s">
        <x:v>6707</x:v>
      </x:c>
      <x:c r="AV84" s="1" t="s">
        <x:v>30</x:v>
      </x:c>
      <x:c r="AW84" s="1" t="s">
        <x:v>30</x:v>
      </x:c>
      <x:c r="AX84" s="1" t="s">
        <x:v>30</x:v>
      </x:c>
      <x:c r="AY84" s="1" t="s">
        <x:v>30</x:v>
      </x:c>
      <x:c r="AZ84" s="1" t="s">
        <x:v>30</x:v>
      </x:c>
      <x:c r="BA84" s="1" t="s">
        <x:v>30</x:v>
      </x:c>
      <x:c r="BB84" s="1" t="s">
        <x:v>30</x:v>
      </x:c>
      <x:c r="BC84" s="1" t="s">
        <x:v>30</x:v>
      </x:c>
      <x:c r="BD84" s="1" t="s">
        <x:v>30</x:v>
      </x:c>
      <x:c r="BE84" s="1" t="s">
        <x:v>30</x:v>
      </x:c>
      <x:c r="BF84" s="1" t="s">
        <x:v>30</x:v>
      </x:c>
    </x:row>
    <x:row r="85" ht="15" hidden="0" customHeight="1">
      <x:c r="A85" s="1" t="s">
        <x:v>3106</x:v>
      </x:c>
      <x:c r="B85" s="1" t="s">
        <x:v>5603</x:v>
      </x:c>
      <x:c r="C85" s="1" t="s">
        <x:v>5693</x:v>
      </x:c>
      <x:c r="D85" s="1" t="n">
        <x:v>10</x:v>
      </x:c>
      <x:c r="E85" s="1" t="n">
        <x:v>1</x:v>
      </x:c>
      <x:c r="F85" s="1" t="n">
        <x:v>0</x:v>
      </x:c>
      <x:c r="G85" s="1" t="n">
        <x:v>0</x:v>
      </x:c>
      <x:c r="H85" s="1" t="n">
        <x:v>0</x:v>
      </x:c>
      <x:c r="I85" s="1" t="n">
        <x:v>0</x:v>
      </x:c>
      <x:c r="J85" s="1" t="s">
        <x:v>30</x:v>
      </x:c>
      <x:c r="K85" s="1" t="s">
        <x:v>6766</x:v>
      </x:c>
      <x:c r="L85" s="1" t="s">
        <x:v>30</x:v>
      </x:c>
      <x:c r="M85" s="1" t="s">
        <x:v>30</x:v>
      </x:c>
      <x:c r="N85" s="1" t="s">
        <x:v>6766</x:v>
      </x:c>
      <x:c r="O85" s="1" t="s">
        <x:v>30</x:v>
      </x:c>
      <x:c r="P85" s="1" t="s">
        <x:v>30</x:v>
      </x:c>
      <x:c r="Q85" s="1" t="s">
        <x:v>30</x:v>
      </x:c>
      <x:c r="R85" s="1" t="s">
        <x:v>30</x:v>
      </x:c>
      <x:c r="S85" s="1" t="s">
        <x:v>30</x:v>
      </x:c>
      <x:c r="T85" s="1" t="s">
        <x:v>30</x:v>
      </x:c>
      <x:c r="U85" s="1" t="s">
        <x:v>30</x:v>
      </x:c>
      <x:c r="V85" s="1" t="s">
        <x:v>30</x:v>
      </x:c>
      <x:c r="W85" s="1" t="s">
        <x:v>30</x:v>
      </x:c>
      <x:c r="X85" s="1" t="s">
        <x:v>30</x:v>
      </x:c>
      <x:c r="Y85" s="1" t="s">
        <x:v>30</x:v>
      </x:c>
      <x:c r="Z85" s="1" t="s">
        <x:v>30</x:v>
      </x:c>
      <x:c r="AA85" s="1" t="s">
        <x:v>30</x:v>
      </x:c>
      <x:c r="AB85" s="1" t="s">
        <x:v>30</x:v>
      </x:c>
      <x:c r="AC85" s="1" t="s">
        <x:v>30</x:v>
      </x:c>
      <x:c r="AD85" s="1" t="s">
        <x:v>30</x:v>
      </x:c>
      <x:c r="AE85" s="1" t="s">
        <x:v>6768</x:v>
      </x:c>
      <x:c r="AF85" s="1" t="s">
        <x:v>30</x:v>
      </x:c>
      <x:c r="AG85" s="1" t="s">
        <x:v>30</x:v>
      </x:c>
      <x:c r="AH85" s="1" t="s">
        <x:v>30</x:v>
      </x:c>
      <x:c r="AI85" s="1" t="s">
        <x:v>30</x:v>
      </x:c>
      <x:c r="AJ85" s="1" t="s">
        <x:v>30</x:v>
      </x:c>
      <x:c r="AK85" s="1" t="s">
        <x:v>30</x:v>
      </x:c>
      <x:c r="AL85" s="1" t="s">
        <x:v>30</x:v>
      </x:c>
      <x:c r="AM85" s="1" t="s">
        <x:v>30</x:v>
      </x:c>
      <x:c r="AN85" s="1" t="s">
        <x:v>30</x:v>
      </x:c>
      <x:c r="AO85" s="1" t="s">
        <x:v>30</x:v>
      </x:c>
      <x:c r="AP85" s="1" t="s">
        <x:v>30</x:v>
      </x:c>
      <x:c r="AQ85" s="1" t="s">
        <x:v>30</x:v>
      </x:c>
      <x:c r="AR85" s="1" t="s">
        <x:v>30</x:v>
      </x:c>
      <x:c r="AS85" s="1" t="s">
        <x:v>30</x:v>
      </x:c>
      <x:c r="AT85" s="1" t="s">
        <x:v>30</x:v>
      </x:c>
      <x:c r="AU85" s="1" t="s">
        <x:v>30</x:v>
      </x:c>
      <x:c r="AV85" s="1" t="s">
        <x:v>30</x:v>
      </x:c>
      <x:c r="AW85" s="1" t="s">
        <x:v>6766</x:v>
      </x:c>
      <x:c r="AX85" s="1" t="s">
        <x:v>6766</x:v>
      </x:c>
      <x:c r="AY85" s="1" t="s">
        <x:v>6768</x:v>
      </x:c>
      <x:c r="AZ85" s="1" t="s">
        <x:v>6766</x:v>
      </x:c>
      <x:c r="BA85" s="1" t="s">
        <x:v>6768</x:v>
      </x:c>
      <x:c r="BB85" s="1" t="s">
        <x:v>30</x:v>
      </x:c>
      <x:c r="BC85" s="1" t="s">
        <x:v>30</x:v>
      </x:c>
      <x:c r="BD85" s="1" t="s">
        <x:v>30</x:v>
      </x:c>
      <x:c r="BE85" s="1" t="s">
        <x:v>30</x:v>
      </x:c>
      <x:c r="BF85" s="1" t="s">
        <x:v>30</x:v>
      </x:c>
    </x:row>
    <x:row r="86" ht="15" hidden="0" customHeight="1">
      <x:c r="A86" s="1" t="s">
        <x:v>4068</x:v>
      </x:c>
      <x:c r="B86" s="1" t="s">
        <x:v>5608</x:v>
      </x:c>
      <x:c r="C86" s="1" t="s">
        <x:v>5693</x:v>
      </x:c>
      <x:c r="D86" s="1" t="n">
        <x:v>29</x:v>
      </x:c>
      <x:c r="E86" s="1" t="n">
        <x:v>1</x:v>
      </x:c>
      <x:c r="F86" s="1" t="n">
        <x:v>0</x:v>
      </x:c>
      <x:c r="G86" s="1" t="n">
        <x:v>0</x:v>
      </x:c>
      <x:c r="H86" s="1" t="n">
        <x:v>0</x:v>
      </x:c>
      <x:c r="I86" s="1" t="n">
        <x:v>0</x:v>
      </x:c>
      <x:c r="J86" s="1" t="s">
        <x:v>6766</x:v>
      </x:c>
      <x:c r="K86" s="1" t="s">
        <x:v>6769</x:v>
      </x:c>
      <x:c r="L86" s="1" t="s">
        <x:v>6766</x:v>
      </x:c>
      <x:c r="M86" s="1" t="s">
        <x:v>6766</x:v>
      </x:c>
      <x:c r="N86" s="1" t="s">
        <x:v>6770</x:v>
      </x:c>
      <x:c r="O86" s="1" t="s">
        <x:v>6766</x:v>
      </x:c>
      <x:c r="P86" s="1" t="s">
        <x:v>30</x:v>
      </x:c>
      <x:c r="Q86" s="1" t="s">
        <x:v>30</x:v>
      </x:c>
      <x:c r="R86" s="1" t="s">
        <x:v>30</x:v>
      </x:c>
      <x:c r="S86" s="1" t="s">
        <x:v>6768</x:v>
      </x:c>
      <x:c r="T86" s="1" t="s">
        <x:v>6769</x:v>
      </x:c>
      <x:c r="U86" s="1" t="s">
        <x:v>30</x:v>
      </x:c>
      <x:c r="V86" s="1" t="s">
        <x:v>6769</x:v>
      </x:c>
      <x:c r="W86" s="1" t="s">
        <x:v>30</x:v>
      </x:c>
      <x:c r="X86" s="1" t="s">
        <x:v>30</x:v>
      </x:c>
      <x:c r="Y86" s="1" t="s">
        <x:v>6766</x:v>
      </x:c>
      <x:c r="Z86" s="1" t="s">
        <x:v>6766</x:v>
      </x:c>
      <x:c r="AA86" s="1" t="s">
        <x:v>6766</x:v>
      </x:c>
      <x:c r="AB86" s="1" t="s">
        <x:v>6766</x:v>
      </x:c>
      <x:c r="AC86" s="1" t="s">
        <x:v>6766</x:v>
      </x:c>
      <x:c r="AD86" s="1" t="s">
        <x:v>6766</x:v>
      </x:c>
      <x:c r="AE86" s="1" t="s">
        <x:v>30</x:v>
      </x:c>
      <x:c r="AF86" s="1" t="s">
        <x:v>30</x:v>
      </x:c>
      <x:c r="AG86" s="1" t="s">
        <x:v>30</x:v>
      </x:c>
      <x:c r="AH86" s="1" t="s">
        <x:v>6766</x:v>
      </x:c>
      <x:c r="AI86" s="1" t="s">
        <x:v>30</x:v>
      </x:c>
      <x:c r="AJ86" s="1" t="s">
        <x:v>30</x:v>
      </x:c>
      <x:c r="AK86" s="1" t="s">
        <x:v>30</x:v>
      </x:c>
      <x:c r="AL86" s="1" t="s">
        <x:v>30</x:v>
      </x:c>
      <x:c r="AM86" s="1" t="s">
        <x:v>30</x:v>
      </x:c>
      <x:c r="AN86" s="1" t="s">
        <x:v>30</x:v>
      </x:c>
      <x:c r="AO86" s="1" t="s">
        <x:v>30</x:v>
      </x:c>
      <x:c r="AP86" s="1" t="s">
        <x:v>30</x:v>
      </x:c>
      <x:c r="AQ86" s="1" t="s">
        <x:v>6707</x:v>
      </x:c>
      <x:c r="AR86" s="1" t="s">
        <x:v>6707</x:v>
      </x:c>
      <x:c r="AS86" s="1" t="s">
        <x:v>6707</x:v>
      </x:c>
      <x:c r="AT86" s="1" t="s">
        <x:v>6707</x:v>
      </x:c>
      <x:c r="AU86" s="1" t="s">
        <x:v>6707</x:v>
      </x:c>
      <x:c r="AV86" s="1" t="s">
        <x:v>30</x:v>
      </x:c>
      <x:c r="AW86" s="1" t="s">
        <x:v>30</x:v>
      </x:c>
      <x:c r="AX86" s="1" t="s">
        <x:v>30</x:v>
      </x:c>
      <x:c r="AY86" s="1" t="s">
        <x:v>30</x:v>
      </x:c>
      <x:c r="AZ86" s="1" t="s">
        <x:v>6766</x:v>
      </x:c>
      <x:c r="BA86" s="1" t="s">
        <x:v>6766</x:v>
      </x:c>
      <x:c r="BB86" s="1" t="s">
        <x:v>30</x:v>
      </x:c>
      <x:c r="BC86" s="1" t="s">
        <x:v>6768</x:v>
      </x:c>
      <x:c r="BD86" s="1" t="s">
        <x:v>30</x:v>
      </x:c>
      <x:c r="BE86" s="1" t="s">
        <x:v>30</x:v>
      </x:c>
      <x:c r="BF86" s="1" t="s">
        <x:v>30</x:v>
      </x:c>
    </x:row>
    <x:row r="87" ht="15" hidden="0" customHeight="1">
      <x:c r="A87" s="1" t="s">
        <x:v>3600</x:v>
      </x:c>
      <x:c r="B87" s="1" t="s">
        <x:v>5608</x:v>
      </x:c>
      <x:c r="C87" s="1" t="s">
        <x:v>5693</x:v>
      </x:c>
      <x:c r="D87" s="1" t="n">
        <x:v>17</x:v>
      </x:c>
      <x:c r="E87" s="1" t="n">
        <x:v>1</x:v>
      </x:c>
      <x:c r="F87" s="1" t="n">
        <x:v>0</x:v>
      </x:c>
      <x:c r="G87" s="1" t="n">
        <x:v>0</x:v>
      </x:c>
      <x:c r="H87" s="1" t="n">
        <x:v>0</x:v>
      </x:c>
      <x:c r="I87" s="1" t="n">
        <x:v>0</x:v>
      </x:c>
      <x:c r="J87" s="1" t="s">
        <x:v>30</x:v>
      </x:c>
      <x:c r="K87" s="1" t="s">
        <x:v>6771</x:v>
      </x:c>
      <x:c r="L87" s="1" t="s">
        <x:v>30</x:v>
      </x:c>
      <x:c r="M87" s="1" t="s">
        <x:v>30</x:v>
      </x:c>
      <x:c r="N87" s="1" t="s">
        <x:v>30</x:v>
      </x:c>
      <x:c r="O87" s="1" t="s">
        <x:v>6768</x:v>
      </x:c>
      <x:c r="P87" s="1" t="s">
        <x:v>30</x:v>
      </x:c>
      <x:c r="Q87" s="1" t="s">
        <x:v>30</x:v>
      </x:c>
      <x:c r="R87" s="1" t="s">
        <x:v>30</x:v>
      </x:c>
      <x:c r="S87" s="1" t="s">
        <x:v>6766</x:v>
      </x:c>
      <x:c r="T87" s="1" t="s">
        <x:v>6766</x:v>
      </x:c>
      <x:c r="U87" s="1" t="s">
        <x:v>30</x:v>
      </x:c>
      <x:c r="V87" s="1" t="s">
        <x:v>6766</x:v>
      </x:c>
      <x:c r="W87" s="1" t="s">
        <x:v>30</x:v>
      </x:c>
      <x:c r="X87" s="1" t="s">
        <x:v>30</x:v>
      </x:c>
      <x:c r="Y87" s="1" t="s">
        <x:v>30</x:v>
      </x:c>
      <x:c r="Z87" s="1" t="s">
        <x:v>30</x:v>
      </x:c>
      <x:c r="AA87" s="1" t="s">
        <x:v>30</x:v>
      </x:c>
      <x:c r="AB87" s="1" t="s">
        <x:v>6766</x:v>
      </x:c>
      <x:c r="AC87" s="1" t="s">
        <x:v>6766</x:v>
      </x:c>
      <x:c r="AD87" s="1" t="s">
        <x:v>30</x:v>
      </x:c>
      <x:c r="AE87" s="1" t="s">
        <x:v>30</x:v>
      </x:c>
      <x:c r="AF87" s="1" t="s">
        <x:v>30</x:v>
      </x:c>
      <x:c r="AG87" s="1" t="s">
        <x:v>30</x:v>
      </x:c>
      <x:c r="AH87" s="1" t="s">
        <x:v>6766</x:v>
      </x:c>
      <x:c r="AI87" s="1" t="s">
        <x:v>30</x:v>
      </x:c>
      <x:c r="AJ87" s="1" t="s">
        <x:v>30</x:v>
      </x:c>
      <x:c r="AK87" s="1" t="s">
        <x:v>30</x:v>
      </x:c>
      <x:c r="AL87" s="1" t="s">
        <x:v>6768</x:v>
      </x:c>
      <x:c r="AM87" s="1" t="s">
        <x:v>30</x:v>
      </x:c>
      <x:c r="AN87" s="1" t="s">
        <x:v>30</x:v>
      </x:c>
      <x:c r="AO87" s="1" t="s">
        <x:v>30</x:v>
      </x:c>
      <x:c r="AP87" s="1" t="s">
        <x:v>30</x:v>
      </x:c>
      <x:c r="AQ87" s="1" t="s">
        <x:v>6707</x:v>
      </x:c>
      <x:c r="AR87" s="1" t="s">
        <x:v>6707</x:v>
      </x:c>
      <x:c r="AS87" s="1" t="s">
        <x:v>6707</x:v>
      </x:c>
      <x:c r="AT87" s="1" t="s">
        <x:v>6707</x:v>
      </x:c>
      <x:c r="AU87" s="1" t="s">
        <x:v>6707</x:v>
      </x:c>
      <x:c r="AV87" s="1" t="s">
        <x:v>30</x:v>
      </x:c>
      <x:c r="AW87" s="1" t="s">
        <x:v>30</x:v>
      </x:c>
      <x:c r="AX87" s="1" t="s">
        <x:v>6766</x:v>
      </x:c>
      <x:c r="AY87" s="1" t="s">
        <x:v>6766</x:v>
      </x:c>
      <x:c r="AZ87" s="1" t="s">
        <x:v>6766</x:v>
      </x:c>
      <x:c r="BA87" s="1" t="s">
        <x:v>30</x:v>
      </x:c>
      <x:c r="BB87" s="1" t="s">
        <x:v>30</x:v>
      </x:c>
      <x:c r="BC87" s="1" t="s">
        <x:v>30</x:v>
      </x:c>
      <x:c r="BD87" s="1" t="s">
        <x:v>30</x:v>
      </x:c>
      <x:c r="BE87" s="1" t="s">
        <x:v>30</x:v>
      </x:c>
      <x:c r="BF87" s="1" t="s">
        <x:v>30</x:v>
      </x:c>
    </x:row>
    <x:row r="88" ht="15" hidden="0" customHeight="1">
      <x:c r="A88" s="1" t="s">
        <x:v>2461</x:v>
      </x:c>
      <x:c r="B88" s="1" t="s">
        <x:v>5599</x:v>
      </x:c>
      <x:c r="C88" s="1" t="s">
        <x:v>5916</x:v>
      </x:c>
      <x:c r="D88" s="1" t="n">
        <x:v>7</x:v>
      </x:c>
      <x:c r="E88" s="1" t="n">
        <x:v>1</x:v>
      </x:c>
      <x:c r="F88" s="1" t="n">
        <x:v>0</x:v>
      </x:c>
      <x:c r="G88" s="1" t="n">
        <x:v>0</x:v>
      </x:c>
      <x:c r="H88" s="1" t="n">
        <x:v>0</x:v>
      </x:c>
      <x:c r="I88" s="1" t="n">
        <x:v>0</x:v>
      </x:c>
      <x:c r="J88" s="1" t="s">
        <x:v>30</x:v>
      </x:c>
      <x:c r="K88" s="1" t="s">
        <x:v>6766</x:v>
      </x:c>
      <x:c r="L88" s="1" t="s">
        <x:v>30</x:v>
      </x:c>
      <x:c r="M88" s="1" t="s">
        <x:v>30</x:v>
      </x:c>
      <x:c r="N88" s="1" t="s">
        <x:v>6769</x:v>
      </x:c>
      <x:c r="O88" s="1" t="s">
        <x:v>30</x:v>
      </x:c>
      <x:c r="P88" s="1" t="s">
        <x:v>30</x:v>
      </x:c>
      <x:c r="Q88" s="1" t="s">
        <x:v>30</x:v>
      </x:c>
      <x:c r="R88" s="1" t="s">
        <x:v>30</x:v>
      </x:c>
      <x:c r="S88" s="1" t="s">
        <x:v>30</x:v>
      </x:c>
      <x:c r="T88" s="1" t="s">
        <x:v>30</x:v>
      </x:c>
      <x:c r="U88" s="1" t="s">
        <x:v>30</x:v>
      </x:c>
      <x:c r="V88" s="1" t="s">
        <x:v>30</x:v>
      </x:c>
      <x:c r="W88" s="1" t="s">
        <x:v>6766</x:v>
      </x:c>
      <x:c r="X88" s="1" t="s">
        <x:v>30</x:v>
      </x:c>
      <x:c r="Y88" s="1" t="s">
        <x:v>30</x:v>
      </x:c>
      <x:c r="Z88" s="1" t="s">
        <x:v>30</x:v>
      </x:c>
      <x:c r="AA88" s="1" t="s">
        <x:v>30</x:v>
      </x:c>
      <x:c r="AB88" s="1" t="s">
        <x:v>30</x:v>
      </x:c>
      <x:c r="AC88" s="1" t="s">
        <x:v>30</x:v>
      </x:c>
      <x:c r="AD88" s="1" t="s">
        <x:v>30</x:v>
      </x:c>
      <x:c r="AE88" s="1" t="s">
        <x:v>30</x:v>
      </x:c>
      <x:c r="AF88" s="1" t="s">
        <x:v>30</x:v>
      </x:c>
      <x:c r="AG88" s="1" t="s">
        <x:v>30</x:v>
      </x:c>
      <x:c r="AH88" s="1" t="s">
        <x:v>30</x:v>
      </x:c>
      <x:c r="AI88" s="1" t="s">
        <x:v>30</x:v>
      </x:c>
      <x:c r="AJ88" s="1" t="s">
        <x:v>30</x:v>
      </x:c>
      <x:c r="AK88" s="1" t="s">
        <x:v>30</x:v>
      </x:c>
      <x:c r="AL88" s="1" t="s">
        <x:v>30</x:v>
      </x:c>
      <x:c r="AM88" s="1" t="s">
        <x:v>30</x:v>
      </x:c>
      <x:c r="AN88" s="1" t="s">
        <x:v>30</x:v>
      </x:c>
      <x:c r="AO88" s="1" t="s">
        <x:v>30</x:v>
      </x:c>
      <x:c r="AP88" s="1" t="s">
        <x:v>30</x:v>
      </x:c>
      <x:c r="AQ88" s="1" t="s">
        <x:v>6707</x:v>
      </x:c>
      <x:c r="AR88" s="1" t="s">
        <x:v>6707</x:v>
      </x:c>
      <x:c r="AS88" s="1" t="s">
        <x:v>6707</x:v>
      </x:c>
      <x:c r="AT88" s="1" t="s">
        <x:v>6707</x:v>
      </x:c>
      <x:c r="AU88" s="1" t="s">
        <x:v>6707</x:v>
      </x:c>
      <x:c r="AV88" s="1" t="s">
        <x:v>30</x:v>
      </x:c>
      <x:c r="AW88" s="1" t="s">
        <x:v>30</x:v>
      </x:c>
      <x:c r="AX88" s="1" t="s">
        <x:v>30</x:v>
      </x:c>
      <x:c r="AY88" s="1" t="s">
        <x:v>30</x:v>
      </x:c>
      <x:c r="AZ88" s="1" t="s">
        <x:v>6766</x:v>
      </x:c>
      <x:c r="BA88" s="1" t="s">
        <x:v>30</x:v>
      </x:c>
      <x:c r="BB88" s="1" t="s">
        <x:v>6766</x:v>
      </x:c>
      <x:c r="BC88" s="1" t="s">
        <x:v>30</x:v>
      </x:c>
      <x:c r="BD88" s="1" t="s">
        <x:v>6766</x:v>
      </x:c>
      <x:c r="BE88" s="1" t="s">
        <x:v>30</x:v>
      </x:c>
      <x:c r="BF88" s="1" t="s">
        <x:v>30</x:v>
      </x:c>
    </x:row>
    <x:row r="89" ht="15" hidden="0" customHeight="1">
      <x:c r="A89" s="1" t="s">
        <x:v>2492</x:v>
      </x:c>
      <x:c r="B89" s="1" t="s">
        <x:v>5599</x:v>
      </x:c>
      <x:c r="C89" s="1" t="s">
        <x:v>5916</x:v>
      </x:c>
      <x:c r="D89" s="1" t="n">
        <x:v>7</x:v>
      </x:c>
      <x:c r="E89" s="1" t="n">
        <x:v>1</x:v>
      </x:c>
      <x:c r="F89" s="1" t="n">
        <x:v>0</x:v>
      </x:c>
      <x:c r="G89" s="1" t="n">
        <x:v>0</x:v>
      </x:c>
      <x:c r="H89" s="1" t="n">
        <x:v>0</x:v>
      </x:c>
      <x:c r="I89" s="1" t="n">
        <x:v>0</x:v>
      </x:c>
      <x:c r="J89" s="1" t="s">
        <x:v>30</x:v>
      </x:c>
      <x:c r="K89" s="1" t="s">
        <x:v>6771</x:v>
      </x:c>
      <x:c r="L89" s="1" t="s">
        <x:v>30</x:v>
      </x:c>
      <x:c r="M89" s="1" t="s">
        <x:v>30</x:v>
      </x:c>
      <x:c r="N89" s="1" t="s">
        <x:v>30</x:v>
      </x:c>
      <x:c r="O89" s="1" t="s">
        <x:v>30</x:v>
      </x:c>
      <x:c r="P89" s="1" t="s">
        <x:v>30</x:v>
      </x:c>
      <x:c r="Q89" s="1" t="s">
        <x:v>30</x:v>
      </x:c>
      <x:c r="R89" s="1" t="s">
        <x:v>30</x:v>
      </x:c>
      <x:c r="S89" s="1" t="s">
        <x:v>30</x:v>
      </x:c>
      <x:c r="T89" s="1" t="s">
        <x:v>30</x:v>
      </x:c>
      <x:c r="U89" s="1" t="s">
        <x:v>30</x:v>
      </x:c>
      <x:c r="V89" s="1" t="s">
        <x:v>30</x:v>
      </x:c>
      <x:c r="W89" s="1" t="s">
        <x:v>30</x:v>
      </x:c>
      <x:c r="X89" s="1" t="s">
        <x:v>30</x:v>
      </x:c>
      <x:c r="Y89" s="1" t="s">
        <x:v>30</x:v>
      </x:c>
      <x:c r="Z89" s="1" t="s">
        <x:v>30</x:v>
      </x:c>
      <x:c r="AA89" s="1" t="s">
        <x:v>30</x:v>
      </x:c>
      <x:c r="AB89" s="1" t="s">
        <x:v>30</x:v>
      </x:c>
      <x:c r="AC89" s="1" t="s">
        <x:v>30</x:v>
      </x:c>
      <x:c r="AD89" s="1" t="s">
        <x:v>30</x:v>
      </x:c>
      <x:c r="AE89" s="1" t="s">
        <x:v>30</x:v>
      </x:c>
      <x:c r="AF89" s="1" t="s">
        <x:v>30</x:v>
      </x:c>
      <x:c r="AG89" s="1" t="s">
        <x:v>30</x:v>
      </x:c>
      <x:c r="AH89" s="1" t="s">
        <x:v>30</x:v>
      </x:c>
      <x:c r="AI89" s="1" t="s">
        <x:v>30</x:v>
      </x:c>
      <x:c r="AJ89" s="1" t="s">
        <x:v>30</x:v>
      </x:c>
      <x:c r="AK89" s="1" t="s">
        <x:v>30</x:v>
      </x:c>
      <x:c r="AL89" s="1" t="s">
        <x:v>30</x:v>
      </x:c>
      <x:c r="AM89" s="1" t="s">
        <x:v>30</x:v>
      </x:c>
      <x:c r="AN89" s="1" t="s">
        <x:v>30</x:v>
      </x:c>
      <x:c r="AO89" s="1" t="s">
        <x:v>30</x:v>
      </x:c>
      <x:c r="AP89" s="1" t="s">
        <x:v>30</x:v>
      </x:c>
      <x:c r="AQ89" s="1" t="s">
        <x:v>30</x:v>
      </x:c>
      <x:c r="AR89" s="1" t="s">
        <x:v>30</x:v>
      </x:c>
      <x:c r="AS89" s="1" t="s">
        <x:v>30</x:v>
      </x:c>
      <x:c r="AT89" s="1" t="s">
        <x:v>30</x:v>
      </x:c>
      <x:c r="AU89" s="1" t="s">
        <x:v>30</x:v>
      </x:c>
      <x:c r="AV89" s="1" t="s">
        <x:v>30</x:v>
      </x:c>
      <x:c r="AW89" s="1" t="s">
        <x:v>30</x:v>
      </x:c>
      <x:c r="AX89" s="1" t="s">
        <x:v>30</x:v>
      </x:c>
      <x:c r="AY89" s="1" t="s">
        <x:v>30</x:v>
      </x:c>
      <x:c r="AZ89" s="1" t="s">
        <x:v>6766</x:v>
      </x:c>
      <x:c r="BA89" s="1" t="s">
        <x:v>30</x:v>
      </x:c>
      <x:c r="BB89" s="1" t="s">
        <x:v>6766</x:v>
      </x:c>
      <x:c r="BC89" s="1" t="s">
        <x:v>30</x:v>
      </x:c>
      <x:c r="BD89" s="1" t="s">
        <x:v>6766</x:v>
      </x:c>
      <x:c r="BE89" s="1" t="s">
        <x:v>30</x:v>
      </x:c>
      <x:c r="BF89" s="1" t="s">
        <x:v>30</x:v>
      </x:c>
    </x:row>
    <x:row r="90" ht="15" hidden="0" customHeight="1">
      <x:c r="A90" s="1" t="s">
        <x:v>2517</x:v>
      </x:c>
      <x:c r="B90" s="1" t="s">
        <x:v>5599</x:v>
      </x:c>
      <x:c r="C90" s="1" t="s">
        <x:v>5916</x:v>
      </x:c>
      <x:c r="D90" s="1" t="n">
        <x:v>10</x:v>
      </x:c>
      <x:c r="E90" s="1" t="n">
        <x:v>1</x:v>
      </x:c>
      <x:c r="F90" s="1" t="n">
        <x:v>0</x:v>
      </x:c>
      <x:c r="G90" s="1" t="n">
        <x:v>3</x:v>
      </x:c>
      <x:c r="H90" s="1" t="n">
        <x:v>0</x:v>
      </x:c>
      <x:c r="I90" s="1" t="n">
        <x:v>0</x:v>
      </x:c>
      <x:c r="J90" s="1" t="s">
        <x:v>30</x:v>
      </x:c>
      <x:c r="K90" s="1" t="s">
        <x:v>6770</x:v>
      </x:c>
      <x:c r="L90" s="1" t="s">
        <x:v>30</x:v>
      </x:c>
      <x:c r="M90" s="1" t="s">
        <x:v>30</x:v>
      </x:c>
      <x:c r="N90" s="1" t="s">
        <x:v>6774</x:v>
      </x:c>
      <x:c r="O90" s="1" t="s">
        <x:v>6768</x:v>
      </x:c>
      <x:c r="P90" s="1" t="s">
        <x:v>30</x:v>
      </x:c>
      <x:c r="Q90" s="1" t="s">
        <x:v>30</x:v>
      </x:c>
      <x:c r="R90" s="1" t="s">
        <x:v>30</x:v>
      </x:c>
      <x:c r="S90" s="1" t="s">
        <x:v>30</x:v>
      </x:c>
      <x:c r="T90" s="1" t="s">
        <x:v>30</x:v>
      </x:c>
      <x:c r="U90" s="1" t="s">
        <x:v>30</x:v>
      </x:c>
      <x:c r="V90" s="1" t="s">
        <x:v>30</x:v>
      </x:c>
      <x:c r="W90" s="1" t="s">
        <x:v>30</x:v>
      </x:c>
      <x:c r="X90" s="1" t="s">
        <x:v>30</x:v>
      </x:c>
      <x:c r="Y90" s="1" t="s">
        <x:v>30</x:v>
      </x:c>
      <x:c r="Z90" s="1" t="s">
        <x:v>30</x:v>
      </x:c>
      <x:c r="AA90" s="1" t="s">
        <x:v>30</x:v>
      </x:c>
      <x:c r="AB90" s="1" t="s">
        <x:v>30</x:v>
      </x:c>
      <x:c r="AC90" s="1" t="s">
        <x:v>30</x:v>
      </x:c>
      <x:c r="AD90" s="1" t="s">
        <x:v>30</x:v>
      </x:c>
      <x:c r="AE90" s="1" t="s">
        <x:v>30</x:v>
      </x:c>
      <x:c r="AF90" s="1" t="s">
        <x:v>30</x:v>
      </x:c>
      <x:c r="AG90" s="1" t="s">
        <x:v>30</x:v>
      </x:c>
      <x:c r="AH90" s="1" t="s">
        <x:v>30</x:v>
      </x:c>
      <x:c r="AI90" s="1" t="s">
        <x:v>30</x:v>
      </x:c>
      <x:c r="AJ90" s="1" t="s">
        <x:v>30</x:v>
      </x:c>
      <x:c r="AK90" s="1" t="s">
        <x:v>30</x:v>
      </x:c>
      <x:c r="AL90" s="1" t="s">
        <x:v>30</x:v>
      </x:c>
      <x:c r="AM90" s="1" t="s">
        <x:v>30</x:v>
      </x:c>
      <x:c r="AN90" s="1" t="s">
        <x:v>30</x:v>
      </x:c>
      <x:c r="AO90" s="1" t="s">
        <x:v>30</x:v>
      </x:c>
      <x:c r="AP90" s="1" t="s">
        <x:v>30</x:v>
      </x:c>
      <x:c r="AQ90" s="1" t="s">
        <x:v>6707</x:v>
      </x:c>
      <x:c r="AR90" s="1" t="s">
        <x:v>6707</x:v>
      </x:c>
      <x:c r="AS90" s="1" t="s">
        <x:v>6707</x:v>
      </x:c>
      <x:c r="AT90" s="1" t="s">
        <x:v>6707</x:v>
      </x:c>
      <x:c r="AU90" s="1" t="s">
        <x:v>6707</x:v>
      </x:c>
      <x:c r="AV90" s="1" t="s">
        <x:v>30</x:v>
      </x:c>
      <x:c r="AW90" s="1" t="s">
        <x:v>30</x:v>
      </x:c>
      <x:c r="AX90" s="1" t="s">
        <x:v>30</x:v>
      </x:c>
      <x:c r="AY90" s="1" t="s">
        <x:v>30</x:v>
      </x:c>
      <x:c r="AZ90" s="1" t="s">
        <x:v>6766</x:v>
      </x:c>
      <x:c r="BA90" s="1" t="s">
        <x:v>30</x:v>
      </x:c>
      <x:c r="BB90" s="1" t="s">
        <x:v>6766</x:v>
      </x:c>
      <x:c r="BC90" s="1" t="s">
        <x:v>30</x:v>
      </x:c>
      <x:c r="BD90" s="1" t="s">
        <x:v>30</x:v>
      </x:c>
      <x:c r="BE90" s="1" t="s">
        <x:v>30</x:v>
      </x:c>
      <x:c r="BF90" s="1" t="s">
        <x:v>30</x:v>
      </x:c>
    </x:row>
    <x:row r="91" ht="15" hidden="0" customHeight="1">
      <x:c r="A91" s="1" t="s">
        <x:v>812</x:v>
      </x:c>
      <x:c r="B91" s="1" t="s">
        <x:v>5614</x:v>
      </x:c>
      <x:c r="C91" s="1" t="s">
        <x:v>5693</x:v>
      </x:c>
      <x:c r="D91" s="1" t="n">
        <x:v>10</x:v>
      </x:c>
      <x:c r="E91" s="1" t="n">
        <x:v>0</x:v>
      </x:c>
      <x:c r="F91" s="1" t="n">
        <x:v>0</x:v>
      </x:c>
      <x:c r="G91" s="1" t="n">
        <x:v>0</x:v>
      </x:c>
      <x:c r="H91" s="1" t="n">
        <x:v>0</x:v>
      </x:c>
      <x:c r="I91" s="1" t="n">
        <x:v>0</x:v>
      </x:c>
      <x:c r="J91" s="1" t="s">
        <x:v>6766</x:v>
      </x:c>
      <x:c r="K91" s="1" t="s">
        <x:v>30</x:v>
      </x:c>
      <x:c r="L91" s="1" t="s">
        <x:v>30</x:v>
      </x:c>
      <x:c r="M91" s="1" t="s">
        <x:v>30</x:v>
      </x:c>
      <x:c r="N91" s="1" t="s">
        <x:v>30</x:v>
      </x:c>
      <x:c r="O91" s="1" t="s">
        <x:v>6766</x:v>
      </x:c>
      <x:c r="P91" s="1" t="s">
        <x:v>30</x:v>
      </x:c>
      <x:c r="Q91" s="1" t="s">
        <x:v>30</x:v>
      </x:c>
      <x:c r="R91" s="1" t="s">
        <x:v>30</x:v>
      </x:c>
      <x:c r="S91" s="1" t="s">
        <x:v>30</x:v>
      </x:c>
      <x:c r="T91" s="1" t="s">
        <x:v>30</x:v>
      </x:c>
      <x:c r="U91" s="1" t="s">
        <x:v>30</x:v>
      </x:c>
      <x:c r="V91" s="1" t="s">
        <x:v>30</x:v>
      </x:c>
      <x:c r="W91" s="1" t="s">
        <x:v>30</x:v>
      </x:c>
      <x:c r="X91" s="1" t="s">
        <x:v>30</x:v>
      </x:c>
      <x:c r="Y91" s="1" t="s">
        <x:v>6766</x:v>
      </x:c>
      <x:c r="Z91" s="1" t="s">
        <x:v>6768</x:v>
      </x:c>
      <x:c r="AA91" s="1" t="s">
        <x:v>30</x:v>
      </x:c>
      <x:c r="AB91" s="1" t="s">
        <x:v>6766</x:v>
      </x:c>
      <x:c r="AC91" s="1" t="s">
        <x:v>6766</x:v>
      </x:c>
      <x:c r="AD91" s="1" t="s">
        <x:v>30</x:v>
      </x:c>
      <x:c r="AE91" s="1" t="s">
        <x:v>30</x:v>
      </x:c>
      <x:c r="AF91" s="1" t="s">
        <x:v>30</x:v>
      </x:c>
      <x:c r="AG91" s="1" t="s">
        <x:v>6766</x:v>
      </x:c>
      <x:c r="AH91" s="1" t="s">
        <x:v>6766</x:v>
      </x:c>
      <x:c r="AI91" s="1" t="s">
        <x:v>30</x:v>
      </x:c>
      <x:c r="AJ91" s="1" t="s">
        <x:v>30</x:v>
      </x:c>
      <x:c r="AK91" s="1" t="s">
        <x:v>30</x:v>
      </x:c>
      <x:c r="AL91" s="1" t="s">
        <x:v>6766</x:v>
      </x:c>
      <x:c r="AM91" s="1" t="s">
        <x:v>30</x:v>
      </x:c>
      <x:c r="AN91" s="1" t="s">
        <x:v>30</x:v>
      </x:c>
      <x:c r="AO91" s="1" t="s">
        <x:v>30</x:v>
      </x:c>
      <x:c r="AP91" s="1" t="s">
        <x:v>30</x:v>
      </x:c>
      <x:c r="AQ91" s="1" t="s">
        <x:v>6707</x:v>
      </x:c>
      <x:c r="AR91" s="1" t="s">
        <x:v>6707</x:v>
      </x:c>
      <x:c r="AS91" s="1" t="s">
        <x:v>6707</x:v>
      </x:c>
      <x:c r="AT91" s="1" t="s">
        <x:v>6707</x:v>
      </x:c>
      <x:c r="AU91" s="1" t="s">
        <x:v>6707</x:v>
      </x:c>
      <x:c r="AV91" s="1" t="s">
        <x:v>30</x:v>
      </x:c>
      <x:c r="AW91" s="1" t="s">
        <x:v>30</x:v>
      </x:c>
      <x:c r="AX91" s="1" t="s">
        <x:v>30</x:v>
      </x:c>
      <x:c r="AY91" s="1" t="s">
        <x:v>30</x:v>
      </x:c>
      <x:c r="AZ91" s="1" t="s">
        <x:v>30</x:v>
      </x:c>
      <x:c r="BA91" s="1" t="s">
        <x:v>30</x:v>
      </x:c>
      <x:c r="BB91" s="1" t="s">
        <x:v>30</x:v>
      </x:c>
      <x:c r="BC91" s="1" t="s">
        <x:v>30</x:v>
      </x:c>
      <x:c r="BD91" s="1" t="s">
        <x:v>30</x:v>
      </x:c>
      <x:c r="BE91" s="1" t="s">
        <x:v>30</x:v>
      </x:c>
      <x:c r="BF91" s="1" t="s">
        <x:v>30</x:v>
      </x:c>
    </x:row>
    <x:row r="92" ht="15" hidden="0" customHeight="1">
      <x:c r="A92" s="1" t="s">
        <x:v>2390</x:v>
      </x:c>
      <x:c r="B92" s="1" t="s">
        <x:v>5614</x:v>
      </x:c>
      <x:c r="C92" s="1" t="s">
        <x:v>5693</x:v>
      </x:c>
      <x:c r="D92" s="1" t="n">
        <x:v>12</x:v>
      </x:c>
      <x:c r="E92" s="1" t="n">
        <x:v>1</x:v>
      </x:c>
      <x:c r="F92" s="1" t="n">
        <x:v>0</x:v>
      </x:c>
      <x:c r="G92" s="1" t="n">
        <x:v>1</x:v>
      </x:c>
      <x:c r="H92" s="1" t="n">
        <x:v>0</x:v>
      </x:c>
      <x:c r="I92" s="1" t="n">
        <x:v>0</x:v>
      </x:c>
      <x:c r="J92" s="1" t="s">
        <x:v>30</x:v>
      </x:c>
      <x:c r="K92" s="1" t="s">
        <x:v>30</x:v>
      </x:c>
      <x:c r="L92" s="1" t="s">
        <x:v>30</x:v>
      </x:c>
      <x:c r="M92" s="1" t="s">
        <x:v>30</x:v>
      </x:c>
      <x:c r="N92" s="1" t="s">
        <x:v>6768</x:v>
      </x:c>
      <x:c r="O92" s="1" t="s">
        <x:v>6768</x:v>
      </x:c>
      <x:c r="P92" s="1" t="s">
        <x:v>30</x:v>
      </x:c>
      <x:c r="Q92" s="1" t="s">
        <x:v>30</x:v>
      </x:c>
      <x:c r="R92" s="1" t="s">
        <x:v>30</x:v>
      </x:c>
      <x:c r="S92" s="1" t="s">
        <x:v>30</x:v>
      </x:c>
      <x:c r="T92" s="1" t="s">
        <x:v>30</x:v>
      </x:c>
      <x:c r="U92" s="1" t="s">
        <x:v>30</x:v>
      </x:c>
      <x:c r="V92" s="1" t="s">
        <x:v>6766</x:v>
      </x:c>
      <x:c r="W92" s="1" t="s">
        <x:v>30</x:v>
      </x:c>
      <x:c r="X92" s="1" t="s">
        <x:v>30</x:v>
      </x:c>
      <x:c r="Y92" s="1" t="s">
        <x:v>6766</x:v>
      </x:c>
      <x:c r="Z92" s="1" t="s">
        <x:v>6766</x:v>
      </x:c>
      <x:c r="AA92" s="1" t="s">
        <x:v>30</x:v>
      </x:c>
      <x:c r="AB92" s="1" t="s">
        <x:v>6766</x:v>
      </x:c>
      <x:c r="AC92" s="1" t="s">
        <x:v>30</x:v>
      </x:c>
      <x:c r="AD92" s="1" t="s">
        <x:v>30</x:v>
      </x:c>
      <x:c r="AE92" s="1" t="s">
        <x:v>30</x:v>
      </x:c>
      <x:c r="AF92" s="1" t="s">
        <x:v>30</x:v>
      </x:c>
      <x:c r="AG92" s="1" t="s">
        <x:v>30</x:v>
      </x:c>
      <x:c r="AH92" s="1" t="s">
        <x:v>30</x:v>
      </x:c>
      <x:c r="AI92" s="1" t="s">
        <x:v>30</x:v>
      </x:c>
      <x:c r="AJ92" s="1" t="s">
        <x:v>30</x:v>
      </x:c>
      <x:c r="AK92" s="1" t="s">
        <x:v>6766</x:v>
      </x:c>
      <x:c r="AL92" s="1" t="s">
        <x:v>30</x:v>
      </x:c>
      <x:c r="AM92" s="1" t="s">
        <x:v>30</x:v>
      </x:c>
      <x:c r="AN92" s="1" t="s">
        <x:v>30</x:v>
      </x:c>
      <x:c r="AO92" s="1" t="s">
        <x:v>30</x:v>
      </x:c>
      <x:c r="AP92" s="1" t="s">
        <x:v>30</x:v>
      </x:c>
      <x:c r="AQ92" s="1" t="s">
        <x:v>6707</x:v>
      </x:c>
      <x:c r="AR92" s="1" t="s">
        <x:v>6707</x:v>
      </x:c>
      <x:c r="AS92" s="1" t="s">
        <x:v>6707</x:v>
      </x:c>
      <x:c r="AT92" s="1" t="s">
        <x:v>6707</x:v>
      </x:c>
      <x:c r="AU92" s="1" t="s">
        <x:v>6707</x:v>
      </x:c>
      <x:c r="AV92" s="1" t="s">
        <x:v>30</x:v>
      </x:c>
      <x:c r="AW92" s="1" t="s">
        <x:v>30</x:v>
      </x:c>
      <x:c r="AX92" s="1" t="s">
        <x:v>30</x:v>
      </x:c>
      <x:c r="AY92" s="1" t="s">
        <x:v>6766</x:v>
      </x:c>
      <x:c r="AZ92" s="1" t="s">
        <x:v>6766</x:v>
      </x:c>
      <x:c r="BA92" s="1" t="s">
        <x:v>6766</x:v>
      </x:c>
      <x:c r="BB92" s="1" t="s">
        <x:v>6766</x:v>
      </x:c>
      <x:c r="BC92" s="1" t="s">
        <x:v>30</x:v>
      </x:c>
      <x:c r="BD92" s="1" t="s">
        <x:v>30</x:v>
      </x:c>
      <x:c r="BE92" s="1" t="s">
        <x:v>6766</x:v>
      </x:c>
      <x:c r="BF92" s="1" t="s">
        <x:v>30</x:v>
      </x:c>
    </x:row>
    <x:row r="93" ht="15" hidden="0" customHeight="1">
      <x:c r="A93" s="1" t="s">
        <x:v>3163</x:v>
      </x:c>
      <x:c r="B93" s="1" t="s">
        <x:v>5614</x:v>
      </x:c>
      <x:c r="C93" s="1" t="s">
        <x:v>5693</x:v>
      </x:c>
      <x:c r="D93" s="1" t="n">
        <x:v>10</x:v>
      </x:c>
      <x:c r="E93" s="1" t="n">
        <x:v>0</x:v>
      </x:c>
      <x:c r="F93" s="1" t="n">
        <x:v>0</x:v>
      </x:c>
      <x:c r="G93" s="1" t="n">
        <x:v>0</x:v>
      </x:c>
      <x:c r="H93" s="1" t="n">
        <x:v>0</x:v>
      </x:c>
      <x:c r="I93" s="1" t="n">
        <x:v>0</x:v>
      </x:c>
      <x:c r="J93" s="1" t="s">
        <x:v>30</x:v>
      </x:c>
      <x:c r="K93" s="1" t="s">
        <x:v>30</x:v>
      </x:c>
      <x:c r="L93" s="1" t="s">
        <x:v>6766</x:v>
      </x:c>
      <x:c r="M93" s="1" t="s">
        <x:v>30</x:v>
      </x:c>
      <x:c r="N93" s="1" t="s">
        <x:v>6769</x:v>
      </x:c>
      <x:c r="O93" s="1" t="s">
        <x:v>6766</x:v>
      </x:c>
      <x:c r="P93" s="1" t="s">
        <x:v>30</x:v>
      </x:c>
      <x:c r="Q93" s="1" t="s">
        <x:v>30</x:v>
      </x:c>
      <x:c r="R93" s="1" t="s">
        <x:v>6766</x:v>
      </x:c>
      <x:c r="S93" s="1" t="s">
        <x:v>30</x:v>
      </x:c>
      <x:c r="T93" s="1" t="s">
        <x:v>30</x:v>
      </x:c>
      <x:c r="U93" s="1" t="s">
        <x:v>30</x:v>
      </x:c>
      <x:c r="V93" s="1" t="s">
        <x:v>30</x:v>
      </x:c>
      <x:c r="W93" s="1" t="s">
        <x:v>30</x:v>
      </x:c>
      <x:c r="X93" s="1" t="s">
        <x:v>30</x:v>
      </x:c>
      <x:c r="Y93" s="1" t="s">
        <x:v>30</x:v>
      </x:c>
      <x:c r="Z93" s="1" t="s">
        <x:v>30</x:v>
      </x:c>
      <x:c r="AA93" s="1" t="s">
        <x:v>30</x:v>
      </x:c>
      <x:c r="AB93" s="1" t="s">
        <x:v>30</x:v>
      </x:c>
      <x:c r="AC93" s="1" t="s">
        <x:v>30</x:v>
      </x:c>
      <x:c r="AD93" s="1" t="s">
        <x:v>30</x:v>
      </x:c>
      <x:c r="AE93" s="1" t="s">
        <x:v>30</x:v>
      </x:c>
      <x:c r="AF93" s="1" t="s">
        <x:v>30</x:v>
      </x:c>
      <x:c r="AG93" s="1" t="s">
        <x:v>6769</x:v>
      </x:c>
      <x:c r="AH93" s="1" t="s">
        <x:v>30</x:v>
      </x:c>
      <x:c r="AI93" s="1" t="s">
        <x:v>30</x:v>
      </x:c>
      <x:c r="AJ93" s="1" t="s">
        <x:v>30</x:v>
      </x:c>
      <x:c r="AK93" s="1" t="s">
        <x:v>30</x:v>
      </x:c>
      <x:c r="AL93" s="1" t="s">
        <x:v>30</x:v>
      </x:c>
      <x:c r="AM93" s="1" t="s">
        <x:v>30</x:v>
      </x:c>
      <x:c r="AN93" s="1" t="s">
        <x:v>30</x:v>
      </x:c>
      <x:c r="AO93" s="1" t="s">
        <x:v>30</x:v>
      </x:c>
      <x:c r="AP93" s="1" t="s">
        <x:v>30</x:v>
      </x:c>
      <x:c r="AQ93" s="1" t="s">
        <x:v>6707</x:v>
      </x:c>
      <x:c r="AR93" s="1" t="s">
        <x:v>6707</x:v>
      </x:c>
      <x:c r="AS93" s="1" t="s">
        <x:v>6707</x:v>
      </x:c>
      <x:c r="AT93" s="1" t="s">
        <x:v>6707</x:v>
      </x:c>
      <x:c r="AU93" s="1" t="s">
        <x:v>6707</x:v>
      </x:c>
      <x:c r="AV93" s="1" t="s">
        <x:v>30</x:v>
      </x:c>
      <x:c r="AW93" s="1" t="s">
        <x:v>6766</x:v>
      </x:c>
      <x:c r="AX93" s="1" t="s">
        <x:v>30</x:v>
      </x:c>
      <x:c r="AY93" s="1" t="s">
        <x:v>30</x:v>
      </x:c>
      <x:c r="AZ93" s="1" t="s">
        <x:v>30</x:v>
      </x:c>
      <x:c r="BA93" s="1" t="s">
        <x:v>30</x:v>
      </x:c>
      <x:c r="BB93" s="1" t="s">
        <x:v>30</x:v>
      </x:c>
      <x:c r="BC93" s="1" t="s">
        <x:v>30</x:v>
      </x:c>
      <x:c r="BD93" s="1" t="s">
        <x:v>30</x:v>
      </x:c>
      <x:c r="BE93" s="1" t="s">
        <x:v>30</x:v>
      </x:c>
      <x:c r="BF93" s="1" t="s">
        <x:v>30</x:v>
      </x:c>
    </x:row>
    <x:row r="94" ht="15" hidden="0" customHeight="1">
      <x:c r="A94" s="1" t="s">
        <x:v>4482</x:v>
      </x:c>
      <x:c r="B94" s="1" t="s">
        <x:v>5599</x:v>
      </x:c>
      <x:c r="C94" s="1" t="s">
        <x:v>5693</x:v>
      </x:c>
      <x:c r="D94" s="1" t="n">
        <x:v>15</x:v>
      </x:c>
      <x:c r="E94" s="1" t="n">
        <x:v>2</x:v>
      </x:c>
      <x:c r="F94" s="1" t="n">
        <x:v>0</x:v>
      </x:c>
      <x:c r="G94" s="1" t="n">
        <x:v>0</x:v>
      </x:c>
      <x:c r="H94" s="1" t="n">
        <x:v>1</x:v>
      </x:c>
      <x:c r="I94" s="1" t="n">
        <x:v>2</x:v>
      </x:c>
      <x:c r="J94" s="1" t="s">
        <x:v>6768</x:v>
      </x:c>
      <x:c r="K94" s="1" t="s">
        <x:v>6768</x:v>
      </x:c>
      <x:c r="L94" s="1" t="s">
        <x:v>30</x:v>
      </x:c>
      <x:c r="M94" s="1" t="s">
        <x:v>30</x:v>
      </x:c>
      <x:c r="N94" s="1" t="s">
        <x:v>6768</x:v>
      </x:c>
      <x:c r="O94" s="1" t="s">
        <x:v>6769</x:v>
      </x:c>
      <x:c r="P94" s="1" t="s">
        <x:v>30</x:v>
      </x:c>
      <x:c r="Q94" s="1" t="s">
        <x:v>30</x:v>
      </x:c>
      <x:c r="R94" s="1" t="s">
        <x:v>30</x:v>
      </x:c>
      <x:c r="S94" s="1" t="s">
        <x:v>30</x:v>
      </x:c>
      <x:c r="T94" s="1" t="s">
        <x:v>30</x:v>
      </x:c>
      <x:c r="U94" s="1" t="s">
        <x:v>30</x:v>
      </x:c>
      <x:c r="V94" s="1" t="s">
        <x:v>30</x:v>
      </x:c>
      <x:c r="W94" s="1" t="s">
        <x:v>30</x:v>
      </x:c>
      <x:c r="X94" s="1" t="s">
        <x:v>30</x:v>
      </x:c>
      <x:c r="Y94" s="1" t="s">
        <x:v>30</x:v>
      </x:c>
      <x:c r="Z94" s="1" t="s">
        <x:v>30</x:v>
      </x:c>
      <x:c r="AA94" s="1" t="s">
        <x:v>30</x:v>
      </x:c>
      <x:c r="AB94" s="1" t="s">
        <x:v>30</x:v>
      </x:c>
      <x:c r="AC94" s="1" t="s">
        <x:v>30</x:v>
      </x:c>
      <x:c r="AD94" s="1" t="s">
        <x:v>30</x:v>
      </x:c>
      <x:c r="AE94" s="1" t="s">
        <x:v>6766</x:v>
      </x:c>
      <x:c r="AF94" s="1" t="s">
        <x:v>30</x:v>
      </x:c>
      <x:c r="AG94" s="1" t="s">
        <x:v>30</x:v>
      </x:c>
      <x:c r="AH94" s="1" t="s">
        <x:v>30</x:v>
      </x:c>
      <x:c r="AI94" s="1" t="s">
        <x:v>30</x:v>
      </x:c>
      <x:c r="AJ94" s="1" t="s">
        <x:v>30</x:v>
      </x:c>
      <x:c r="AK94" s="1" t="s">
        <x:v>30</x:v>
      </x:c>
      <x:c r="AL94" s="1" t="s">
        <x:v>30</x:v>
      </x:c>
      <x:c r="AM94" s="1" t="s">
        <x:v>30</x:v>
      </x:c>
      <x:c r="AN94" s="1" t="s">
        <x:v>30</x:v>
      </x:c>
      <x:c r="AO94" s="1" t="s">
        <x:v>30</x:v>
      </x:c>
      <x:c r="AP94" s="1" t="s">
        <x:v>30</x:v>
      </x:c>
      <x:c r="AQ94" s="1" t="s">
        <x:v>6707</x:v>
      </x:c>
      <x:c r="AR94" s="1" t="s">
        <x:v>6707</x:v>
      </x:c>
      <x:c r="AS94" s="1" t="s">
        <x:v>6707</x:v>
      </x:c>
      <x:c r="AT94" s="1" t="s">
        <x:v>6707</x:v>
      </x:c>
      <x:c r="AU94" s="1" t="s">
        <x:v>6707</x:v>
      </x:c>
      <x:c r="AV94" s="1" t="s">
        <x:v>6766</x:v>
      </x:c>
      <x:c r="AW94" s="1" t="s">
        <x:v>30</x:v>
      </x:c>
      <x:c r="AX94" s="1" t="s">
        <x:v>30</x:v>
      </x:c>
      <x:c r="AY94" s="1" t="s">
        <x:v>6769</x:v>
      </x:c>
      <x:c r="AZ94" s="1" t="s">
        <x:v>6768</x:v>
      </x:c>
      <x:c r="BA94" s="1" t="s">
        <x:v>30</x:v>
      </x:c>
      <x:c r="BB94" s="1" t="s">
        <x:v>30</x:v>
      </x:c>
      <x:c r="BC94" s="1" t="s">
        <x:v>32</x:v>
      </x:c>
      <x:c r="BD94" s="1" t="s">
        <x:v>6766</x:v>
      </x:c>
      <x:c r="BE94" s="1" t="s">
        <x:v>30</x:v>
      </x:c>
      <x:c r="BF94" s="1" t="s">
        <x:v>30</x:v>
      </x:c>
    </x:row>
    <x:row r="95" ht="15" hidden="0" customHeight="1">
      <x:c r="A95" s="1" t="s">
        <x:v>2084</x:v>
      </x:c>
      <x:c r="B95" s="1" t="s">
        <x:v>5497</x:v>
      </x:c>
      <x:c r="C95" s="1" t="s">
        <x:v>5713</x:v>
      </x:c>
      <x:c r="D95" s="1" t="n">
        <x:v>16</x:v>
      </x:c>
      <x:c r="E95" s="1" t="n">
        <x:v>0</x:v>
      </x:c>
      <x:c r="F95" s="1" t="n">
        <x:v>0</x:v>
      </x:c>
      <x:c r="G95" s="1" t="n">
        <x:v>0</x:v>
      </x:c>
      <x:c r="H95" s="1" t="n">
        <x:v>0</x:v>
      </x:c>
      <x:c r="I95" s="1" t="n">
        <x:v>0</x:v>
      </x:c>
      <x:c r="J95" s="1" t="s">
        <x:v>30</x:v>
      </x:c>
      <x:c r="K95" s="1" t="s">
        <x:v>6768</x:v>
      </x:c>
      <x:c r="L95" s="1" t="s">
        <x:v>30</x:v>
      </x:c>
      <x:c r="M95" s="1" t="s">
        <x:v>6766</x:v>
      </x:c>
      <x:c r="N95" s="1" t="s">
        <x:v>6766</x:v>
      </x:c>
      <x:c r="O95" s="1" t="s">
        <x:v>6768</x:v>
      </x:c>
      <x:c r="P95" s="1" t="s">
        <x:v>30</x:v>
      </x:c>
      <x:c r="Q95" s="1" t="s">
        <x:v>30</x:v>
      </x:c>
      <x:c r="R95" s="1" t="s">
        <x:v>30</x:v>
      </x:c>
      <x:c r="S95" s="1" t="s">
        <x:v>30</x:v>
      </x:c>
      <x:c r="T95" s="1" t="s">
        <x:v>30</x:v>
      </x:c>
      <x:c r="U95" s="1" t="s">
        <x:v>30</x:v>
      </x:c>
      <x:c r="V95" s="1" t="s">
        <x:v>30</x:v>
      </x:c>
      <x:c r="W95" s="1" t="s">
        <x:v>30</x:v>
      </x:c>
      <x:c r="X95" s="1" t="s">
        <x:v>30</x:v>
      </x:c>
      <x:c r="Y95" s="1" t="s">
        <x:v>30</x:v>
      </x:c>
      <x:c r="Z95" s="1" t="s">
        <x:v>30</x:v>
      </x:c>
      <x:c r="AA95" s="1" t="s">
        <x:v>30</x:v>
      </x:c>
      <x:c r="AB95" s="1" t="s">
        <x:v>30</x:v>
      </x:c>
      <x:c r="AC95" s="1" t="s">
        <x:v>30</x:v>
      </x:c>
      <x:c r="AD95" s="1" t="s">
        <x:v>30</x:v>
      </x:c>
      <x:c r="AE95" s="1" t="s">
        <x:v>30</x:v>
      </x:c>
      <x:c r="AF95" s="1" t="s">
        <x:v>30</x:v>
      </x:c>
      <x:c r="AG95" s="1" t="s">
        <x:v>6769</x:v>
      </x:c>
      <x:c r="AH95" s="1" t="s">
        <x:v>30</x:v>
      </x:c>
      <x:c r="AI95" s="1" t="s">
        <x:v>6770</x:v>
      </x:c>
      <x:c r="AJ95" s="1" t="s">
        <x:v>30</x:v>
      </x:c>
      <x:c r="AK95" s="1" t="s">
        <x:v>30</x:v>
      </x:c>
      <x:c r="AL95" s="1" t="s">
        <x:v>30</x:v>
      </x:c>
      <x:c r="AM95" s="1" t="s">
        <x:v>30</x:v>
      </x:c>
      <x:c r="AN95" s="1" t="s">
        <x:v>30</x:v>
      </x:c>
      <x:c r="AO95" s="1" t="s">
        <x:v>30</x:v>
      </x:c>
      <x:c r="AP95" s="1" t="s">
        <x:v>30</x:v>
      </x:c>
      <x:c r="AQ95" s="1" t="s">
        <x:v>6707</x:v>
      </x:c>
      <x:c r="AR95" s="1" t="s">
        <x:v>6707</x:v>
      </x:c>
      <x:c r="AS95" s="1" t="s">
        <x:v>6707</x:v>
      </x:c>
      <x:c r="AT95" s="1" t="s">
        <x:v>6707</x:v>
      </x:c>
      <x:c r="AU95" s="1" t="s">
        <x:v>6707</x:v>
      </x:c>
      <x:c r="AV95" s="1" t="s">
        <x:v>6766</x:v>
      </x:c>
      <x:c r="AW95" s="1" t="s">
        <x:v>30</x:v>
      </x:c>
      <x:c r="AX95" s="1" t="s">
        <x:v>30</x:v>
      </x:c>
      <x:c r="AY95" s="1" t="s">
        <x:v>30</x:v>
      </x:c>
      <x:c r="AZ95" s="1" t="s">
        <x:v>30</x:v>
      </x:c>
      <x:c r="BA95" s="1" t="s">
        <x:v>30</x:v>
      </x:c>
      <x:c r="BB95" s="1" t="s">
        <x:v>6766</x:v>
      </x:c>
      <x:c r="BC95" s="1" t="s">
        <x:v>6766</x:v>
      </x:c>
      <x:c r="BD95" s="1" t="s">
        <x:v>30</x:v>
      </x:c>
      <x:c r="BE95" s="1" t="s">
        <x:v>30</x:v>
      </x:c>
      <x:c r="BF95" s="1" t="s">
        <x:v>30</x:v>
      </x:c>
    </x:row>
    <x:row r="96" ht="15" hidden="0" customHeight="1">
      <x:c r="A96" s="1" t="s">
        <x:v>4336</x:v>
      </x:c>
      <x:c r="B96" s="1" t="s">
        <x:v>5481</x:v>
      </x:c>
      <x:c r="C96" s="1" t="s">
        <x:v>5934</x:v>
      </x:c>
      <x:c r="D96" s="1" t="n">
        <x:v>40</x:v>
      </x:c>
      <x:c r="E96" s="1" t="n">
        <x:v>4</x:v>
      </x:c>
      <x:c r="F96" s="1" t="n">
        <x:v>1</x:v>
      </x:c>
      <x:c r="G96" s="1" t="n">
        <x:v>1</x:v>
      </x:c>
      <x:c r="H96" s="1" t="n">
        <x:v>0</x:v>
      </x:c>
      <x:c r="I96" s="1" t="n">
        <x:v>1</x:v>
      </x:c>
      <x:c r="J96" s="1" t="s">
        <x:v>6769</x:v>
      </x:c>
      <x:c r="K96" s="1" t="s">
        <x:v>6770</x:v>
      </x:c>
      <x:c r="L96" s="1" t="s">
        <x:v>6766</x:v>
      </x:c>
      <x:c r="M96" s="1" t="s">
        <x:v>6768</x:v>
      </x:c>
      <x:c r="N96" s="1" t="s">
        <x:v>6770</x:v>
      </x:c>
      <x:c r="O96" s="1" t="s">
        <x:v>6770</x:v>
      </x:c>
      <x:c r="P96" s="1" t="s">
        <x:v>6766</x:v>
      </x:c>
      <x:c r="Q96" s="1" t="s">
        <x:v>30</x:v>
      </x:c>
      <x:c r="R96" s="1" t="s">
        <x:v>6766</x:v>
      </x:c>
      <x:c r="S96" s="1" t="s">
        <x:v>6766</x:v>
      </x:c>
      <x:c r="T96" s="1" t="s">
        <x:v>30</x:v>
      </x:c>
      <x:c r="U96" s="1" t="s">
        <x:v>30</x:v>
      </x:c>
      <x:c r="V96" s="1" t="s">
        <x:v>30</x:v>
      </x:c>
      <x:c r="W96" s="1" t="s">
        <x:v>6768</x:v>
      </x:c>
      <x:c r="X96" s="1" t="s">
        <x:v>6766</x:v>
      </x:c>
      <x:c r="Y96" s="1" t="s">
        <x:v>6766</x:v>
      </x:c>
      <x:c r="Z96" s="1" t="s">
        <x:v>6766</x:v>
      </x:c>
      <x:c r="AA96" s="1" t="s">
        <x:v>30</x:v>
      </x:c>
      <x:c r="AB96" s="1" t="s">
        <x:v>6766</x:v>
      </x:c>
      <x:c r="AC96" s="1" t="s">
        <x:v>6768</x:v>
      </x:c>
      <x:c r="AD96" s="1" t="s">
        <x:v>30</x:v>
      </x:c>
      <x:c r="AE96" s="1" t="s">
        <x:v>6766</x:v>
      </x:c>
      <x:c r="AF96" s="1" t="s">
        <x:v>6768</x:v>
      </x:c>
      <x:c r="AG96" s="1" t="s">
        <x:v>30</x:v>
      </x:c>
      <x:c r="AH96" s="1" t="s">
        <x:v>6766</x:v>
      </x:c>
      <x:c r="AI96" s="1" t="s">
        <x:v>30</x:v>
      </x:c>
      <x:c r="AJ96" s="1" t="s">
        <x:v>30</x:v>
      </x:c>
      <x:c r="AK96" s="1" t="s">
        <x:v>30</x:v>
      </x:c>
      <x:c r="AL96" s="1" t="s">
        <x:v>30</x:v>
      </x:c>
      <x:c r="AM96" s="1" t="s">
        <x:v>30</x:v>
      </x:c>
      <x:c r="AN96" s="1" t="s">
        <x:v>30</x:v>
      </x:c>
      <x:c r="AO96" s="1" t="s">
        <x:v>30</x:v>
      </x:c>
      <x:c r="AP96" s="1" t="s">
        <x:v>30</x:v>
      </x:c>
      <x:c r="AQ96" s="1" t="s">
        <x:v>6707</x:v>
      </x:c>
      <x:c r="AR96" s="1" t="s">
        <x:v>6707</x:v>
      </x:c>
      <x:c r="AS96" s="1" t="s">
        <x:v>6707</x:v>
      </x:c>
      <x:c r="AT96" s="1" t="s">
        <x:v>6707</x:v>
      </x:c>
      <x:c r="AU96" s="1" t="s">
        <x:v>6707</x:v>
      </x:c>
      <x:c r="AV96" s="1" t="s">
        <x:v>6766</x:v>
      </x:c>
      <x:c r="AW96" s="1" t="s">
        <x:v>6766</x:v>
      </x:c>
      <x:c r="AX96" s="1" t="s">
        <x:v>30</x:v>
      </x:c>
      <x:c r="AY96" s="1" t="s">
        <x:v>6770</x:v>
      </x:c>
      <x:c r="AZ96" s="1" t="s">
        <x:v>6769</x:v>
      </x:c>
      <x:c r="BA96" s="1" t="s">
        <x:v>6766</x:v>
      </x:c>
      <x:c r="BB96" s="1" t="s">
        <x:v>30</x:v>
      </x:c>
      <x:c r="BC96" s="1" t="s">
        <x:v>30</x:v>
      </x:c>
      <x:c r="BD96" s="1" t="s">
        <x:v>30</x:v>
      </x:c>
      <x:c r="BE96" s="1" t="s">
        <x:v>6766</x:v>
      </x:c>
      <x:c r="BF96" s="1" t="s">
        <x:v>6768</x:v>
      </x:c>
    </x:row>
    <x:row r="97" ht="15" hidden="0" customHeight="1">
      <x:c r="A97" s="1" t="s">
        <x:v>4144</x:v>
      </x:c>
      <x:c r="B97" s="1" t="s">
        <x:v>5538</x:v>
      </x:c>
      <x:c r="C97" s="1" t="s">
        <x:v>5693</x:v>
      </x:c>
      <x:c r="D97" s="1" t="n">
        <x:v>22</x:v>
      </x:c>
      <x:c r="E97" s="1" t="n">
        <x:v>0</x:v>
      </x:c>
      <x:c r="F97" s="1" t="n">
        <x:v>0</x:v>
      </x:c>
      <x:c r="G97" s="1" t="n">
        <x:v>0</x:v>
      </x:c>
      <x:c r="H97" s="1" t="n">
        <x:v>0</x:v>
      </x:c>
      <x:c r="I97" s="1" t="n">
        <x:v>0</x:v>
      </x:c>
      <x:c r="J97" s="1" t="s">
        <x:v>6766</x:v>
      </x:c>
      <x:c r="K97" s="1" t="s">
        <x:v>6766</x:v>
      </x:c>
      <x:c r="L97" s="1" t="s">
        <x:v>6766</x:v>
      </x:c>
      <x:c r="M97" s="1" t="s">
        <x:v>6766</x:v>
      </x:c>
      <x:c r="N97" s="1" t="s">
        <x:v>6771</x:v>
      </x:c>
      <x:c r="O97" s="1" t="s">
        <x:v>6766</x:v>
      </x:c>
      <x:c r="P97" s="1" t="s">
        <x:v>30</x:v>
      </x:c>
      <x:c r="Q97" s="1" t="s">
        <x:v>30</x:v>
      </x:c>
      <x:c r="R97" s="1" t="s">
        <x:v>30</x:v>
      </x:c>
      <x:c r="S97" s="1" t="s">
        <x:v>6768</x:v>
      </x:c>
      <x:c r="T97" s="1" t="s">
        <x:v>6766</x:v>
      </x:c>
      <x:c r="U97" s="1" t="s">
        <x:v>30</x:v>
      </x:c>
      <x:c r="V97" s="1" t="s">
        <x:v>30</x:v>
      </x:c>
      <x:c r="W97" s="1" t="s">
        <x:v>30</x:v>
      </x:c>
      <x:c r="X97" s="1" t="s">
        <x:v>30</x:v>
      </x:c>
      <x:c r="Y97" s="1" t="s">
        <x:v>6766</x:v>
      </x:c>
      <x:c r="Z97" s="1" t="s">
        <x:v>6766</x:v>
      </x:c>
      <x:c r="AA97" s="1" t="s">
        <x:v>6766</x:v>
      </x:c>
      <x:c r="AB97" s="1" t="s">
        <x:v>6766</x:v>
      </x:c>
      <x:c r="AC97" s="1" t="s">
        <x:v>6766</x:v>
      </x:c>
      <x:c r="AD97" s="1" t="s">
        <x:v>30</x:v>
      </x:c>
      <x:c r="AE97" s="1" t="s">
        <x:v>30</x:v>
      </x:c>
      <x:c r="AF97" s="1" t="s">
        <x:v>30</x:v>
      </x:c>
      <x:c r="AG97" s="1" t="s">
        <x:v>30</x:v>
      </x:c>
      <x:c r="AH97" s="1" t="s">
        <x:v>6766</x:v>
      </x:c>
      <x:c r="AI97" s="1" t="s">
        <x:v>6766</x:v>
      </x:c>
      <x:c r="AJ97" s="1" t="s">
        <x:v>6766</x:v>
      </x:c>
      <x:c r="AK97" s="1" t="s">
        <x:v>6766</x:v>
      </x:c>
      <x:c r="AL97" s="1" t="s">
        <x:v>30</x:v>
      </x:c>
      <x:c r="AM97" s="1" t="s">
        <x:v>30</x:v>
      </x:c>
      <x:c r="AN97" s="1" t="s">
        <x:v>30</x:v>
      </x:c>
      <x:c r="AO97" s="1" t="s">
        <x:v>30</x:v>
      </x:c>
      <x:c r="AP97" s="1" t="s">
        <x:v>30</x:v>
      </x:c>
      <x:c r="AQ97" s="1" t="s">
        <x:v>6707</x:v>
      </x:c>
      <x:c r="AR97" s="1" t="s">
        <x:v>6707</x:v>
      </x:c>
      <x:c r="AS97" s="1" t="s">
        <x:v>6707</x:v>
      </x:c>
      <x:c r="AT97" s="1" t="s">
        <x:v>6707</x:v>
      </x:c>
      <x:c r="AU97" s="1" t="s">
        <x:v>6707</x:v>
      </x:c>
      <x:c r="AV97" s="1" t="s">
        <x:v>30</x:v>
      </x:c>
      <x:c r="AW97" s="1" t="s">
        <x:v>30</x:v>
      </x:c>
      <x:c r="AX97" s="1" t="s">
        <x:v>30</x:v>
      </x:c>
      <x:c r="AY97" s="1" t="s">
        <x:v>30</x:v>
      </x:c>
      <x:c r="AZ97" s="1" t="s">
        <x:v>30</x:v>
      </x:c>
      <x:c r="BA97" s="1" t="s">
        <x:v>30</x:v>
      </x:c>
      <x:c r="BB97" s="1" t="s">
        <x:v>30</x:v>
      </x:c>
      <x:c r="BC97" s="1" t="s">
        <x:v>30</x:v>
      </x:c>
      <x:c r="BD97" s="1" t="s">
        <x:v>30</x:v>
      </x:c>
      <x:c r="BE97" s="1" t="s">
        <x:v>30</x:v>
      </x:c>
      <x:c r="BF97" s="1" t="s">
        <x:v>30</x:v>
      </x:c>
    </x:row>
    <x:row r="98" ht="15" hidden="0" customHeight="1">
      <x:c r="A98" s="1" t="s">
        <x:v>4188</x:v>
      </x:c>
      <x:c r="B98" s="1" t="s">
        <x:v>5538</x:v>
      </x:c>
      <x:c r="C98" s="1" t="s">
        <x:v>5693</x:v>
      </x:c>
      <x:c r="D98" s="1" t="n">
        <x:v>33</x:v>
      </x:c>
      <x:c r="E98" s="1" t="n">
        <x:v>1</x:v>
      </x:c>
      <x:c r="F98" s="1" t="n">
        <x:v>0</x:v>
      </x:c>
      <x:c r="G98" s="1" t="n">
        <x:v>0</x:v>
      </x:c>
      <x:c r="H98" s="1" t="n">
        <x:v>0</x:v>
      </x:c>
      <x:c r="I98" s="1" t="n">
        <x:v>0</x:v>
      </x:c>
      <x:c r="J98" s="1" t="s">
        <x:v>6766</x:v>
      </x:c>
      <x:c r="K98" s="1" t="s">
        <x:v>6769</x:v>
      </x:c>
      <x:c r="L98" s="1" t="s">
        <x:v>6768</x:v>
      </x:c>
      <x:c r="M98" s="1" t="s">
        <x:v>6768</x:v>
      </x:c>
      <x:c r="N98" s="1" t="s">
        <x:v>6766</x:v>
      </x:c>
      <x:c r="O98" s="1" t="s">
        <x:v>30</x:v>
      </x:c>
      <x:c r="P98" s="1" t="s">
        <x:v>6769</x:v>
      </x:c>
      <x:c r="Q98" s="1" t="s">
        <x:v>6769</x:v>
      </x:c>
      <x:c r="R98" s="1" t="s">
        <x:v>30</x:v>
      </x:c>
      <x:c r="S98" s="1" t="s">
        <x:v>6768</x:v>
      </x:c>
      <x:c r="T98" s="1" t="s">
        <x:v>30</x:v>
      </x:c>
      <x:c r="U98" s="1" t="s">
        <x:v>6766</x:v>
      </x:c>
      <x:c r="V98" s="1" t="s">
        <x:v>6768</x:v>
      </x:c>
      <x:c r="W98" s="1" t="s">
        <x:v>30</x:v>
      </x:c>
      <x:c r="X98" s="1" t="s">
        <x:v>6766</x:v>
      </x:c>
      <x:c r="Y98" s="1" t="s">
        <x:v>6766</x:v>
      </x:c>
      <x:c r="Z98" s="1" t="s">
        <x:v>6766</x:v>
      </x:c>
      <x:c r="AA98" s="1" t="s">
        <x:v>6766</x:v>
      </x:c>
      <x:c r="AB98" s="1" t="s">
        <x:v>6766</x:v>
      </x:c>
      <x:c r="AC98" s="1" t="s">
        <x:v>6768</x:v>
      </x:c>
      <x:c r="AD98" s="1" t="s">
        <x:v>30</x:v>
      </x:c>
      <x:c r="AE98" s="1" t="s">
        <x:v>30</x:v>
      </x:c>
      <x:c r="AF98" s="1" t="s">
        <x:v>30</x:v>
      </x:c>
      <x:c r="AG98" s="1" t="s">
        <x:v>30</x:v>
      </x:c>
      <x:c r="AH98" s="1" t="s">
        <x:v>6766</x:v>
      </x:c>
      <x:c r="AI98" s="1" t="s">
        <x:v>6768</x:v>
      </x:c>
      <x:c r="AJ98" s="1" t="s">
        <x:v>6766</x:v>
      </x:c>
      <x:c r="AK98" s="1" t="s">
        <x:v>30</x:v>
      </x:c>
      <x:c r="AL98" s="1" t="s">
        <x:v>30</x:v>
      </x:c>
      <x:c r="AM98" s="1" t="s">
        <x:v>30</x:v>
      </x:c>
      <x:c r="AN98" s="1" t="s">
        <x:v>30</x:v>
      </x:c>
      <x:c r="AO98" s="1" t="s">
        <x:v>30</x:v>
      </x:c>
      <x:c r="AP98" s="1" t="s">
        <x:v>30</x:v>
      </x:c>
      <x:c r="AQ98" s="1" t="s">
        <x:v>6707</x:v>
      </x:c>
      <x:c r="AR98" s="1" t="s">
        <x:v>6707</x:v>
      </x:c>
      <x:c r="AS98" s="1" t="s">
        <x:v>6707</x:v>
      </x:c>
      <x:c r="AT98" s="1" t="s">
        <x:v>6707</x:v>
      </x:c>
      <x:c r="AU98" s="1" t="s">
        <x:v>6707</x:v>
      </x:c>
      <x:c r="AV98" s="1" t="s">
        <x:v>30</x:v>
      </x:c>
      <x:c r="AW98" s="1" t="s">
        <x:v>30</x:v>
      </x:c>
      <x:c r="AX98" s="1" t="s">
        <x:v>30</x:v>
      </x:c>
      <x:c r="AY98" s="1" t="s">
        <x:v>6766</x:v>
      </x:c>
      <x:c r="AZ98" s="1" t="s">
        <x:v>6766</x:v>
      </x:c>
      <x:c r="BA98" s="1" t="s">
        <x:v>6766</x:v>
      </x:c>
      <x:c r="BB98" s="1" t="s">
        <x:v>30</x:v>
      </x:c>
      <x:c r="BC98" s="1" t="s">
        <x:v>30</x:v>
      </x:c>
      <x:c r="BD98" s="1" t="s">
        <x:v>30</x:v>
      </x:c>
      <x:c r="BE98" s="1" t="s">
        <x:v>30</x:v>
      </x:c>
      <x:c r="BF98" s="1" t="s">
        <x:v>30</x:v>
      </x:c>
    </x:row>
    <x:row r="99" ht="15" hidden="0" customHeight="1">
      <x:c r="A99" s="1" t="s">
        <x:v>4278</x:v>
      </x:c>
      <x:c r="B99" s="1" t="s">
        <x:v>5538</x:v>
      </x:c>
      <x:c r="C99" s="1" t="s">
        <x:v>5693</x:v>
      </x:c>
      <x:c r="D99" s="1" t="n">
        <x:v>25</x:v>
      </x:c>
      <x:c r="E99" s="1" t="n">
        <x:v>0</x:v>
      </x:c>
      <x:c r="F99" s="1" t="n">
        <x:v>0</x:v>
      </x:c>
      <x:c r="G99" s="1" t="n">
        <x:v>0</x:v>
      </x:c>
      <x:c r="H99" s="1" t="n">
        <x:v>0</x:v>
      </x:c>
      <x:c r="I99" s="1" t="n">
        <x:v>0</x:v>
      </x:c>
      <x:c r="J99" s="1" t="s">
        <x:v>6766</x:v>
      </x:c>
      <x:c r="K99" s="1" t="s">
        <x:v>6771</x:v>
      </x:c>
      <x:c r="L99" s="1" t="s">
        <x:v>30</x:v>
      </x:c>
      <x:c r="M99" s="1" t="s">
        <x:v>6766</x:v>
      </x:c>
      <x:c r="N99" s="1" t="s">
        <x:v>6769</x:v>
      </x:c>
      <x:c r="O99" s="1" t="s">
        <x:v>6769</x:v>
      </x:c>
      <x:c r="P99" s="1" t="s">
        <x:v>30</x:v>
      </x:c>
      <x:c r="Q99" s="1" t="s">
        <x:v>30</x:v>
      </x:c>
      <x:c r="R99" s="1" t="s">
        <x:v>30</x:v>
      </x:c>
      <x:c r="S99" s="1" t="s">
        <x:v>30</x:v>
      </x:c>
      <x:c r="T99" s="1" t="s">
        <x:v>30</x:v>
      </x:c>
      <x:c r="U99" s="1" t="s">
        <x:v>30</x:v>
      </x:c>
      <x:c r="V99" s="1" t="s">
        <x:v>30</x:v>
      </x:c>
      <x:c r="W99" s="1" t="s">
        <x:v>30</x:v>
      </x:c>
      <x:c r="X99" s="1" t="s">
        <x:v>30</x:v>
      </x:c>
      <x:c r="Y99" s="1" t="s">
        <x:v>6766</x:v>
      </x:c>
      <x:c r="Z99" s="1" t="s">
        <x:v>6766</x:v>
      </x:c>
      <x:c r="AA99" s="1" t="s">
        <x:v>30</x:v>
      </x:c>
      <x:c r="AB99" s="1" t="s">
        <x:v>6766</x:v>
      </x:c>
      <x:c r="AC99" s="1" t="s">
        <x:v>6766</x:v>
      </x:c>
      <x:c r="AD99" s="1" t="s">
        <x:v>30</x:v>
      </x:c>
      <x:c r="AE99" s="1" t="s">
        <x:v>30</x:v>
      </x:c>
      <x:c r="AF99" s="1" t="s">
        <x:v>30</x:v>
      </x:c>
      <x:c r="AG99" s="1" t="s">
        <x:v>30</x:v>
      </x:c>
      <x:c r="AH99" s="1" t="s">
        <x:v>6766</x:v>
      </x:c>
      <x:c r="AI99" s="1" t="s">
        <x:v>6769</x:v>
      </x:c>
      <x:c r="AJ99" s="1" t="s">
        <x:v>30</x:v>
      </x:c>
      <x:c r="AK99" s="1" t="s">
        <x:v>6766</x:v>
      </x:c>
      <x:c r="AL99" s="1" t="s">
        <x:v>30</x:v>
      </x:c>
      <x:c r="AM99" s="1" t="s">
        <x:v>30</x:v>
      </x:c>
      <x:c r="AN99" s="1" t="s">
        <x:v>30</x:v>
      </x:c>
      <x:c r="AO99" s="1" t="s">
        <x:v>30</x:v>
      </x:c>
      <x:c r="AP99" s="1" t="s">
        <x:v>6766</x:v>
      </x:c>
      <x:c r="AQ99" s="1" t="s">
        <x:v>6707</x:v>
      </x:c>
      <x:c r="AR99" s="1" t="s">
        <x:v>6707</x:v>
      </x:c>
      <x:c r="AS99" s="1" t="s">
        <x:v>6707</x:v>
      </x:c>
      <x:c r="AT99" s="1" t="s">
        <x:v>6707</x:v>
      </x:c>
      <x:c r="AU99" s="1" t="s">
        <x:v>6707</x:v>
      </x:c>
      <x:c r="AV99" s="1" t="s">
        <x:v>30</x:v>
      </x:c>
      <x:c r="AW99" s="1" t="s">
        <x:v>30</x:v>
      </x:c>
      <x:c r="AX99" s="1" t="s">
        <x:v>30</x:v>
      </x:c>
      <x:c r="AY99" s="1" t="s">
        <x:v>30</x:v>
      </x:c>
      <x:c r="AZ99" s="1" t="s">
        <x:v>30</x:v>
      </x:c>
      <x:c r="BA99" s="1" t="s">
        <x:v>30</x:v>
      </x:c>
      <x:c r="BB99" s="1" t="s">
        <x:v>30</x:v>
      </x:c>
      <x:c r="BC99" s="1" t="s">
        <x:v>6768</x:v>
      </x:c>
      <x:c r="BD99" s="1" t="s">
        <x:v>30</x:v>
      </x:c>
      <x:c r="BE99" s="1" t="s">
        <x:v>30</x:v>
      </x:c>
      <x:c r="BF99" s="1" t="s">
        <x:v>30</x:v>
      </x:c>
    </x:row>
    <x:row r="100" ht="15" hidden="0" customHeight="1">
      <x:c r="A100" s="1" t="s">
        <x:v>4786</x:v>
      </x:c>
      <x:c r="B100" s="1" t="s">
        <x:v>5608</x:v>
      </x:c>
      <x:c r="C100" s="1" t="s">
        <x:v>5693</x:v>
      </x:c>
      <x:c r="D100" s="1" t="n">
        <x:v>20</x:v>
      </x:c>
      <x:c r="E100" s="1" t="n">
        <x:v>1</x:v>
      </x:c>
      <x:c r="F100" s="1" t="n">
        <x:v>0</x:v>
      </x:c>
      <x:c r="G100" s="1" t="n">
        <x:v>1</x:v>
      </x:c>
      <x:c r="H100" s="1" t="n">
        <x:v>0</x:v>
      </x:c>
      <x:c r="I100" s="1" t="n">
        <x:v>0</x:v>
      </x:c>
      <x:c r="J100" s="1" t="s">
        <x:v>6766</x:v>
      </x:c>
      <x:c r="K100" s="1" t="s">
        <x:v>30</x:v>
      </x:c>
      <x:c r="L100" s="1" t="s">
        <x:v>30</x:v>
      </x:c>
      <x:c r="M100" s="1" t="s">
        <x:v>30</x:v>
      </x:c>
      <x:c r="N100" s="1" t="s">
        <x:v>6766</x:v>
      </x:c>
      <x:c r="O100" s="1" t="s">
        <x:v>6770</x:v>
      </x:c>
      <x:c r="P100" s="1" t="s">
        <x:v>30</x:v>
      </x:c>
      <x:c r="Q100" s="1" t="s">
        <x:v>30</x:v>
      </x:c>
      <x:c r="R100" s="1" t="s">
        <x:v>30</x:v>
      </x:c>
      <x:c r="S100" s="1" t="s">
        <x:v>30</x:v>
      </x:c>
      <x:c r="T100" s="1" t="s">
        <x:v>30</x:v>
      </x:c>
      <x:c r="U100" s="1" t="s">
        <x:v>30</x:v>
      </x:c>
      <x:c r="V100" s="1" t="s">
        <x:v>30</x:v>
      </x:c>
      <x:c r="W100" s="1" t="s">
        <x:v>30</x:v>
      </x:c>
      <x:c r="X100" s="1" t="s">
        <x:v>6769</x:v>
      </x:c>
      <x:c r="Y100" s="1" t="s">
        <x:v>30</x:v>
      </x:c>
      <x:c r="Z100" s="1" t="s">
        <x:v>30</x:v>
      </x:c>
      <x:c r="AA100" s="1" t="s">
        <x:v>30</x:v>
      </x:c>
      <x:c r="AB100" s="1" t="s">
        <x:v>30</x:v>
      </x:c>
      <x:c r="AC100" s="1" t="s">
        <x:v>30</x:v>
      </x:c>
      <x:c r="AD100" s="1" t="s">
        <x:v>30</x:v>
      </x:c>
      <x:c r="AE100" s="1" t="s">
        <x:v>30</x:v>
      </x:c>
      <x:c r="AF100" s="1" t="s">
        <x:v>6768</x:v>
      </x:c>
      <x:c r="AG100" s="1" t="s">
        <x:v>6770</x:v>
      </x:c>
      <x:c r="AH100" s="1" t="s">
        <x:v>6766</x:v>
      </x:c>
      <x:c r="AI100" s="1" t="s">
        <x:v>30</x:v>
      </x:c>
      <x:c r="AJ100" s="1" t="s">
        <x:v>30</x:v>
      </x:c>
      <x:c r="AK100" s="1" t="s">
        <x:v>30</x:v>
      </x:c>
      <x:c r="AL100" s="1" t="s">
        <x:v>6766</x:v>
      </x:c>
      <x:c r="AM100" s="1" t="s">
        <x:v>30</x:v>
      </x:c>
      <x:c r="AN100" s="1" t="s">
        <x:v>30</x:v>
      </x:c>
      <x:c r="AO100" s="1" t="s">
        <x:v>30</x:v>
      </x:c>
      <x:c r="AP100" s="1" t="s">
        <x:v>6766</x:v>
      </x:c>
      <x:c r="AQ100" s="1" t="s">
        <x:v>6707</x:v>
      </x:c>
      <x:c r="AR100" s="1" t="s">
        <x:v>6707</x:v>
      </x:c>
      <x:c r="AS100" s="1" t="s">
        <x:v>6707</x:v>
      </x:c>
      <x:c r="AT100" s="1" t="s">
        <x:v>6707</x:v>
      </x:c>
      <x:c r="AU100" s="1" t="s">
        <x:v>6707</x:v>
      </x:c>
      <x:c r="AV100" s="1" t="s">
        <x:v>30</x:v>
      </x:c>
      <x:c r="AW100" s="1" t="s">
        <x:v>30</x:v>
      </x:c>
      <x:c r="AX100" s="1" t="s">
        <x:v>30</x:v>
      </x:c>
      <x:c r="AY100" s="1" t="s">
        <x:v>6766</x:v>
      </x:c>
      <x:c r="AZ100" s="1" t="s">
        <x:v>6766</x:v>
      </x:c>
      <x:c r="BA100" s="1" t="s">
        <x:v>30</x:v>
      </x:c>
      <x:c r="BB100" s="1" t="s">
        <x:v>30</x:v>
      </x:c>
      <x:c r="BC100" s="1" t="s">
        <x:v>6766</x:v>
      </x:c>
      <x:c r="BD100" s="1" t="s">
        <x:v>30</x:v>
      </x:c>
      <x:c r="BE100" s="1" t="s">
        <x:v>6766</x:v>
      </x:c>
      <x:c r="BF100" s="1" t="s">
        <x:v>30</x:v>
      </x:c>
    </x:row>
    <x:row r="101" ht="15" hidden="0" customHeight="1">
      <x:c r="A101" s="1" t="s">
        <x:v>4707</x:v>
      </x:c>
      <x:c r="B101" s="1" t="s">
        <x:v>5608</x:v>
      </x:c>
      <x:c r="C101" s="1" t="s">
        <x:v>5693</x:v>
      </x:c>
      <x:c r="D101" s="1" t="n">
        <x:v>24</x:v>
      </x:c>
      <x:c r="E101" s="1" t="n">
        <x:v>3</x:v>
      </x:c>
      <x:c r="F101" s="1" t="n">
        <x:v>0</x:v>
      </x:c>
      <x:c r="G101" s="1" t="n">
        <x:v>1</x:v>
      </x:c>
      <x:c r="H101" s="1" t="n">
        <x:v>1</x:v>
      </x:c>
      <x:c r="I101" s="1" t="n">
        <x:v>0</x:v>
      </x:c>
      <x:c r="J101" s="1" t="s">
        <x:v>6766</x:v>
      </x:c>
      <x:c r="K101" s="1" t="s">
        <x:v>6769</x:v>
      </x:c>
      <x:c r="L101" s="1" t="s">
        <x:v>6766</x:v>
      </x:c>
      <x:c r="M101" s="1" t="s">
        <x:v>6766</x:v>
      </x:c>
      <x:c r="N101" s="1" t="s">
        <x:v>6766</x:v>
      </x:c>
      <x:c r="O101" s="1" t="s">
        <x:v>6768</x:v>
      </x:c>
      <x:c r="P101" s="1" t="s">
        <x:v>30</x:v>
      </x:c>
      <x:c r="Q101" s="1" t="s">
        <x:v>30</x:v>
      </x:c>
      <x:c r="R101" s="1" t="s">
        <x:v>30</x:v>
      </x:c>
      <x:c r="S101" s="1" t="s">
        <x:v>30</x:v>
      </x:c>
      <x:c r="T101" s="1" t="s">
        <x:v>30</x:v>
      </x:c>
      <x:c r="U101" s="1" t="s">
        <x:v>30</x:v>
      </x:c>
      <x:c r="V101" s="1" t="s">
        <x:v>30</x:v>
      </x:c>
      <x:c r="W101" s="1" t="s">
        <x:v>30</x:v>
      </x:c>
      <x:c r="X101" s="1" t="s">
        <x:v>30</x:v>
      </x:c>
      <x:c r="Y101" s="1" t="s">
        <x:v>6766</x:v>
      </x:c>
      <x:c r="Z101" s="1" t="s">
        <x:v>6766</x:v>
      </x:c>
      <x:c r="AA101" s="1" t="s">
        <x:v>6766</x:v>
      </x:c>
      <x:c r="AB101" s="1" t="s">
        <x:v>30</x:v>
      </x:c>
      <x:c r="AC101" s="1" t="s">
        <x:v>6766</x:v>
      </x:c>
      <x:c r="AD101" s="1" t="s">
        <x:v>30</x:v>
      </x:c>
      <x:c r="AE101" s="1" t="s">
        <x:v>6766</x:v>
      </x:c>
      <x:c r="AF101" s="1" t="s">
        <x:v>6766</x:v>
      </x:c>
      <x:c r="AG101" s="1" t="s">
        <x:v>30</x:v>
      </x:c>
      <x:c r="AH101" s="1" t="s">
        <x:v>6766</x:v>
      </x:c>
      <x:c r="AI101" s="1" t="s">
        <x:v>30</x:v>
      </x:c>
      <x:c r="AJ101" s="1" t="s">
        <x:v>30</x:v>
      </x:c>
      <x:c r="AK101" s="1" t="s">
        <x:v>6766</x:v>
      </x:c>
      <x:c r="AL101" s="1" t="s">
        <x:v>6768</x:v>
      </x:c>
      <x:c r="AM101" s="1" t="s">
        <x:v>30</x:v>
      </x:c>
      <x:c r="AN101" s="1" t="s">
        <x:v>30</x:v>
      </x:c>
      <x:c r="AO101" s="1" t="s">
        <x:v>6766</x:v>
      </x:c>
      <x:c r="AP101" s="1" t="s">
        <x:v>30</x:v>
      </x:c>
      <x:c r="AQ101" s="1" t="s">
        <x:v>6707</x:v>
      </x:c>
      <x:c r="AR101" s="1" t="s">
        <x:v>6707</x:v>
      </x:c>
      <x:c r="AS101" s="1" t="s">
        <x:v>6707</x:v>
      </x:c>
      <x:c r="AT101" s="1" t="s">
        <x:v>6707</x:v>
      </x:c>
      <x:c r="AU101" s="1" t="s">
        <x:v>6707</x:v>
      </x:c>
      <x:c r="AV101" s="1" t="s">
        <x:v>30</x:v>
      </x:c>
      <x:c r="AW101" s="1" t="s">
        <x:v>6768</x:v>
      </x:c>
      <x:c r="AX101" s="1" t="s">
        <x:v>30</x:v>
      </x:c>
      <x:c r="AY101" s="1" t="s">
        <x:v>6766</x:v>
      </x:c>
      <x:c r="AZ101" s="1" t="s">
        <x:v>6768</x:v>
      </x:c>
      <x:c r="BA101" s="1" t="s">
        <x:v>30</x:v>
      </x:c>
      <x:c r="BB101" s="1" t="s">
        <x:v>6766</x:v>
      </x:c>
      <x:c r="BC101" s="1" t="s">
        <x:v>6766</x:v>
      </x:c>
      <x:c r="BD101" s="1" t="s">
        <x:v>30</x:v>
      </x:c>
      <x:c r="BE101" s="1" t="s">
        <x:v>30</x:v>
      </x:c>
      <x:c r="BF101" s="1" t="s">
        <x:v>6766</x:v>
      </x:c>
    </x:row>
    <x:row r="102" ht="15" hidden="0" customHeight="1">
      <x:c r="A102" s="1" t="s">
        <x:v>2598</x:v>
      </x:c>
      <x:c r="B102" s="1" t="s">
        <x:v>5608</x:v>
      </x:c>
      <x:c r="C102" s="1" t="s">
        <x:v>5693</x:v>
      </x:c>
      <x:c r="D102" s="1" t="n">
        <x:v>17</x:v>
      </x:c>
      <x:c r="E102" s="1" t="n">
        <x:v>1</x:v>
      </x:c>
      <x:c r="F102" s="1" t="n">
        <x:v>0</x:v>
      </x:c>
      <x:c r="G102" s="1" t="n">
        <x:v>1</x:v>
      </x:c>
      <x:c r="H102" s="1" t="n">
        <x:v>0</x:v>
      </x:c>
      <x:c r="I102" s="1" t="n">
        <x:v>0</x:v>
      </x:c>
      <x:c r="J102" s="1" t="s">
        <x:v>30</x:v>
      </x:c>
      <x:c r="K102" s="1" t="s">
        <x:v>30</x:v>
      </x:c>
      <x:c r="L102" s="1" t="s">
        <x:v>30</x:v>
      </x:c>
      <x:c r="M102" s="1" t="s">
        <x:v>30</x:v>
      </x:c>
      <x:c r="N102" s="1" t="s">
        <x:v>6768</x:v>
      </x:c>
      <x:c r="O102" s="1" t="s">
        <x:v>30</x:v>
      </x:c>
      <x:c r="P102" s="1" t="s">
        <x:v>30</x:v>
      </x:c>
      <x:c r="Q102" s="1" t="s">
        <x:v>30</x:v>
      </x:c>
      <x:c r="R102" s="1" t="s">
        <x:v>30</x:v>
      </x:c>
      <x:c r="S102" s="1" t="s">
        <x:v>6768</x:v>
      </x:c>
      <x:c r="T102" s="1" t="s">
        <x:v>6766</x:v>
      </x:c>
      <x:c r="U102" s="1" t="s">
        <x:v>30</x:v>
      </x:c>
      <x:c r="V102" s="1" t="s">
        <x:v>30</x:v>
      </x:c>
      <x:c r="W102" s="1" t="s">
        <x:v>30</x:v>
      </x:c>
      <x:c r="X102" s="1" t="s">
        <x:v>30</x:v>
      </x:c>
      <x:c r="Y102" s="1" t="s">
        <x:v>6766</x:v>
      </x:c>
      <x:c r="Z102" s="1" t="s">
        <x:v>30</x:v>
      </x:c>
      <x:c r="AA102" s="1" t="s">
        <x:v>30</x:v>
      </x:c>
      <x:c r="AB102" s="1" t="s">
        <x:v>6766</x:v>
      </x:c>
      <x:c r="AC102" s="1" t="s">
        <x:v>6766</x:v>
      </x:c>
      <x:c r="AD102" s="1" t="s">
        <x:v>30</x:v>
      </x:c>
      <x:c r="AE102" s="1" t="s">
        <x:v>6766</x:v>
      </x:c>
      <x:c r="AF102" s="1" t="s">
        <x:v>6766</x:v>
      </x:c>
      <x:c r="AG102" s="1" t="s">
        <x:v>6768</x:v>
      </x:c>
      <x:c r="AH102" s="1" t="s">
        <x:v>30</x:v>
      </x:c>
      <x:c r="AI102" s="1" t="s">
        <x:v>6766</x:v>
      </x:c>
      <x:c r="AJ102" s="1" t="s">
        <x:v>30</x:v>
      </x:c>
      <x:c r="AK102" s="1" t="s">
        <x:v>6766</x:v>
      </x:c>
      <x:c r="AL102" s="1" t="s">
        <x:v>6769</x:v>
      </x:c>
      <x:c r="AM102" s="1" t="s">
        <x:v>30</x:v>
      </x:c>
      <x:c r="AN102" s="1" t="s">
        <x:v>30</x:v>
      </x:c>
      <x:c r="AO102" s="1" t="s">
        <x:v>30</x:v>
      </x:c>
      <x:c r="AP102" s="1" t="s">
        <x:v>30</x:v>
      </x:c>
      <x:c r="AQ102" s="1" t="s">
        <x:v>6707</x:v>
      </x:c>
      <x:c r="AR102" s="1" t="s">
        <x:v>6707</x:v>
      </x:c>
      <x:c r="AS102" s="1" t="s">
        <x:v>6707</x:v>
      </x:c>
      <x:c r="AT102" s="1" t="s">
        <x:v>6707</x:v>
      </x:c>
      <x:c r="AU102" s="1" t="s">
        <x:v>6707</x:v>
      </x:c>
      <x:c r="AV102" s="1" t="s">
        <x:v>30</x:v>
      </x:c>
      <x:c r="AW102" s="1" t="s">
        <x:v>30</x:v>
      </x:c>
      <x:c r="AX102" s="1" t="s">
        <x:v>30</x:v>
      </x:c>
      <x:c r="AY102" s="1" t="s">
        <x:v>30</x:v>
      </x:c>
      <x:c r="AZ102" s="1" t="s">
        <x:v>6766</x:v>
      </x:c>
      <x:c r="BA102" s="1" t="s">
        <x:v>30</x:v>
      </x:c>
      <x:c r="BB102" s="1" t="s">
        <x:v>30</x:v>
      </x:c>
      <x:c r="BC102" s="1" t="s">
        <x:v>30</x:v>
      </x:c>
      <x:c r="BD102" s="1" t="s">
        <x:v>30</x:v>
      </x:c>
      <x:c r="BE102" s="1" t="s">
        <x:v>6766</x:v>
      </x:c>
      <x:c r="BF102" s="1" t="s">
        <x:v>30</x:v>
      </x:c>
    </x:row>
    <x:row r="103" ht="15" hidden="0" customHeight="1">
      <x:c r="A103" s="1" t="s">
        <x:v>3860</x:v>
      </x:c>
      <x:c r="B103" s="1" t="s">
        <x:v>5478</x:v>
      </x:c>
      <x:c r="C103" s="1" t="s">
        <x:v>5693</x:v>
      </x:c>
      <x:c r="D103" s="1" t="n">
        <x:v>39</x:v>
      </x:c>
      <x:c r="E103" s="1" t="n">
        <x:v>0</x:v>
      </x:c>
      <x:c r="F103" s="1" t="n">
        <x:v>0</x:v>
      </x:c>
      <x:c r="G103" s="1" t="n">
        <x:v>0</x:v>
      </x:c>
      <x:c r="H103" s="1" t="n">
        <x:v>0</x:v>
      </x:c>
      <x:c r="I103" s="1" t="n">
        <x:v>0</x:v>
      </x:c>
      <x:c r="J103" s="1" t="s">
        <x:v>30</x:v>
      </x:c>
      <x:c r="K103" s="1" t="s">
        <x:v>6770</x:v>
      </x:c>
      <x:c r="L103" s="1" t="s">
        <x:v>6768</x:v>
      </x:c>
      <x:c r="M103" s="1" t="s">
        <x:v>6766</x:v>
      </x:c>
      <x:c r="N103" s="1" t="s">
        <x:v>6766</x:v>
      </x:c>
      <x:c r="O103" s="1" t="s">
        <x:v>6766</x:v>
      </x:c>
      <x:c r="P103" s="1" t="s">
        <x:v>6766</x:v>
      </x:c>
      <x:c r="Q103" s="1" t="s">
        <x:v>30</x:v>
      </x:c>
      <x:c r="R103" s="1" t="s">
        <x:v>30</x:v>
      </x:c>
      <x:c r="S103" s="1" t="s">
        <x:v>6768</x:v>
      </x:c>
      <x:c r="T103" s="1" t="s">
        <x:v>30</x:v>
      </x:c>
      <x:c r="U103" s="1" t="s">
        <x:v>6768</x:v>
      </x:c>
      <x:c r="V103" s="1" t="s">
        <x:v>6766</x:v>
      </x:c>
      <x:c r="W103" s="1" t="s">
        <x:v>30</x:v>
      </x:c>
      <x:c r="X103" s="1" t="s">
        <x:v>6766</x:v>
      </x:c>
      <x:c r="Y103" s="1" t="s">
        <x:v>30</x:v>
      </x:c>
      <x:c r="Z103" s="1" t="s">
        <x:v>6766</x:v>
      </x:c>
      <x:c r="AA103" s="1" t="s">
        <x:v>6769</x:v>
      </x:c>
      <x:c r="AB103" s="1" t="s">
        <x:v>6766</x:v>
      </x:c>
      <x:c r="AC103" s="1" t="s">
        <x:v>6766</x:v>
      </x:c>
      <x:c r="AD103" s="1" t="s">
        <x:v>6766</x:v>
      </x:c>
      <x:c r="AE103" s="1" t="s">
        <x:v>6766</x:v>
      </x:c>
      <x:c r="AF103" s="1" t="s">
        <x:v>6766</x:v>
      </x:c>
      <x:c r="AG103" s="1" t="s">
        <x:v>30</x:v>
      </x:c>
      <x:c r="AH103" s="1" t="s">
        <x:v>6766</x:v>
      </x:c>
      <x:c r="AI103" s="1" t="s">
        <x:v>6774</x:v>
      </x:c>
      <x:c r="AJ103" s="1" t="s">
        <x:v>6766</x:v>
      </x:c>
      <x:c r="AK103" s="1" t="s">
        <x:v>6768</x:v>
      </x:c>
      <x:c r="AL103" s="1" t="s">
        <x:v>6766</x:v>
      </x:c>
      <x:c r="AM103" s="1" t="s">
        <x:v>30</x:v>
      </x:c>
      <x:c r="AN103" s="1" t="s">
        <x:v>30</x:v>
      </x:c>
      <x:c r="AO103" s="1" t="s">
        <x:v>30</x:v>
      </x:c>
      <x:c r="AP103" s="1" t="s">
        <x:v>30</x:v>
      </x:c>
      <x:c r="AQ103" s="1" t="s">
        <x:v>6707</x:v>
      </x:c>
      <x:c r="AR103" s="1" t="s">
        <x:v>6707</x:v>
      </x:c>
      <x:c r="AS103" s="1" t="s">
        <x:v>6707</x:v>
      </x:c>
      <x:c r="AT103" s="1" t="s">
        <x:v>6707</x:v>
      </x:c>
      <x:c r="AU103" s="1" t="s">
        <x:v>6707</x:v>
      </x:c>
      <x:c r="AV103" s="1" t="s">
        <x:v>6766</x:v>
      </x:c>
      <x:c r="AW103" s="1" t="s">
        <x:v>30</x:v>
      </x:c>
      <x:c r="AX103" s="1" t="s">
        <x:v>6766</x:v>
      </x:c>
      <x:c r="AY103" s="1" t="s">
        <x:v>6766</x:v>
      </x:c>
      <x:c r="AZ103" s="1" t="s">
        <x:v>30</x:v>
      </x:c>
      <x:c r="BA103" s="1" t="s">
        <x:v>30</x:v>
      </x:c>
      <x:c r="BB103" s="1" t="s">
        <x:v>30</x:v>
      </x:c>
      <x:c r="BC103" s="1" t="s">
        <x:v>30</x:v>
      </x:c>
      <x:c r="BD103" s="1" t="s">
        <x:v>30</x:v>
      </x:c>
      <x:c r="BE103" s="1" t="s">
        <x:v>30</x:v>
      </x:c>
      <x:c r="BF103" s="1" t="s">
        <x:v>30</x:v>
      </x:c>
    </x:row>
    <x:row r="104" ht="15" hidden="0" customHeight="1">
      <x:c r="A104" s="1" t="s">
        <x:v>2681</x:v>
      </x:c>
      <x:c r="B104" s="1" t="s">
        <x:v>5573</x:v>
      </x:c>
      <x:c r="C104" s="1" t="s">
        <x:v>5693</x:v>
      </x:c>
      <x:c r="D104" s="1" t="n">
        <x:v>25</x:v>
      </x:c>
      <x:c r="E104" s="1" t="n">
        <x:v>0</x:v>
      </x:c>
      <x:c r="F104" s="1" t="n">
        <x:v>0</x:v>
      </x:c>
      <x:c r="G104" s="1" t="n">
        <x:v>0</x:v>
      </x:c>
      <x:c r="H104" s="1" t="n">
        <x:v>0</x:v>
      </x:c>
      <x:c r="I104" s="1" t="n">
        <x:v>0</x:v>
      </x:c>
      <x:c r="J104" s="1" t="s">
        <x:v>30</x:v>
      </x:c>
      <x:c r="K104" s="1" t="s">
        <x:v>30</x:v>
      </x:c>
      <x:c r="L104" s="1" t="s">
        <x:v>30</x:v>
      </x:c>
      <x:c r="M104" s="1" t="s">
        <x:v>30</x:v>
      </x:c>
      <x:c r="N104" s="1" t="s">
        <x:v>6770</x:v>
      </x:c>
      <x:c r="O104" s="1" t="s">
        <x:v>30</x:v>
      </x:c>
      <x:c r="P104" s="1" t="s">
        <x:v>30</x:v>
      </x:c>
      <x:c r="Q104" s="1" t="s">
        <x:v>30</x:v>
      </x:c>
      <x:c r="R104" s="1" t="s">
        <x:v>30</x:v>
      </x:c>
      <x:c r="S104" s="1" t="s">
        <x:v>6766</x:v>
      </x:c>
      <x:c r="T104" s="1" t="s">
        <x:v>30</x:v>
      </x:c>
      <x:c r="U104" s="1" t="s">
        <x:v>30</x:v>
      </x:c>
      <x:c r="V104" s="1" t="s">
        <x:v>30</x:v>
      </x:c>
      <x:c r="W104" s="1" t="s">
        <x:v>6768</x:v>
      </x:c>
      <x:c r="X104" s="1" t="s">
        <x:v>30</x:v>
      </x:c>
      <x:c r="Y104" s="1" t="s">
        <x:v>6766</x:v>
      </x:c>
      <x:c r="Z104" s="1" t="s">
        <x:v>6766</x:v>
      </x:c>
      <x:c r="AA104" s="1" t="s">
        <x:v>6766</x:v>
      </x:c>
      <x:c r="AB104" s="1" t="s">
        <x:v>6766</x:v>
      </x:c>
      <x:c r="AC104" s="1" t="s">
        <x:v>6766</x:v>
      </x:c>
      <x:c r="AD104" s="1" t="s">
        <x:v>30</x:v>
      </x:c>
      <x:c r="AE104" s="1" t="s">
        <x:v>6766</x:v>
      </x:c>
      <x:c r="AF104" s="1" t="s">
        <x:v>30</x:v>
      </x:c>
      <x:c r="AG104" s="1" t="s">
        <x:v>30</x:v>
      </x:c>
      <x:c r="AH104" s="1" t="s">
        <x:v>6766</x:v>
      </x:c>
      <x:c r="AI104" s="1" t="s">
        <x:v>6769</x:v>
      </x:c>
      <x:c r="AJ104" s="1" t="s">
        <x:v>6769</x:v>
      </x:c>
      <x:c r="AK104" s="1" t="s">
        <x:v>6769</x:v>
      </x:c>
      <x:c r="AL104" s="1" t="s">
        <x:v>6766</x:v>
      </x:c>
      <x:c r="AM104" s="1" t="s">
        <x:v>30</x:v>
      </x:c>
      <x:c r="AN104" s="1" t="s">
        <x:v>30</x:v>
      </x:c>
      <x:c r="AO104" s="1" t="s">
        <x:v>30</x:v>
      </x:c>
      <x:c r="AP104" s="1" t="s">
        <x:v>30</x:v>
      </x:c>
      <x:c r="AQ104" s="1" t="s">
        <x:v>6707</x:v>
      </x:c>
      <x:c r="AR104" s="1" t="s">
        <x:v>6707</x:v>
      </x:c>
      <x:c r="AS104" s="1" t="s">
        <x:v>6707</x:v>
      </x:c>
      <x:c r="AT104" s="1" t="s">
        <x:v>6707</x:v>
      </x:c>
      <x:c r="AU104" s="1" t="s">
        <x:v>6707</x:v>
      </x:c>
      <x:c r="AV104" s="1" t="s">
        <x:v>30</x:v>
      </x:c>
      <x:c r="AW104" s="1" t="s">
        <x:v>30</x:v>
      </x:c>
      <x:c r="AX104" s="1" t="s">
        <x:v>30</x:v>
      </x:c>
      <x:c r="AY104" s="1" t="s">
        <x:v>6766</x:v>
      </x:c>
      <x:c r="AZ104" s="1" t="s">
        <x:v>30</x:v>
      </x:c>
      <x:c r="BA104" s="1" t="s">
        <x:v>30</x:v>
      </x:c>
      <x:c r="BB104" s="1" t="s">
        <x:v>30</x:v>
      </x:c>
      <x:c r="BC104" s="1" t="s">
        <x:v>30</x:v>
      </x:c>
      <x:c r="BD104" s="1" t="s">
        <x:v>30</x:v>
      </x:c>
      <x:c r="BE104" s="1" t="s">
        <x:v>30</x:v>
      </x:c>
      <x:c r="BF104" s="1" t="s">
        <x:v>30</x:v>
      </x:c>
    </x:row>
    <x:row r="105" ht="15" hidden="0" customHeight="1">
      <x:c r="A105" s="1" t="s">
        <x:v>839</x:v>
      </x:c>
      <x:c r="B105" s="1" t="s">
        <x:v>5573</x:v>
      </x:c>
      <x:c r="C105" s="1" t="s">
        <x:v>5693</x:v>
      </x:c>
      <x:c r="D105" s="1" t="n">
        <x:v>8</x:v>
      </x:c>
      <x:c r="E105" s="1" t="n">
        <x:v>0</x:v>
      </x:c>
      <x:c r="F105" s="1" t="n">
        <x:v>0</x:v>
      </x:c>
      <x:c r="G105" s="1" t="n">
        <x:v>0</x:v>
      </x:c>
      <x:c r="H105" s="1" t="n">
        <x:v>0</x:v>
      </x:c>
      <x:c r="I105" s="1" t="n">
        <x:v>0</x:v>
      </x:c>
      <x:c r="J105" s="1" t="s">
        <x:v>6766</x:v>
      </x:c>
      <x:c r="K105" s="1" t="s">
        <x:v>6768</x:v>
      </x:c>
      <x:c r="L105" s="1" t="s">
        <x:v>30</x:v>
      </x:c>
      <x:c r="M105" s="1" t="s">
        <x:v>30</x:v>
      </x:c>
      <x:c r="N105" s="1" t="s">
        <x:v>30</x:v>
      </x:c>
      <x:c r="O105" s="1" t="s">
        <x:v>6766</x:v>
      </x:c>
      <x:c r="P105" s="1" t="s">
        <x:v>30</x:v>
      </x:c>
      <x:c r="Q105" s="1" t="s">
        <x:v>30</x:v>
      </x:c>
      <x:c r="R105" s="1" t="s">
        <x:v>30</x:v>
      </x:c>
      <x:c r="S105" s="1" t="s">
        <x:v>30</x:v>
      </x:c>
      <x:c r="T105" s="1" t="s">
        <x:v>30</x:v>
      </x:c>
      <x:c r="U105" s="1" t="s">
        <x:v>30</x:v>
      </x:c>
      <x:c r="V105" s="1" t="s">
        <x:v>30</x:v>
      </x:c>
      <x:c r="W105" s="1" t="s">
        <x:v>30</x:v>
      </x:c>
      <x:c r="X105" s="1" t="s">
        <x:v>30</x:v>
      </x:c>
      <x:c r="Y105" s="1" t="s">
        <x:v>30</x:v>
      </x:c>
      <x:c r="Z105" s="1" t="s">
        <x:v>30</x:v>
      </x:c>
      <x:c r="AA105" s="1" t="s">
        <x:v>30</x:v>
      </x:c>
      <x:c r="AB105" s="1" t="s">
        <x:v>30</x:v>
      </x:c>
      <x:c r="AC105" s="1" t="s">
        <x:v>30</x:v>
      </x:c>
      <x:c r="AD105" s="1" t="s">
        <x:v>30</x:v>
      </x:c>
      <x:c r="AE105" s="1" t="s">
        <x:v>30</x:v>
      </x:c>
      <x:c r="AF105" s="1" t="s">
        <x:v>30</x:v>
      </x:c>
      <x:c r="AG105" s="1" t="s">
        <x:v>30</x:v>
      </x:c>
      <x:c r="AH105" s="1" t="s">
        <x:v>30</x:v>
      </x:c>
      <x:c r="AI105" s="1" t="s">
        <x:v>30</x:v>
      </x:c>
      <x:c r="AJ105" s="1" t="s">
        <x:v>30</x:v>
      </x:c>
      <x:c r="AK105" s="1" t="s">
        <x:v>30</x:v>
      </x:c>
      <x:c r="AL105" s="1" t="s">
        <x:v>6766</x:v>
      </x:c>
      <x:c r="AM105" s="1" t="s">
        <x:v>6766</x:v>
      </x:c>
      <x:c r="AN105" s="1" t="s">
        <x:v>30</x:v>
      </x:c>
      <x:c r="AO105" s="1" t="s">
        <x:v>30</x:v>
      </x:c>
      <x:c r="AP105" s="1" t="s">
        <x:v>30</x:v>
      </x:c>
      <x:c r="AQ105" s="1" t="s">
        <x:v>6707</x:v>
      </x:c>
      <x:c r="AR105" s="1" t="s">
        <x:v>6707</x:v>
      </x:c>
      <x:c r="AS105" s="1" t="s">
        <x:v>6707</x:v>
      </x:c>
      <x:c r="AT105" s="1" t="s">
        <x:v>6707</x:v>
      </x:c>
      <x:c r="AU105" s="1" t="s">
        <x:v>6707</x:v>
      </x:c>
      <x:c r="AV105" s="1" t="s">
        <x:v>30</x:v>
      </x:c>
      <x:c r="AW105" s="1" t="s">
        <x:v>6766</x:v>
      </x:c>
      <x:c r="AX105" s="1" t="s">
        <x:v>30</x:v>
      </x:c>
      <x:c r="AY105" s="1" t="s">
        <x:v>6766</x:v>
      </x:c>
      <x:c r="AZ105" s="1" t="s">
        <x:v>30</x:v>
      </x:c>
      <x:c r="BA105" s="1" t="s">
        <x:v>30</x:v>
      </x:c>
      <x:c r="BB105" s="1" t="s">
        <x:v>30</x:v>
      </x:c>
      <x:c r="BC105" s="1" t="s">
        <x:v>30</x:v>
      </x:c>
      <x:c r="BD105" s="1" t="s">
        <x:v>30</x:v>
      </x:c>
      <x:c r="BE105" s="1" t="s">
        <x:v>30</x:v>
      </x:c>
      <x:c r="BF105" s="1" t="s">
        <x:v>30</x:v>
      </x:c>
    </x:row>
    <x:row r="106" ht="15" hidden="0" customHeight="1">
      <x:c r="A106" s="1" t="s">
        <x:v>5634</x:v>
      </x:c>
      <x:c r="B106" s="1" t="s">
        <x:v>5573</x:v>
      </x:c>
      <x:c r="C106" s="1" t="s">
        <x:v>5693</x:v>
      </x:c>
      <x:c r="D106" s="1" t="n">
        <x:v>0</x:v>
      </x:c>
      <x:c r="E106" s="1" t="n">
        <x:v>0</x:v>
      </x:c>
      <x:c r="F106" s="1" t="n">
        <x:v>0</x:v>
      </x:c>
      <x:c r="G106" s="1" t="n">
        <x:v>0</x:v>
      </x:c>
      <x:c r="H106" s="1" t="n">
        <x:v>0</x:v>
      </x:c>
      <x:c r="I106" s="1" t="n">
        <x:v>0</x:v>
      </x:c>
      <x:c r="J106" s="1" t="s">
        <x:v>30</x:v>
      </x:c>
      <x:c r="K106" s="1" t="s">
        <x:v>30</x:v>
      </x:c>
      <x:c r="L106" s="1" t="s">
        <x:v>30</x:v>
      </x:c>
      <x:c r="M106" s="1" t="s">
        <x:v>30</x:v>
      </x:c>
      <x:c r="N106" s="1" t="s">
        <x:v>30</x:v>
      </x:c>
      <x:c r="O106" s="1" t="s">
        <x:v>30</x:v>
      </x:c>
      <x:c r="P106" s="1" t="s">
        <x:v>30</x:v>
      </x:c>
      <x:c r="Q106" s="1" t="s">
        <x:v>30</x:v>
      </x:c>
      <x:c r="R106" s="1" t="s">
        <x:v>30</x:v>
      </x:c>
      <x:c r="S106" s="1" t="s">
        <x:v>30</x:v>
      </x:c>
      <x:c r="T106" s="1" t="s">
        <x:v>30</x:v>
      </x:c>
      <x:c r="U106" s="1" t="s">
        <x:v>30</x:v>
      </x:c>
      <x:c r="V106" s="1" t="s">
        <x:v>30</x:v>
      </x:c>
      <x:c r="W106" s="1" t="s">
        <x:v>30</x:v>
      </x:c>
      <x:c r="X106" s="1" t="s">
        <x:v>30</x:v>
      </x:c>
      <x:c r="Y106" s="1" t="s">
        <x:v>30</x:v>
      </x:c>
      <x:c r="Z106" s="1" t="s">
        <x:v>30</x:v>
      </x:c>
      <x:c r="AA106" s="1" t="s">
        <x:v>30</x:v>
      </x:c>
      <x:c r="AB106" s="1" t="s">
        <x:v>30</x:v>
      </x:c>
      <x:c r="AC106" s="1" t="s">
        <x:v>30</x:v>
      </x:c>
      <x:c r="AD106" s="1" t="s">
        <x:v>30</x:v>
      </x:c>
      <x:c r="AE106" s="1" t="s">
        <x:v>30</x:v>
      </x:c>
      <x:c r="AF106" s="1" t="s">
        <x:v>30</x:v>
      </x:c>
      <x:c r="AG106" s="1" t="s">
        <x:v>30</x:v>
      </x:c>
      <x:c r="AH106" s="1" t="s">
        <x:v>30</x:v>
      </x:c>
      <x:c r="AI106" s="1" t="s">
        <x:v>30</x:v>
      </x:c>
      <x:c r="AJ106" s="1" t="s">
        <x:v>30</x:v>
      </x:c>
      <x:c r="AK106" s="1" t="s">
        <x:v>30</x:v>
      </x:c>
      <x:c r="AL106" s="1" t="s">
        <x:v>30</x:v>
      </x:c>
      <x:c r="AM106" s="1" t="s">
        <x:v>30</x:v>
      </x:c>
      <x:c r="AN106" s="1" t="s">
        <x:v>30</x:v>
      </x:c>
      <x:c r="AO106" s="1" t="s">
        <x:v>30</x:v>
      </x:c>
      <x:c r="AP106" s="1" t="s">
        <x:v>30</x:v>
      </x:c>
      <x:c r="AQ106" s="1" t="s">
        <x:v>30</x:v>
      </x:c>
      <x:c r="AR106" s="1" t="s">
        <x:v>30</x:v>
      </x:c>
      <x:c r="AS106" s="1" t="s">
        <x:v>30</x:v>
      </x:c>
      <x:c r="AT106" s="1" t="s">
        <x:v>30</x:v>
      </x:c>
      <x:c r="AU106" s="1" t="s">
        <x:v>30</x:v>
      </x:c>
      <x:c r="AV106" s="1" t="s">
        <x:v>30</x:v>
      </x:c>
      <x:c r="AW106" s="1" t="s">
        <x:v>30</x:v>
      </x:c>
      <x:c r="AX106" s="1" t="s">
        <x:v>30</x:v>
      </x:c>
      <x:c r="AY106" s="1" t="s">
        <x:v>30</x:v>
      </x:c>
      <x:c r="AZ106" s="1" t="s">
        <x:v>30</x:v>
      </x:c>
      <x:c r="BA106" s="1" t="s">
        <x:v>30</x:v>
      </x:c>
      <x:c r="BB106" s="1" t="s">
        <x:v>30</x:v>
      </x:c>
      <x:c r="BC106" s="1" t="s">
        <x:v>30</x:v>
      </x:c>
      <x:c r="BD106" s="1" t="s">
        <x:v>30</x:v>
      </x:c>
      <x:c r="BE106" s="1" t="s">
        <x:v>30</x:v>
      </x:c>
      <x:c r="BF106" s="1" t="s">
        <x:v>30</x:v>
      </x:c>
    </x:row>
    <x:row r="107" ht="15" hidden="0" customHeight="1">
      <x:c r="A107" s="1" t="s">
        <x:v>5636</x:v>
      </x:c>
      <x:c r="B107" s="1" t="s">
        <x:v>5573</x:v>
      </x:c>
      <x:c r="C107" s="1" t="s">
        <x:v>5693</x:v>
      </x:c>
      <x:c r="D107" s="1" t="n">
        <x:v>0</x:v>
      </x:c>
      <x:c r="E107" s="1" t="n">
        <x:v>0</x:v>
      </x:c>
      <x:c r="F107" s="1" t="n">
        <x:v>0</x:v>
      </x:c>
      <x:c r="G107" s="1" t="n">
        <x:v>0</x:v>
      </x:c>
      <x:c r="H107" s="1" t="n">
        <x:v>0</x:v>
      </x:c>
      <x:c r="I107" s="1" t="n">
        <x:v>0</x:v>
      </x:c>
      <x:c r="J107" s="1" t="s">
        <x:v>30</x:v>
      </x:c>
      <x:c r="K107" s="1" t="s">
        <x:v>30</x:v>
      </x:c>
      <x:c r="L107" s="1" t="s">
        <x:v>30</x:v>
      </x:c>
      <x:c r="M107" s="1" t="s">
        <x:v>30</x:v>
      </x:c>
      <x:c r="N107" s="1" t="s">
        <x:v>30</x:v>
      </x:c>
      <x:c r="O107" s="1" t="s">
        <x:v>30</x:v>
      </x:c>
      <x:c r="P107" s="1" t="s">
        <x:v>30</x:v>
      </x:c>
      <x:c r="Q107" s="1" t="s">
        <x:v>30</x:v>
      </x:c>
      <x:c r="R107" s="1" t="s">
        <x:v>30</x:v>
      </x:c>
      <x:c r="S107" s="1" t="s">
        <x:v>30</x:v>
      </x:c>
      <x:c r="T107" s="1" t="s">
        <x:v>30</x:v>
      </x:c>
      <x:c r="U107" s="1" t="s">
        <x:v>30</x:v>
      </x:c>
      <x:c r="V107" s="1" t="s">
        <x:v>30</x:v>
      </x:c>
      <x:c r="W107" s="1" t="s">
        <x:v>30</x:v>
      </x:c>
      <x:c r="X107" s="1" t="s">
        <x:v>30</x:v>
      </x:c>
      <x:c r="Y107" s="1" t="s">
        <x:v>30</x:v>
      </x:c>
      <x:c r="Z107" s="1" t="s">
        <x:v>30</x:v>
      </x:c>
      <x:c r="AA107" s="1" t="s">
        <x:v>30</x:v>
      </x:c>
      <x:c r="AB107" s="1" t="s">
        <x:v>30</x:v>
      </x:c>
      <x:c r="AC107" s="1" t="s">
        <x:v>30</x:v>
      </x:c>
      <x:c r="AD107" s="1" t="s">
        <x:v>30</x:v>
      </x:c>
      <x:c r="AE107" s="1" t="s">
        <x:v>30</x:v>
      </x:c>
      <x:c r="AF107" s="1" t="s">
        <x:v>30</x:v>
      </x:c>
      <x:c r="AG107" s="1" t="s">
        <x:v>30</x:v>
      </x:c>
      <x:c r="AH107" s="1" t="s">
        <x:v>30</x:v>
      </x:c>
      <x:c r="AI107" s="1" t="s">
        <x:v>30</x:v>
      </x:c>
      <x:c r="AJ107" s="1" t="s">
        <x:v>30</x:v>
      </x:c>
      <x:c r="AK107" s="1" t="s">
        <x:v>30</x:v>
      </x:c>
      <x:c r="AL107" s="1" t="s">
        <x:v>30</x:v>
      </x:c>
      <x:c r="AM107" s="1" t="s">
        <x:v>30</x:v>
      </x:c>
      <x:c r="AN107" s="1" t="s">
        <x:v>30</x:v>
      </x:c>
      <x:c r="AO107" s="1" t="s">
        <x:v>30</x:v>
      </x:c>
      <x:c r="AP107" s="1" t="s">
        <x:v>30</x:v>
      </x:c>
      <x:c r="AQ107" s="1" t="s">
        <x:v>30</x:v>
      </x:c>
      <x:c r="AR107" s="1" t="s">
        <x:v>30</x:v>
      </x:c>
      <x:c r="AS107" s="1" t="s">
        <x:v>30</x:v>
      </x:c>
      <x:c r="AT107" s="1" t="s">
        <x:v>30</x:v>
      </x:c>
      <x:c r="AU107" s="1" t="s">
        <x:v>30</x:v>
      </x:c>
      <x:c r="AV107" s="1" t="s">
        <x:v>30</x:v>
      </x:c>
      <x:c r="AW107" s="1" t="s">
        <x:v>30</x:v>
      </x:c>
      <x:c r="AX107" s="1" t="s">
        <x:v>30</x:v>
      </x:c>
      <x:c r="AY107" s="1" t="s">
        <x:v>30</x:v>
      </x:c>
      <x:c r="AZ107" s="1" t="s">
        <x:v>30</x:v>
      </x:c>
      <x:c r="BA107" s="1" t="s">
        <x:v>30</x:v>
      </x:c>
      <x:c r="BB107" s="1" t="s">
        <x:v>30</x:v>
      </x:c>
      <x:c r="BC107" s="1" t="s">
        <x:v>30</x:v>
      </x:c>
      <x:c r="BD107" s="1" t="s">
        <x:v>30</x:v>
      </x:c>
      <x:c r="BE107" s="1" t="s">
        <x:v>30</x:v>
      </x:c>
      <x:c r="BF107" s="1" t="s">
        <x:v>30</x:v>
      </x:c>
    </x:row>
    <x:row r="108" ht="15" hidden="0" customHeight="1">
      <x:c r="A108" s="1" t="s">
        <x:v>857</x:v>
      </x:c>
      <x:c r="B108" s="1" t="s">
        <x:v>5551</x:v>
      </x:c>
      <x:c r="C108" s="1" t="s">
        <x:v>5693</x:v>
      </x:c>
      <x:c r="D108" s="1" t="n">
        <x:v>5</x:v>
      </x:c>
      <x:c r="E108" s="1" t="n">
        <x:v>1</x:v>
      </x:c>
      <x:c r="F108" s="1" t="n">
        <x:v>0</x:v>
      </x:c>
      <x:c r="G108" s="1" t="n">
        <x:v>0</x:v>
      </x:c>
      <x:c r="H108" s="1" t="n">
        <x:v>0</x:v>
      </x:c>
      <x:c r="I108" s="1" t="n">
        <x:v>0</x:v>
      </x:c>
      <x:c r="J108" s="1" t="s">
        <x:v>6766</x:v>
      </x:c>
      <x:c r="K108" s="1" t="s">
        <x:v>6768</x:v>
      </x:c>
      <x:c r="L108" s="1" t="s">
        <x:v>30</x:v>
      </x:c>
      <x:c r="M108" s="1" t="s">
        <x:v>30</x:v>
      </x:c>
      <x:c r="N108" s="1" t="s">
        <x:v>30</x:v>
      </x:c>
      <x:c r="O108" s="1" t="s">
        <x:v>30</x:v>
      </x:c>
      <x:c r="P108" s="1" t="s">
        <x:v>30</x:v>
      </x:c>
      <x:c r="Q108" s="1" t="s">
        <x:v>30</x:v>
      </x:c>
      <x:c r="R108" s="1" t="s">
        <x:v>30</x:v>
      </x:c>
      <x:c r="S108" s="1" t="s">
        <x:v>30</x:v>
      </x:c>
      <x:c r="T108" s="1" t="s">
        <x:v>30</x:v>
      </x:c>
      <x:c r="U108" s="1" t="s">
        <x:v>30</x:v>
      </x:c>
      <x:c r="V108" s="1" t="s">
        <x:v>30</x:v>
      </x:c>
      <x:c r="W108" s="1" t="s">
        <x:v>30</x:v>
      </x:c>
      <x:c r="X108" s="1" t="s">
        <x:v>30</x:v>
      </x:c>
      <x:c r="Y108" s="1" t="s">
        <x:v>30</x:v>
      </x:c>
      <x:c r="Z108" s="1" t="s">
        <x:v>30</x:v>
      </x:c>
      <x:c r="AA108" s="1" t="s">
        <x:v>30</x:v>
      </x:c>
      <x:c r="AB108" s="1" t="s">
        <x:v>30</x:v>
      </x:c>
      <x:c r="AC108" s="1" t="s">
        <x:v>30</x:v>
      </x:c>
      <x:c r="AD108" s="1" t="s">
        <x:v>30</x:v>
      </x:c>
      <x:c r="AE108" s="1" t="s">
        <x:v>30</x:v>
      </x:c>
      <x:c r="AF108" s="1" t="s">
        <x:v>30</x:v>
      </x:c>
      <x:c r="AG108" s="1" t="s">
        <x:v>6766</x:v>
      </x:c>
      <x:c r="AH108" s="1" t="s">
        <x:v>30</x:v>
      </x:c>
      <x:c r="AI108" s="1" t="s">
        <x:v>30</x:v>
      </x:c>
      <x:c r="AJ108" s="1" t="s">
        <x:v>30</x:v>
      </x:c>
      <x:c r="AK108" s="1" t="s">
        <x:v>30</x:v>
      </x:c>
      <x:c r="AL108" s="1" t="s">
        <x:v>30</x:v>
      </x:c>
      <x:c r="AM108" s="1" t="s">
        <x:v>30</x:v>
      </x:c>
      <x:c r="AN108" s="1" t="s">
        <x:v>30</x:v>
      </x:c>
      <x:c r="AO108" s="1" t="s">
        <x:v>30</x:v>
      </x:c>
      <x:c r="AP108" s="1" t="s">
        <x:v>30</x:v>
      </x:c>
      <x:c r="AQ108" s="1" t="s">
        <x:v>30</x:v>
      </x:c>
      <x:c r="AR108" s="1" t="s">
        <x:v>30</x:v>
      </x:c>
      <x:c r="AS108" s="1" t="s">
        <x:v>30</x:v>
      </x:c>
      <x:c r="AT108" s="1" t="s">
        <x:v>30</x:v>
      </x:c>
      <x:c r="AU108" s="1" t="s">
        <x:v>30</x:v>
      </x:c>
      <x:c r="AV108" s="1" t="s">
        <x:v>30</x:v>
      </x:c>
      <x:c r="AW108" s="1" t="s">
        <x:v>30</x:v>
      </x:c>
      <x:c r="AX108" s="1" t="s">
        <x:v>30</x:v>
      </x:c>
      <x:c r="AY108" s="1" t="s">
        <x:v>30</x:v>
      </x:c>
      <x:c r="AZ108" s="1" t="s">
        <x:v>6766</x:v>
      </x:c>
      <x:c r="BA108" s="1" t="s">
        <x:v>30</x:v>
      </x:c>
      <x:c r="BB108" s="1" t="s">
        <x:v>30</x:v>
      </x:c>
      <x:c r="BC108" s="1" t="s">
        <x:v>6766</x:v>
      </x:c>
      <x:c r="BD108" s="1" t="s">
        <x:v>30</x:v>
      </x:c>
      <x:c r="BE108" s="1" t="s">
        <x:v>30</x:v>
      </x:c>
      <x:c r="BF108" s="1" t="s">
        <x:v>30</x:v>
      </x:c>
    </x:row>
    <x:row r="109" ht="15" hidden="0" customHeight="1">
      <x:c r="A109" s="1" t="s">
        <x:v>2645</x:v>
      </x:c>
      <x:c r="B109" s="1" t="s">
        <x:v>5551</x:v>
      </x:c>
      <x:c r="C109" s="1" t="s">
        <x:v>5693</x:v>
      </x:c>
      <x:c r="D109" s="1" t="n">
        <x:v>17</x:v>
      </x:c>
      <x:c r="E109" s="1" t="n">
        <x:v>0</x:v>
      </x:c>
      <x:c r="F109" s="1" t="n">
        <x:v>0</x:v>
      </x:c>
      <x:c r="G109" s="1" t="n">
        <x:v>0</x:v>
      </x:c>
      <x:c r="H109" s="1" t="n">
        <x:v>0</x:v>
      </x:c>
      <x:c r="I109" s="1" t="n">
        <x:v>0</x:v>
      </x:c>
      <x:c r="J109" s="1" t="s">
        <x:v>30</x:v>
      </x:c>
      <x:c r="K109" s="1" t="s">
        <x:v>30</x:v>
      </x:c>
      <x:c r="L109" s="1" t="s">
        <x:v>6766</x:v>
      </x:c>
      <x:c r="M109" s="1" t="s">
        <x:v>30</x:v>
      </x:c>
      <x:c r="N109" s="1" t="s">
        <x:v>6770</x:v>
      </x:c>
      <x:c r="O109" s="1" t="s">
        <x:v>6766</x:v>
      </x:c>
      <x:c r="P109" s="1" t="s">
        <x:v>30</x:v>
      </x:c>
      <x:c r="Q109" s="1" t="s">
        <x:v>6766</x:v>
      </x:c>
      <x:c r="R109" s="1" t="s">
        <x:v>30</x:v>
      </x:c>
      <x:c r="S109" s="1" t="s">
        <x:v>6768</x:v>
      </x:c>
      <x:c r="T109" s="1" t="s">
        <x:v>6766</x:v>
      </x:c>
      <x:c r="U109" s="1" t="s">
        <x:v>30</x:v>
      </x:c>
      <x:c r="V109" s="1" t="s">
        <x:v>30</x:v>
      </x:c>
      <x:c r="W109" s="1" t="s">
        <x:v>30</x:v>
      </x:c>
      <x:c r="X109" s="1" t="s">
        <x:v>30</x:v>
      </x:c>
      <x:c r="Y109" s="1" t="s">
        <x:v>30</x:v>
      </x:c>
      <x:c r="Z109" s="1" t="s">
        <x:v>30</x:v>
      </x:c>
      <x:c r="AA109" s="1" t="s">
        <x:v>30</x:v>
      </x:c>
      <x:c r="AB109" s="1" t="s">
        <x:v>6766</x:v>
      </x:c>
      <x:c r="AC109" s="1" t="s">
        <x:v>6766</x:v>
      </x:c>
      <x:c r="AD109" s="1" t="s">
        <x:v>30</x:v>
      </x:c>
      <x:c r="AE109" s="1" t="s">
        <x:v>6766</x:v>
      </x:c>
      <x:c r="AF109" s="1" t="s">
        <x:v>6766</x:v>
      </x:c>
      <x:c r="AG109" s="1" t="s">
        <x:v>30</x:v>
      </x:c>
      <x:c r="AH109" s="1" t="s">
        <x:v>30</x:v>
      </x:c>
      <x:c r="AI109" s="1" t="s">
        <x:v>30</x:v>
      </x:c>
      <x:c r="AJ109" s="1" t="s">
        <x:v>30</x:v>
      </x:c>
      <x:c r="AK109" s="1" t="s">
        <x:v>6768</x:v>
      </x:c>
      <x:c r="AL109" s="1" t="s">
        <x:v>30</x:v>
      </x:c>
      <x:c r="AM109" s="1" t="s">
        <x:v>30</x:v>
      </x:c>
      <x:c r="AN109" s="1" t="s">
        <x:v>30</x:v>
      </x:c>
      <x:c r="AO109" s="1" t="s">
        <x:v>30</x:v>
      </x:c>
      <x:c r="AP109" s="1" t="s">
        <x:v>30</x:v>
      </x:c>
      <x:c r="AQ109" s="1" t="s">
        <x:v>6707</x:v>
      </x:c>
      <x:c r="AR109" s="1" t="s">
        <x:v>6707</x:v>
      </x:c>
      <x:c r="AS109" s="1" t="s">
        <x:v>6707</x:v>
      </x:c>
      <x:c r="AT109" s="1" t="s">
        <x:v>6707</x:v>
      </x:c>
      <x:c r="AU109" s="1" t="s">
        <x:v>6707</x:v>
      </x:c>
      <x:c r="AV109" s="1" t="s">
        <x:v>30</x:v>
      </x:c>
      <x:c r="AW109" s="1" t="s">
        <x:v>6766</x:v>
      </x:c>
      <x:c r="AX109" s="1" t="s">
        <x:v>30</x:v>
      </x:c>
      <x:c r="AY109" s="1" t="s">
        <x:v>30</x:v>
      </x:c>
      <x:c r="AZ109" s="1" t="s">
        <x:v>30</x:v>
      </x:c>
      <x:c r="BA109" s="1" t="s">
        <x:v>30</x:v>
      </x:c>
      <x:c r="BB109" s="1" t="s">
        <x:v>30</x:v>
      </x:c>
      <x:c r="BC109" s="1" t="s">
        <x:v>30</x:v>
      </x:c>
      <x:c r="BD109" s="1" t="s">
        <x:v>30</x:v>
      </x:c>
      <x:c r="BE109" s="1" t="s">
        <x:v>30</x:v>
      </x:c>
      <x:c r="BF109" s="1" t="s">
        <x:v>30</x:v>
      </x:c>
    </x:row>
    <x:row r="110" ht="15" hidden="0" customHeight="1">
      <x:c r="A110" s="1" t="s">
        <x:v>2918</x:v>
      </x:c>
      <x:c r="B110" s="1" t="s">
        <x:v>5551</x:v>
      </x:c>
      <x:c r="C110" s="1" t="s">
        <x:v>5693</x:v>
      </x:c>
      <x:c r="D110" s="1" t="n">
        <x:v>13</x:v>
      </x:c>
      <x:c r="E110" s="1" t="n">
        <x:v>1</x:v>
      </x:c>
      <x:c r="F110" s="1" t="n">
        <x:v>0</x:v>
      </x:c>
      <x:c r="G110" s="1" t="n">
        <x:v>0</x:v>
      </x:c>
      <x:c r="H110" s="1" t="n">
        <x:v>0</x:v>
      </x:c>
      <x:c r="I110" s="1" t="n">
        <x:v>0</x:v>
      </x:c>
      <x:c r="J110" s="1" t="s">
        <x:v>6766</x:v>
      </x:c>
      <x:c r="K110" s="1" t="s">
        <x:v>30</x:v>
      </x:c>
      <x:c r="L110" s="1" t="s">
        <x:v>6766</x:v>
      </x:c>
      <x:c r="M110" s="1" t="s">
        <x:v>30</x:v>
      </x:c>
      <x:c r="N110" s="1" t="s">
        <x:v>6766</x:v>
      </x:c>
      <x:c r="O110" s="1" t="s">
        <x:v>6768</x:v>
      </x:c>
      <x:c r="P110" s="1" t="s">
        <x:v>30</x:v>
      </x:c>
      <x:c r="Q110" s="1" t="s">
        <x:v>6766</x:v>
      </x:c>
      <x:c r="R110" s="1" t="s">
        <x:v>6768</x:v>
      </x:c>
      <x:c r="S110" s="1" t="s">
        <x:v>30</x:v>
      </x:c>
      <x:c r="T110" s="1" t="s">
        <x:v>6768</x:v>
      </x:c>
      <x:c r="U110" s="1" t="s">
        <x:v>30</x:v>
      </x:c>
      <x:c r="V110" s="1" t="s">
        <x:v>30</x:v>
      </x:c>
      <x:c r="W110" s="1" t="s">
        <x:v>30</x:v>
      </x:c>
      <x:c r="X110" s="1" t="s">
        <x:v>30</x:v>
      </x:c>
      <x:c r="Y110" s="1" t="s">
        <x:v>30</x:v>
      </x:c>
      <x:c r="Z110" s="1" t="s">
        <x:v>6766</x:v>
      </x:c>
      <x:c r="AA110" s="1" t="s">
        <x:v>30</x:v>
      </x:c>
      <x:c r="AB110" s="1" t="s">
        <x:v>30</x:v>
      </x:c>
      <x:c r="AC110" s="1" t="s">
        <x:v>30</x:v>
      </x:c>
      <x:c r="AD110" s="1" t="s">
        <x:v>30</x:v>
      </x:c>
      <x:c r="AE110" s="1" t="s">
        <x:v>30</x:v>
      </x:c>
      <x:c r="AF110" s="1" t="s">
        <x:v>30</x:v>
      </x:c>
      <x:c r="AG110" s="1" t="s">
        <x:v>30</x:v>
      </x:c>
      <x:c r="AH110" s="1" t="s">
        <x:v>30</x:v>
      </x:c>
      <x:c r="AI110" s="1" t="s">
        <x:v>30</x:v>
      </x:c>
      <x:c r="AJ110" s="1" t="s">
        <x:v>30</x:v>
      </x:c>
      <x:c r="AK110" s="1" t="s">
        <x:v>6766</x:v>
      </x:c>
      <x:c r="AL110" s="1" t="s">
        <x:v>30</x:v>
      </x:c>
      <x:c r="AM110" s="1" t="s">
        <x:v>30</x:v>
      </x:c>
      <x:c r="AN110" s="1" t="s">
        <x:v>30</x:v>
      </x:c>
      <x:c r="AO110" s="1" t="s">
        <x:v>30</x:v>
      </x:c>
      <x:c r="AP110" s="1" t="s">
        <x:v>30</x:v>
      </x:c>
      <x:c r="AQ110" s="1" t="s">
        <x:v>6707</x:v>
      </x:c>
      <x:c r="AR110" s="1" t="s">
        <x:v>6707</x:v>
      </x:c>
      <x:c r="AS110" s="1" t="s">
        <x:v>6707</x:v>
      </x:c>
      <x:c r="AT110" s="1" t="s">
        <x:v>6707</x:v>
      </x:c>
      <x:c r="AU110" s="1" t="s">
        <x:v>6707</x:v>
      </x:c>
      <x:c r="AV110" s="1" t="s">
        <x:v>30</x:v>
      </x:c>
      <x:c r="AW110" s="1" t="s">
        <x:v>6766</x:v>
      </x:c>
      <x:c r="AX110" s="1" t="s">
        <x:v>30</x:v>
      </x:c>
      <x:c r="AY110" s="1" t="s">
        <x:v>30</x:v>
      </x:c>
      <x:c r="AZ110" s="1" t="s">
        <x:v>6766</x:v>
      </x:c>
      <x:c r="BA110" s="1" t="s">
        <x:v>30</x:v>
      </x:c>
      <x:c r="BB110" s="1" t="s">
        <x:v>30</x:v>
      </x:c>
      <x:c r="BC110" s="1" t="s">
        <x:v>30</x:v>
      </x:c>
      <x:c r="BD110" s="1" t="s">
        <x:v>30</x:v>
      </x:c>
      <x:c r="BE110" s="1" t="s">
        <x:v>30</x:v>
      </x:c>
      <x:c r="BF110" s="1" t="s">
        <x:v>30</x:v>
      </x:c>
    </x:row>
    <x:row r="111" ht="15" hidden="0" customHeight="1">
      <x:c r="A111" s="1" t="s">
        <x:v>2957</x:v>
      </x:c>
      <x:c r="B111" s="1" t="s">
        <x:v>5478</x:v>
      </x:c>
      <x:c r="C111" s="1" t="s">
        <x:v>5693</x:v>
      </x:c>
      <x:c r="D111" s="1" t="n">
        <x:v>20</x:v>
      </x:c>
      <x:c r="E111" s="1" t="n">
        <x:v>0</x:v>
      </x:c>
      <x:c r="F111" s="1" t="n">
        <x:v>0</x:v>
      </x:c>
      <x:c r="G111" s="1" t="n">
        <x:v>0</x:v>
      </x:c>
      <x:c r="H111" s="1" t="n">
        <x:v>0</x:v>
      </x:c>
      <x:c r="I111" s="1" t="n">
        <x:v>0</x:v>
      </x:c>
      <x:c r="J111" s="1" t="s">
        <x:v>30</x:v>
      </x:c>
      <x:c r="K111" s="1" t="s">
        <x:v>6769</x:v>
      </x:c>
      <x:c r="L111" s="1" t="s">
        <x:v>30</x:v>
      </x:c>
      <x:c r="M111" s="1" t="s">
        <x:v>30</x:v>
      </x:c>
      <x:c r="N111" s="1" t="s">
        <x:v>6768</x:v>
      </x:c>
      <x:c r="O111" s="1" t="s">
        <x:v>6768</x:v>
      </x:c>
      <x:c r="P111" s="1" t="s">
        <x:v>30</x:v>
      </x:c>
      <x:c r="Q111" s="1" t="s">
        <x:v>30</x:v>
      </x:c>
      <x:c r="R111" s="1" t="s">
        <x:v>30</x:v>
      </x:c>
      <x:c r="S111" s="1" t="s">
        <x:v>6768</x:v>
      </x:c>
      <x:c r="T111" s="1" t="s">
        <x:v>30</x:v>
      </x:c>
      <x:c r="U111" s="1" t="s">
        <x:v>6768</x:v>
      </x:c>
      <x:c r="V111" s="1" t="s">
        <x:v>30</x:v>
      </x:c>
      <x:c r="W111" s="1" t="s">
        <x:v>30</x:v>
      </x:c>
      <x:c r="X111" s="1" t="s">
        <x:v>30</x:v>
      </x:c>
      <x:c r="Y111" s="1" t="s">
        <x:v>6766</x:v>
      </x:c>
      <x:c r="Z111" s="1" t="s">
        <x:v>6766</x:v>
      </x:c>
      <x:c r="AA111" s="1" t="s">
        <x:v>6766</x:v>
      </x:c>
      <x:c r="AB111" s="1" t="s">
        <x:v>6766</x:v>
      </x:c>
      <x:c r="AC111" s="1" t="s">
        <x:v>6766</x:v>
      </x:c>
      <x:c r="AD111" s="1" t="s">
        <x:v>30</x:v>
      </x:c>
      <x:c r="AE111" s="1" t="s">
        <x:v>6766</x:v>
      </x:c>
      <x:c r="AF111" s="1" t="s">
        <x:v>30</x:v>
      </x:c>
      <x:c r="AG111" s="1" t="s">
        <x:v>30</x:v>
      </x:c>
      <x:c r="AH111" s="1" t="s">
        <x:v>6766</x:v>
      </x:c>
      <x:c r="AI111" s="1" t="s">
        <x:v>30</x:v>
      </x:c>
      <x:c r="AJ111" s="1" t="s">
        <x:v>30</x:v>
      </x:c>
      <x:c r="AK111" s="1" t="s">
        <x:v>6768</x:v>
      </x:c>
      <x:c r="AL111" s="1" t="s">
        <x:v>30</x:v>
      </x:c>
      <x:c r="AM111" s="1" t="s">
        <x:v>30</x:v>
      </x:c>
      <x:c r="AN111" s="1" t="s">
        <x:v>30</x:v>
      </x:c>
      <x:c r="AO111" s="1" t="s">
        <x:v>30</x:v>
      </x:c>
      <x:c r="AP111" s="1" t="s">
        <x:v>30</x:v>
      </x:c>
      <x:c r="AQ111" s="1" t="s">
        <x:v>6707</x:v>
      </x:c>
      <x:c r="AR111" s="1" t="s">
        <x:v>6707</x:v>
      </x:c>
      <x:c r="AS111" s="1" t="s">
        <x:v>6707</x:v>
      </x:c>
      <x:c r="AT111" s="1" t="s">
        <x:v>6707</x:v>
      </x:c>
      <x:c r="AU111" s="1" t="s">
        <x:v>6707</x:v>
      </x:c>
      <x:c r="AV111" s="1" t="s">
        <x:v>30</x:v>
      </x:c>
      <x:c r="AW111" s="1" t="s">
        <x:v>30</x:v>
      </x:c>
      <x:c r="AX111" s="1" t="s">
        <x:v>30</x:v>
      </x:c>
      <x:c r="AY111" s="1" t="s">
        <x:v>30</x:v>
      </x:c>
      <x:c r="AZ111" s="1" t="s">
        <x:v>30</x:v>
      </x:c>
      <x:c r="BA111" s="1" t="s">
        <x:v>30</x:v>
      </x:c>
      <x:c r="BB111" s="1" t="s">
        <x:v>30</x:v>
      </x:c>
      <x:c r="BC111" s="1" t="s">
        <x:v>30</x:v>
      </x:c>
      <x:c r="BD111" s="1" t="s">
        <x:v>30</x:v>
      </x:c>
      <x:c r="BE111" s="1" t="s">
        <x:v>30</x:v>
      </x:c>
      <x:c r="BF111" s="1" t="s">
        <x:v>30</x:v>
      </x:c>
    </x:row>
    <x:row r="112" ht="15" hidden="0" customHeight="1">
      <x:c r="A112" s="1" t="s">
        <x:v>5142</x:v>
      </x:c>
      <x:c r="B112" s="1" t="s">
        <x:v>5532</x:v>
      </x:c>
      <x:c r="C112" s="1" t="s">
        <x:v>5693</x:v>
      </x:c>
      <x:c r="D112" s="1" t="n">
        <x:v>28</x:v>
      </x:c>
      <x:c r="E112" s="1" t="n">
        <x:v>2</x:v>
      </x:c>
      <x:c r="F112" s="1" t="n">
        <x:v>1</x:v>
      </x:c>
      <x:c r="G112" s="1" t="n">
        <x:v>3</x:v>
      </x:c>
      <x:c r="H112" s="1" t="n">
        <x:v>0</x:v>
      </x:c>
      <x:c r="I112" s="1" t="n">
        <x:v>0</x:v>
      </x:c>
      <x:c r="J112" s="1" t="s">
        <x:v>30</x:v>
      </x:c>
      <x:c r="K112" s="1" t="str">
        <x:v>EXTRACTED(3)</x:v>
      </x:c>
      <x:c r="L112" s="1" t="str">
        <x:v>EXTRACTED(3)</x:v>
      </x:c>
      <x:c r="M112" s="1" t="str">
        <x:v>EXTRACTED(1)</x:v>
      </x:c>
      <x:c r="N112" s="1" t="str">
        <x:v>EXTRACTED(6)</x:v>
      </x:c>
      <x:c r="O112" s="1" t="str">
        <x:v>EXTRACTED(1)</x:v>
      </x:c>
      <x:c r="P112" s="1" t="s">
        <x:v>30</x:v>
      </x:c>
      <x:c r="Q112" s="1" t="s">
        <x:v>30</x:v>
      </x:c>
      <x:c r="R112" s="1" t="str">
        <x:v>EXTRACTED(2)</x:v>
      </x:c>
      <x:c r="S112" s="1" t="str">
        <x:v>EXTRACTED(1)</x:v>
      </x:c>
      <x:c r="T112" s="1" t="str">
        <x:v>EXTRACTED(1)</x:v>
      </x:c>
      <x:c r="U112" s="1" t="s">
        <x:v>30</x:v>
      </x:c>
      <x:c r="V112" s="1" t="s">
        <x:v>30</x:v>
      </x:c>
      <x:c r="W112" s="1" t="s">
        <x:v>30</x:v>
      </x:c>
      <x:c r="X112" s="1" t="s">
        <x:v>30</x:v>
      </x:c>
      <x:c r="Y112" s="1" t="s">
        <x:v>30</x:v>
      </x:c>
      <x:c r="Z112" s="1" t="str">
        <x:v>EXTRACTED(1)</x:v>
      </x:c>
      <x:c r="AA112" s="1" t="s">
        <x:v>30</x:v>
      </x:c>
      <x:c r="AB112" s="1" t="s">
        <x:v>30</x:v>
      </x:c>
      <x:c r="AC112" s="1" t="s">
        <x:v>30</x:v>
      </x:c>
      <x:c r="AD112" s="1" t="str">
        <x:v>EXTRACTED(1)</x:v>
      </x:c>
      <x:c r="AE112" s="1" t="s">
        <x:v>30</x:v>
      </x:c>
      <x:c r="AF112" s="1" t="s">
        <x:v>30</x:v>
      </x:c>
      <x:c r="AG112" s="1" t="str">
        <x:v>EXTRACTED(1)</x:v>
      </x:c>
      <x:c r="AH112" s="1" t="s">
        <x:v>30</x:v>
      </x:c>
      <x:c r="AI112" s="1" t="s">
        <x:v>30</x:v>
      </x:c>
      <x:c r="AJ112" s="1" t="s">
        <x:v>30</x:v>
      </x:c>
      <x:c r="AK112" s="1" t="s">
        <x:v>30</x:v>
      </x:c>
      <x:c r="AL112" s="1" t="s">
        <x:v>30</x:v>
      </x:c>
      <x:c r="AM112" s="1" t="s">
        <x:v>30</x:v>
      </x:c>
      <x:c r="AN112" s="1" t="s">
        <x:v>30</x:v>
      </x:c>
      <x:c r="AO112" s="1" t="s">
        <x:v>30</x:v>
      </x:c>
      <x:c r="AP112" s="1" t="s">
        <x:v>30</x:v>
      </x:c>
      <x:c r="AQ112" s="1" t="s">
        <x:v>30</x:v>
      </x:c>
      <x:c r="AR112" s="1" t="s">
        <x:v>30</x:v>
      </x:c>
      <x:c r="AS112" s="1" t="s">
        <x:v>30</x:v>
      </x:c>
      <x:c r="AT112" s="1" t="s">
        <x:v>30</x:v>
      </x:c>
      <x:c r="AU112" s="1" t="s">
        <x:v>30</x:v>
      </x:c>
      <x:c r="AV112" s="1" t="str">
        <x:v>EXTRACTED(1)</x:v>
      </x:c>
      <x:c r="AW112" s="1" t="s">
        <x:v>30</x:v>
      </x:c>
      <x:c r="AX112" s="1" t="s">
        <x:v>30</x:v>
      </x:c>
      <x:c r="AY112" s="1" t="str">
        <x:v>EXTRACTED(6)</x:v>
      </x:c>
      <x:c r="AZ112" s="1" t="str">
        <x:v>EXTRACTED(2)</x:v>
      </x:c>
      <x:c r="BA112" s="1" t="str">
        <x:v>EXTRACTED(1)</x:v>
      </x:c>
      <x:c r="BB112" s="1" t="s">
        <x:v>30</x:v>
      </x:c>
      <x:c r="BC112" s="1" t="str">
        <x:v>EXTRACTED(1)</x:v>
      </x:c>
      <x:c r="BD112" s="1" t="s">
        <x:v>30</x:v>
      </x:c>
      <x:c r="BE112" s="1" t="s">
        <x:v>30</x:v>
      </x:c>
      <x:c r="BF112" s="1" t="str">
        <x:v>EXTRACTED(2)</x:v>
      </x:c>
    </x:row>
    <x:row r="113" ht="15" hidden="0" customHeight="1">
      <x:c r="A113" s="1" t="s">
        <x:v>4614</x:v>
      </x:c>
      <x:c r="B113" s="1" t="s">
        <x:v>5481</x:v>
      </x:c>
      <x:c r="C113" s="1" t="s">
        <x:v>5993</x:v>
      </x:c>
      <x:c r="D113" s="1" t="n">
        <x:v>2</x:v>
      </x:c>
      <x:c r="E113" s="1" t="n">
        <x:v>0</x:v>
      </x:c>
      <x:c r="F113" s="1" t="n">
        <x:v>0</x:v>
      </x:c>
      <x:c r="G113" s="1" t="n">
        <x:v>0</x:v>
      </x:c>
      <x:c r="H113" s="1" t="n">
        <x:v>0</x:v>
      </x:c>
      <x:c r="I113" s="1" t="n">
        <x:v>1</x:v>
      </x:c>
      <x:c r="J113" s="1" t="s">
        <x:v>6768</x:v>
      </x:c>
      <x:c r="K113" s="1" t="s">
        <x:v>30</x:v>
      </x:c>
      <x:c r="L113" s="1" t="s">
        <x:v>30</x:v>
      </x:c>
      <x:c r="M113" s="1" t="s">
        <x:v>30</x:v>
      </x:c>
      <x:c r="N113" s="1" t="s">
        <x:v>30</x:v>
      </x:c>
      <x:c r="O113" s="1" t="s">
        <x:v>30</x:v>
      </x:c>
      <x:c r="P113" s="1" t="s">
        <x:v>30</x:v>
      </x:c>
      <x:c r="Q113" s="1" t="s">
        <x:v>30</x:v>
      </x:c>
      <x:c r="R113" s="1" t="s">
        <x:v>30</x:v>
      </x:c>
      <x:c r="S113" s="1" t="s">
        <x:v>30</x:v>
      </x:c>
      <x:c r="T113" s="1" t="s">
        <x:v>30</x:v>
      </x:c>
      <x:c r="U113" s="1" t="s">
        <x:v>30</x:v>
      </x:c>
      <x:c r="V113" s="1" t="s">
        <x:v>30</x:v>
      </x:c>
      <x:c r="W113" s="1" t="s">
        <x:v>30</x:v>
      </x:c>
      <x:c r="X113" s="1" t="s">
        <x:v>30</x:v>
      </x:c>
      <x:c r="Y113" s="1" t="s">
        <x:v>30</x:v>
      </x:c>
      <x:c r="Z113" s="1" t="s">
        <x:v>30</x:v>
      </x:c>
      <x:c r="AA113" s="1" t="s">
        <x:v>30</x:v>
      </x:c>
      <x:c r="AB113" s="1" t="s">
        <x:v>30</x:v>
      </x:c>
      <x:c r="AC113" s="1" t="s">
        <x:v>30</x:v>
      </x:c>
      <x:c r="AD113" s="1" t="s">
        <x:v>30</x:v>
      </x:c>
      <x:c r="AE113" s="1" t="s">
        <x:v>30</x:v>
      </x:c>
      <x:c r="AF113" s="1" t="s">
        <x:v>30</x:v>
      </x:c>
      <x:c r="AG113" s="1" t="s">
        <x:v>30</x:v>
      </x:c>
      <x:c r="AH113" s="1" t="s">
        <x:v>30</x:v>
      </x:c>
      <x:c r="AI113" s="1" t="s">
        <x:v>30</x:v>
      </x:c>
      <x:c r="AJ113" s="1" t="s">
        <x:v>30</x:v>
      </x:c>
      <x:c r="AK113" s="1" t="s">
        <x:v>30</x:v>
      </x:c>
      <x:c r="AL113" s="1" t="s">
        <x:v>30</x:v>
      </x:c>
      <x:c r="AM113" s="1" t="s">
        <x:v>30</x:v>
      </x:c>
      <x:c r="AN113" s="1" t="s">
        <x:v>30</x:v>
      </x:c>
      <x:c r="AO113" s="1" t="s">
        <x:v>30</x:v>
      </x:c>
      <x:c r="AP113" s="1" t="s">
        <x:v>30</x:v>
      </x:c>
      <x:c r="AQ113" s="1" t="s">
        <x:v>30</x:v>
      </x:c>
      <x:c r="AR113" s="1" t="s">
        <x:v>30</x:v>
      </x:c>
      <x:c r="AS113" s="1" t="s">
        <x:v>30</x:v>
      </x:c>
      <x:c r="AT113" s="1" t="s">
        <x:v>30</x:v>
      </x:c>
      <x:c r="AU113" s="1" t="s">
        <x:v>30</x:v>
      </x:c>
      <x:c r="AV113" s="1" t="s">
        <x:v>30</x:v>
      </x:c>
      <x:c r="AW113" s="1" t="s">
        <x:v>30</x:v>
      </x:c>
      <x:c r="AX113" s="1" t="s">
        <x:v>30</x:v>
      </x:c>
      <x:c r="AY113" s="1" t="s">
        <x:v>30</x:v>
      </x:c>
      <x:c r="AZ113" s="1" t="s">
        <x:v>30</x:v>
      </x:c>
      <x:c r="BA113" s="1" t="s">
        <x:v>30</x:v>
      </x:c>
      <x:c r="BB113" s="1" t="s">
        <x:v>30</x:v>
      </x:c>
      <x:c r="BC113" s="1" t="s">
        <x:v>30</x:v>
      </x:c>
      <x:c r="BD113" s="1" t="s">
        <x:v>30</x:v>
      </x:c>
      <x:c r="BE113" s="1" t="s">
        <x:v>30</x:v>
      </x:c>
      <x:c r="BF113" s="1" t="s">
        <x:v>30</x:v>
      </x:c>
    </x:row>
    <x:row r="114" ht="15" hidden="0" customHeight="1">
      <x:c r="A114" s="1" t="s">
        <x:v>5171</x:v>
      </x:c>
      <x:c r="B114" s="1" t="s">
        <x:v>5536</x:v>
      </x:c>
      <x:c r="C114" s="1" t="s">
        <x:v>5693</x:v>
      </x:c>
      <x:c r="D114" s="1" t="n">
        <x:v>10</x:v>
      </x:c>
      <x:c r="E114" s="1" t="n">
        <x:v>0</x:v>
      </x:c>
      <x:c r="F114" s="1" t="n">
        <x:v>0</x:v>
      </x:c>
      <x:c r="G114" s="1" t="n">
        <x:v>0</x:v>
      </x:c>
      <x:c r="H114" s="1" t="n">
        <x:v>0</x:v>
      </x:c>
      <x:c r="I114" s="1" t="n">
        <x:v>0</x:v>
      </x:c>
      <x:c r="J114" s="1" t="s">
        <x:v>6766</x:v>
      </x:c>
      <x:c r="K114" s="1" t="s">
        <x:v>6768</x:v>
      </x:c>
      <x:c r="L114" s="1" t="s">
        <x:v>30</x:v>
      </x:c>
      <x:c r="M114" s="1" t="s">
        <x:v>30</x:v>
      </x:c>
      <x:c r="N114" s="1" t="s">
        <x:v>6766</x:v>
      </x:c>
      <x:c r="O114" s="1" t="s">
        <x:v>30</x:v>
      </x:c>
      <x:c r="P114" s="1" t="s">
        <x:v>30</x:v>
      </x:c>
      <x:c r="Q114" s="1" t="s">
        <x:v>30</x:v>
      </x:c>
      <x:c r="R114" s="1" t="s">
        <x:v>30</x:v>
      </x:c>
      <x:c r="S114" s="1" t="s">
        <x:v>30</x:v>
      </x:c>
      <x:c r="T114" s="1" t="s">
        <x:v>30</x:v>
      </x:c>
      <x:c r="U114" s="1" t="s">
        <x:v>30</x:v>
      </x:c>
      <x:c r="V114" s="1" t="s">
        <x:v>30</x:v>
      </x:c>
      <x:c r="W114" s="1" t="s">
        <x:v>6766</x:v>
      </x:c>
      <x:c r="X114" s="1" t="s">
        <x:v>30</x:v>
      </x:c>
      <x:c r="Y114" s="1" t="s">
        <x:v>30</x:v>
      </x:c>
      <x:c r="Z114" s="1" t="s">
        <x:v>30</x:v>
      </x:c>
      <x:c r="AA114" s="1" t="s">
        <x:v>30</x:v>
      </x:c>
      <x:c r="AB114" s="1" t="s">
        <x:v>30</x:v>
      </x:c>
      <x:c r="AC114" s="1" t="s">
        <x:v>30</x:v>
      </x:c>
      <x:c r="AD114" s="1" t="s">
        <x:v>30</x:v>
      </x:c>
      <x:c r="AE114" s="1" t="s">
        <x:v>30</x:v>
      </x:c>
      <x:c r="AF114" s="1" t="s">
        <x:v>30</x:v>
      </x:c>
      <x:c r="AG114" s="1" t="s">
        <x:v>6766</x:v>
      </x:c>
      <x:c r="AH114" s="1" t="s">
        <x:v>30</x:v>
      </x:c>
      <x:c r="AI114" s="1" t="s">
        <x:v>6766</x:v>
      </x:c>
      <x:c r="AJ114" s="1" t="s">
        <x:v>30</x:v>
      </x:c>
      <x:c r="AK114" s="1" t="s">
        <x:v>30</x:v>
      </x:c>
      <x:c r="AL114" s="1" t="s">
        <x:v>30</x:v>
      </x:c>
      <x:c r="AM114" s="1" t="s">
        <x:v>30</x:v>
      </x:c>
      <x:c r="AN114" s="1" t="s">
        <x:v>30</x:v>
      </x:c>
      <x:c r="AO114" s="1" t="s">
        <x:v>30</x:v>
      </x:c>
      <x:c r="AP114" s="1" t="s">
        <x:v>30</x:v>
      </x:c>
      <x:c r="AQ114" s="1" t="s">
        <x:v>6707</x:v>
      </x:c>
      <x:c r="AR114" s="1" t="s">
        <x:v>6707</x:v>
      </x:c>
      <x:c r="AS114" s="1" t="s">
        <x:v>6707</x:v>
      </x:c>
      <x:c r="AT114" s="1" t="s">
        <x:v>6707</x:v>
      </x:c>
      <x:c r="AU114" s="1" t="s">
        <x:v>6707</x:v>
      </x:c>
      <x:c r="AV114" s="1" t="s">
        <x:v>30</x:v>
      </x:c>
      <x:c r="AW114" s="1" t="s">
        <x:v>30</x:v>
      </x:c>
      <x:c r="AX114" s="1" t="s">
        <x:v>30</x:v>
      </x:c>
      <x:c r="AY114" s="1" t="s">
        <x:v>6766</x:v>
      </x:c>
      <x:c r="AZ114" s="1" t="s">
        <x:v>30</x:v>
      </x:c>
      <x:c r="BA114" s="1" t="s">
        <x:v>30</x:v>
      </x:c>
      <x:c r="BB114" s="1" t="s">
        <x:v>30</x:v>
      </x:c>
      <x:c r="BC114" s="1" t="s">
        <x:v>6766</x:v>
      </x:c>
      <x:c r="BD114" s="1" t="s">
        <x:v>30</x:v>
      </x:c>
      <x:c r="BE114" s="1" t="s">
        <x:v>30</x:v>
      </x:c>
      <x:c r="BF114" s="1" t="s">
        <x:v>6766</x:v>
      </x:c>
    </x:row>
    <x:row r="115" ht="15" hidden="0" customHeight="1">
      <x:c r="A115" s="1" t="s">
        <x:v>3339</x:v>
      </x:c>
      <x:c r="B115" s="1" t="s">
        <x:v>5497</x:v>
      </x:c>
      <x:c r="C115" s="1" t="s">
        <x:v>5713</x:v>
      </x:c>
      <x:c r="D115" s="1" t="n">
        <x:v>8</x:v>
      </x:c>
      <x:c r="E115" s="1" t="n">
        <x:v>1</x:v>
      </x:c>
      <x:c r="F115" s="1" t="n">
        <x:v>0</x:v>
      </x:c>
      <x:c r="G115" s="1" t="n">
        <x:v>0</x:v>
      </x:c>
      <x:c r="H115" s="1" t="n">
        <x:v>0</x:v>
      </x:c>
      <x:c r="I115" s="1" t="n">
        <x:v>0</x:v>
      </x:c>
      <x:c r="J115" s="1" t="s">
        <x:v>30</x:v>
      </x:c>
      <x:c r="K115" s="1" t="s">
        <x:v>6768</x:v>
      </x:c>
      <x:c r="L115" s="1" t="s">
        <x:v>6766</x:v>
      </x:c>
      <x:c r="M115" s="1" t="s">
        <x:v>6766</x:v>
      </x:c>
      <x:c r="N115" s="1" t="s">
        <x:v>6766</x:v>
      </x:c>
      <x:c r="O115" s="1" t="s">
        <x:v>30</x:v>
      </x:c>
      <x:c r="P115" s="1" t="s">
        <x:v>6766</x:v>
      </x:c>
      <x:c r="Q115" s="1" t="s">
        <x:v>30</x:v>
      </x:c>
      <x:c r="R115" s="1" t="s">
        <x:v>30</x:v>
      </x:c>
      <x:c r="S115" s="1" t="s">
        <x:v>30</x:v>
      </x:c>
      <x:c r="T115" s="1" t="s">
        <x:v>30</x:v>
      </x:c>
      <x:c r="U115" s="1" t="s">
        <x:v>30</x:v>
      </x:c>
      <x:c r="V115" s="1" t="s">
        <x:v>30</x:v>
      </x:c>
      <x:c r="W115" s="1" t="s">
        <x:v>30</x:v>
      </x:c>
      <x:c r="X115" s="1" t="s">
        <x:v>30</x:v>
      </x:c>
      <x:c r="Y115" s="1" t="s">
        <x:v>30</x:v>
      </x:c>
      <x:c r="Z115" s="1" t="s">
        <x:v>30</x:v>
      </x:c>
      <x:c r="AA115" s="1" t="s">
        <x:v>30</x:v>
      </x:c>
      <x:c r="AB115" s="1" t="s">
        <x:v>30</x:v>
      </x:c>
      <x:c r="AC115" s="1" t="s">
        <x:v>30</x:v>
      </x:c>
      <x:c r="AD115" s="1" t="s">
        <x:v>30</x:v>
      </x:c>
      <x:c r="AE115" s="1" t="s">
        <x:v>30</x:v>
      </x:c>
      <x:c r="AF115" s="1" t="s">
        <x:v>30</x:v>
      </x:c>
      <x:c r="AG115" s="1" t="s">
        <x:v>30</x:v>
      </x:c>
      <x:c r="AH115" s="1" t="s">
        <x:v>30</x:v>
      </x:c>
      <x:c r="AI115" s="1" t="s">
        <x:v>30</x:v>
      </x:c>
      <x:c r="AJ115" s="1" t="s">
        <x:v>30</x:v>
      </x:c>
      <x:c r="AK115" s="1" t="s">
        <x:v>30</x:v>
      </x:c>
      <x:c r="AL115" s="1" t="s">
        <x:v>30</x:v>
      </x:c>
      <x:c r="AM115" s="1" t="s">
        <x:v>30</x:v>
      </x:c>
      <x:c r="AN115" s="1" t="s">
        <x:v>30</x:v>
      </x:c>
      <x:c r="AO115" s="1" t="s">
        <x:v>30</x:v>
      </x:c>
      <x:c r="AP115" s="1" t="s">
        <x:v>30</x:v>
      </x:c>
      <x:c r="AQ115" s="1" t="s">
        <x:v>6707</x:v>
      </x:c>
      <x:c r="AR115" s="1" t="s">
        <x:v>6707</x:v>
      </x:c>
      <x:c r="AS115" s="1" t="s">
        <x:v>6707</x:v>
      </x:c>
      <x:c r="AT115" s="1" t="s">
        <x:v>6707</x:v>
      </x:c>
      <x:c r="AU115" s="1" t="s">
        <x:v>6707</x:v>
      </x:c>
      <x:c r="AV115" s="1" t="s">
        <x:v>6768</x:v>
      </x:c>
      <x:c r="AW115" s="1" t="s">
        <x:v>30</x:v>
      </x:c>
      <x:c r="AX115" s="1" t="s">
        <x:v>30</x:v>
      </x:c>
      <x:c r="AY115" s="1" t="s">
        <x:v>30</x:v>
      </x:c>
      <x:c r="AZ115" s="1" t="s">
        <x:v>6766</x:v>
      </x:c>
      <x:c r="BA115" s="1" t="s">
        <x:v>30</x:v>
      </x:c>
      <x:c r="BB115" s="1" t="s">
        <x:v>30</x:v>
      </x:c>
      <x:c r="BC115" s="1" t="s">
        <x:v>30</x:v>
      </x:c>
      <x:c r="BD115" s="1" t="s">
        <x:v>30</x:v>
      </x:c>
      <x:c r="BE115" s="1" t="s">
        <x:v>30</x:v>
      </x:c>
      <x:c r="BF115" s="1" t="s">
        <x:v>30</x:v>
      </x:c>
    </x:row>
    <x:row r="116" ht="15" hidden="0" customHeight="1">
      <x:c r="A116" s="1" t="s">
        <x:v>538</x:v>
      </x:c>
      <x:c r="B116" s="1" t="s">
        <x:v>5582</x:v>
      </x:c>
      <x:c r="C116" s="1" t="s">
        <x:v>5693</x:v>
      </x:c>
      <x:c r="D116" s="1" t="n">
        <x:v>4</x:v>
      </x:c>
      <x:c r="E116" s="1" t="n">
        <x:v>0</x:v>
      </x:c>
      <x:c r="F116" s="1" t="n">
        <x:v>0</x:v>
      </x:c>
      <x:c r="G116" s="1" t="n">
        <x:v>0</x:v>
      </x:c>
      <x:c r="H116" s="1" t="n">
        <x:v>0</x:v>
      </x:c>
      <x:c r="I116" s="1" t="n">
        <x:v>0</x:v>
      </x:c>
      <x:c r="J116" s="1" t="s">
        <x:v>6766</x:v>
      </x:c>
      <x:c r="K116" s="1" t="s">
        <x:v>30</x:v>
      </x:c>
      <x:c r="L116" s="1" t="s">
        <x:v>30</x:v>
      </x:c>
      <x:c r="M116" s="1" t="s">
        <x:v>30</x:v>
      </x:c>
      <x:c r="N116" s="1" t="s">
        <x:v>30</x:v>
      </x:c>
      <x:c r="O116" s="1" t="s">
        <x:v>30</x:v>
      </x:c>
      <x:c r="P116" s="1" t="s">
        <x:v>30</x:v>
      </x:c>
      <x:c r="Q116" s="1" t="s">
        <x:v>30</x:v>
      </x:c>
      <x:c r="R116" s="1" t="s">
        <x:v>30</x:v>
      </x:c>
      <x:c r="S116" s="1" t="s">
        <x:v>30</x:v>
      </x:c>
      <x:c r="T116" s="1" t="s">
        <x:v>30</x:v>
      </x:c>
      <x:c r="U116" s="1" t="s">
        <x:v>30</x:v>
      </x:c>
      <x:c r="V116" s="1" t="s">
        <x:v>30</x:v>
      </x:c>
      <x:c r="W116" s="1" t="s">
        <x:v>30</x:v>
      </x:c>
      <x:c r="X116" s="1" t="s">
        <x:v>30</x:v>
      </x:c>
      <x:c r="Y116" s="1" t="s">
        <x:v>30</x:v>
      </x:c>
      <x:c r="Z116" s="1" t="s">
        <x:v>30</x:v>
      </x:c>
      <x:c r="AA116" s="1" t="s">
        <x:v>30</x:v>
      </x:c>
      <x:c r="AB116" s="1" t="s">
        <x:v>30</x:v>
      </x:c>
      <x:c r="AC116" s="1" t="s">
        <x:v>30</x:v>
      </x:c>
      <x:c r="AD116" s="1" t="s">
        <x:v>30</x:v>
      </x:c>
      <x:c r="AE116" s="1" t="s">
        <x:v>30</x:v>
      </x:c>
      <x:c r="AF116" s="1" t="s">
        <x:v>30</x:v>
      </x:c>
      <x:c r="AG116" s="1" t="s">
        <x:v>30</x:v>
      </x:c>
      <x:c r="AH116" s="1" t="s">
        <x:v>30</x:v>
      </x:c>
      <x:c r="AI116" s="1" t="s">
        <x:v>30</x:v>
      </x:c>
      <x:c r="AJ116" s="1" t="s">
        <x:v>30</x:v>
      </x:c>
      <x:c r="AK116" s="1" t="s">
        <x:v>30</x:v>
      </x:c>
      <x:c r="AL116" s="1" t="s">
        <x:v>30</x:v>
      </x:c>
      <x:c r="AM116" s="1" t="s">
        <x:v>30</x:v>
      </x:c>
      <x:c r="AN116" s="1" t="s">
        <x:v>30</x:v>
      </x:c>
      <x:c r="AO116" s="1" t="s">
        <x:v>30</x:v>
      </x:c>
      <x:c r="AP116" s="1" t="s">
        <x:v>30</x:v>
      </x:c>
      <x:c r="AQ116" s="1" t="s">
        <x:v>30</x:v>
      </x:c>
      <x:c r="AR116" s="1" t="s">
        <x:v>30</x:v>
      </x:c>
      <x:c r="AS116" s="1" t="s">
        <x:v>30</x:v>
      </x:c>
      <x:c r="AT116" s="1" t="s">
        <x:v>6766</x:v>
      </x:c>
      <x:c r="AU116" s="1" t="s">
        <x:v>6766</x:v>
      </x:c>
      <x:c r="AV116" s="1" t="s">
        <x:v>30</x:v>
      </x:c>
      <x:c r="AW116" s="1" t="s">
        <x:v>6766</x:v>
      </x:c>
      <x:c r="AX116" s="1" t="s">
        <x:v>30</x:v>
      </x:c>
      <x:c r="AY116" s="1" t="s">
        <x:v>30</x:v>
      </x:c>
      <x:c r="AZ116" s="1" t="s">
        <x:v>30</x:v>
      </x:c>
      <x:c r="BA116" s="1" t="s">
        <x:v>30</x:v>
      </x:c>
      <x:c r="BB116" s="1" t="s">
        <x:v>30</x:v>
      </x:c>
      <x:c r="BC116" s="1" t="s">
        <x:v>30</x:v>
      </x:c>
      <x:c r="BD116" s="1" t="s">
        <x:v>30</x:v>
      </x:c>
      <x:c r="BE116" s="1" t="s">
        <x:v>30</x:v>
      </x:c>
      <x:c r="BF116" s="1" t="s">
        <x:v>30</x:v>
      </x:c>
    </x:row>
    <x:row r="118" ht="15" hidden="0" customHeight="1">
      <x:c r="A118" s="1" t="s">
        <x:v>6780</x:v>
      </x:c>
      <x:c r="B118" s="1" t="s">
        <x:v>6781</x:v>
      </x:c>
      <x:c r="C118" s="1" t="s">
        <x:v>6782</x:v>
      </x:c>
      <x:c r="D118" s="1" t="s">
        <x:v>6783</x:v>
      </x:c>
      <x:c r="E118" s="1" t="s">
        <x:v>6784</x:v>
      </x:c>
      <x:c r="F118" s="1" t="s">
        <x:v>6785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5" hidden="0" customHeight="1">
      <x:c r="A1" s="1" t="s">
        <x:v>6786</x:v>
      </x:c>
      <x:c r="B1" s="1" t="s">
        <x:v>6006</x:v>
      </x:c>
      <x:c r="C1" s="1" t="s">
        <x:v>6787</x:v>
      </x:c>
      <x:c r="D1" s="1" t="s">
        <x:v>6788</x:v>
      </x:c>
      <x:c r="E1" s="1" t="s">
        <x:v>6789</x:v>
      </x:c>
      <x:c r="F1" s="1" t="s">
        <x:v>6790</x:v>
      </x:c>
      <x:c r="G1" s="1" t="s">
        <x:v>6791</x:v>
      </x:c>
      <x:c r="H1" s="1" t="s">
        <x:v>6792</x:v>
      </x:c>
      <x:c r="I1" s="1" t="s">
        <x:v>6793</x:v>
      </x:c>
      <x:c r="J1" s="1" t="s">
        <x:v>6794</x:v>
      </x:c>
    </x:row>
    <x:row r="2" ht="15" hidden="0" customHeight="1">
      <x:c r="A2" s="1" t="s">
        <x:v>4342</x:v>
      </x:c>
      <x:c r="B2" s="1" t="n">
        <x:v>82</x:v>
      </x:c>
      <x:c r="C2" s="1" t="n">
        <x:v>0</x:v>
      </x:c>
      <x:c r="D2" s="1" t="n">
        <x:v>0</x:v>
      </x:c>
      <x:c r="E2" s="1" t="n">
        <x:v>0</x:v>
      </x:c>
      <x:c r="F2" s="1" t="n">
        <x:v>0</x:v>
      </x:c>
      <x:c r="G2" s="1" t="s">
        <x:v>6795</x:v>
      </x:c>
      <x:c r="H2" s="1" t="n">
        <x:v>130</x:v>
      </x:c>
      <x:c r="I2" s="1" t="n">
        <x:v>0</x:v>
      </x:c>
      <x:c r="J2" s="1" t="n">
        <x:v>0</x:v>
      </x:c>
    </x:row>
    <x:row r="3" ht="15" hidden="0" customHeight="1">
      <x:c r="A3" s="1" t="s">
        <x:v>4637</x:v>
      </x:c>
      <x:c r="B3" s="1" t="n">
        <x:v>81</x:v>
      </x:c>
      <x:c r="C3" s="1" t="n">
        <x:v>0</x:v>
      </x:c>
      <x:c r="D3" s="1" t="n">
        <x:v>0</x:v>
      </x:c>
      <x:c r="E3" s="1" t="n">
        <x:v>0</x:v>
      </x:c>
      <x:c r="F3" s="1" t="n">
        <x:v>0</x:v>
      </x:c>
      <x:c r="G3" s="1" t="s">
        <x:v>6795</x:v>
      </x:c>
      <x:c r="H3" s="1" t="n">
        <x:v>102</x:v>
      </x:c>
      <x:c r="I3" s="1" t="n">
        <x:v>0</x:v>
      </x:c>
      <x:c r="J3" s="1" t="n">
        <x:v>0</x:v>
      </x:c>
    </x:row>
    <x:row r="4" ht="15" hidden="0" customHeight="1">
      <x:c r="A4" s="1" t="s">
        <x:v>4904</x:v>
      </x:c>
      <x:c r="B4" s="1" t="n">
        <x:v>11</x:v>
      </x:c>
      <x:c r="C4" s="1" t="n">
        <x:v>5</x:v>
      </x:c>
      <x:c r="D4" s="1" t="n">
        <x:v>5</x:v>
      </x:c>
      <x:c r="E4" s="1" t="n">
        <x:v>5</x:v>
      </x:c>
      <x:c r="F4" s="1" t="n">
        <x:v>0</x:v>
      </x:c>
      <x:c r="G4" s="1" t="s">
        <x:v>6795</x:v>
      </x:c>
      <x:c r="H4" s="1" t="n">
        <x:v>34</x:v>
      </x:c>
      <x:c r="I4" s="1" t="n">
        <x:v>2</x:v>
      </x:c>
      <x:c r="J4" s="1" t="n">
        <x:v>115</x:v>
      </x:c>
    </x:row>
    <x:row r="5" ht="15" hidden="0" customHeight="1">
      <x:c r="A5" s="1" t="s">
        <x:v>4954</x:v>
      </x:c>
      <x:c r="B5" s="1" t="n">
        <x:v>33</x:v>
      </x:c>
      <x:c r="C5" s="1" t="n">
        <x:v>0</x:v>
      </x:c>
      <x:c r="D5" s="1" t="n">
        <x:v>0</x:v>
      </x:c>
      <x:c r="E5" s="1" t="n">
        <x:v>0</x:v>
      </x:c>
      <x:c r="F5" s="1" t="n">
        <x:v>1</x:v>
      </x:c>
      <x:c r="G5" s="1" t="s">
        <x:v>6795</x:v>
      </x:c>
      <x:c r="H5" s="1" t="n">
        <x:v>36</x:v>
      </x:c>
      <x:c r="I5" s="1" t="n">
        <x:v>0</x:v>
      </x:c>
      <x:c r="J5" s="1" t="n">
        <x:v>115</x:v>
      </x:c>
    </x:row>
    <x:row r="6" ht="15" hidden="0" customHeight="1">
      <x:c r="A6" s="1" t="s">
        <x:v>5060</x:v>
      </x:c>
      <x:c r="B6" s="1" t="n">
        <x:v>36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s">
        <x:v>6795</x:v>
      </x:c>
      <x:c r="H6" s="1" t="n">
        <x:v>130</x:v>
      </x:c>
      <x:c r="I6" s="1" t="n">
        <x:v>0</x:v>
      </x:c>
      <x:c r="J6" s="1" t="n">
        <x:v>0</x:v>
      </x:c>
    </x:row>
    <x:row r="7" ht="15" hidden="0" customHeight="1">
      <x:c r="A7" s="1" t="s">
        <x:v>5218</x:v>
      </x:c>
      <x:c r="B7" s="1" t="n">
        <x:v>7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s">
        <x:v>6795</x:v>
      </x:c>
      <x:c r="H7" s="1" t="n">
        <x:v>11</x:v>
      </x:c>
      <x:c r="I7" s="1" t="n">
        <x:v>0</x:v>
      </x:c>
      <x:c r="J7" s="1" t="n">
        <x:v>0</x:v>
      </x:c>
    </x:row>
    <x:row r="8" ht="15" hidden="0" customHeight="1">
      <x:c r="A8" s="1" t="s">
        <x:v>5247</x:v>
      </x:c>
      <x:c r="B8" s="1" t="n">
        <x:v>15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s">
        <x:v>6795</x:v>
      </x:c>
      <x:c r="H8" s="1" t="n">
        <x:v>20</x:v>
      </x:c>
      <x:c r="I8" s="1" t="n">
        <x:v>0</x:v>
      </x:c>
      <x:c r="J8" s="1" t="n">
        <x:v>0</x:v>
      </x:c>
    </x:row>
    <x:row r="9" ht="15" hidden="0" customHeight="1">
      <x:c r="A9" s="1" t="s">
        <x:v>5320</x:v>
      </x:c>
      <x:c r="B9" s="1" t="n">
        <x:v>53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s">
        <x:v>6795</x:v>
      </x:c>
      <x:c r="H9" s="1" t="n">
        <x:v>17</x:v>
      </x:c>
      <x:c r="I9" s="1" t="n">
        <x:v>0</x:v>
      </x:c>
      <x:c r="J9" s="1" t="n">
        <x:v>0</x:v>
      </x:c>
    </x:row>
    <x:row r="11" ht="15" hidden="0" customHeight="1">
      <x:c r="A11" s="1" t="s">
        <x:v>6796</x:v>
      </x:c>
      <x:c r="B11" s="1" t="s">
        <x:v>6797</x:v>
      </x:c>
    </x:row>
    <x:row r="12" ht="65" customHeight="1">
      <x:c r="A12" s="14" t="str">
        <x:v>B16</x:v>
      </x:c>
      <x:c r="B12" s="14" t="n">
        <x:v>121</x:v>
      </x:c>
      <x:c r="C12" s="14" t="n">
        <x:v>0</x:v>
      </x:c>
      <x:c r="D12" s="14" t="n">
        <x:v>0</x:v>
      </x:c>
      <x:c r="E12" s="14" t="n">
        <x:v>0</x:v>
      </x:c>
      <x:c r="F12" s="14" t="n">
        <x:v>0</x:v>
      </x:c>
      <x:c r="G12" s="14" t="n">
        <x:v>0</x:v>
      </x:c>
      <x:c r="H12" s="14" t="n">
        <x:v>221</x:v>
      </x:c>
      <x:c r="I12" s="14" t="n">
        <x:v>0</x:v>
      </x:c>
      <x:c r="J12" s="14" t="str">
        <x:v>Source ranges extended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5" hidden="0" customHeight="1">
      <x:c r="A1" s="1" t="s">
        <x:v>82</x:v>
      </x:c>
      <x:c r="B1" s="1" t="s">
        <x:v>5460</x:v>
      </x:c>
      <x:c r="C1" s="1" t="s">
        <x:v>5651</x:v>
      </x:c>
      <x:c r="D1" s="1" t="s">
        <x:v>5463</x:v>
      </x:c>
      <x:c r="E1" s="1" t="s">
        <x:v>5476</x:v>
      </x:c>
      <x:c r="F1" s="1" t="s">
        <x:v>6798</x:v>
      </x:c>
      <x:c r="G1" s="1" t="s">
        <x:v>6799</x:v>
      </x:c>
      <x:c r="H1" s="1" t="s">
        <x:v>6800</x:v>
      </x:c>
    </x:row>
    <x:row r="2" ht="15" hidden="0" customHeight="1">
      <x:c r="A2" s="1" t="s">
        <x:v>4585</x:v>
      </x:c>
      <x:c r="B2" s="1" t="s">
        <x:v>5565</x:v>
      </x:c>
      <x:c r="C2" s="1" t="s">
        <x:v>4589</x:v>
      </x:c>
      <x:c r="D2" s="1" t="s">
        <x:v>52</x:v>
      </x:c>
      <x:c r="E2" s="1" t="s">
        <x:v>5512</x:v>
      </x:c>
      <x:c r="F2" s="1" t="s">
        <x:v>6801</x:v>
      </x:c>
      <x:c r="G2" s="1" t="s">
        <x:v>6802</x:v>
      </x:c>
      <x:c r="H2" s="1" t="s">
        <x:v>6803</x:v>
      </x:c>
    </x:row>
    <x:row r="3" ht="15" hidden="0" customHeight="1">
      <x:c r="A3" s="1" t="s">
        <x:v>538</x:v>
      </x:c>
      <x:c r="B3" s="1" t="s">
        <x:v>5648</x:v>
      </x:c>
      <x:c r="C3" s="1" t="s">
        <x:v>542</x:v>
      </x:c>
      <x:c r="D3" s="1" t="s">
        <x:v>52</x:v>
      </x:c>
      <x:c r="E3" s="1" t="s">
        <x:v>5512</x:v>
      </x:c>
      <x:c r="F3" s="1" t="s">
        <x:v>6801</x:v>
      </x:c>
      <x:c r="G3" s="1" t="s">
        <x:v>6802</x:v>
      </x:c>
      <x:c r="H3" s="1" t="s">
        <x:v>6803</x:v>
      </x:c>
    </x:row>
    <x:row r="4" ht="15" hidden="0" customHeight="1">
      <x:c r="A4" s="1" t="s">
        <x:v>5501</x:v>
      </x:c>
      <x:c r="B4" s="1" t="s">
        <x:v>5502</x:v>
      </x:c>
      <x:c r="C4" s="1" t="s">
        <x:v>5720</x:v>
      </x:c>
      <x:c r="D4" s="1" t="s">
        <x:v>56</x:v>
      </x:c>
      <x:c r="E4" s="1" t="s">
        <x:v>5504</x:v>
      </x:c>
      <x:c r="F4" s="1" t="s">
        <x:v>6801</x:v>
      </x:c>
      <x:c r="G4" s="1" t="s">
        <x:v>6804</x:v>
      </x:c>
      <x:c r="H4" s="1" t="s">
        <x:v>6803</x:v>
      </x:c>
    </x:row>
    <x:row r="5" ht="15" hidden="0" customHeight="1">
      <x:c r="A5" s="1" t="s">
        <x:v>5101</x:v>
      </x:c>
      <x:c r="B5" s="1" t="s">
        <x:v>5510</x:v>
      </x:c>
      <x:c r="C5" s="1" t="s">
        <x:v>5105</x:v>
      </x:c>
      <x:c r="D5" s="1" t="s">
        <x:v>52</x:v>
      </x:c>
      <x:c r="E5" s="1" t="s">
        <x:v>5512</x:v>
      </x:c>
      <x:c r="F5" s="1" t="s">
        <x:v>6801</x:v>
      </x:c>
      <x:c r="G5" s="1" t="s">
        <x:v>6802</x:v>
      </x:c>
      <x:c r="H5" s="1" t="s">
        <x:v>6803</x:v>
      </x:c>
    </x:row>
    <x:row r="6" ht="15" hidden="0" customHeight="1">
      <x:c r="A6" s="1" t="s">
        <x:v>5151</x:v>
      </x:c>
      <x:c r="B6" s="1" t="s">
        <x:v>5523</x:v>
      </x:c>
      <x:c r="C6" s="1" t="s">
        <x:v>5155</x:v>
      </x:c>
      <x:c r="D6" s="1" t="s">
        <x:v>52</x:v>
      </x:c>
      <x:c r="E6" s="1" t="s">
        <x:v>5512</x:v>
      </x:c>
      <x:c r="F6" s="1" t="s">
        <x:v>6801</x:v>
      </x:c>
      <x:c r="G6" s="1" t="s">
        <x:v>6802</x:v>
      </x:c>
      <x:c r="H6" s="1" t="s">
        <x:v>6803</x:v>
      </x:c>
    </x:row>
    <x:row r="7" ht="15" hidden="0" customHeight="1">
      <x:c r="A7" s="1" t="s">
        <x:v>5111</x:v>
      </x:c>
      <x:c r="B7" s="1" t="s">
        <x:v>5545</x:v>
      </x:c>
      <x:c r="C7" s="1" t="s">
        <x:v>5115</x:v>
      </x:c>
      <x:c r="D7" s="1" t="s">
        <x:v>52</x:v>
      </x:c>
      <x:c r="E7" s="1" t="s">
        <x:v>5512</x:v>
      </x:c>
      <x:c r="F7" s="1" t="s">
        <x:v>6801</x:v>
      </x:c>
      <x:c r="G7" s="1" t="s">
        <x:v>6802</x:v>
      </x:c>
      <x:c r="H7" s="1" t="s">
        <x:v>6803</x:v>
      </x:c>
    </x:row>
    <x:row r="8" ht="15" hidden="0" customHeight="1">
      <x:c r="A8" s="1" t="s">
        <x:v>5123</x:v>
      </x:c>
      <x:c r="B8" s="1" t="s">
        <x:v>5552</x:v>
      </x:c>
      <x:c r="C8" s="1" t="s">
        <x:v>5127</x:v>
      </x:c>
      <x:c r="D8" s="1" t="s">
        <x:v>52</x:v>
      </x:c>
      <x:c r="E8" s="1" t="s">
        <x:v>5512</x:v>
      </x:c>
      <x:c r="F8" s="1" t="s">
        <x:v>6801</x:v>
      </x:c>
      <x:c r="G8" s="1" t="s">
        <x:v>6802</x:v>
      </x:c>
      <x:c r="H8" s="1" t="s">
        <x:v>6803</x:v>
      </x:c>
    </x:row>
    <x:row r="9" ht="15" hidden="0" customHeight="1">
      <x:c r="A9" s="1" t="s">
        <x:v>5559</x:v>
      </x:c>
      <x:c r="B9" s="1" t="s">
        <x:v>5560</x:v>
      </x:c>
      <x:c r="C9" s="1" t="s">
        <x:v>5827</x:v>
      </x:c>
      <x:c r="D9" s="1" t="s">
        <x:v>56</x:v>
      </x:c>
      <x:c r="E9" s="1" t="s">
        <x:v>5504</x:v>
      </x:c>
      <x:c r="F9" s="1" t="s">
        <x:v>6801</x:v>
      </x:c>
      <x:c r="G9" s="1" t="s">
        <x:v>6804</x:v>
      </x:c>
      <x:c r="H9" s="1" t="s">
        <x:v>6803</x:v>
      </x:c>
    </x:row>
    <x:row r="10" ht="15" hidden="0" customHeight="1">
      <x:c r="A10" s="1" t="s">
        <x:v>5134</x:v>
      </x:c>
      <x:c r="B10" s="1" t="s">
        <x:v>5561</x:v>
      </x:c>
      <x:c r="C10" s="1" t="s">
        <x:v>5138</x:v>
      </x:c>
      <x:c r="D10" s="1" t="str">
        <x:v>DETAILED_PARTIAL</x:v>
      </x:c>
      <x:c r="E10" s="1" t="str">
        <x:v>FULLTEXT</x:v>
      </x:c>
      <x:c r="F10" s="1" t="str">
        <x:v>RESOLVED_B16</x:v>
      </x:c>
      <x:c r="G10" s="1" t="str">
        <x:v>Publisher full-text sections; published copy for missing math symbols where needed.</x:v>
      </x:c>
      <x:c r="H10" s="1" t="str">
        <x:v>SI/code still pending; main-text access resolved.</x:v>
      </x:c>
    </x:row>
    <x:row r="11" ht="15" hidden="0" customHeight="1">
      <x:c r="A11" s="1" t="s">
        <x:v>5160</x:v>
      </x:c>
      <x:c r="B11" s="1" t="s">
        <x:v>5562</x:v>
      </x:c>
      <x:c r="C11" s="1" t="s">
        <x:v>5164</x:v>
      </x:c>
      <x:c r="D11" s="1" t="s">
        <x:v>52</x:v>
      </x:c>
      <x:c r="E11" s="1" t="s">
        <x:v>5512</x:v>
      </x:c>
      <x:c r="F11" s="1" t="s">
        <x:v>6801</x:v>
      </x:c>
      <x:c r="G11" s="1" t="s">
        <x:v>6802</x:v>
      </x:c>
      <x:c r="H11" s="1" t="s">
        <x:v>6803</x:v>
      </x:c>
    </x:row>
    <x:row r="12" ht="15" hidden="0" customHeight="1">
      <x:c r="A12" s="1" t="s">
        <x:v>5580</x:v>
      </x:c>
      <x:c r="B12" s="1" t="s">
        <x:v>5581</x:v>
      </x:c>
      <x:c r="C12" s="1" t="s">
        <x:v>5865</x:v>
      </x:c>
      <x:c r="D12" s="1" t="s">
        <x:v>56</x:v>
      </x:c>
      <x:c r="E12" s="1" t="s">
        <x:v>5504</x:v>
      </x:c>
      <x:c r="F12" s="1" t="s">
        <x:v>6801</x:v>
      </x:c>
      <x:c r="G12" s="1" t="s">
        <x:v>6804</x:v>
      </x:c>
      <x:c r="H12" s="1" t="s">
        <x:v>6803</x:v>
      </x:c>
    </x:row>
    <x:row r="13" ht="15" hidden="0" customHeight="1">
      <x:c r="A13" s="1" t="s">
        <x:v>5583</x:v>
      </x:c>
      <x:c r="B13" s="1" t="s">
        <x:v>5584</x:v>
      </x:c>
      <x:c r="C13" s="1" t="s">
        <x:v>5869</x:v>
      </x:c>
      <x:c r="D13" s="1" t="s">
        <x:v>56</x:v>
      </x:c>
      <x:c r="E13" s="1" t="s">
        <x:v>5504</x:v>
      </x:c>
      <x:c r="F13" s="1" t="s">
        <x:v>6801</x:v>
      </x:c>
      <x:c r="G13" s="1" t="s">
        <x:v>6804</x:v>
      </x:c>
      <x:c r="H13" s="1" t="s">
        <x:v>6803</x:v>
      </x:c>
    </x:row>
    <x:row r="14" ht="15" hidden="0" customHeight="1">
      <x:c r="A14" s="1" t="s">
        <x:v>5585</x:v>
      </x:c>
      <x:c r="B14" s="1" t="s">
        <x:v>5586</x:v>
      </x:c>
      <x:c r="C14" s="1" t="s">
        <x:v>5873</x:v>
      </x:c>
      <x:c r="D14" s="1" t="s">
        <x:v>56</x:v>
      </x:c>
      <x:c r="E14" s="1" t="s">
        <x:v>5504</x:v>
      </x:c>
      <x:c r="F14" s="1" t="s">
        <x:v>6801</x:v>
      </x:c>
      <x:c r="G14" s="1" t="s">
        <x:v>6804</x:v>
      </x:c>
      <x:c r="H14" s="1" t="s">
        <x:v>6803</x:v>
      </x:c>
    </x:row>
    <x:row r="15" ht="15" hidden="0" customHeight="1">
      <x:c r="A15" s="1" t="s">
        <x:v>5587</x:v>
      </x:c>
      <x:c r="B15" s="1" t="s">
        <x:v>5588</x:v>
      </x:c>
      <x:c r="C15" s="1" t="s">
        <x:v>5877</x:v>
      </x:c>
      <x:c r="D15" s="1" t="s">
        <x:v>56</x:v>
      </x:c>
      <x:c r="E15" s="1" t="s">
        <x:v>5504</x:v>
      </x:c>
      <x:c r="F15" s="1" t="s">
        <x:v>6801</x:v>
      </x:c>
      <x:c r="G15" s="1" t="s">
        <x:v>6804</x:v>
      </x:c>
      <x:c r="H15" s="1" t="s">
        <x:v>6803</x:v>
      </x:c>
    </x:row>
    <x:row r="16" ht="15" hidden="0" customHeight="1">
      <x:c r="A16" s="1" t="s">
        <x:v>5589</x:v>
      </x:c>
      <x:c r="B16" s="1" t="s">
        <x:v>5590</x:v>
      </x:c>
      <x:c r="C16" s="1" t="s">
        <x:v>5881</x:v>
      </x:c>
      <x:c r="D16" s="1" t="s">
        <x:v>56</x:v>
      </x:c>
      <x:c r="E16" s="1" t="s">
        <x:v>5504</x:v>
      </x:c>
      <x:c r="F16" s="1" t="s">
        <x:v>6801</x:v>
      </x:c>
      <x:c r="G16" s="1" t="s">
        <x:v>6804</x:v>
      </x:c>
      <x:c r="H16" s="1" t="s">
        <x:v>6803</x:v>
      </x:c>
    </x:row>
    <x:row r="17" ht="15" hidden="0" customHeight="1">
      <x:c r="A17" s="1" t="s">
        <x:v>5634</x:v>
      </x:c>
      <x:c r="B17" s="1" t="s">
        <x:v>5635</x:v>
      </x:c>
      <x:c r="C17" s="1" t="s">
        <x:v>5969</x:v>
      </x:c>
      <x:c r="D17" s="1" t="s">
        <x:v>56</x:v>
      </x:c>
      <x:c r="E17" s="1" t="s">
        <x:v>5504</x:v>
      </x:c>
      <x:c r="F17" s="1" t="s">
        <x:v>6801</x:v>
      </x:c>
      <x:c r="G17" s="1" t="s">
        <x:v>6804</x:v>
      </x:c>
      <x:c r="H17" s="1" t="s">
        <x:v>6803</x:v>
      </x:c>
    </x:row>
    <x:row r="18" ht="15" hidden="0" customHeight="1">
      <x:c r="A18" s="1" t="s">
        <x:v>5636</x:v>
      </x:c>
      <x:c r="B18" s="1" t="s">
        <x:v>5637</x:v>
      </x:c>
      <x:c r="C18" s="1" t="s">
        <x:v>5973</x:v>
      </x:c>
      <x:c r="D18" s="1" t="s">
        <x:v>56</x:v>
      </x:c>
      <x:c r="E18" s="1" t="s">
        <x:v>5504</x:v>
      </x:c>
      <x:c r="F18" s="1" t="s">
        <x:v>6801</x:v>
      </x:c>
      <x:c r="G18" s="1" t="s">
        <x:v>6804</x:v>
      </x:c>
      <x:c r="H18" s="1" t="s">
        <x:v>6803</x:v>
      </x:c>
    </x:row>
    <x:row r="19" ht="15" hidden="0" customHeight="1">
      <x:c r="A19" s="1" t="s">
        <x:v>5142</x:v>
      </x:c>
      <x:c r="B19" s="1" t="s">
        <x:v>5642</x:v>
      </x:c>
      <x:c r="C19" s="1" t="s">
        <x:v>5146</x:v>
      </x:c>
      <x:c r="D19" s="1" t="str">
        <x:v>DETAILED_PARTIAL</x:v>
      </x:c>
      <x:c r="E19" s="1" t="str">
        <x:v>FULLTEXT</x:v>
      </x:c>
      <x:c r="F19" s="1" t="str">
        <x:v>RESOLVED_B16</x:v>
      </x:c>
      <x:c r="G19" s="1" t="str">
        <x:v>Publisher full-text sections; published copy for missing math symbols where needed.</x:v>
      </x:c>
      <x:c r="H19" s="1" t="str">
        <x:v>SI/code still pending; main-text access resolved.</x:v>
      </x:c>
    </x:row>
    <x:row r="20" ht="15" hidden="0" customHeight="1">
      <x:c r="A20" s="1" t="s">
        <x:v>5171</x:v>
      </x:c>
      <x:c r="B20" s="1" t="s">
        <x:v>5645</x:v>
      </x:c>
      <x:c r="C20" s="1" t="s">
        <x:v>5175</x:v>
      </x:c>
      <x:c r="D20" s="1" t="s">
        <x:v>54</x:v>
      </x:c>
      <x:c r="E20" s="1" t="s">
        <x:v>5646</x:v>
      </x:c>
      <x:c r="F20" s="1" t="s">
        <x:v>6801</x:v>
      </x:c>
      <x:c r="G20" s="1" t="s">
        <x:v>6805</x:v>
      </x:c>
      <x:c r="H20" s="1" t="s">
        <x:v>6803</x:v>
      </x:c>
    </x:row>
  </x:sheetData>
  <x:pageMargins left="0.7" right="0.7" top="0.75" bottom="0.75" header="0.3" footer="0.3"/>
</x:worksheet>
</file>